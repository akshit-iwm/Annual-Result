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36517B8F-D1A3-46D6-8B74-8CE87F28BE8D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Acquisition" sheetId="11" r:id="rId2"/>
    <sheet name="OB Data" sheetId="10" r:id="rId3"/>
    <sheet name="QTR Raw" sheetId="3" r:id="rId4"/>
    <sheet name="Annual Raw" sheetId="2" r:id="rId5"/>
    <sheet name="QTR Share Price" sheetId="4" r:id="rId6"/>
    <sheet name="QTR No. of Shares" sheetId="6" r:id="rId7"/>
    <sheet name="Share price Daily" sheetId="9" r:id="rId8"/>
    <sheet name="Sheet2" sheetId="5" state="hidden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8" i="1" l="1"/>
  <c r="J28" i="11"/>
  <c r="J29" i="11" s="1"/>
  <c r="K26" i="11"/>
  <c r="K28" i="11" s="1"/>
  <c r="K29" i="11" s="1"/>
  <c r="J25" i="11"/>
  <c r="B25" i="11"/>
  <c r="B24" i="11"/>
  <c r="B23" i="11"/>
  <c r="B19" i="11"/>
  <c r="B18" i="11"/>
  <c r="B17" i="11"/>
  <c r="H13" i="11"/>
  <c r="P13" i="11"/>
  <c r="O8" i="11"/>
  <c r="M14" i="11"/>
  <c r="M17" i="11"/>
  <c r="I9" i="11"/>
  <c r="C3" i="11"/>
  <c r="CH16" i="1"/>
  <c r="CK19" i="1"/>
  <c r="CK16" i="1"/>
  <c r="CL17" i="1"/>
  <c r="AA16" i="1"/>
  <c r="CL16" i="1"/>
  <c r="CL5" i="1"/>
  <c r="CM6" i="1"/>
  <c r="O14" i="11" l="1"/>
  <c r="O9" i="11"/>
  <c r="O10" i="11" s="1"/>
  <c r="M15" i="11"/>
  <c r="CO12" i="1" l="1"/>
  <c r="CL258" i="1" l="1"/>
  <c r="CL155" i="1"/>
  <c r="AA8" i="1"/>
  <c r="AB5" i="1" s="1"/>
  <c r="Z8" i="1" l="1"/>
  <c r="AA11" i="1" s="1"/>
  <c r="Y5" i="1"/>
  <c r="X5" i="1"/>
  <c r="W5" i="1"/>
  <c r="V5" i="1"/>
  <c r="U5" i="1"/>
  <c r="T5" i="1"/>
  <c r="Z5" i="1"/>
  <c r="CJ5" i="1"/>
  <c r="CI5" i="1"/>
  <c r="CH5" i="1"/>
  <c r="CK11" i="1"/>
  <c r="CK5" i="1"/>
  <c r="Z11" i="1" l="1"/>
  <c r="AA5" i="1"/>
  <c r="CK258" i="1" l="1"/>
  <c r="AE66" i="1"/>
  <c r="AD66" i="1"/>
  <c r="AC66" i="1"/>
  <c r="AE54" i="1"/>
  <c r="AD54" i="1"/>
  <c r="AC54" i="1"/>
  <c r="AE44" i="1"/>
  <c r="AD44" i="1"/>
  <c r="AC44" i="1"/>
  <c r="AB44" i="1"/>
  <c r="AE43" i="1"/>
  <c r="AD43" i="1"/>
  <c r="AC43" i="1"/>
  <c r="AE40" i="1"/>
  <c r="AD40" i="1"/>
  <c r="AC40" i="1"/>
  <c r="AE39" i="1"/>
  <c r="AD39" i="1"/>
  <c r="AC39" i="1"/>
  <c r="AE33" i="1"/>
  <c r="AD33" i="1"/>
  <c r="AC33" i="1"/>
  <c r="AE32" i="1"/>
  <c r="AD32" i="1"/>
  <c r="AC32" i="1"/>
  <c r="AE28" i="1"/>
  <c r="AD28" i="1"/>
  <c r="AC28" i="1"/>
  <c r="AE178" i="1"/>
  <c r="AD178" i="1"/>
  <c r="AC178" i="1"/>
  <c r="AB178" i="1"/>
  <c r="AE174" i="1"/>
  <c r="AD174" i="1"/>
  <c r="AC174" i="1"/>
  <c r="AB174" i="1"/>
  <c r="AE173" i="1"/>
  <c r="AD173" i="1"/>
  <c r="AC173" i="1"/>
  <c r="AB173" i="1"/>
  <c r="AE170" i="1"/>
  <c r="AD170" i="1"/>
  <c r="AC170" i="1"/>
  <c r="AB170" i="1"/>
  <c r="AE169" i="1"/>
  <c r="AD169" i="1"/>
  <c r="AC169" i="1"/>
  <c r="AB169" i="1"/>
  <c r="AE168" i="1"/>
  <c r="AD168" i="1"/>
  <c r="AC168" i="1"/>
  <c r="AB168" i="1"/>
  <c r="AE166" i="1"/>
  <c r="AD166" i="1"/>
  <c r="AC166" i="1"/>
  <c r="AB166" i="1"/>
  <c r="AE162" i="1"/>
  <c r="AD162" i="1"/>
  <c r="AC162" i="1"/>
  <c r="AB162" i="1"/>
  <c r="AE161" i="1"/>
  <c r="AD161" i="1"/>
  <c r="AC161" i="1"/>
  <c r="AB161" i="1"/>
  <c r="AD47" i="2"/>
  <c r="AE83" i="2"/>
  <c r="AF18" i="2"/>
  <c r="AD74" i="2"/>
  <c r="AB61" i="2"/>
  <c r="AC34" i="2"/>
  <c r="AB33" i="2"/>
  <c r="AB69" i="2"/>
  <c r="AB58" i="2"/>
  <c r="AF65" i="2"/>
  <c r="AE24" i="2"/>
  <c r="AC33" i="2"/>
  <c r="AG34" i="2"/>
  <c r="AC87" i="2"/>
  <c r="AC78" i="2"/>
  <c r="AD27" i="2"/>
  <c r="AG95" i="2"/>
  <c r="AC26" i="2"/>
  <c r="AF105" i="2"/>
  <c r="AE66" i="2"/>
  <c r="AC23" i="2"/>
  <c r="AD43" i="2"/>
  <c r="AD63" i="2"/>
  <c r="AD33" i="2"/>
  <c r="AF53" i="2"/>
  <c r="AE97" i="2"/>
  <c r="AC105" i="2"/>
  <c r="AE56" i="2"/>
  <c r="AC28" i="2"/>
  <c r="AF17" i="2"/>
  <c r="AE106" i="2"/>
  <c r="AG10" i="2"/>
  <c r="AC54" i="2"/>
  <c r="AF86" i="2"/>
  <c r="AF91" i="2"/>
  <c r="AF5" i="2"/>
  <c r="AG25" i="2"/>
  <c r="AE10" i="2"/>
  <c r="AF50" i="2"/>
  <c r="AG62" i="2"/>
  <c r="AG36" i="2"/>
  <c r="AF108" i="2"/>
  <c r="AB85" i="2"/>
  <c r="AA189" i="1" s="1"/>
  <c r="AD40" i="2"/>
  <c r="AC74" i="2"/>
  <c r="AB72" i="2"/>
  <c r="AF80" i="2"/>
  <c r="AD5" i="2"/>
  <c r="AC35" i="2"/>
  <c r="AE49" i="2"/>
  <c r="AD97" i="2"/>
  <c r="AG104" i="2"/>
  <c r="AF74" i="2"/>
  <c r="AD20" i="2"/>
  <c r="AD23" i="2"/>
  <c r="AG82" i="2"/>
  <c r="AG96" i="2"/>
  <c r="AE84" i="2"/>
  <c r="AG23" i="2"/>
  <c r="AC51" i="2"/>
  <c r="AE68" i="2"/>
  <c r="AD104" i="2"/>
  <c r="AD78" i="2"/>
  <c r="AB86" i="2"/>
  <c r="AA154" i="1" s="1"/>
  <c r="AE12" i="2"/>
  <c r="AG21" i="2"/>
  <c r="AB53" i="2"/>
  <c r="AD55" i="2"/>
  <c r="AD17" i="2"/>
  <c r="AF34" i="2"/>
  <c r="AE88" i="2"/>
  <c r="AG51" i="2"/>
  <c r="AE40" i="2"/>
  <c r="AD80" i="2"/>
  <c r="AF9" i="2"/>
  <c r="AD53" i="2"/>
  <c r="AE9" i="2"/>
  <c r="AF32" i="2"/>
  <c r="AG59" i="2"/>
  <c r="AB54" i="2"/>
  <c r="AA172" i="1" s="1"/>
  <c r="AG42" i="2"/>
  <c r="AC83" i="2"/>
  <c r="AB22" i="2"/>
  <c r="AE78" i="2"/>
  <c r="AD90" i="2"/>
  <c r="AB106" i="2"/>
  <c r="AA96" i="1" s="1"/>
  <c r="AB52" i="2"/>
  <c r="AA170" i="1" s="1"/>
  <c r="AF84" i="2"/>
  <c r="AG48" i="2"/>
  <c r="AB46" i="2"/>
  <c r="AG19" i="2"/>
  <c r="AC66" i="2"/>
  <c r="AB64" i="2"/>
  <c r="AA152" i="1" s="1"/>
  <c r="AF72" i="2"/>
  <c r="AB20" i="2"/>
  <c r="AE77" i="2"/>
  <c r="AC27" i="2"/>
  <c r="AG6" i="2"/>
  <c r="AB70" i="2"/>
  <c r="AD66" i="2"/>
  <c r="AC21" i="2"/>
  <c r="AG110" i="2"/>
  <c r="AD12" i="2"/>
  <c r="AE51" i="2"/>
  <c r="AC60" i="2"/>
  <c r="AD7" i="2"/>
  <c r="AF43" i="2"/>
  <c r="AF41" i="2"/>
  <c r="AC97" i="2"/>
  <c r="AE48" i="2"/>
  <c r="AD10" i="2"/>
  <c r="AD82" i="2"/>
  <c r="AB8" i="2"/>
  <c r="AD87" i="2"/>
  <c r="AD84" i="2"/>
  <c r="AE17" i="2"/>
  <c r="AE31" i="2"/>
  <c r="AD95" i="2"/>
  <c r="AG98" i="2"/>
  <c r="AF10" i="2"/>
  <c r="AE29" i="2"/>
  <c r="AG49" i="2"/>
  <c r="AG75" i="2"/>
  <c r="AC73" i="2"/>
  <c r="AG32" i="2"/>
  <c r="AC99" i="2"/>
  <c r="AG106" i="2"/>
  <c r="AE71" i="2"/>
  <c r="AF45" i="2"/>
  <c r="AG45" i="2"/>
  <c r="AC48" i="2"/>
  <c r="AG85" i="2"/>
  <c r="AF26" i="2"/>
  <c r="AC96" i="2"/>
  <c r="AG108" i="2"/>
  <c r="AG89" i="2"/>
  <c r="AG87" i="2"/>
  <c r="AC77" i="2"/>
  <c r="AE79" i="2"/>
  <c r="AE7" i="2"/>
  <c r="AB17" i="2"/>
  <c r="AA43" i="1" s="1"/>
  <c r="AG31" i="2"/>
  <c r="AC67" i="2"/>
  <c r="AB6" i="2"/>
  <c r="AA27" i="1" s="1"/>
  <c r="AF89" i="2"/>
  <c r="AB77" i="2"/>
  <c r="AA164" i="1" s="1"/>
  <c r="AA199" i="1" s="1"/>
  <c r="AC53" i="2"/>
  <c r="AB44" i="2"/>
  <c r="AF76" i="2"/>
  <c r="AG29" i="2"/>
  <c r="AB94" i="2"/>
  <c r="AB9" i="2"/>
  <c r="AC16" i="2"/>
  <c r="AF52" i="2"/>
  <c r="AB51" i="2"/>
  <c r="AA169" i="1" s="1"/>
  <c r="AG12" i="2"/>
  <c r="AC30" i="2"/>
  <c r="AC71" i="2"/>
  <c r="AB16" i="2"/>
  <c r="AG65" i="2"/>
  <c r="AG67" i="2"/>
  <c r="AB96" i="2"/>
  <c r="AB7" i="2"/>
  <c r="AA28" i="1" s="1"/>
  <c r="AB104" i="2"/>
  <c r="AD59" i="2"/>
  <c r="AC43" i="2"/>
  <c r="AE6" i="2"/>
  <c r="AD64" i="2"/>
  <c r="AB32" i="2"/>
  <c r="AA64" i="1" s="1"/>
  <c r="AC108" i="2"/>
  <c r="AC14" i="2"/>
  <c r="AC55" i="2"/>
  <c r="AE99" i="2"/>
  <c r="AC63" i="2"/>
  <c r="AE20" i="2"/>
  <c r="AC56" i="2"/>
  <c r="AB28" i="2"/>
  <c r="AC65" i="2"/>
  <c r="AC93" i="2"/>
  <c r="AE33" i="2"/>
  <c r="AD105" i="2"/>
  <c r="AD19" i="2"/>
  <c r="AG109" i="2"/>
  <c r="AE58" i="2"/>
  <c r="AE70" i="2"/>
  <c r="AB98" i="2"/>
  <c r="AD8" i="2"/>
  <c r="AD25" i="2"/>
  <c r="AB65" i="2"/>
  <c r="AB95" i="2"/>
  <c r="AA190" i="1" s="1"/>
  <c r="AB21" i="2"/>
  <c r="AG107" i="2"/>
  <c r="AD71" i="2"/>
  <c r="AD52" i="2"/>
  <c r="AF69" i="2"/>
  <c r="AE109" i="2"/>
  <c r="AB93" i="2"/>
  <c r="AA191" i="1" s="1"/>
  <c r="AE72" i="2"/>
  <c r="AC79" i="2"/>
  <c r="AF25" i="2"/>
  <c r="AD69" i="2"/>
  <c r="AF14" i="2"/>
  <c r="AC45" i="2"/>
  <c r="AG58" i="2"/>
  <c r="AF36" i="2"/>
  <c r="AB57" i="2"/>
  <c r="AA174" i="1" s="1"/>
  <c r="AE74" i="2"/>
  <c r="AF98" i="2"/>
  <c r="AB68" i="2"/>
  <c r="AA155" i="1" s="1"/>
  <c r="AC13" i="2"/>
  <c r="AG56" i="2"/>
  <c r="AG7" i="2"/>
  <c r="AC6" i="2"/>
  <c r="AG14" i="2"/>
  <c r="AF85" i="2"/>
  <c r="AD99" i="2"/>
  <c r="AF59" i="2"/>
  <c r="AD92" i="2"/>
  <c r="AE64" i="2"/>
  <c r="AG74" i="2"/>
  <c r="AF54" i="2"/>
  <c r="AE62" i="2"/>
  <c r="AC89" i="2"/>
  <c r="AD81" i="2"/>
  <c r="AB66" i="2"/>
  <c r="AF15" i="2"/>
  <c r="AG27" i="2"/>
  <c r="AF79" i="2"/>
  <c r="AC22" i="2"/>
  <c r="AE91" i="2"/>
  <c r="AC41" i="2"/>
  <c r="AG52" i="2"/>
  <c r="AG53" i="2"/>
  <c r="AD18" i="2"/>
  <c r="AE46" i="2"/>
  <c r="AD49" i="2"/>
  <c r="AD83" i="2"/>
  <c r="AE55" i="2"/>
  <c r="AG33" i="2"/>
  <c r="AG55" i="2"/>
  <c r="AC46" i="2"/>
  <c r="AG15" i="2"/>
  <c r="AB26" i="2"/>
  <c r="AB25" i="2"/>
  <c r="AA55" i="1" s="1"/>
  <c r="AE59" i="2"/>
  <c r="AF75" i="2"/>
  <c r="AE76" i="2"/>
  <c r="AC40" i="2"/>
  <c r="AE107" i="2"/>
  <c r="AB105" i="2"/>
  <c r="AD22" i="2"/>
  <c r="AB74" i="2"/>
  <c r="AF23" i="2"/>
  <c r="AG35" i="2"/>
  <c r="AB89" i="2"/>
  <c r="AG30" i="2"/>
  <c r="AD26" i="2"/>
  <c r="AG81" i="2"/>
  <c r="AC95" i="2"/>
  <c r="AF110" i="2"/>
  <c r="AG83" i="2"/>
  <c r="AD88" i="2"/>
  <c r="AB108" i="2"/>
  <c r="AA98" i="1" s="1"/>
  <c r="AD9" i="2"/>
  <c r="AF77" i="2"/>
  <c r="AG77" i="2"/>
  <c r="AG40" i="2"/>
  <c r="AF44" i="2"/>
  <c r="AD73" i="2"/>
  <c r="AF11" i="2"/>
  <c r="AE27" i="2"/>
  <c r="AC12" i="2"/>
  <c r="AD41" i="2"/>
  <c r="AB23" i="2"/>
  <c r="AA54" i="1" s="1"/>
  <c r="AB18" i="2"/>
  <c r="AA40" i="1" s="1"/>
  <c r="AD75" i="2"/>
  <c r="AC75" i="2"/>
  <c r="AD61" i="2"/>
  <c r="AG41" i="2"/>
  <c r="AE67" i="2"/>
  <c r="AC29" i="2"/>
  <c r="AG50" i="2"/>
  <c r="AF20" i="2"/>
  <c r="AB41" i="2"/>
  <c r="AA136" i="1" s="1"/>
  <c r="AB97" i="2"/>
  <c r="AC81" i="2"/>
  <c r="AC86" i="2"/>
  <c r="AB60" i="2"/>
  <c r="AC5" i="2"/>
  <c r="AB63" i="2"/>
  <c r="AA151" i="1" s="1"/>
  <c r="AF71" i="2"/>
  <c r="AB11" i="2"/>
  <c r="AA32" i="1" s="1"/>
  <c r="AB83" i="2"/>
  <c r="AA183" i="1" s="1"/>
  <c r="AG47" i="2"/>
  <c r="AE87" i="2"/>
  <c r="AF24" i="2"/>
  <c r="AE54" i="2"/>
  <c r="AE110" i="2"/>
  <c r="AE47" i="2"/>
  <c r="AC80" i="2"/>
  <c r="AB79" i="2"/>
  <c r="AA165" i="1" s="1"/>
  <c r="AB88" i="2"/>
  <c r="AG26" i="2"/>
  <c r="AD70" i="2"/>
  <c r="AD107" i="2"/>
  <c r="AE73" i="2"/>
  <c r="AB91" i="2"/>
  <c r="AC47" i="2"/>
  <c r="AD32" i="2"/>
  <c r="AC76" i="2"/>
  <c r="AC31" i="2"/>
  <c r="AB29" i="2"/>
  <c r="AA66" i="1" s="1"/>
  <c r="AF40" i="2"/>
  <c r="AG60" i="2"/>
  <c r="AE45" i="2"/>
  <c r="AF82" i="2"/>
  <c r="AB24" i="2"/>
  <c r="AG105" i="2"/>
  <c r="AG93" i="2"/>
  <c r="AB78" i="2"/>
  <c r="AA179" i="1" s="1"/>
  <c r="AD45" i="2"/>
  <c r="AC98" i="2"/>
  <c r="AF97" i="2"/>
  <c r="AD65" i="2"/>
  <c r="AE96" i="2"/>
  <c r="AE50" i="2"/>
  <c r="AD86" i="2"/>
  <c r="AD56" i="2"/>
  <c r="AC62" i="2"/>
  <c r="AF51" i="2"/>
  <c r="AB34" i="2"/>
  <c r="AB12" i="2"/>
  <c r="AA34" i="1" s="1"/>
  <c r="AE89" i="2"/>
  <c r="AC44" i="2"/>
  <c r="AE92" i="2"/>
  <c r="AE34" i="2"/>
  <c r="AF16" i="2"/>
  <c r="AC10" i="2"/>
  <c r="AF12" i="2"/>
  <c r="AB81" i="2"/>
  <c r="AC7" i="2"/>
  <c r="AB5" i="2"/>
  <c r="AB111" i="2" s="1"/>
  <c r="AF13" i="2"/>
  <c r="AG70" i="2"/>
  <c r="AE108" i="2"/>
  <c r="AB110" i="2"/>
  <c r="AA86" i="1" s="1"/>
  <c r="AB80" i="2"/>
  <c r="AA166" i="1" s="1"/>
  <c r="AE52" i="2"/>
  <c r="AG88" i="2"/>
  <c r="AC18" i="2"/>
  <c r="AF60" i="2"/>
  <c r="AG13" i="2"/>
  <c r="AC94" i="2"/>
  <c r="AD106" i="2"/>
  <c r="AG57" i="2"/>
  <c r="AB36" i="2"/>
  <c r="AG22" i="2"/>
  <c r="AD76" i="2"/>
  <c r="AC109" i="2"/>
  <c r="AB92" i="2"/>
  <c r="AF62" i="2"/>
  <c r="AD94" i="2"/>
  <c r="AE80" i="2"/>
  <c r="AD89" i="2"/>
  <c r="AE53" i="2"/>
  <c r="AF90" i="2"/>
  <c r="AB43" i="2"/>
  <c r="AA138" i="1" s="1"/>
  <c r="AF68" i="2"/>
  <c r="AE98" i="2"/>
  <c r="AD110" i="2"/>
  <c r="AE11" i="2"/>
  <c r="AE30" i="2"/>
  <c r="AD30" i="2"/>
  <c r="AB15" i="2"/>
  <c r="AA41" i="1" s="1"/>
  <c r="AG91" i="2"/>
  <c r="AD67" i="2"/>
  <c r="AC59" i="2"/>
  <c r="AB49" i="2"/>
  <c r="AA182" i="1" s="1"/>
  <c r="AE23" i="2"/>
  <c r="AD15" i="2"/>
  <c r="AC90" i="2"/>
  <c r="AF95" i="2"/>
  <c r="AF78" i="2"/>
  <c r="AF107" i="2"/>
  <c r="AF94" i="2"/>
  <c r="AG17" i="2"/>
  <c r="AB90" i="2"/>
  <c r="AF42" i="2"/>
  <c r="AG54" i="2"/>
  <c r="AG20" i="2"/>
  <c r="AB47" i="2"/>
  <c r="AA143" i="1" s="1"/>
  <c r="AF47" i="2"/>
  <c r="AD98" i="2"/>
  <c r="AG5" i="2"/>
  <c r="AB67" i="2"/>
  <c r="AG28" i="2"/>
  <c r="AC49" i="2"/>
  <c r="AF8" i="2"/>
  <c r="AE35" i="2"/>
  <c r="AG43" i="2"/>
  <c r="AE36" i="2"/>
  <c r="AC72" i="2"/>
  <c r="AD48" i="2"/>
  <c r="AC9" i="2"/>
  <c r="AE93" i="2"/>
  <c r="AD54" i="2"/>
  <c r="AF92" i="2"/>
  <c r="AE14" i="2"/>
  <c r="AB45" i="2"/>
  <c r="AA141" i="1" s="1"/>
  <c r="AE22" i="2"/>
  <c r="AD24" i="2"/>
  <c r="AD60" i="2"/>
  <c r="AE44" i="2"/>
  <c r="AD50" i="2"/>
  <c r="AB113" i="2"/>
  <c r="AA93" i="1" s="1"/>
  <c r="AF35" i="2"/>
  <c r="AG24" i="2"/>
  <c r="AB50" i="2"/>
  <c r="AG11" i="2"/>
  <c r="AF30" i="2"/>
  <c r="AE8" i="2"/>
  <c r="AC17" i="2"/>
  <c r="AG73" i="2"/>
  <c r="AE57" i="2"/>
  <c r="AF6" i="2"/>
  <c r="AF58" i="2"/>
  <c r="AD13" i="2"/>
  <c r="AC82" i="2"/>
  <c r="AF88" i="2"/>
  <c r="AB55" i="2"/>
  <c r="AD21" i="2"/>
  <c r="AB76" i="2"/>
  <c r="AA163" i="1" s="1"/>
  <c r="AC32" i="2"/>
  <c r="AC68" i="2"/>
  <c r="AF57" i="2"/>
  <c r="AG86" i="2"/>
  <c r="AD62" i="2"/>
  <c r="AG80" i="2"/>
  <c r="AC42" i="2"/>
  <c r="AB40" i="2"/>
  <c r="AF48" i="2"/>
  <c r="AG68" i="2"/>
  <c r="AD72" i="2"/>
  <c r="AC70" i="2"/>
  <c r="AD11" i="2"/>
  <c r="AB30" i="2"/>
  <c r="AA58" i="1" s="1"/>
  <c r="AD6" i="2"/>
  <c r="AF70" i="2"/>
  <c r="AB109" i="2"/>
  <c r="AD93" i="2"/>
  <c r="AG9" i="2"/>
  <c r="AB82" i="2"/>
  <c r="AF31" i="2"/>
  <c r="AG46" i="2"/>
  <c r="AC104" i="2"/>
  <c r="AC61" i="2"/>
  <c r="AG99" i="2"/>
  <c r="AE65" i="2"/>
  <c r="AG64" i="2"/>
  <c r="AB107" i="2"/>
  <c r="AA97" i="1" s="1"/>
  <c r="AC58" i="2"/>
  <c r="AB56" i="2"/>
  <c r="AA146" i="1" s="1"/>
  <c r="AF64" i="2"/>
  <c r="AG84" i="2"/>
  <c r="AE69" i="2"/>
  <c r="AC19" i="2"/>
  <c r="AB75" i="2"/>
  <c r="AA178" i="1" s="1"/>
  <c r="AA180" i="1" s="1"/>
  <c r="AG90" i="2"/>
  <c r="AE42" i="2"/>
  <c r="AE60" i="2"/>
  <c r="AB87" i="2"/>
  <c r="AA145" i="1" s="1"/>
  <c r="AB62" i="2"/>
  <c r="AA150" i="1" s="1"/>
  <c r="AA153" i="1" s="1"/>
  <c r="AD35" i="2"/>
  <c r="AD109" i="2"/>
  <c r="AD108" i="2"/>
  <c r="AC69" i="2"/>
  <c r="AB35" i="2"/>
  <c r="AA70" i="1" s="1"/>
  <c r="AD16" i="2"/>
  <c r="AD44" i="2"/>
  <c r="AE25" i="2"/>
  <c r="AB27" i="2"/>
  <c r="AA51" i="1" s="1"/>
  <c r="AF87" i="2"/>
  <c r="AF27" i="2"/>
  <c r="AE82" i="2"/>
  <c r="AF83" i="2"/>
  <c r="AD57" i="2"/>
  <c r="AB42" i="2"/>
  <c r="AA137" i="1" s="1"/>
  <c r="AF96" i="2"/>
  <c r="AD91" i="2"/>
  <c r="AF28" i="2"/>
  <c r="AG92" i="2"/>
  <c r="AF113" i="2"/>
  <c r="AB71" i="2"/>
  <c r="AA159" i="1" s="1"/>
  <c r="AC15" i="2"/>
  <c r="AB13" i="2"/>
  <c r="AA39" i="1" s="1"/>
  <c r="AF21" i="2"/>
  <c r="AG44" i="2"/>
  <c r="AE26" i="2"/>
  <c r="AF66" i="2"/>
  <c r="AG78" i="2"/>
  <c r="AF67" i="2"/>
  <c r="AD36" i="2"/>
  <c r="AE75" i="2"/>
  <c r="AC84" i="2"/>
  <c r="AD58" i="2"/>
  <c r="AC110" i="2"/>
  <c r="AE5" i="2"/>
  <c r="AE81" i="2"/>
  <c r="AC57" i="2"/>
  <c r="AD34" i="2"/>
  <c r="AC92" i="2"/>
  <c r="AG61" i="2"/>
  <c r="AF73" i="2"/>
  <c r="AB112" i="2"/>
  <c r="AA92" i="1" s="1"/>
  <c r="AE16" i="2"/>
  <c r="AC25" i="2"/>
  <c r="AG18" i="2"/>
  <c r="AG16" i="2"/>
  <c r="AE21" i="2"/>
  <c r="AD29" i="2"/>
  <c r="AE86" i="2"/>
  <c r="AD42" i="2"/>
  <c r="AC50" i="2"/>
  <c r="AB48" i="2"/>
  <c r="AA144" i="1" s="1"/>
  <c r="AF56" i="2"/>
  <c r="AG76" i="2"/>
  <c r="AE61" i="2"/>
  <c r="AC11" i="2"/>
  <c r="AB59" i="2"/>
  <c r="AE104" i="2"/>
  <c r="AB99" i="2"/>
  <c r="AE41" i="2"/>
  <c r="AD31" i="2"/>
  <c r="AF109" i="2"/>
  <c r="AF7" i="2"/>
  <c r="AF81" i="2"/>
  <c r="AE32" i="2"/>
  <c r="AC20" i="2"/>
  <c r="AD46" i="2"/>
  <c r="AC85" i="2"/>
  <c r="AF19" i="2"/>
  <c r="AB31" i="2"/>
  <c r="AE94" i="2"/>
  <c r="AE18" i="2"/>
  <c r="AF49" i="2"/>
  <c r="AB84" i="2"/>
  <c r="AF104" i="2"/>
  <c r="AG97" i="2"/>
  <c r="AF55" i="2"/>
  <c r="AF93" i="2"/>
  <c r="AF106" i="2"/>
  <c r="AE13" i="2"/>
  <c r="AE90" i="2"/>
  <c r="AB10" i="2"/>
  <c r="AB73" i="2"/>
  <c r="AA162" i="1" s="1"/>
  <c r="AD14" i="2"/>
  <c r="AF61" i="2"/>
  <c r="AG63" i="2"/>
  <c r="AC91" i="2"/>
  <c r="AG94" i="2"/>
  <c r="AC106" i="2"/>
  <c r="AE85" i="2"/>
  <c r="AE19" i="2"/>
  <c r="AE43" i="2"/>
  <c r="AC88" i="2"/>
  <c r="AG71" i="2"/>
  <c r="AG8" i="2"/>
  <c r="AC52" i="2"/>
  <c r="AE63" i="2"/>
  <c r="AF33" i="2"/>
  <c r="AD96" i="2"/>
  <c r="AF29" i="2"/>
  <c r="AB14" i="2"/>
  <c r="AA42" i="1" s="1"/>
  <c r="AE28" i="2"/>
  <c r="AG69" i="2"/>
  <c r="AD79" i="2"/>
  <c r="AD77" i="2"/>
  <c r="AG79" i="2"/>
  <c r="AD51" i="2"/>
  <c r="AC8" i="2"/>
  <c r="AD85" i="2"/>
  <c r="AC24" i="2"/>
  <c r="AG72" i="2"/>
  <c r="AB19" i="2"/>
  <c r="AA44" i="1" s="1"/>
  <c r="AF22" i="2"/>
  <c r="AF63" i="2"/>
  <c r="AC64" i="2"/>
  <c r="AC36" i="2"/>
  <c r="AD68" i="2"/>
  <c r="AC107" i="2"/>
  <c r="AF46" i="2"/>
  <c r="AD28" i="2"/>
  <c r="AF99" i="2"/>
  <c r="AE15" i="2"/>
  <c r="AG66" i="2"/>
  <c r="AE95" i="2"/>
  <c r="AE105" i="2"/>
  <c r="AG113" i="2"/>
  <c r="AF111" i="2" l="1"/>
  <c r="AF112" i="2"/>
  <c r="AA198" i="1"/>
  <c r="AA161" i="1"/>
  <c r="AA156" i="1"/>
  <c r="AA157" i="1" s="1"/>
  <c r="AA65" i="1"/>
  <c r="AA168" i="1"/>
  <c r="AA192" i="1"/>
  <c r="AA250" i="1"/>
  <c r="AA19" i="1"/>
  <c r="AA29" i="1"/>
  <c r="AA271" i="1"/>
  <c r="AA52" i="1"/>
  <c r="AA213" i="1"/>
  <c r="AA272" i="1"/>
  <c r="AA139" i="1"/>
  <c r="AA147" i="1"/>
  <c r="AA173" i="1"/>
  <c r="AA45" i="1"/>
  <c r="AA167" i="1"/>
  <c r="AA202" i="1"/>
  <c r="AG112" i="2"/>
  <c r="CG171" i="1"/>
  <c r="AC113" i="2"/>
  <c r="AC112" i="2"/>
  <c r="AE112" i="2"/>
  <c r="AD112" i="2"/>
  <c r="AE113" i="2"/>
  <c r="AD111" i="2"/>
  <c r="AD113" i="2"/>
  <c r="AG111" i="2"/>
  <c r="AE111" i="2"/>
  <c r="AC111" i="2"/>
  <c r="AA56" i="1" l="1"/>
  <c r="AA194" i="1"/>
  <c r="AA117" i="1"/>
  <c r="AA263" i="1"/>
  <c r="AA35" i="1"/>
  <c r="AA148" i="1"/>
  <c r="AA187" i="1"/>
  <c r="AA128" i="1" s="1"/>
  <c r="AA201" i="1"/>
  <c r="AA267" i="1"/>
  <c r="AA265" i="1"/>
  <c r="AA175" i="1"/>
  <c r="AA46" i="1"/>
  <c r="CG142" i="1"/>
  <c r="AL155" i="1"/>
  <c r="AJ155" i="1"/>
  <c r="AP155" i="1"/>
  <c r="AN155" i="1"/>
  <c r="AT155" i="1"/>
  <c r="AR155" i="1"/>
  <c r="AX155" i="1"/>
  <c r="AV155" i="1"/>
  <c r="BB155" i="1"/>
  <c r="AZ155" i="1"/>
  <c r="BF155" i="1"/>
  <c r="BD155" i="1"/>
  <c r="BJ155" i="1"/>
  <c r="BH155" i="1"/>
  <c r="BN155" i="1"/>
  <c r="BL155" i="1"/>
  <c r="BR155" i="1"/>
  <c r="BP155" i="1"/>
  <c r="BV155" i="1"/>
  <c r="BT155" i="1"/>
  <c r="BZ155" i="1"/>
  <c r="BX155" i="1"/>
  <c r="CD155" i="1"/>
  <c r="CB155" i="1"/>
  <c r="CJ155" i="1"/>
  <c r="CH171" i="1"/>
  <c r="CF155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47" i="1" l="1"/>
  <c r="AA36" i="1"/>
  <c r="AA200" i="1"/>
  <c r="AA204" i="1"/>
  <c r="AA203" i="1" s="1"/>
  <c r="AA176" i="1"/>
  <c r="AA184" i="1" s="1"/>
  <c r="AA185" i="1" s="1"/>
  <c r="B1" i="9"/>
  <c r="A1" i="9"/>
  <c r="L1" i="9"/>
  <c r="AA53" i="1" l="1"/>
  <c r="AA131" i="1"/>
  <c r="AA251" i="1"/>
  <c r="AA252" i="1" s="1"/>
  <c r="AA48" i="1"/>
  <c r="AA205" i="1"/>
  <c r="DA258" i="1"/>
  <c r="CZ258" i="1"/>
  <c r="CY258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J258" i="1"/>
  <c r="Z258" i="1"/>
  <c r="AA57" i="1" l="1"/>
  <c r="AA74" i="1"/>
  <c r="CM155" i="1"/>
  <c r="CN155" i="1" s="1"/>
  <c r="CO155" i="1" s="1"/>
  <c r="CI258" i="1"/>
  <c r="CG258" i="1"/>
  <c r="CH258" i="1"/>
  <c r="AB192" i="1"/>
  <c r="AC192" i="1"/>
  <c r="AD192" i="1"/>
  <c r="AE192" i="1"/>
  <c r="CE258" i="1"/>
  <c r="CF258" i="1"/>
  <c r="AI228" i="1"/>
  <c r="AI258" i="1"/>
  <c r="Y258" i="1"/>
  <c r="CD258" i="1"/>
  <c r="CC258" i="1"/>
  <c r="AJ258" i="1"/>
  <c r="AK258" i="1"/>
  <c r="AL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C1" i="1"/>
  <c r="AA59" i="1" l="1"/>
  <c r="AA60" i="1"/>
  <c r="CP155" i="1"/>
  <c r="CQ155" i="1" s="1"/>
  <c r="CR155" i="1" s="1"/>
  <c r="CS155" i="1" s="1"/>
  <c r="AB155" i="1"/>
  <c r="A1" i="3"/>
  <c r="AA67" i="1" l="1"/>
  <c r="AA253" i="1"/>
  <c r="AA61" i="1"/>
  <c r="AA264" i="1" s="1"/>
  <c r="CT155" i="1"/>
  <c r="CU155" i="1" s="1"/>
  <c r="CV155" i="1" s="1"/>
  <c r="CW155" i="1" s="1"/>
  <c r="AC155" i="1"/>
  <c r="A1" i="6"/>
  <c r="A1" i="4"/>
  <c r="AA212" i="1" l="1"/>
  <c r="AA214" i="1" s="1"/>
  <c r="AA71" i="1"/>
  <c r="AA73" i="1"/>
  <c r="CX155" i="1"/>
  <c r="CY155" i="1" s="1"/>
  <c r="CZ155" i="1" s="1"/>
  <c r="DA155" i="1" s="1"/>
  <c r="AE155" i="1" s="1"/>
  <c r="AD155" i="1"/>
  <c r="BQ1" i="1"/>
  <c r="BR1" i="1" s="1"/>
  <c r="BS1" i="1" s="1"/>
  <c r="BT1" i="1" s="1"/>
  <c r="BU1" i="1" l="1"/>
  <c r="BO8" i="3"/>
  <c r="BH17" i="3"/>
  <c r="BI41" i="3"/>
  <c r="BT37" i="3"/>
  <c r="BS12" i="3"/>
  <c r="BH33" i="3"/>
  <c r="BJ23" i="3"/>
  <c r="BO26" i="3"/>
  <c r="BH36" i="3"/>
  <c r="BF13" i="3"/>
  <c r="BU35" i="3"/>
  <c r="BM46" i="3"/>
  <c r="BF32" i="3"/>
  <c r="BJ13" i="3"/>
  <c r="BG35" i="3"/>
  <c r="BS33" i="3"/>
  <c r="BL16" i="3"/>
  <c r="BJ9" i="3"/>
  <c r="BL32" i="3"/>
  <c r="BL10" i="3"/>
  <c r="BQ29" i="3"/>
  <c r="BK21" i="3"/>
  <c r="BO36" i="3"/>
  <c r="BL24" i="3"/>
  <c r="BP40" i="3"/>
  <c r="BH27" i="3"/>
  <c r="BF18" i="3"/>
  <c r="CL40" i="1" s="1"/>
  <c r="AB40" i="1" s="1"/>
  <c r="BS42" i="3"/>
  <c r="BP36" i="3"/>
  <c r="BR31" i="3"/>
  <c r="BJ26" i="3"/>
  <c r="BR12" i="3"/>
  <c r="BQ20" i="3"/>
  <c r="BJ36" i="3"/>
  <c r="BH19" i="3"/>
  <c r="BP7" i="3"/>
  <c r="BN11" i="3"/>
  <c r="BL17" i="3"/>
  <c r="BN42" i="3"/>
  <c r="BI26" i="3"/>
  <c r="BG18" i="3"/>
  <c r="BN10" i="3"/>
  <c r="BQ30" i="3"/>
  <c r="BT19" i="3"/>
  <c r="BN46" i="3"/>
  <c r="BF12" i="3"/>
  <c r="CL33" i="1" s="1"/>
  <c r="AB33" i="1" s="1"/>
  <c r="BN18" i="3"/>
  <c r="BT16" i="3"/>
  <c r="BG32" i="3"/>
  <c r="BL23" i="3"/>
  <c r="BJ16" i="3"/>
  <c r="BL42" i="3"/>
  <c r="BL18" i="3"/>
  <c r="BT6" i="3"/>
  <c r="BN14" i="3"/>
  <c r="BT21" i="3"/>
  <c r="BR20" i="3"/>
  <c r="BS31" i="3"/>
  <c r="BQ16" i="3"/>
  <c r="BG6" i="3"/>
  <c r="BT36" i="3"/>
  <c r="BO21" i="3"/>
  <c r="BS7" i="3"/>
  <c r="BO39" i="3"/>
  <c r="BU9" i="3"/>
  <c r="BI22" i="3"/>
  <c r="BI17" i="3"/>
  <c r="BK39" i="3"/>
  <c r="BK25" i="3"/>
  <c r="BT40" i="3"/>
  <c r="BS18" i="3"/>
  <c r="BF7" i="3"/>
  <c r="BF27" i="3"/>
  <c r="BR7" i="3"/>
  <c r="BT42" i="3"/>
  <c r="BM34" i="3"/>
  <c r="BT18" i="3"/>
  <c r="BP18" i="3"/>
  <c r="BJ37" i="3"/>
  <c r="BS36" i="3"/>
  <c r="BS30" i="3"/>
  <c r="BO6" i="3"/>
  <c r="BR9" i="3"/>
  <c r="BT30" i="3"/>
  <c r="BH22" i="3"/>
  <c r="BE42" i="3"/>
  <c r="BM36" i="3"/>
  <c r="FJ7" i="4" a="1"/>
  <c r="HH8" i="4" a="1"/>
  <c r="GU5" i="4" a="1"/>
  <c r="FH14" i="4" a="1"/>
  <c r="GH12" i="4" a="1"/>
  <c r="FS12" i="4" a="1"/>
  <c r="GP16" i="4" a="1"/>
  <c r="HB6" i="4" a="1"/>
  <c r="FH7" i="4" a="1"/>
  <c r="BS15" i="3"/>
  <c r="BO25" i="3"/>
  <c r="BR45" i="3"/>
  <c r="BL40" i="3"/>
  <c r="BI32" i="3"/>
  <c r="BU12" i="3"/>
  <c r="BI37" i="3"/>
  <c r="BU27" i="3"/>
  <c r="BO28" i="3"/>
  <c r="BE9" i="3"/>
  <c r="BP14" i="3"/>
  <c r="BK28" i="3"/>
  <c r="BF19" i="3"/>
  <c r="BM9" i="3"/>
  <c r="BN20" i="3"/>
  <c r="BP37" i="3"/>
  <c r="BQ26" i="3"/>
  <c r="BE18" i="3"/>
  <c r="BN16" i="3"/>
  <c r="BE26" i="3"/>
  <c r="BS16" i="3"/>
  <c r="BG28" i="3"/>
  <c r="BK26" i="3"/>
  <c r="BG39" i="3"/>
  <c r="BE22" i="3"/>
  <c r="BF33" i="3"/>
  <c r="BG34" i="3"/>
  <c r="BF23" i="3"/>
  <c r="CL54" i="1" s="1"/>
  <c r="AB54" i="1" s="1"/>
  <c r="BP5" i="3"/>
  <c r="BF29" i="3"/>
  <c r="CL58" i="1" s="1"/>
  <c r="BP16" i="3"/>
  <c r="BU22" i="3"/>
  <c r="BS25" i="3"/>
  <c r="BS38" i="3"/>
  <c r="BL26" i="3"/>
  <c r="BT14" i="3"/>
  <c r="BH24" i="3"/>
  <c r="BN22" i="3"/>
  <c r="BG5" i="3"/>
  <c r="BM33" i="3"/>
  <c r="BH9" i="3"/>
  <c r="BN15" i="3"/>
  <c r="BL41" i="3"/>
  <c r="BG27" i="3"/>
  <c r="BK14" i="3"/>
  <c r="BE20" i="3"/>
  <c r="BN23" i="3"/>
  <c r="BI18" i="3"/>
  <c r="BN9" i="3"/>
  <c r="BP30" i="3"/>
  <c r="BL45" i="3"/>
  <c r="BU46" i="3"/>
  <c r="BP68" i="3"/>
  <c r="BF17" i="3"/>
  <c r="CL43" i="1" s="1"/>
  <c r="AB43" i="1" s="1"/>
  <c r="BQ41" i="3"/>
  <c r="BI9" i="3"/>
  <c r="BT12" i="3"/>
  <c r="BI11" i="3"/>
  <c r="BJ29" i="3"/>
  <c r="BO20" i="3"/>
  <c r="BL39" i="3"/>
  <c r="BG42" i="3"/>
  <c r="BP61" i="3"/>
  <c r="BG57" i="3"/>
  <c r="BP77" i="3"/>
  <c r="BT41" i="3"/>
  <c r="BR41" i="3"/>
  <c r="BJ33" i="3"/>
  <c r="BU23" i="3"/>
  <c r="BH12" i="3"/>
  <c r="BQ37" i="3"/>
  <c r="BI23" i="3"/>
  <c r="BS5" i="3"/>
  <c r="BS67" i="3" s="1"/>
  <c r="BU8" i="3"/>
  <c r="BO30" i="3"/>
  <c r="BN7" i="3"/>
  <c r="BS32" i="3"/>
  <c r="BK29" i="3"/>
  <c r="BU11" i="3"/>
  <c r="BR39" i="3"/>
  <c r="BU32" i="3"/>
  <c r="BE6" i="3"/>
  <c r="BM35" i="3"/>
  <c r="BR5" i="3"/>
  <c r="BF26" i="3"/>
  <c r="CL66" i="1" s="1"/>
  <c r="AB66" i="1" s="1"/>
  <c r="BL35" i="3"/>
  <c r="BH40" i="3"/>
  <c r="BU33" i="3"/>
  <c r="BI25" i="3"/>
  <c r="BP45" i="3"/>
  <c r="BM31" i="3"/>
  <c r="BP41" i="3"/>
  <c r="BI29" i="3"/>
  <c r="BM10" i="3"/>
  <c r="BS29" i="3"/>
  <c r="BH28" i="3"/>
  <c r="BR10" i="3"/>
  <c r="BM6" i="3"/>
  <c r="BP21" i="3"/>
  <c r="BH30" i="3"/>
  <c r="BK15" i="3"/>
  <c r="BE14" i="3"/>
  <c r="BR35" i="3"/>
  <c r="BQ22" i="3"/>
  <c r="BI24" i="3"/>
  <c r="BR70" i="3"/>
  <c r="BH29" i="3"/>
  <c r="BF21" i="3"/>
  <c r="CL28" i="1" s="1"/>
  <c r="AB28" i="1" s="1"/>
  <c r="BK12" i="3"/>
  <c r="BT10" i="3"/>
  <c r="BE11" i="3"/>
  <c r="BP20" i="3"/>
  <c r="BQ9" i="3"/>
  <c r="BM41" i="3"/>
  <c r="BJ15" i="3"/>
  <c r="BO18" i="3"/>
  <c r="BP28" i="3"/>
  <c r="BM25" i="3"/>
  <c r="BR16" i="3"/>
  <c r="BF8" i="3"/>
  <c r="BP42" i="3"/>
  <c r="BT9" i="3"/>
  <c r="BR64" i="3"/>
  <c r="BT15" i="3"/>
  <c r="BS23" i="3"/>
  <c r="BJ24" i="3"/>
  <c r="BO34" i="3"/>
  <c r="BR96" i="3"/>
  <c r="BJ31" i="3"/>
  <c r="BT17" i="3"/>
  <c r="BL15" i="3"/>
  <c r="BQ6" i="3"/>
  <c r="BS27" i="3"/>
  <c r="BS39" i="3"/>
  <c r="BP46" i="3"/>
  <c r="BR97" i="3"/>
  <c r="BL34" i="3"/>
  <c r="BR87" i="3"/>
  <c r="BL46" i="3"/>
  <c r="BT20" i="3"/>
  <c r="BQ10" i="3"/>
  <c r="BR21" i="3"/>
  <c r="BR23" i="3"/>
  <c r="BI40" i="3"/>
  <c r="BI28" i="3"/>
  <c r="BS10" i="3"/>
  <c r="BF9" i="3"/>
  <c r="BN19" i="3"/>
  <c r="BS96" i="3"/>
  <c r="BP17" i="3"/>
  <c r="BO14" i="3"/>
  <c r="BN35" i="3"/>
  <c r="BH8" i="3"/>
  <c r="BQ40" i="3"/>
  <c r="BP15" i="3"/>
  <c r="BK40" i="3"/>
  <c r="BS87" i="3"/>
  <c r="BQ36" i="3"/>
  <c r="BL31" i="3"/>
  <c r="BT24" i="3"/>
  <c r="BG94" i="3"/>
  <c r="BG40" i="3"/>
  <c r="BN27" i="3"/>
  <c r="BI35" i="3"/>
  <c r="BP12" i="3"/>
  <c r="BU28" i="3"/>
  <c r="BK34" i="3"/>
  <c r="BU16" i="3"/>
  <c r="BJ42" i="3"/>
  <c r="BL36" i="3"/>
  <c r="BI13" i="3"/>
  <c r="BE13" i="3"/>
  <c r="BT39" i="3"/>
  <c r="BQ32" i="3"/>
  <c r="BJ30" i="3"/>
  <c r="BO32" i="3"/>
  <c r="BK11" i="3"/>
  <c r="BU42" i="3"/>
  <c r="BH23" i="3"/>
  <c r="BS21" i="3"/>
  <c r="BP26" i="3"/>
  <c r="BO15" i="3"/>
  <c r="BN25" i="3"/>
  <c r="BS40" i="3"/>
  <c r="BP6" i="3"/>
  <c r="BQ17" i="3"/>
  <c r="BS34" i="3"/>
  <c r="BT23" i="3"/>
  <c r="BH15" i="3"/>
  <c r="BQ13" i="3"/>
  <c r="BR26" i="3"/>
  <c r="BO7" i="3"/>
  <c r="BU29" i="3"/>
  <c r="BO40" i="3"/>
  <c r="BK36" i="3"/>
  <c r="BE38" i="3"/>
  <c r="BJ34" i="3"/>
  <c r="BJ28" i="3"/>
  <c r="BO19" i="3"/>
  <c r="BP82" i="3"/>
  <c r="BE16" i="3"/>
  <c r="BG20" i="3"/>
  <c r="BP69" i="3"/>
  <c r="BH34" i="3"/>
  <c r="BQ38" i="3"/>
  <c r="BN31" i="3"/>
  <c r="BE46" i="3"/>
  <c r="BG25" i="3"/>
  <c r="BK13" i="3"/>
  <c r="BG24" i="3"/>
  <c r="BK5" i="3"/>
  <c r="BK60" i="3" s="1"/>
  <c r="BE15" i="3"/>
  <c r="BR14" i="3"/>
  <c r="BF25" i="3"/>
  <c r="CL55" i="1" s="1"/>
  <c r="BP38" i="3"/>
  <c r="BU38" i="3"/>
  <c r="BS45" i="3"/>
  <c r="BE23" i="3"/>
  <c r="BP22" i="3"/>
  <c r="BU13" i="3"/>
  <c r="BI5" i="3"/>
  <c r="BI86" i="3" s="1"/>
  <c r="BK42" i="3"/>
  <c r="BK9" i="3"/>
  <c r="BG41" i="3"/>
  <c r="BT8" i="3"/>
  <c r="BP35" i="3"/>
  <c r="BU17" i="3"/>
  <c r="BE29" i="3"/>
  <c r="BO45" i="3"/>
  <c r="BR42" i="3"/>
  <c r="BK33" i="3"/>
  <c r="BU15" i="3"/>
  <c r="BR36" i="3"/>
  <c r="BL20" i="3"/>
  <c r="BN36" i="3"/>
  <c r="BQ19" i="3"/>
  <c r="BF38" i="3"/>
  <c r="BH13" i="3"/>
  <c r="BI45" i="3"/>
  <c r="BS46" i="3"/>
  <c r="BH35" i="3"/>
  <c r="BF40" i="3"/>
  <c r="BI39" i="3"/>
  <c r="BS8" i="3"/>
  <c r="BO16" i="3"/>
  <c r="BM17" i="3"/>
  <c r="GC12" i="4" a="1"/>
  <c r="GC8" i="4" a="1"/>
  <c r="FL16" i="4" a="1"/>
  <c r="GV15" i="4" a="1"/>
  <c r="FS5" i="4" a="1"/>
  <c r="FU7" i="4" a="1"/>
  <c r="GD13" i="4" a="1"/>
  <c r="HG14" i="4" a="1"/>
  <c r="GA5" i="4" a="1"/>
  <c r="HG16" i="4" a="1"/>
  <c r="FU15" i="4" a="1"/>
  <c r="GQ5" i="4" a="1"/>
  <c r="BP32" i="3"/>
  <c r="BR46" i="3"/>
  <c r="BP27" i="3"/>
  <c r="BG16" i="3"/>
  <c r="BU37" i="3"/>
  <c r="BG37" i="3"/>
  <c r="BF22" i="3"/>
  <c r="BQ34" i="3"/>
  <c r="BS28" i="3"/>
  <c r="BN33" i="3"/>
  <c r="BI21" i="3"/>
  <c r="BU19" i="3"/>
  <c r="BL38" i="3"/>
  <c r="BF35" i="3"/>
  <c r="CL65" i="1" s="1"/>
  <c r="BE10" i="3"/>
  <c r="BQ8" i="3"/>
  <c r="BF34" i="3"/>
  <c r="CL64" i="1" s="1"/>
  <c r="BO27" i="3"/>
  <c r="BS26" i="3"/>
  <c r="BR32" i="3"/>
  <c r="BM42" i="3"/>
  <c r="BL13" i="3"/>
  <c r="BK37" i="3"/>
  <c r="BG31" i="3"/>
  <c r="BL22" i="3"/>
  <c r="BL30" i="3"/>
  <c r="BN5" i="3"/>
  <c r="BI10" i="3"/>
  <c r="BK7" i="3"/>
  <c r="BJ46" i="3"/>
  <c r="BR30" i="3"/>
  <c r="BE19" i="3"/>
  <c r="BU26" i="3"/>
  <c r="BQ5" i="3"/>
  <c r="BQ49" i="3" s="1"/>
  <c r="BT5" i="3"/>
  <c r="BG21" i="3"/>
  <c r="BK27" i="3"/>
  <c r="BL5" i="3"/>
  <c r="BQ35" i="3"/>
  <c r="BE8" i="3"/>
  <c r="BG30" i="3"/>
  <c r="BK18" i="3"/>
  <c r="BI16" i="3"/>
  <c r="BT45" i="3"/>
  <c r="BP33" i="3"/>
  <c r="BK10" i="3"/>
  <c r="BJ17" i="3"/>
  <c r="BT89" i="3"/>
  <c r="BT62" i="3"/>
  <c r="BT35" i="3"/>
  <c r="BT25" i="3"/>
  <c r="BH41" i="3"/>
  <c r="BM19" i="3"/>
  <c r="BQ7" i="3"/>
  <c r="BJ21" i="3"/>
  <c r="BL89" i="3"/>
  <c r="BP25" i="3"/>
  <c r="BL54" i="3"/>
  <c r="BT46" i="3"/>
  <c r="BM14" i="3"/>
  <c r="BL50" i="3"/>
  <c r="BT94" i="3"/>
  <c r="BI14" i="3"/>
  <c r="BT38" i="3"/>
  <c r="BL95" i="3"/>
  <c r="BL6" i="3"/>
  <c r="BI7" i="3"/>
  <c r="BO5" i="3"/>
  <c r="BO54" i="3" s="1"/>
  <c r="BM26" i="3"/>
  <c r="BR17" i="3"/>
  <c r="BL21" i="3"/>
  <c r="BJ39" i="3"/>
  <c r="BT85" i="3"/>
  <c r="BT87" i="3"/>
  <c r="BF39" i="3"/>
  <c r="BG26" i="3"/>
  <c r="BI36" i="3"/>
  <c r="BO9" i="3"/>
  <c r="BF5" i="3"/>
  <c r="BK23" i="3"/>
  <c r="BM40" i="3"/>
  <c r="BN29" i="3"/>
  <c r="BS20" i="3"/>
  <c r="BG12" i="3"/>
  <c r="BQ24" i="3"/>
  <c r="BF54" i="3"/>
  <c r="BF24" i="3"/>
  <c r="BS22" i="3"/>
  <c r="BH46" i="3"/>
  <c r="BU24" i="3"/>
  <c r="BU40" i="3"/>
  <c r="BO37" i="3"/>
  <c r="BP9" i="3"/>
  <c r="BG45" i="3"/>
  <c r="BU36" i="3"/>
  <c r="BO46" i="3"/>
  <c r="BU31" i="3"/>
  <c r="BH10" i="3"/>
  <c r="BK22" i="3"/>
  <c r="BG10" i="3"/>
  <c r="BP24" i="3"/>
  <c r="BR29" i="3"/>
  <c r="BN8" i="3"/>
  <c r="BM28" i="3"/>
  <c r="BT29" i="3"/>
  <c r="BJ38" i="3"/>
  <c r="BG7" i="3"/>
  <c r="BE36" i="3"/>
  <c r="BP8" i="3"/>
  <c r="BJ35" i="3"/>
  <c r="BE24" i="3"/>
  <c r="BR37" i="3"/>
  <c r="BH25" i="3"/>
  <c r="BR22" i="3"/>
  <c r="BU21" i="3"/>
  <c r="BQ48" i="3"/>
  <c r="BF10" i="3"/>
  <c r="CL32" i="1" s="1"/>
  <c r="AB32" i="1" s="1"/>
  <c r="BH39" i="3"/>
  <c r="BG13" i="3"/>
  <c r="BE35" i="3"/>
  <c r="BM23" i="3"/>
  <c r="BK45" i="3"/>
  <c r="BN34" i="3"/>
  <c r="BG17" i="3"/>
  <c r="BM15" i="3"/>
  <c r="BN24" i="3"/>
  <c r="BN87" i="3"/>
  <c r="BN30" i="3"/>
  <c r="BH42" i="3"/>
  <c r="BE31" i="3"/>
  <c r="BQ45" i="3"/>
  <c r="BM24" i="3"/>
  <c r="BQ12" i="3"/>
  <c r="BI42" i="3"/>
  <c r="BK30" i="3"/>
  <c r="BF11" i="3"/>
  <c r="CL34" i="1" s="1"/>
  <c r="BS9" i="3"/>
  <c r="BQ21" i="3"/>
  <c r="BN65" i="3"/>
  <c r="BM21" i="3"/>
  <c r="BE12" i="3"/>
  <c r="BU34" i="3"/>
  <c r="BG46" i="3"/>
  <c r="BI12" i="3"/>
  <c r="BO12" i="3"/>
  <c r="BQ33" i="3"/>
  <c r="BE25" i="3"/>
  <c r="BE37" i="3"/>
  <c r="BS41" i="3"/>
  <c r="BN68" i="3"/>
  <c r="BR8" i="3"/>
  <c r="BO41" i="3"/>
  <c r="BI15" i="3"/>
  <c r="BT7" i="3"/>
  <c r="BU18" i="3"/>
  <c r="BH45" i="3"/>
  <c r="BL37" i="3"/>
  <c r="BO22" i="3"/>
  <c r="BH5" i="3"/>
  <c r="BT73" i="3"/>
  <c r="BQ73" i="3"/>
  <c r="BN12" i="3"/>
  <c r="GD16" i="4" a="1"/>
  <c r="GC13" i="4" a="1"/>
  <c r="BO11" i="3"/>
  <c r="HF7" i="4" a="1"/>
  <c r="HB9" i="4" a="1"/>
  <c r="GB6" i="4" a="1"/>
  <c r="GQ11" i="4" a="1"/>
  <c r="GC16" i="4" a="1"/>
  <c r="HC12" i="4" a="1"/>
  <c r="BH94" i="3"/>
  <c r="BN90" i="3"/>
  <c r="GZ8" i="4" a="1"/>
  <c r="BR38" i="3"/>
  <c r="BI38" i="3"/>
  <c r="BJ12" i="3"/>
  <c r="BI8" i="3"/>
  <c r="BE45" i="3"/>
  <c r="BU6" i="3"/>
  <c r="BF28" i="3"/>
  <c r="CL51" i="1" s="1"/>
  <c r="BK19" i="3"/>
  <c r="BM27" i="3"/>
  <c r="BJ5" i="3"/>
  <c r="BE27" i="3"/>
  <c r="BL29" i="3"/>
  <c r="BF30" i="3"/>
  <c r="BM45" i="3"/>
  <c r="BE30" i="3"/>
  <c r="BQ23" i="3"/>
  <c r="BJ6" i="3"/>
  <c r="BM39" i="3"/>
  <c r="BJ22" i="3"/>
  <c r="BR25" i="3"/>
  <c r="BJ90" i="3"/>
  <c r="BJ32" i="3"/>
  <c r="BJ14" i="3"/>
  <c r="BO35" i="3"/>
  <c r="BP29" i="3"/>
  <c r="BH7" i="3"/>
  <c r="BJ41" i="3"/>
  <c r="BL28" i="3"/>
  <c r="BK20" i="3"/>
  <c r="BH16" i="3"/>
  <c r="BH18" i="3"/>
  <c r="BN76" i="3"/>
  <c r="BE28" i="3"/>
  <c r="BN38" i="3"/>
  <c r="BP13" i="3"/>
  <c r="BS37" i="3"/>
  <c r="BG29" i="3"/>
  <c r="BS14" i="3"/>
  <c r="BM37" i="3"/>
  <c r="BR27" i="3"/>
  <c r="BN17" i="3"/>
  <c r="BO10" i="3"/>
  <c r="BQ78" i="3"/>
  <c r="BF15" i="3"/>
  <c r="CL39" i="1" s="1"/>
  <c r="BH32" i="3"/>
  <c r="BK16" i="3"/>
  <c r="BL27" i="3"/>
  <c r="BN21" i="3"/>
  <c r="BR6" i="3"/>
  <c r="BH37" i="3"/>
  <c r="BG22" i="3"/>
  <c r="BQ56" i="3"/>
  <c r="BM13" i="3"/>
  <c r="BT77" i="3"/>
  <c r="BQ60" i="3"/>
  <c r="BQ25" i="3"/>
  <c r="BQ46" i="3"/>
  <c r="BU20" i="3"/>
  <c r="BM7" i="3"/>
  <c r="BO29" i="3"/>
  <c r="BS17" i="3"/>
  <c r="BN40" i="3"/>
  <c r="BT28" i="3"/>
  <c r="BM11" i="3"/>
  <c r="BQ86" i="3"/>
  <c r="BP10" i="3"/>
  <c r="BT82" i="3"/>
  <c r="BT27" i="3"/>
  <c r="BS35" i="3"/>
  <c r="BM20" i="3"/>
  <c r="BE41" i="3"/>
  <c r="BK17" i="3"/>
  <c r="BS19" i="3"/>
  <c r="BG11" i="3"/>
  <c r="BN39" i="3"/>
  <c r="BI34" i="3"/>
  <c r="BU30" i="3"/>
  <c r="BU25" i="3"/>
  <c r="BE34" i="3"/>
  <c r="BT13" i="3"/>
  <c r="BG15" i="3"/>
  <c r="BH26" i="3"/>
  <c r="BR40" i="3"/>
  <c r="BU39" i="3"/>
  <c r="BQ27" i="3"/>
  <c r="BJ10" i="3"/>
  <c r="BI6" i="3"/>
  <c r="BF41" i="3"/>
  <c r="BJ82" i="3"/>
  <c r="BF84" i="3"/>
  <c r="BQ67" i="3"/>
  <c r="GD8" i="4" a="1"/>
  <c r="BI72" i="3"/>
  <c r="GA6" i="4" a="1"/>
  <c r="BF65" i="3"/>
  <c r="BL19" i="3"/>
  <c r="GF7" i="4" a="1"/>
  <c r="GB9" i="4" a="1"/>
  <c r="GP12" i="4" a="1"/>
  <c r="GZ13" i="4" a="1"/>
  <c r="BH31" i="3"/>
  <c r="BQ31" i="3"/>
  <c r="BS6" i="3"/>
  <c r="BK35" i="3"/>
  <c r="BF6" i="3"/>
  <c r="CL27" i="1" s="1"/>
  <c r="BH14" i="3"/>
  <c r="BM5" i="3"/>
  <c r="BI33" i="3"/>
  <c r="BM32" i="3"/>
  <c r="BJ85" i="3"/>
  <c r="BL25" i="3"/>
  <c r="BE32" i="3"/>
  <c r="BU41" i="3"/>
  <c r="BS24" i="3"/>
  <c r="BE7" i="3"/>
  <c r="BK6" i="3"/>
  <c r="BQ28" i="3"/>
  <c r="BJ11" i="3"/>
  <c r="BT31" i="3"/>
  <c r="BJ27" i="3"/>
  <c r="BE33" i="3"/>
  <c r="BG9" i="3"/>
  <c r="BQ42" i="3"/>
  <c r="BK41" i="3"/>
  <c r="BJ19" i="3"/>
  <c r="BG38" i="3"/>
  <c r="BR34" i="3"/>
  <c r="BG36" i="3"/>
  <c r="BJ40" i="3"/>
  <c r="BL33" i="3"/>
  <c r="BR24" i="3"/>
  <c r="BH21" i="3"/>
  <c r="BM75" i="3"/>
  <c r="BN57" i="3"/>
  <c r="BQ15" i="3"/>
  <c r="BR15" i="3"/>
  <c r="BR18" i="3"/>
  <c r="BI30" i="3"/>
  <c r="BK24" i="3"/>
  <c r="BL12" i="3"/>
  <c r="BE40" i="3"/>
  <c r="BT32" i="3"/>
  <c r="BG19" i="3"/>
  <c r="BJ7" i="3"/>
  <c r="BT26" i="3"/>
  <c r="BF20" i="3"/>
  <c r="BH20" i="3"/>
  <c r="BK46" i="3"/>
  <c r="BO23" i="3"/>
  <c r="BP34" i="3"/>
  <c r="BF37" i="3"/>
  <c r="BR11" i="3"/>
  <c r="BQ39" i="3"/>
  <c r="BI27" i="3"/>
  <c r="BQ14" i="3"/>
  <c r="BP39" i="3"/>
  <c r="BN89" i="3"/>
  <c r="BL9" i="3"/>
  <c r="BN26" i="3"/>
  <c r="BM38" i="3"/>
  <c r="BN45" i="3"/>
  <c r="BT79" i="3"/>
  <c r="BL83" i="3"/>
  <c r="BH38" i="3"/>
  <c r="BP23" i="3"/>
  <c r="BP31" i="3"/>
  <c r="BQ88" i="3"/>
  <c r="GL6" i="4" a="1"/>
  <c r="GH8" i="4" a="1"/>
  <c r="BQ89" i="3"/>
  <c r="FI11" i="4" a="1"/>
  <c r="GS9" i="4" a="1"/>
  <c r="GH5" i="4" a="1"/>
  <c r="GA9" i="4" a="1"/>
  <c r="HF8" i="4" a="1"/>
  <c r="BG8" i="3"/>
  <c r="GX15" i="4" a="1"/>
  <c r="GG11" i="4" a="1"/>
  <c r="GC5" i="4" a="1"/>
  <c r="GN14" i="4" a="1"/>
  <c r="FI6" i="4" a="1"/>
  <c r="BO50" i="3"/>
  <c r="GS16" i="4" a="1"/>
  <c r="FT13" i="4" a="1"/>
  <c r="FS7" i="4" a="1"/>
  <c r="FL9" i="4" a="1"/>
  <c r="HH11" i="4" a="1"/>
  <c r="BF86" i="3"/>
  <c r="BJ49" i="3"/>
  <c r="FT6" i="4" a="1"/>
  <c r="BO64" i="3"/>
  <c r="FI9" i="4" a="1"/>
  <c r="FH16" i="4" a="1"/>
  <c r="GU16" i="4" a="1"/>
  <c r="GJ6" i="4" a="1"/>
  <c r="HF6" i="4" a="1"/>
  <c r="FJ16" i="4" a="1"/>
  <c r="FW11" i="4" a="1"/>
  <c r="GT7" i="4" a="1"/>
  <c r="GX14" i="4" a="1"/>
  <c r="BJ67" i="3"/>
  <c r="BP19" i="3"/>
  <c r="BF61" i="3"/>
  <c r="HG12" i="4" a="1"/>
  <c r="FH13" i="4" a="1"/>
  <c r="GA8" i="4" a="1"/>
  <c r="GA12" i="4" a="1"/>
  <c r="GY7" i="4" a="1"/>
  <c r="FL12" i="4" a="1"/>
  <c r="HF16" i="4" a="1"/>
  <c r="BO59" i="3"/>
  <c r="BF83" i="3"/>
  <c r="FG15" i="4" a="1"/>
  <c r="HB5" i="4" a="1"/>
  <c r="GT11" i="4" a="1"/>
  <c r="GL15" i="4" a="1"/>
  <c r="FU6" i="4" a="1"/>
  <c r="BH61" i="3"/>
  <c r="GK6" i="4" a="1"/>
  <c r="HG7" i="4" a="1"/>
  <c r="GV5" i="4" a="1"/>
  <c r="BH6" i="3"/>
  <c r="BO13" i="3"/>
  <c r="BT60" i="3"/>
  <c r="FQ5" i="4" a="1"/>
  <c r="FM7" i="4" a="1"/>
  <c r="FW6" i="4" a="1"/>
  <c r="FY14" i="4" a="1"/>
  <c r="FH9" i="4" a="1"/>
  <c r="GC15" i="4" a="1"/>
  <c r="FI15" i="4" a="1"/>
  <c r="FY9" i="4" a="1"/>
  <c r="BM77" i="3"/>
  <c r="BF77" i="3"/>
  <c r="FS16" i="4" a="1"/>
  <c r="HG13" i="4" a="1"/>
  <c r="GE15" i="4" a="1"/>
  <c r="BQ85" i="3"/>
  <c r="FZ5" i="4" a="1"/>
  <c r="GR16" i="4" a="1"/>
  <c r="GI13" i="4" a="1"/>
  <c r="FZ6" i="4" a="1"/>
  <c r="GB14" i="4" a="1"/>
  <c r="GL13" i="4" a="1"/>
  <c r="FK5" i="4" a="1"/>
  <c r="GZ14" i="4" a="1"/>
  <c r="GE7" i="4" a="1"/>
  <c r="BH81" i="3"/>
  <c r="BO88" i="3"/>
  <c r="BJ57" i="3"/>
  <c r="FX7" i="4" a="1"/>
  <c r="BO56" i="3"/>
  <c r="BO65" i="3"/>
  <c r="BJ71" i="3"/>
  <c r="BN56" i="3"/>
  <c r="FS9" i="4" a="1"/>
  <c r="GE9" i="4" a="1"/>
  <c r="GI9" i="4" a="1"/>
  <c r="BT65" i="3"/>
  <c r="BJ86" i="3"/>
  <c r="HF9" i="4" a="1"/>
  <c r="HC9" i="4" a="1"/>
  <c r="HG9" i="4" a="1"/>
  <c r="BT69" i="3"/>
  <c r="GP5" i="4" a="1"/>
  <c r="BN13" i="3"/>
  <c r="BM18" i="3"/>
  <c r="BL91" i="3"/>
  <c r="BF36" i="3"/>
  <c r="BN6" i="3"/>
  <c r="BJ8" i="3"/>
  <c r="BG33" i="3"/>
  <c r="BL14" i="3"/>
  <c r="FO6" i="4" a="1"/>
  <c r="FK8" i="4" a="1"/>
  <c r="BM96" i="3"/>
  <c r="GU14" i="4" a="1"/>
  <c r="GZ15" i="4" a="1"/>
  <c r="FX5" i="4" a="1"/>
  <c r="FG5" i="4" a="1"/>
  <c r="GC9" i="4" a="1"/>
  <c r="BO62" i="3"/>
  <c r="FI12" i="4" a="1"/>
  <c r="FK11" i="4" a="1"/>
  <c r="FO8" i="4" a="1"/>
  <c r="GG12" i="4" a="1"/>
  <c r="HA15" i="4" a="1"/>
  <c r="GY5" i="4" a="1"/>
  <c r="FP15" i="4" a="1"/>
  <c r="HA9" i="4" a="1"/>
  <c r="GZ6" i="4" a="1"/>
  <c r="FK13" i="4" a="1"/>
  <c r="GW13" i="4" a="1"/>
  <c r="BJ70" i="3"/>
  <c r="BF31" i="3"/>
  <c r="BQ77" i="3"/>
  <c r="GL8" i="4" a="1"/>
  <c r="GK8" i="4" a="1"/>
  <c r="HC11" i="4" a="1"/>
  <c r="HG11" i="4" a="1"/>
  <c r="GX12" i="4" a="1"/>
  <c r="BQ72" i="3"/>
  <c r="FJ11" i="4" a="1"/>
  <c r="HH16" i="4" a="1"/>
  <c r="FZ15" i="4" a="1"/>
  <c r="BK31" i="3"/>
  <c r="FN15" i="4" a="1"/>
  <c r="HF11" i="4" a="1"/>
  <c r="FR14" i="4" a="1"/>
  <c r="GS6" i="4" a="1"/>
  <c r="GD7" i="4" a="1"/>
  <c r="FG13" i="4" a="1"/>
  <c r="BJ96" i="3"/>
  <c r="BK8" i="3"/>
  <c r="BF91" i="3"/>
  <c r="HC13" i="4" a="1"/>
  <c r="FJ13" i="4" a="1"/>
  <c r="GW15" i="4" a="1"/>
  <c r="FM6" i="4" a="1"/>
  <c r="GJ9" i="4" a="1"/>
  <c r="GL7" i="4" a="1"/>
  <c r="GJ5" i="4" a="1"/>
  <c r="BO91" i="3"/>
  <c r="FR11" i="4" a="1"/>
  <c r="GO6" i="4" a="1"/>
  <c r="GK12" i="4" a="1"/>
  <c r="HH13" i="4" a="1"/>
  <c r="GT8" i="4" a="1"/>
  <c r="BO24" i="3"/>
  <c r="BL69" i="3"/>
  <c r="BJ61" i="3"/>
  <c r="BI31" i="3"/>
  <c r="BJ45" i="3"/>
  <c r="BO42" i="3"/>
  <c r="BE39" i="3"/>
  <c r="BF68" i="3"/>
  <c r="FG11" i="4" a="1"/>
  <c r="BQ57" i="3"/>
  <c r="HE11" i="4" a="1"/>
  <c r="GB11" i="4" a="1"/>
  <c r="FH11" i="4" a="1"/>
  <c r="HA16" i="4" a="1"/>
  <c r="BJ95" i="3"/>
  <c r="GY13" i="4" a="1"/>
  <c r="GQ7" i="4" a="1"/>
  <c r="HE9" i="4" a="1"/>
  <c r="HH9" i="4" a="1"/>
  <c r="HD11" i="4" a="1"/>
  <c r="BQ91" i="3"/>
  <c r="GI8" i="4" a="1"/>
  <c r="FO16" i="4" a="1"/>
  <c r="FL13" i="4" a="1"/>
  <c r="GI16" i="4" a="1"/>
  <c r="BQ66" i="3"/>
  <c r="GT9" i="4" a="1"/>
  <c r="BO69" i="3"/>
  <c r="FV8" i="4" a="1"/>
  <c r="FP8" i="4" a="1"/>
  <c r="BH60" i="3"/>
  <c r="FL15" i="4" a="1"/>
  <c r="FQ11" i="4" a="1"/>
  <c r="FO13" i="4" a="1"/>
  <c r="GZ11" i="4" a="1"/>
  <c r="BF79" i="3"/>
  <c r="BO93" i="3"/>
  <c r="BQ18" i="3"/>
  <c r="GK15" i="4" a="1"/>
  <c r="FV5" i="4" a="1"/>
  <c r="GX11" i="4" a="1"/>
  <c r="GB15" i="4" a="1"/>
  <c r="HD14" i="4" a="1"/>
  <c r="GV14" i="4" a="1"/>
  <c r="BU5" i="3"/>
  <c r="HD16" i="4" a="1"/>
  <c r="HE16" i="4" a="1"/>
  <c r="HF13" i="4" a="1"/>
  <c r="FT12" i="4" a="1"/>
  <c r="FQ9" i="4" a="1"/>
  <c r="BQ84" i="3"/>
  <c r="FJ15" i="4" a="1"/>
  <c r="GG5" i="4" a="1"/>
  <c r="BF49" i="3"/>
  <c r="CL92" i="1" s="1"/>
  <c r="BM29" i="3"/>
  <c r="BF78" i="3"/>
  <c r="GQ15" i="4" a="1"/>
  <c r="FI14" i="4" a="1"/>
  <c r="BU56" i="3"/>
  <c r="GQ16" i="4" a="1"/>
  <c r="FP9" i="4" a="1"/>
  <c r="GG9" i="4" a="1"/>
  <c r="GF8" i="4" a="1"/>
  <c r="FV6" i="4" a="1"/>
  <c r="GM7" i="4" a="1"/>
  <c r="BT22" i="3"/>
  <c r="FK6" i="4" a="1"/>
  <c r="BQ92" i="3"/>
  <c r="FL8" i="4" a="1"/>
  <c r="FW5" i="4" a="1"/>
  <c r="GW9" i="4" a="1"/>
  <c r="FZ13" i="4" a="1"/>
  <c r="BO82" i="3"/>
  <c r="FT15" i="4" a="1"/>
  <c r="GV13" i="4" a="1"/>
  <c r="FS15" i="4" a="1"/>
  <c r="FU16" i="4" a="1"/>
  <c r="FO9" i="4" a="1"/>
  <c r="BH67" i="3"/>
  <c r="BN41" i="3"/>
  <c r="BM63" i="3"/>
  <c r="BM12" i="3"/>
  <c r="BM30" i="3"/>
  <c r="BQ11" i="3"/>
  <c r="BU14" i="3"/>
  <c r="BF16" i="3"/>
  <c r="CL42" i="1" s="1"/>
  <c r="BI46" i="3"/>
  <c r="GM15" i="4" a="1"/>
  <c r="FH6" i="4" a="1"/>
  <c r="FI7" i="4" a="1"/>
  <c r="HG8" i="4" a="1"/>
  <c r="FZ7" i="4" a="1"/>
  <c r="FH15" i="4" a="1"/>
  <c r="HE14" i="4" a="1"/>
  <c r="BN75" i="3"/>
  <c r="GR11" i="4" a="1"/>
  <c r="GG16" i="4" a="1"/>
  <c r="FV7" i="4" a="1"/>
  <c r="FT14" i="4" a="1"/>
  <c r="GU9" i="4" a="1"/>
  <c r="GQ13" i="4" a="1"/>
  <c r="GW7" i="4" a="1"/>
  <c r="FY11" i="4" a="1"/>
  <c r="BH11" i="3"/>
  <c r="BJ72" i="3"/>
  <c r="BR28" i="3"/>
  <c r="FT9" i="4" a="1"/>
  <c r="FY8" i="4" a="1"/>
  <c r="GO8" i="4" a="1"/>
  <c r="FT16" i="4" a="1"/>
  <c r="GY12" i="4" a="1"/>
  <c r="GX16" i="4" a="1"/>
  <c r="GQ6" i="4" a="1"/>
  <c r="GR15" i="4" a="1"/>
  <c r="GS13" i="4" a="1"/>
  <c r="BR13" i="3"/>
  <c r="BH65" i="3"/>
  <c r="BJ91" i="3"/>
  <c r="BH50" i="3"/>
  <c r="FN7" i="4" a="1"/>
  <c r="FL5" i="4" a="1"/>
  <c r="FJ9" i="4" a="1"/>
  <c r="BH68" i="3"/>
  <c r="HB16" i="4" a="1"/>
  <c r="GO11" i="4" a="1"/>
  <c r="GK7" i="4" a="1"/>
  <c r="GN13" i="4" a="1"/>
  <c r="BF81" i="3"/>
  <c r="GE16" i="4" a="1"/>
  <c r="BU80" i="3"/>
  <c r="FR6" i="4" a="1"/>
  <c r="GD11" i="4" a="1"/>
  <c r="FV13" i="4" a="1"/>
  <c r="GS8" i="4" a="1"/>
  <c r="GS11" i="4" a="1"/>
  <c r="FR15" i="4" a="1"/>
  <c r="BL7" i="3"/>
  <c r="GP14" i="4" a="1"/>
  <c r="GT14" i="4" a="1"/>
  <c r="GT15" i="4" a="1"/>
  <c r="HD9" i="4" a="1"/>
  <c r="GJ12" i="4" a="1"/>
  <c r="BQ69" i="3"/>
  <c r="GZ16" i="4" a="1"/>
  <c r="HE5" i="4" a="1"/>
  <c r="FT7" i="4" a="1"/>
  <c r="FM14" i="4" a="1"/>
  <c r="BO38" i="3"/>
  <c r="BG14" i="3"/>
  <c r="GX5" i="4" a="1"/>
  <c r="GN7" i="4" a="1"/>
  <c r="FX11" i="4" a="1"/>
  <c r="HC16" i="4" a="1"/>
  <c r="HB15" i="4" a="1"/>
  <c r="BM89" i="3"/>
  <c r="BF45" i="3"/>
  <c r="CL82" i="1" s="1"/>
  <c r="BN37" i="3"/>
  <c r="BF66" i="3"/>
  <c r="BT34" i="3"/>
  <c r="BT74" i="3"/>
  <c r="BU45" i="3"/>
  <c r="BN95" i="3"/>
  <c r="BT80" i="3"/>
  <c r="GV11" i="4" a="1"/>
  <c r="GE11" i="4" a="1"/>
  <c r="BQ95" i="3"/>
  <c r="GE6" i="4" a="1"/>
  <c r="GH7" i="4" a="1"/>
  <c r="FV14" i="4" a="1"/>
  <c r="BM8" i="3"/>
  <c r="BH71" i="3"/>
  <c r="FI16" i="4" a="1"/>
  <c r="GF14" i="4" a="1"/>
  <c r="FU12" i="4" a="1"/>
  <c r="HD15" i="4" a="1"/>
  <c r="GR5" i="4" a="1"/>
  <c r="BO97" i="3"/>
  <c r="HD13" i="4" a="1"/>
  <c r="FU13" i="4" a="1"/>
  <c r="GU8" i="4" a="1"/>
  <c r="GY8" i="4" a="1"/>
  <c r="FI8" i="4" a="1"/>
  <c r="FQ16" i="4" a="1"/>
  <c r="FV12" i="4" a="1"/>
  <c r="FN9" i="4" a="1"/>
  <c r="FV9" i="4" a="1"/>
  <c r="FQ6" i="4" a="1"/>
  <c r="GB7" i="4" a="1"/>
  <c r="BJ88" i="3"/>
  <c r="BF14" i="3"/>
  <c r="CL41" i="1" s="1"/>
  <c r="FU5" i="4" a="1"/>
  <c r="FX12" i="4" a="1"/>
  <c r="GA11" i="4" a="1"/>
  <c r="GK13" i="4" a="1"/>
  <c r="FK7" i="4" a="1"/>
  <c r="BN32" i="3"/>
  <c r="BJ94" i="3"/>
  <c r="BO90" i="3"/>
  <c r="FH8" i="4" a="1"/>
  <c r="FJ6" i="4" a="1"/>
  <c r="FS14" i="4" a="1"/>
  <c r="FO15" i="4" a="1"/>
  <c r="FX8" i="4" a="1"/>
  <c r="GL5" i="4" a="1"/>
  <c r="GO13" i="4" a="1"/>
  <c r="GJ14" i="4" a="1"/>
  <c r="BU71" i="3"/>
  <c r="BU55" i="3"/>
  <c r="FW9" i="4" a="1"/>
  <c r="BQ93" i="3"/>
  <c r="GW8" i="4" a="1"/>
  <c r="HA12" i="4" a="1"/>
  <c r="GT16" i="4" a="1"/>
  <c r="GB12" i="4" a="1"/>
  <c r="BM86" i="3"/>
  <c r="GL12" i="4" a="1"/>
  <c r="GW11" i="4" a="1"/>
  <c r="FW7" i="4" a="1"/>
  <c r="GT13" i="4" a="1"/>
  <c r="BL71" i="3"/>
  <c r="BL90" i="3"/>
  <c r="GO5" i="4" a="1"/>
  <c r="FG8" i="4" a="1"/>
  <c r="FQ7" i="4" a="1"/>
  <c r="FM16" i="4" a="1"/>
  <c r="GD5" i="4" a="1"/>
  <c r="BF59" i="3"/>
  <c r="HE15" i="4" a="1"/>
  <c r="FN13" i="4" a="1"/>
  <c r="BU95" i="3"/>
  <c r="BU61" i="3"/>
  <c r="FX9" i="4" a="1"/>
  <c r="HB11" i="4" a="1"/>
  <c r="GX13" i="4" a="1"/>
  <c r="BU83" i="3"/>
  <c r="GX6" i="4" a="1"/>
  <c r="HE8" i="4" a="1"/>
  <c r="GV12" i="4" a="1"/>
  <c r="GI15" i="4" a="1"/>
  <c r="BU79" i="3"/>
  <c r="BJ64" i="3"/>
  <c r="FM5" i="4" a="1"/>
  <c r="BT33" i="3"/>
  <c r="BI20" i="3"/>
  <c r="BF42" i="3"/>
  <c r="CL70" i="1" s="1"/>
  <c r="BN49" i="3"/>
  <c r="BF46" i="3"/>
  <c r="CL83" i="1" s="1"/>
  <c r="BK32" i="3"/>
  <c r="BH96" i="3"/>
  <c r="BU7" i="3"/>
  <c r="HC8" i="4" a="1"/>
  <c r="GQ9" i="4" a="1"/>
  <c r="BT63" i="3"/>
  <c r="GA13" i="4" a="1"/>
  <c r="GS12" i="4" a="1"/>
  <c r="FW16" i="4" a="1"/>
  <c r="FS13" i="4" a="1"/>
  <c r="BI19" i="3"/>
  <c r="BR19" i="3"/>
  <c r="GZ9" i="4" a="1"/>
  <c r="GK11" i="4" a="1"/>
  <c r="FT8" i="4" a="1"/>
  <c r="GB8" i="4" a="1"/>
  <c r="GF5" i="4" a="1"/>
  <c r="BQ83" i="3"/>
  <c r="FU8" i="4" a="1"/>
  <c r="BL8" i="3"/>
  <c r="BJ69" i="3"/>
  <c r="FK12" i="4" a="1"/>
  <c r="HF15" i="4" a="1"/>
  <c r="FQ14" i="4" a="1"/>
  <c r="FG14" i="4" a="1"/>
  <c r="GP8" i="4" a="1"/>
  <c r="GX8" i="4" a="1"/>
  <c r="HC5" i="4" a="1"/>
  <c r="FG7" i="4" a="1"/>
  <c r="BN28" i="3"/>
  <c r="BH47" i="3"/>
  <c r="FW15" i="4" a="1"/>
  <c r="FR5" i="4" a="1"/>
  <c r="FV11" i="4" a="1"/>
  <c r="FP13" i="4" a="1"/>
  <c r="FO12" i="4" a="1"/>
  <c r="GU12" i="4" a="1"/>
  <c r="GR6" i="4" a="1"/>
  <c r="BJ97" i="3"/>
  <c r="BM22" i="3"/>
  <c r="BM76" i="3"/>
  <c r="FN8" i="4" a="1"/>
  <c r="BU76" i="3"/>
  <c r="FX6" i="4" a="1"/>
  <c r="GO16" i="4" a="1"/>
  <c r="GW14" i="4" a="1"/>
  <c r="GJ16" i="4" a="1"/>
  <c r="GQ12" i="4" a="1"/>
  <c r="BF89" i="3"/>
  <c r="BF57" i="3"/>
  <c r="HD8" i="4" a="1"/>
  <c r="BM85" i="3"/>
  <c r="GG8" i="4" a="1"/>
  <c r="FG16" i="4" a="1"/>
  <c r="HA5" i="4" a="1"/>
  <c r="FR9" i="4" a="1"/>
  <c r="GN6" i="4" a="1"/>
  <c r="FW14" i="4" a="1"/>
  <c r="FX16" i="4" a="1"/>
  <c r="GJ13" i="4" a="1"/>
  <c r="BU48" i="3"/>
  <c r="BH84" i="3"/>
  <c r="BN55" i="3"/>
  <c r="GP11" i="4" a="1"/>
  <c r="GI7" i="4" a="1"/>
  <c r="FX14" i="4" a="1"/>
  <c r="HB14" i="4" a="1"/>
  <c r="FT5" i="4" a="1"/>
  <c r="GB5" i="4" a="1"/>
  <c r="HH12" i="4" a="1"/>
  <c r="GP7" i="4" a="1"/>
  <c r="GU13" i="4" a="1"/>
  <c r="BM16" i="3"/>
  <c r="BK38" i="3"/>
  <c r="BE5" i="3"/>
  <c r="BL70" i="3"/>
  <c r="BJ18" i="3"/>
  <c r="BE17" i="3"/>
  <c r="BT47" i="3"/>
  <c r="BN96" i="3"/>
  <c r="GM9" i="4" a="1"/>
  <c r="BN93" i="3"/>
  <c r="BN74" i="3"/>
  <c r="FT11" i="4" a="1"/>
  <c r="GW6" i="4" a="1"/>
  <c r="GZ12" i="4" a="1"/>
  <c r="BH85" i="3"/>
  <c r="BT91" i="3"/>
  <c r="FZ8" i="4" a="1"/>
  <c r="HC15" i="4" a="1"/>
  <c r="FM13" i="4" a="1"/>
  <c r="GG13" i="4" a="1"/>
  <c r="GV7" i="4" a="1"/>
  <c r="BM70" i="3"/>
  <c r="HD7" i="4" a="1"/>
  <c r="GE5" i="4" a="1"/>
  <c r="GB13" i="4" a="1"/>
  <c r="HB7" i="4" a="1"/>
  <c r="BL78" i="3"/>
  <c r="BM93" i="3"/>
  <c r="HE12" i="4" a="1"/>
  <c r="FN12" i="4" a="1"/>
  <c r="GM11" i="4" a="1"/>
  <c r="FS8" i="4" a="1"/>
  <c r="GC7" i="4" a="1"/>
  <c r="BF93" i="3"/>
  <c r="FJ12" i="4" a="1"/>
  <c r="FL7" i="4" a="1"/>
  <c r="GM8" i="4" a="1"/>
  <c r="GX7" i="4" a="1"/>
  <c r="BO31" i="3"/>
  <c r="BJ20" i="3"/>
  <c r="HA14" i="4" a="1"/>
  <c r="FH5" i="4" a="1"/>
  <c r="HG15" i="4" a="1"/>
  <c r="HC14" i="4" a="1"/>
  <c r="FG12" i="4" a="1"/>
  <c r="HH15" i="4" a="1"/>
  <c r="HF12" i="4" a="1"/>
  <c r="BL94" i="3"/>
  <c r="BH73" i="3"/>
  <c r="GZ7" i="4" a="1"/>
  <c r="HF5" i="4" a="1"/>
  <c r="HA11" i="4" a="1"/>
  <c r="GM13" i="4" a="1"/>
  <c r="GD12" i="4" a="1"/>
  <c r="BQ82" i="3"/>
  <c r="BU10" i="3"/>
  <c r="FN5" i="4" a="1"/>
  <c r="BQ96" i="3"/>
  <c r="FR7" i="4" a="1"/>
  <c r="HB8" i="4" a="1"/>
  <c r="GK16" i="4" a="1"/>
  <c r="GF12" i="4" a="1"/>
  <c r="BH70" i="3"/>
  <c r="GO12" i="4" a="1"/>
  <c r="FR8" i="4" a="1"/>
  <c r="GP13" i="4" a="1"/>
  <c r="BF76" i="3"/>
  <c r="BE21" i="3"/>
  <c r="GK9" i="4" a="1"/>
  <c r="GY15" i="4" a="1"/>
  <c r="BU84" i="3"/>
  <c r="GG14" i="4" a="1"/>
  <c r="FY5" i="4" a="1"/>
  <c r="GP6" i="4" a="1"/>
  <c r="GN16" i="4" a="1"/>
  <c r="FZ9" i="4" a="1"/>
  <c r="FP7" i="4" a="1"/>
  <c r="GK14" i="4" a="1"/>
  <c r="GU7" i="4" a="1"/>
  <c r="FI13" i="4" a="1"/>
  <c r="GN15" i="4" a="1"/>
  <c r="BT49" i="3"/>
  <c r="BN78" i="3"/>
  <c r="BT11" i="3"/>
  <c r="BS13" i="3"/>
  <c r="BP11" i="3"/>
  <c r="BL11" i="3"/>
  <c r="BL59" i="3"/>
  <c r="BO17" i="3"/>
  <c r="BO33" i="3"/>
  <c r="BM90" i="3"/>
  <c r="BJ25" i="3"/>
  <c r="BO67" i="3"/>
  <c r="GX9" i="4" a="1"/>
  <c r="FM11" i="4" a="1"/>
  <c r="BQ62" i="3"/>
  <c r="GD9" i="4" a="1"/>
  <c r="BN58" i="3"/>
  <c r="BN92" i="3"/>
  <c r="HE7" i="4" a="1"/>
  <c r="FP14" i="4" a="1"/>
  <c r="FO11" i="4" a="1"/>
  <c r="FY7" i="4" a="1"/>
  <c r="GI6" i="4" a="1"/>
  <c r="GS15" i="4" a="1"/>
  <c r="GF11" i="4" a="1"/>
  <c r="FQ13" i="4" a="1"/>
  <c r="GS7" i="4" a="1"/>
  <c r="HD6" i="4" a="1"/>
  <c r="GP15" i="4" a="1"/>
  <c r="BJ76" i="3"/>
  <c r="BO61" i="3"/>
  <c r="BR33" i="3"/>
  <c r="GQ14" i="4" a="1"/>
  <c r="GH11" i="4" a="1"/>
  <c r="BH88" i="3"/>
  <c r="BS11" i="3"/>
  <c r="GE8" i="4" a="1"/>
  <c r="GW16" i="4" a="1"/>
  <c r="BQ74" i="3"/>
  <c r="GH16" i="4" a="1"/>
  <c r="GC6" i="4" a="1"/>
  <c r="FV16" i="4" a="1"/>
  <c r="GE13" i="4" a="1"/>
  <c r="BJ77" i="3"/>
  <c r="GF15" i="4" a="1"/>
  <c r="FK14" i="4" a="1"/>
  <c r="GU15" i="4" a="1"/>
  <c r="BQ79" i="3"/>
  <c r="BF82" i="3"/>
  <c r="HD5" i="4" a="1"/>
  <c r="BO86" i="3"/>
  <c r="BJ84" i="3"/>
  <c r="BJ83" i="3"/>
  <c r="BH66" i="3"/>
  <c r="GJ7" i="4" a="1"/>
  <c r="BJ47" i="3"/>
  <c r="BJ59" i="3"/>
  <c r="GA15" i="4" a="1"/>
  <c r="BQ61" i="3"/>
  <c r="BU91" i="3"/>
  <c r="GJ8" i="4" a="1"/>
  <c r="GD6" i="4" a="1"/>
  <c r="BF72" i="3"/>
  <c r="BN48" i="3"/>
  <c r="BT64" i="3"/>
  <c r="BL79" i="3"/>
  <c r="BL73" i="3"/>
  <c r="BO83" i="3"/>
  <c r="BH89" i="3"/>
  <c r="BH59" i="3"/>
  <c r="BL47" i="3"/>
  <c r="BH79" i="3"/>
  <c r="BL68" i="3"/>
  <c r="BH93" i="3"/>
  <c r="BH87" i="3"/>
  <c r="FM8" i="4" a="1"/>
  <c r="FY12" i="4" a="1"/>
  <c r="FQ8" i="4" a="1"/>
  <c r="BN47" i="3"/>
  <c r="GV6" i="4" a="1"/>
  <c r="BM48" i="3"/>
  <c r="GE12" i="4" a="1"/>
  <c r="GR12" i="4" a="1"/>
  <c r="FG9" i="4" a="1"/>
  <c r="BU66" i="3"/>
  <c r="GF13" i="4" a="1"/>
  <c r="HA13" i="4" a="1"/>
  <c r="BH48" i="3"/>
  <c r="BU73" i="3"/>
  <c r="BU81" i="3"/>
  <c r="FW13" i="4" a="1"/>
  <c r="BJ66" i="3"/>
  <c r="BN64" i="3"/>
  <c r="FK16" i="4" a="1"/>
  <c r="GI11" i="4" a="1"/>
  <c r="BQ71" i="3"/>
  <c r="BH78" i="3"/>
  <c r="GY16" i="4" a="1"/>
  <c r="BQ59" i="3"/>
  <c r="GH9" i="4" a="1"/>
  <c r="GM5" i="4" a="1"/>
  <c r="GF6" i="4" a="1"/>
  <c r="BN82" i="3"/>
  <c r="BO49" i="3"/>
  <c r="GT5" i="4" a="1"/>
  <c r="BH75" i="3"/>
  <c r="GU11" i="4" a="1"/>
  <c r="GA14" i="4" a="1"/>
  <c r="BQ90" i="3"/>
  <c r="BO78" i="3"/>
  <c r="BQ70" i="3"/>
  <c r="BT78" i="3"/>
  <c r="BL64" i="3"/>
  <c r="BO79" i="3"/>
  <c r="BO68" i="3"/>
  <c r="BH49" i="3"/>
  <c r="BU77" i="3"/>
  <c r="BH80" i="3"/>
  <c r="BQ87" i="3"/>
  <c r="BT70" i="3"/>
  <c r="BL86" i="3"/>
  <c r="BO70" i="3"/>
  <c r="BO80" i="3"/>
  <c r="BH62" i="3"/>
  <c r="BH56" i="3"/>
  <c r="GR7" i="4" a="1"/>
  <c r="FM9" i="4" a="1"/>
  <c r="FS6" i="4" a="1"/>
  <c r="BF47" i="3"/>
  <c r="FM15" i="4" a="1"/>
  <c r="GW12" i="4" a="1"/>
  <c r="BM64" i="3"/>
  <c r="FL11" i="4" a="1"/>
  <c r="GE14" i="4" a="1"/>
  <c r="BT68" i="3"/>
  <c r="BU87" i="3"/>
  <c r="HF14" i="4" a="1"/>
  <c r="FY15" i="4" a="1"/>
  <c r="BF50" i="3"/>
  <c r="CL93" i="1" s="1"/>
  <c r="BH63" i="3"/>
  <c r="BT86" i="3"/>
  <c r="FP16" i="4" a="1"/>
  <c r="GP9" i="4" a="1"/>
  <c r="BN66" i="3"/>
  <c r="BN54" i="3"/>
  <c r="GO7" i="4" a="1"/>
  <c r="BM81" i="3"/>
  <c r="GJ11" i="4" a="1"/>
  <c r="FS11" i="4" a="1"/>
  <c r="GN8" i="4" a="1"/>
  <c r="FZ12" i="4" a="1"/>
  <c r="BM92" i="3"/>
  <c r="GI14" i="4" a="1"/>
  <c r="BM66" i="3"/>
  <c r="GR13" i="4" a="1"/>
  <c r="FL6" i="4" a="1"/>
  <c r="BN50" i="3"/>
  <c r="BN81" i="3"/>
  <c r="FQ12" i="4" a="1"/>
  <c r="HH5" i="4" a="1"/>
  <c r="GM6" i="4" a="1"/>
  <c r="FW8" i="4" a="1"/>
  <c r="GS5" i="4" a="1"/>
  <c r="BO63" i="3"/>
  <c r="BO55" i="3"/>
  <c r="BF87" i="3"/>
  <c r="FP5" i="4" a="1"/>
  <c r="GM12" i="4" a="1"/>
  <c r="GD14" i="4" a="1"/>
  <c r="GQ8" i="4" a="1"/>
  <c r="BJ65" i="3"/>
  <c r="GY11" i="4" a="1"/>
  <c r="BH76" i="3"/>
  <c r="BQ55" i="3"/>
  <c r="FI5" i="4" a="1"/>
  <c r="HC7" i="4" a="1"/>
  <c r="BU69" i="3"/>
  <c r="FG6" i="4" a="1"/>
  <c r="GS14" i="4" a="1"/>
  <c r="BM79" i="3"/>
  <c r="GO14" i="4" a="1"/>
  <c r="GT12" i="4" a="1"/>
  <c r="GC11" i="4" a="1"/>
  <c r="BT72" i="3"/>
  <c r="GN5" i="4" a="1"/>
  <c r="HC6" i="4" a="1"/>
  <c r="GF9" i="4" a="1"/>
  <c r="HB13" i="4" a="1"/>
  <c r="BM61" i="3"/>
  <c r="HH6" i="4" a="1"/>
  <c r="BU49" i="3"/>
  <c r="BM91" i="3"/>
  <c r="GA7" i="4" a="1"/>
  <c r="BJ50" i="3"/>
  <c r="BQ68" i="3"/>
  <c r="BT88" i="3"/>
  <c r="BL84" i="3"/>
  <c r="BL93" i="3"/>
  <c r="BL56" i="3"/>
  <c r="BO48" i="3"/>
  <c r="BO74" i="3"/>
  <c r="BH64" i="3"/>
  <c r="BH91" i="3"/>
  <c r="BU90" i="3"/>
  <c r="BQ94" i="3"/>
  <c r="BL87" i="3"/>
  <c r="BO57" i="3"/>
  <c r="BH77" i="3"/>
  <c r="GM16" i="4" a="1"/>
  <c r="FV15" i="4" a="1"/>
  <c r="BL63" i="3"/>
  <c r="GB16" i="4" a="1"/>
  <c r="BN88" i="3"/>
  <c r="FR13" i="4" a="1"/>
  <c r="BH86" i="3"/>
  <c r="FL14" i="4" a="1"/>
  <c r="GF16" i="4" a="1"/>
  <c r="FJ14" i="4" a="1"/>
  <c r="GN12" i="4" a="1"/>
  <c r="FX13" i="4" a="1"/>
  <c r="HG6" i="4" a="1"/>
  <c r="BH74" i="3"/>
  <c r="BN59" i="3"/>
  <c r="FN11" i="4" a="1"/>
  <c r="FH12" i="4" a="1"/>
  <c r="BQ50" i="3"/>
  <c r="FP11" i="4" a="1"/>
  <c r="BT66" i="3"/>
  <c r="BN85" i="3"/>
  <c r="FX15" i="4" a="1"/>
  <c r="BJ78" i="3"/>
  <c r="BQ64" i="3"/>
  <c r="FO5" i="4" a="1"/>
  <c r="BH57" i="3"/>
  <c r="GM14" i="4" a="1"/>
  <c r="BT56" i="3"/>
  <c r="HH7" i="4" a="1"/>
  <c r="FN14" i="4" a="1"/>
  <c r="GR14" i="4" a="1"/>
  <c r="HB12" i="4" a="1"/>
  <c r="BT58" i="3"/>
  <c r="FP6" i="4" a="1"/>
  <c r="FY6" i="4" a="1"/>
  <c r="GV8" i="4" a="1"/>
  <c r="BT59" i="3"/>
  <c r="BL97" i="3"/>
  <c r="BL74" i="3"/>
  <c r="BO92" i="3"/>
  <c r="BU63" i="3"/>
  <c r="BU86" i="3"/>
  <c r="BH83" i="3"/>
  <c r="GH15" i="4" a="1"/>
  <c r="BQ81" i="3"/>
  <c r="BO66" i="3"/>
  <c r="BJ63" i="3"/>
  <c r="HA6" i="4" a="1"/>
  <c r="BT92" i="3"/>
  <c r="HE6" i="4" a="1"/>
  <c r="FU11" i="4" a="1"/>
  <c r="GH6" i="4" a="1"/>
  <c r="FY16" i="4" a="1"/>
  <c r="FK9" i="4" a="1"/>
  <c r="BO73" i="3"/>
  <c r="GK5" i="4" a="1"/>
  <c r="FQ15" i="4" a="1"/>
  <c r="BU57" i="3"/>
  <c r="GN9" i="4" a="1"/>
  <c r="BU62" i="3"/>
  <c r="GH13" i="4" a="1"/>
  <c r="HA7" i="4" a="1"/>
  <c r="BN86" i="3"/>
  <c r="BJ79" i="3"/>
  <c r="GZ5" i="4" a="1"/>
  <c r="FZ16" i="4" a="1"/>
  <c r="BJ60" i="3"/>
  <c r="GG6" i="4" a="1"/>
  <c r="BU67" i="3"/>
  <c r="GY6" i="4" a="1"/>
  <c r="GN11" i="4" a="1"/>
  <c r="BT97" i="3"/>
  <c r="FN16" i="4" a="1"/>
  <c r="GR8" i="4" a="1"/>
  <c r="GD15" i="4" a="1"/>
  <c r="BT55" i="3"/>
  <c r="BF69" i="3"/>
  <c r="FO7" i="4" a="1"/>
  <c r="BH95" i="3"/>
  <c r="GG15" i="4" a="1"/>
  <c r="BT95" i="3"/>
  <c r="BT61" i="3"/>
  <c r="FR12" i="4" a="1"/>
  <c r="HD12" i="4" a="1"/>
  <c r="BM74" i="3"/>
  <c r="BQ63" i="3"/>
  <c r="BT76" i="3"/>
  <c r="BL88" i="3"/>
  <c r="BL92" i="3"/>
  <c r="BL76" i="3"/>
  <c r="BO58" i="3"/>
  <c r="BO94" i="3"/>
  <c r="BH97" i="3"/>
  <c r="BU94" i="3"/>
  <c r="FW12" i="4" a="1"/>
  <c r="BF74" i="3"/>
  <c r="BN80" i="3"/>
  <c r="BO71" i="3"/>
  <c r="GC14" i="4" a="1"/>
  <c r="BT83" i="3"/>
  <c r="BJ80" i="3"/>
  <c r="GI12" i="4" a="1"/>
  <c r="BO81" i="3"/>
  <c r="BQ54" i="3"/>
  <c r="GO9" i="4" a="1"/>
  <c r="BM83" i="3"/>
  <c r="BT93" i="3"/>
  <c r="BN77" i="3"/>
  <c r="BL72" i="3"/>
  <c r="BU60" i="3"/>
  <c r="GR9" i="4" a="1"/>
  <c r="BG23" i="3"/>
  <c r="GH14" i="4" a="1"/>
  <c r="BM60" i="3"/>
  <c r="FJ5" i="4" a="1"/>
  <c r="GJ15" i="4" a="1"/>
  <c r="FZ11" i="4" a="1"/>
  <c r="GU6" i="4" a="1"/>
  <c r="GW5" i="4" a="1"/>
  <c r="GL14" i="4" a="1"/>
  <c r="HH14" i="4" a="1"/>
  <c r="FJ8" i="4" a="1"/>
  <c r="FU14" i="4" a="1"/>
  <c r="BT71" i="3"/>
  <c r="BN73" i="3"/>
  <c r="BU50" i="3"/>
  <c r="GI5" i="4" a="1"/>
  <c r="GO15" i="4" a="1"/>
  <c r="BU96" i="3"/>
  <c r="GA16" i="4" a="1"/>
  <c r="GL11" i="4" a="1"/>
  <c r="HG5" i="4" a="1"/>
  <c r="FY13" i="4" a="1"/>
  <c r="BT81" i="3"/>
  <c r="BN84" i="3"/>
  <c r="BJ81" i="3"/>
  <c r="FM12" i="4" a="1"/>
  <c r="GL16" i="4" a="1"/>
  <c r="BO47" i="3"/>
  <c r="BT57" i="3"/>
  <c r="GL9" i="4" a="1"/>
  <c r="HE13" i="4" a="1"/>
  <c r="BN79" i="3"/>
  <c r="BH72" i="3"/>
  <c r="FN6" i="4" a="1"/>
  <c r="FR16" i="4" a="1"/>
  <c r="GV16" i="4" a="1"/>
  <c r="BT96" i="3"/>
  <c r="BN91" i="3"/>
  <c r="BT48" i="3"/>
  <c r="BL55" i="3"/>
  <c r="BL61" i="3"/>
  <c r="BL80" i="3"/>
  <c r="BO96" i="3"/>
  <c r="BO60" i="3"/>
  <c r="BH54" i="3"/>
  <c r="BU89" i="3"/>
  <c r="GY9" i="4" a="1"/>
  <c r="FP12" i="4" a="1"/>
  <c r="FO14" i="4" a="1"/>
  <c r="GT6" i="4" a="1"/>
  <c r="HA8" i="4" a="1"/>
  <c r="GV9" i="4" a="1"/>
  <c r="GG7" i="4" a="1"/>
  <c r="FZ14" i="4" a="1"/>
  <c r="BN60" i="3"/>
  <c r="GY14" i="4" a="1"/>
  <c r="FU9" i="4" a="1"/>
  <c r="BU78" i="3"/>
  <c r="FK15" i="4" a="1"/>
  <c r="BL77" i="3"/>
  <c r="BO75" i="3"/>
  <c r="BN67" i="3"/>
  <c r="BN94" i="3"/>
  <c r="BQ47" i="3"/>
  <c r="BQ65" i="3"/>
  <c r="BL58" i="3"/>
  <c r="BL82" i="3"/>
  <c r="BL62" i="3"/>
  <c r="BL75" i="3"/>
  <c r="BO89" i="3"/>
  <c r="BO77" i="3"/>
  <c r="BF75" i="3"/>
  <c r="BF88" i="3"/>
  <c r="BF67" i="3"/>
  <c r="BF62" i="3"/>
  <c r="BF64" i="3"/>
  <c r="BF73" i="3"/>
  <c r="BF60" i="3"/>
  <c r="BF70" i="3"/>
  <c r="BF90" i="3"/>
  <c r="BF80" i="3"/>
  <c r="BF97" i="3"/>
  <c r="BJ62" i="3"/>
  <c r="BJ58" i="3"/>
  <c r="BJ56" i="3"/>
  <c r="BJ54" i="3"/>
  <c r="BJ87" i="3"/>
  <c r="BJ74" i="3"/>
  <c r="BM71" i="3"/>
  <c r="BM88" i="3"/>
  <c r="BM84" i="3"/>
  <c r="BN72" i="3"/>
  <c r="BN62" i="3"/>
  <c r="BN69" i="3"/>
  <c r="BN63" i="3"/>
  <c r="BT75" i="3"/>
  <c r="BT84" i="3"/>
  <c r="BT90" i="3"/>
  <c r="BL57" i="3"/>
  <c r="BL67" i="3"/>
  <c r="BL48" i="3"/>
  <c r="BL60" i="3"/>
  <c r="BL96" i="3"/>
  <c r="BF71" i="3"/>
  <c r="BF58" i="3"/>
  <c r="BF92" i="3"/>
  <c r="BF48" i="3"/>
  <c r="BF56" i="3"/>
  <c r="BH90" i="3"/>
  <c r="BH82" i="3"/>
  <c r="BH58" i="3"/>
  <c r="BH55" i="3"/>
  <c r="BH69" i="3"/>
  <c r="BH92" i="3"/>
  <c r="BJ55" i="3"/>
  <c r="BJ89" i="3"/>
  <c r="BJ93" i="3"/>
  <c r="BJ92" i="3"/>
  <c r="BJ48" i="3"/>
  <c r="BJ68" i="3"/>
  <c r="BJ73" i="3"/>
  <c r="BJ75" i="3"/>
  <c r="BM67" i="3"/>
  <c r="BM57" i="3"/>
  <c r="BM73" i="3"/>
  <c r="BM97" i="3"/>
  <c r="BM82" i="3"/>
  <c r="BM49" i="3"/>
  <c r="BM65" i="3"/>
  <c r="BM55" i="3"/>
  <c r="BM69" i="3"/>
  <c r="BM87" i="3"/>
  <c r="BM72" i="3"/>
  <c r="BU54" i="3"/>
  <c r="BU97" i="3"/>
  <c r="BU85" i="3"/>
  <c r="BU58" i="3"/>
  <c r="BU75" i="3"/>
  <c r="BU74" i="3"/>
  <c r="BG96" i="3" l="1"/>
  <c r="BS57" i="3"/>
  <c r="BS47" i="3"/>
  <c r="BR65" i="3"/>
  <c r="BR63" i="3"/>
  <c r="BP71" i="3"/>
  <c r="BG59" i="3"/>
  <c r="BR90" i="3"/>
  <c r="BG70" i="3"/>
  <c r="BP83" i="3"/>
  <c r="BP58" i="3"/>
  <c r="BG62" i="3"/>
  <c r="BP67" i="3"/>
  <c r="BG75" i="3"/>
  <c r="BG71" i="3"/>
  <c r="BR55" i="3"/>
  <c r="BR75" i="3"/>
  <c r="BG78" i="3"/>
  <c r="BS64" i="3"/>
  <c r="BR94" i="3"/>
  <c r="BP91" i="3"/>
  <c r="BP55" i="3"/>
  <c r="BG89" i="3"/>
  <c r="BS65" i="3"/>
  <c r="BM94" i="3"/>
  <c r="BS93" i="3"/>
  <c r="BR77" i="3"/>
  <c r="BR61" i="3"/>
  <c r="BM68" i="3"/>
  <c r="BS61" i="3"/>
  <c r="BM56" i="3"/>
  <c r="BM95" i="3"/>
  <c r="BM78" i="3"/>
  <c r="BP97" i="3"/>
  <c r="BM47" i="3"/>
  <c r="BG84" i="3"/>
  <c r="BU64" i="3"/>
  <c r="BR71" i="3"/>
  <c r="BS72" i="3"/>
  <c r="BS86" i="3"/>
  <c r="BS73" i="3"/>
  <c r="BU82" i="3"/>
  <c r="BP62" i="3"/>
  <c r="BG73" i="3"/>
  <c r="BS81" i="3"/>
  <c r="BS68" i="3"/>
  <c r="BU93" i="3"/>
  <c r="BG74" i="3"/>
  <c r="BP73" i="3"/>
  <c r="BP49" i="3"/>
  <c r="BU47" i="3"/>
  <c r="BP92" i="3"/>
  <c r="BG80" i="3"/>
  <c r="BG85" i="3"/>
  <c r="BP50" i="3"/>
  <c r="BP87" i="3"/>
  <c r="BG77" i="3"/>
  <c r="BP86" i="3"/>
  <c r="BP72" i="3"/>
  <c r="BG82" i="3"/>
  <c r="BP81" i="3"/>
  <c r="BP78" i="3"/>
  <c r="BG54" i="3"/>
  <c r="BR57" i="3"/>
  <c r="BR60" i="3"/>
  <c r="BS58" i="3"/>
  <c r="BS89" i="3"/>
  <c r="BR50" i="3"/>
  <c r="BP90" i="3"/>
  <c r="BP66" i="3"/>
  <c r="BS94" i="3"/>
  <c r="BR82" i="3"/>
  <c r="BP65" i="3"/>
  <c r="BP80" i="3"/>
  <c r="BU92" i="3"/>
  <c r="BU59" i="3"/>
  <c r="BS83" i="3"/>
  <c r="BP64" i="3"/>
  <c r="BU72" i="3"/>
  <c r="BP89" i="3"/>
  <c r="BP84" i="3"/>
  <c r="BU88" i="3"/>
  <c r="BR79" i="3"/>
  <c r="BG61" i="3"/>
  <c r="BG88" i="3"/>
  <c r="BS82" i="3"/>
  <c r="BP85" i="3"/>
  <c r="BS80" i="3"/>
  <c r="BG86" i="3"/>
  <c r="BU68" i="3"/>
  <c r="BP59" i="3"/>
  <c r="BR74" i="3"/>
  <c r="BS92" i="3"/>
  <c r="BP95" i="3"/>
  <c r="BK84" i="3"/>
  <c r="BR72" i="3"/>
  <c r="BR88" i="3"/>
  <c r="BR81" i="3"/>
  <c r="BR80" i="3"/>
  <c r="BG92" i="3"/>
  <c r="BG56" i="3"/>
  <c r="BS56" i="3"/>
  <c r="BR68" i="3"/>
  <c r="BP54" i="3"/>
  <c r="BR76" i="3"/>
  <c r="BR95" i="3"/>
  <c r="BS74" i="3"/>
  <c r="BR62" i="3"/>
  <c r="BR59" i="3"/>
  <c r="BG63" i="3"/>
  <c r="BP47" i="3"/>
  <c r="BR56" i="3"/>
  <c r="BG64" i="3"/>
  <c r="BR93" i="3"/>
  <c r="BR67" i="3"/>
  <c r="BG93" i="3"/>
  <c r="BR58" i="3"/>
  <c r="BR91" i="3"/>
  <c r="BP76" i="3"/>
  <c r="BP63" i="3"/>
  <c r="BS75" i="3"/>
  <c r="BS76" i="3"/>
  <c r="BR78" i="3"/>
  <c r="BG49" i="3"/>
  <c r="BG76" i="3"/>
  <c r="BR49" i="3"/>
  <c r="BG68" i="3"/>
  <c r="BS77" i="3"/>
  <c r="BP93" i="3"/>
  <c r="BR89" i="3"/>
  <c r="BR73" i="3"/>
  <c r="BG90" i="3"/>
  <c r="BG65" i="3"/>
  <c r="BG55" i="3"/>
  <c r="BP48" i="3"/>
  <c r="BS79" i="3"/>
  <c r="BS70" i="3"/>
  <c r="BP70" i="3"/>
  <c r="BP88" i="3"/>
  <c r="BS97" i="3"/>
  <c r="BS91" i="3"/>
  <c r="BR86" i="3"/>
  <c r="BP75" i="3"/>
  <c r="BS62" i="3"/>
  <c r="BG83" i="3"/>
  <c r="BS95" i="3"/>
  <c r="BS85" i="3"/>
  <c r="BP60" i="3"/>
  <c r="BP57" i="3"/>
  <c r="BS90" i="3"/>
  <c r="BS88" i="3"/>
  <c r="BR84" i="3"/>
  <c r="BP56" i="3"/>
  <c r="BS59" i="3"/>
  <c r="BP74" i="3"/>
  <c r="BS48" i="3"/>
  <c r="BG69" i="3"/>
  <c r="BR48" i="3"/>
  <c r="BG66" i="3"/>
  <c r="BP94" i="3"/>
  <c r="BG60" i="3"/>
  <c r="BS60" i="3"/>
  <c r="BG81" i="3"/>
  <c r="BG72" i="3"/>
  <c r="BG58" i="3"/>
  <c r="BS54" i="3"/>
  <c r="BS55" i="3"/>
  <c r="BS78" i="3"/>
  <c r="BG50" i="3"/>
  <c r="BR83" i="3"/>
  <c r="BG91" i="3"/>
  <c r="BP96" i="3"/>
  <c r="BS69" i="3"/>
  <c r="BR54" i="3"/>
  <c r="BR85" i="3"/>
  <c r="BP79" i="3"/>
  <c r="BS49" i="3"/>
  <c r="BS50" i="3"/>
  <c r="BG87" i="3"/>
  <c r="BS63" i="3"/>
  <c r="BS66" i="3"/>
  <c r="BS84" i="3"/>
  <c r="BR92" i="3"/>
  <c r="BG48" i="3"/>
  <c r="BS71" i="3"/>
  <c r="BR47" i="3"/>
  <c r="BG47" i="3"/>
  <c r="BG95" i="3"/>
  <c r="BG97" i="3"/>
  <c r="BG67" i="3"/>
  <c r="BG79" i="3"/>
  <c r="BR66" i="3"/>
  <c r="BR69" i="3"/>
  <c r="BF96" i="3"/>
  <c r="BF95" i="3"/>
  <c r="BF94" i="3"/>
  <c r="BF85" i="3"/>
  <c r="BT50" i="3"/>
  <c r="BQ97" i="3"/>
  <c r="BN83" i="3"/>
  <c r="BL49" i="3"/>
  <c r="BO84" i="3"/>
  <c r="BQ80" i="3"/>
  <c r="BO72" i="3"/>
  <c r="BF63" i="3"/>
  <c r="BQ76" i="3"/>
  <c r="BL65" i="3"/>
  <c r="BL66" i="3"/>
  <c r="BT67" i="3"/>
  <c r="BF55" i="3"/>
  <c r="BO85" i="3"/>
  <c r="BQ58" i="3"/>
  <c r="BM62" i="3"/>
  <c r="BO76" i="3"/>
  <c r="BO95" i="3"/>
  <c r="BO87" i="3"/>
  <c r="BM80" i="3"/>
  <c r="BM58" i="3"/>
  <c r="BN70" i="3"/>
  <c r="BL81" i="3"/>
  <c r="BM50" i="3"/>
  <c r="BT54" i="3"/>
  <c r="BN71" i="3"/>
  <c r="BN61" i="3"/>
  <c r="BQ75" i="3"/>
  <c r="BN97" i="3"/>
  <c r="BM59" i="3"/>
  <c r="BM54" i="3"/>
  <c r="BE61" i="3"/>
  <c r="BE63" i="3"/>
  <c r="BE70" i="3"/>
  <c r="BE60" i="3"/>
  <c r="BE49" i="3"/>
  <c r="BE96" i="3"/>
  <c r="BE65" i="3"/>
  <c r="BE93" i="3"/>
  <c r="BE74" i="3"/>
  <c r="BE48" i="3"/>
  <c r="BE94" i="3"/>
  <c r="BE90" i="3"/>
  <c r="BE88" i="3"/>
  <c r="BE50" i="3"/>
  <c r="BE67" i="3"/>
  <c r="BE85" i="3"/>
  <c r="BE68" i="3"/>
  <c r="BE87" i="3"/>
  <c r="BE80" i="3"/>
  <c r="BE79" i="3"/>
  <c r="BE89" i="3"/>
  <c r="BE92" i="3"/>
  <c r="BE54" i="3"/>
  <c r="BE91" i="3"/>
  <c r="BE97" i="3"/>
  <c r="BE66" i="3"/>
  <c r="BE76" i="3"/>
  <c r="BE83" i="3"/>
  <c r="BE73" i="3"/>
  <c r="BE86" i="3"/>
  <c r="BE69" i="3"/>
  <c r="BE77" i="3"/>
  <c r="BE56" i="3"/>
  <c r="BE71" i="3"/>
  <c r="BE82" i="3"/>
  <c r="BE58" i="3"/>
  <c r="BE78" i="3"/>
  <c r="BE59" i="3"/>
  <c r="BE62" i="3"/>
  <c r="BE75" i="3"/>
  <c r="BE81" i="3"/>
  <c r="BE95" i="3"/>
  <c r="BE72" i="3"/>
  <c r="BE47" i="3"/>
  <c r="BE55" i="3"/>
  <c r="BE64" i="3"/>
  <c r="BE57" i="3"/>
  <c r="BE84" i="3"/>
  <c r="BK69" i="3"/>
  <c r="BK54" i="3"/>
  <c r="BK86" i="3"/>
  <c r="BL85" i="3"/>
  <c r="BU65" i="3"/>
  <c r="BI47" i="3"/>
  <c r="BK63" i="3"/>
  <c r="BI54" i="3"/>
  <c r="BU70" i="3"/>
  <c r="BK93" i="3"/>
  <c r="BK92" i="3"/>
  <c r="BI63" i="3"/>
  <c r="BI77" i="3"/>
  <c r="BK67" i="3"/>
  <c r="BI93" i="3"/>
  <c r="BK50" i="3"/>
  <c r="BI74" i="3"/>
  <c r="BK95" i="3"/>
  <c r="BI57" i="3"/>
  <c r="BK81" i="3"/>
  <c r="BK91" i="3"/>
  <c r="BI95" i="3"/>
  <c r="BK49" i="3"/>
  <c r="BI75" i="3"/>
  <c r="BI89" i="3"/>
  <c r="BK79" i="3"/>
  <c r="BI84" i="3"/>
  <c r="BI55" i="3"/>
  <c r="BI65" i="3"/>
  <c r="BI60" i="3"/>
  <c r="BK94" i="3"/>
  <c r="BK61" i="3"/>
  <c r="BI87" i="3"/>
  <c r="BI82" i="3"/>
  <c r="BI78" i="3"/>
  <c r="BI91" i="3"/>
  <c r="BI71" i="3"/>
  <c r="BI70" i="3"/>
  <c r="BK77" i="3"/>
  <c r="BI61" i="3"/>
  <c r="BI67" i="3"/>
  <c r="BI64" i="3"/>
  <c r="BI90" i="3"/>
  <c r="BI66" i="3"/>
  <c r="BI97" i="3"/>
  <c r="BK80" i="3"/>
  <c r="BI56" i="3"/>
  <c r="BI92" i="3"/>
  <c r="BI69" i="3"/>
  <c r="BK57" i="3"/>
  <c r="BK55" i="3"/>
  <c r="BK71" i="3"/>
  <c r="BK76" i="3"/>
  <c r="BI73" i="3"/>
  <c r="BI76" i="3"/>
  <c r="BK64" i="3"/>
  <c r="BI94" i="3"/>
  <c r="BI79" i="3"/>
  <c r="BK56" i="3"/>
  <c r="BK47" i="3"/>
  <c r="BK68" i="3"/>
  <c r="BI49" i="3"/>
  <c r="BI88" i="3"/>
  <c r="BI50" i="3"/>
  <c r="BK88" i="3"/>
  <c r="BK58" i="3"/>
  <c r="BK66" i="3"/>
  <c r="BK73" i="3"/>
  <c r="BK96" i="3"/>
  <c r="BI48" i="3"/>
  <c r="BI58" i="3"/>
  <c r="BK70" i="3"/>
  <c r="BI81" i="3"/>
  <c r="BK78" i="3"/>
  <c r="BK97" i="3"/>
  <c r="BK90" i="3"/>
  <c r="BK74" i="3"/>
  <c r="BI83" i="3"/>
  <c r="BK65" i="3"/>
  <c r="BK59" i="3"/>
  <c r="BK62" i="3"/>
  <c r="BK72" i="3"/>
  <c r="BK83" i="3"/>
  <c r="BI62" i="3"/>
  <c r="BK48" i="3"/>
  <c r="BI85" i="3"/>
  <c r="BK87" i="3"/>
  <c r="BK75" i="3"/>
  <c r="BK85" i="3"/>
  <c r="BI59" i="3"/>
  <c r="BI68" i="3"/>
  <c r="BK82" i="3"/>
  <c r="BI96" i="3"/>
  <c r="BI80" i="3"/>
  <c r="CL272" i="1"/>
  <c r="CL213" i="1"/>
  <c r="AB39" i="1"/>
  <c r="CL45" i="1"/>
  <c r="CL29" i="1"/>
  <c r="CL7" i="1"/>
  <c r="CL250" i="1"/>
  <c r="CL19" i="1"/>
  <c r="CM42" i="1"/>
  <c r="CP42" i="1"/>
  <c r="CT42" i="1" s="1"/>
  <c r="CX42" i="1" s="1"/>
  <c r="CL271" i="1"/>
  <c r="CL84" i="1"/>
  <c r="CK28" i="1"/>
  <c r="KF7" i="4" s="1"/>
  <c r="CK43" i="1"/>
  <c r="JV16" i="4" s="1"/>
  <c r="JT9" i="4" s="1"/>
  <c r="JZ16" i="4" s="1"/>
  <c r="JV9" i="4" s="1"/>
  <c r="JQ16" i="4" s="1"/>
  <c r="KF16" i="4" s="1"/>
  <c r="JY16" i="4" s="1"/>
  <c r="JS9" i="4" s="1"/>
  <c r="JU16" i="4" s="1"/>
  <c r="CK64" i="1"/>
  <c r="CK213" i="1"/>
  <c r="CK82" i="1"/>
  <c r="KF8" i="4" s="1"/>
  <c r="KF9" i="4" s="1"/>
  <c r="KH7" i="4" s="1"/>
  <c r="JX16" i="4" s="1"/>
  <c r="CK33" i="1"/>
  <c r="CK65" i="1"/>
  <c r="JR16" i="4" s="1"/>
  <c r="CK39" i="1"/>
  <c r="CK83" i="1"/>
  <c r="CK66" i="1"/>
  <c r="CK40" i="1"/>
  <c r="KB16" i="4" s="1"/>
  <c r="JR7" i="4" s="1"/>
  <c r="BV1" i="1"/>
  <c r="BW1" i="1" s="1"/>
  <c r="BX1" i="1" s="1"/>
  <c r="CK165" i="1" l="1"/>
  <c r="CL165" i="1" s="1"/>
  <c r="CK163" i="1"/>
  <c r="CK143" i="1"/>
  <c r="CL143" i="1" s="1"/>
  <c r="CK161" i="1"/>
  <c r="CK138" i="1"/>
  <c r="CK164" i="1"/>
  <c r="CK136" i="1"/>
  <c r="CK159" i="1"/>
  <c r="CL159" i="1" s="1"/>
  <c r="CL221" i="1" s="1"/>
  <c r="CK179" i="1"/>
  <c r="CK170" i="1"/>
  <c r="CK173" i="1"/>
  <c r="CK174" i="1"/>
  <c r="CK172" i="1"/>
  <c r="CK162" i="1"/>
  <c r="CK178" i="1"/>
  <c r="JU9" i="4" s="1"/>
  <c r="CK171" i="1"/>
  <c r="CL171" i="1" s="1"/>
  <c r="KD16" i="4" s="1"/>
  <c r="JT16" i="4" s="1"/>
  <c r="CK153" i="1"/>
  <c r="JW16" i="4" s="1"/>
  <c r="CK166" i="1"/>
  <c r="CK93" i="1"/>
  <c r="CK146" i="1"/>
  <c r="CL146" i="1" s="1"/>
  <c r="CK145" i="1"/>
  <c r="CL145" i="1" s="1"/>
  <c r="KA16" i="4" s="1"/>
  <c r="KB14" i="4" s="1"/>
  <c r="CK156" i="1"/>
  <c r="CL156" i="1" s="1"/>
  <c r="KB9" i="4" s="1"/>
  <c r="CK169" i="1"/>
  <c r="KE16" i="4" s="1"/>
  <c r="CK182" i="1"/>
  <c r="CL182" i="1" s="1"/>
  <c r="CK92" i="1"/>
  <c r="CK141" i="1"/>
  <c r="CL141" i="1" s="1"/>
  <c r="KC14" i="4" s="1"/>
  <c r="JX9" i="4" s="1"/>
  <c r="KB15" i="4" s="1"/>
  <c r="CK144" i="1"/>
  <c r="CL144" i="1" s="1"/>
  <c r="KA9" i="4" s="1"/>
  <c r="CK137" i="1"/>
  <c r="CL137" i="1" s="1"/>
  <c r="CK154" i="1"/>
  <c r="CL154" i="1" s="1"/>
  <c r="CK152" i="1"/>
  <c r="CL152" i="1" s="1"/>
  <c r="CK168" i="1"/>
  <c r="CL168" i="1" s="1"/>
  <c r="CK183" i="1"/>
  <c r="CL183" i="1" s="1"/>
  <c r="CL23" i="1"/>
  <c r="CM23" i="1" s="1"/>
  <c r="CN23" i="1" s="1"/>
  <c r="CO23" i="1" s="1"/>
  <c r="CP23" i="1" s="1"/>
  <c r="CQ23" i="1" s="1"/>
  <c r="CR23" i="1" s="1"/>
  <c r="CS23" i="1" s="1"/>
  <c r="CT23" i="1" s="1"/>
  <c r="CU23" i="1" s="1"/>
  <c r="CV23" i="1" s="1"/>
  <c r="CW23" i="1" s="1"/>
  <c r="CX23" i="1" s="1"/>
  <c r="CY23" i="1" s="1"/>
  <c r="CZ23" i="1" s="1"/>
  <c r="DA23" i="1" s="1"/>
  <c r="CL35" i="1"/>
  <c r="CL6" i="1"/>
  <c r="CL13" i="1"/>
  <c r="CN42" i="1"/>
  <c r="CQ42" i="1"/>
  <c r="CU42" i="1" s="1"/>
  <c r="CY42" i="1" s="1"/>
  <c r="CL46" i="1"/>
  <c r="JX21" i="4"/>
  <c r="JQ21" i="4"/>
  <c r="CK96" i="1" s="1"/>
  <c r="CL147" i="1"/>
  <c r="CK180" i="1"/>
  <c r="CL228" i="1" s="1"/>
  <c r="CL161" i="1"/>
  <c r="CK139" i="1"/>
  <c r="CL136" i="1"/>
  <c r="CL170" i="1"/>
  <c r="CL173" i="1"/>
  <c r="CL174" i="1"/>
  <c r="CL162" i="1"/>
  <c r="CL153" i="1"/>
  <c r="CL157" i="1" s="1"/>
  <c r="CL52" i="1"/>
  <c r="CL166" i="1"/>
  <c r="CL169" i="1"/>
  <c r="CK272" i="1"/>
  <c r="JZ8" i="4"/>
  <c r="KD7" i="4"/>
  <c r="KA8" i="4"/>
  <c r="JV8" i="4"/>
  <c r="KH15" i="4"/>
  <c r="KA21" i="4"/>
  <c r="KB21" i="4"/>
  <c r="CK175" i="1"/>
  <c r="CK204" i="1" s="1"/>
  <c r="JY15" i="4"/>
  <c r="CK167" i="1"/>
  <c r="CK84" i="1"/>
  <c r="CK9" i="1" s="1"/>
  <c r="JR21" i="4"/>
  <c r="CL96" i="1" s="1"/>
  <c r="CL9" i="1" s="1"/>
  <c r="JS15" i="4"/>
  <c r="JZ15" i="4"/>
  <c r="JZ20" i="4" s="1"/>
  <c r="JR8" i="4"/>
  <c r="CK147" i="1"/>
  <c r="CK148" i="1" s="1"/>
  <c r="JS14" i="4"/>
  <c r="CK7" i="1"/>
  <c r="CK250" i="1"/>
  <c r="CK29" i="1"/>
  <c r="CK267" i="1"/>
  <c r="KC15" i="4"/>
  <c r="KE14" i="4"/>
  <c r="JQ15" i="4"/>
  <c r="CM136" i="1"/>
  <c r="CN136" i="1" s="1"/>
  <c r="CO136" i="1" s="1"/>
  <c r="BY1" i="1"/>
  <c r="Y36" i="2"/>
  <c r="AS27" i="3"/>
  <c r="Z25" i="2"/>
  <c r="AV23" i="3"/>
  <c r="O36" i="2"/>
  <c r="BD38" i="3"/>
  <c r="AX6" i="6" a="1"/>
  <c r="Z58" i="2"/>
  <c r="I32" i="2"/>
  <c r="AY25" i="3"/>
  <c r="FF9" i="4" a="1"/>
  <c r="BA37" i="3"/>
  <c r="C5" i="2"/>
  <c r="EV15" i="4" a="1"/>
  <c r="U6" i="6" a="1"/>
  <c r="Y40" i="2"/>
  <c r="EO9" i="4" a="1"/>
  <c r="Z27" i="2"/>
  <c r="AY7" i="3"/>
  <c r="AA61" i="2"/>
  <c r="AV6" i="3"/>
  <c r="AU6" i="6" a="1"/>
  <c r="AA68" i="2"/>
  <c r="EL13" i="4" a="1"/>
  <c r="EL15" i="4" a="1"/>
  <c r="BC33" i="3"/>
  <c r="V5" i="6" a="1"/>
  <c r="Y48" i="2"/>
  <c r="BB5" i="3"/>
  <c r="BC28" i="3"/>
  <c r="AX8" i="3"/>
  <c r="BD19" i="3"/>
  <c r="AF12" i="3"/>
  <c r="AF6" i="3"/>
  <c r="Z85" i="2"/>
  <c r="AA18" i="2"/>
  <c r="AV37" i="3"/>
  <c r="AT7" i="3"/>
  <c r="BA22" i="3"/>
  <c r="AS38" i="3"/>
  <c r="BA16" i="3"/>
  <c r="AA81" i="2"/>
  <c r="H6" i="6" a="1"/>
  <c r="AH6" i="6" a="1"/>
  <c r="Y62" i="2"/>
  <c r="AZ31" i="3"/>
  <c r="BB9" i="3"/>
  <c r="AU11" i="3"/>
  <c r="Z106" i="2"/>
  <c r="X10" i="2"/>
  <c r="FB11" i="4" a="1"/>
  <c r="AX36" i="3"/>
  <c r="BC14" i="3"/>
  <c r="BC15" i="3"/>
  <c r="AT22" i="3"/>
  <c r="FE12" i="4" a="1"/>
  <c r="AA46" i="2"/>
  <c r="AX17" i="3"/>
  <c r="AW39" i="3"/>
  <c r="Z29" i="2"/>
  <c r="AX19" i="3"/>
  <c r="AA42" i="2"/>
  <c r="AW5" i="3"/>
  <c r="AB6" i="6" a="1"/>
  <c r="BC20" i="3"/>
  <c r="EZ13" i="4" a="1"/>
  <c r="EP8" i="4" a="1"/>
  <c r="Y32" i="2"/>
  <c r="ES12" i="4" a="1"/>
  <c r="Z59" i="2"/>
  <c r="EV5" i="4" a="1"/>
  <c r="N33" i="2"/>
  <c r="AZ33" i="3"/>
  <c r="AA48" i="2"/>
  <c r="AA35" i="2"/>
  <c r="AT34" i="3"/>
  <c r="Y92" i="2"/>
  <c r="N5" i="6" a="1"/>
  <c r="K6" i="6" a="1"/>
  <c r="EX7" i="4" a="1"/>
  <c r="AF35" i="3"/>
  <c r="Y9" i="2"/>
  <c r="BB33" i="3"/>
  <c r="AR46" i="3"/>
  <c r="AW46" i="3"/>
  <c r="Y51" i="2"/>
  <c r="AX9" i="3"/>
  <c r="AA9" i="2"/>
  <c r="AQ6" i="6" a="1"/>
  <c r="AA79" i="2"/>
  <c r="F45" i="3"/>
  <c r="BB25" i="3"/>
  <c r="P7" i="4" a="1"/>
  <c r="Y65" i="2"/>
  <c r="AA5" i="6" a="1"/>
  <c r="K30" i="2"/>
  <c r="Z74" i="2"/>
  <c r="EP15" i="4" a="1"/>
  <c r="FB15" i="4" a="1"/>
  <c r="EN13" i="4" a="1"/>
  <c r="EZ6" i="4" a="1"/>
  <c r="L19" i="2"/>
  <c r="BC16" i="3"/>
  <c r="AU46" i="3"/>
  <c r="FB9" i="4" a="1"/>
  <c r="BC38" i="3"/>
  <c r="FA8" i="4" a="1"/>
  <c r="AB5" i="3"/>
  <c r="BD11" i="3"/>
  <c r="AR6" i="3"/>
  <c r="BA28" i="3"/>
  <c r="BD10" i="3"/>
  <c r="Z92" i="2"/>
  <c r="AA106" i="2"/>
  <c r="ET12" i="4" a="1"/>
  <c r="AA63" i="2"/>
  <c r="AZ16" i="3"/>
  <c r="Z104" i="2"/>
  <c r="EX5" i="4" a="1"/>
  <c r="FC6" i="4" a="1"/>
  <c r="AW32" i="3"/>
  <c r="AY5" i="3"/>
  <c r="F14" i="2"/>
  <c r="Z17" i="2"/>
  <c r="AW5" i="6" a="1"/>
  <c r="ES14" i="4" a="1"/>
  <c r="BD42" i="3"/>
  <c r="Y27" i="2"/>
  <c r="Y55" i="2"/>
  <c r="Z16" i="2"/>
  <c r="AS34" i="3"/>
  <c r="V6" i="2"/>
  <c r="AT5" i="3"/>
  <c r="Y70" i="2"/>
  <c r="BC27" i="3"/>
  <c r="BC42" i="3"/>
  <c r="W6" i="6" a="1"/>
  <c r="EM13" i="4" a="1"/>
  <c r="Z6" i="2"/>
  <c r="P6" i="6" a="1"/>
  <c r="Y43" i="2"/>
  <c r="Y10" i="2"/>
  <c r="EQ5" i="4" a="1"/>
  <c r="E29" i="2"/>
  <c r="BD37" i="3"/>
  <c r="AY12" i="3"/>
  <c r="AA108" i="2"/>
  <c r="W5" i="6" a="1"/>
  <c r="AV29" i="3"/>
  <c r="BB7" i="3"/>
  <c r="Y78" i="2"/>
  <c r="AV35" i="3"/>
  <c r="AZ21" i="3"/>
  <c r="FC5" i="4" a="1"/>
  <c r="AT47" i="3"/>
  <c r="EX8" i="4" a="1"/>
  <c r="BB6" i="3"/>
  <c r="M6" i="6" a="1"/>
  <c r="AZ5" i="3"/>
  <c r="EY16" i="4" a="1"/>
  <c r="AS12" i="3"/>
  <c r="BD5" i="3"/>
  <c r="BD72" i="3" s="1"/>
  <c r="S34" i="2"/>
  <c r="AY26" i="3"/>
  <c r="Z90" i="2"/>
  <c r="FD13" i="4" a="1"/>
  <c r="G6" i="6" a="1"/>
  <c r="AY60" i="3"/>
  <c r="BD8" i="3"/>
  <c r="EZ7" i="4" a="1"/>
  <c r="BA36" i="3"/>
  <c r="EW13" i="4" a="1"/>
  <c r="Y66" i="2"/>
  <c r="AS8" i="3"/>
  <c r="FC16" i="4" a="1"/>
  <c r="AW8" i="3"/>
  <c r="BB11" i="3"/>
  <c r="BA10" i="3"/>
  <c r="EP5" i="4" a="1"/>
  <c r="BC18" i="3"/>
  <c r="Y18" i="2"/>
  <c r="AA5" i="2"/>
  <c r="Z88" i="2"/>
  <c r="L6" i="6" a="1"/>
  <c r="BB40" i="3"/>
  <c r="AA94" i="2"/>
  <c r="FE16" i="4" a="1"/>
  <c r="AW20" i="3"/>
  <c r="AS36" i="3"/>
  <c r="EW16" i="4" a="1"/>
  <c r="AX38" i="3"/>
  <c r="Y6" i="2"/>
  <c r="BC8" i="3"/>
  <c r="AW41" i="3"/>
  <c r="AW22" i="3"/>
  <c r="AT33" i="3"/>
  <c r="AA27" i="2"/>
  <c r="BD15" i="3"/>
  <c r="Y60" i="2"/>
  <c r="EN5" i="4" a="1"/>
  <c r="AY22" i="3"/>
  <c r="O35" i="2"/>
  <c r="AW30" i="3"/>
  <c r="AA90" i="2"/>
  <c r="Z15" i="2"/>
  <c r="ER14" i="4" a="1"/>
  <c r="AF39" i="3"/>
  <c r="ET13" i="4" a="1"/>
  <c r="ED16" i="4" a="1"/>
  <c r="AF13" i="3"/>
  <c r="AA59" i="2"/>
  <c r="Y69" i="2"/>
  <c r="P13" i="2"/>
  <c r="BD28" i="3"/>
  <c r="AU29" i="3"/>
  <c r="AU32" i="3"/>
  <c r="N29" i="2"/>
  <c r="AT15" i="3"/>
  <c r="BC37" i="3"/>
  <c r="EX13" i="4" a="1"/>
  <c r="AS24" i="3"/>
  <c r="EP16" i="4" a="1"/>
  <c r="Z87" i="2"/>
  <c r="E27" i="2"/>
  <c r="AW6" i="6" a="1"/>
  <c r="Y21" i="2"/>
  <c r="AP6" i="6" a="1"/>
  <c r="G17" i="2"/>
  <c r="AA6" i="6" a="1"/>
  <c r="U25" i="2"/>
  <c r="AX32" i="3"/>
  <c r="BD23" i="3"/>
  <c r="AY9" i="3"/>
  <c r="AA64" i="2"/>
  <c r="AS37" i="3"/>
  <c r="AA43" i="2"/>
  <c r="EU13" i="4" a="1"/>
  <c r="BD45" i="3"/>
  <c r="D10" i="2"/>
  <c r="AU6" i="3"/>
  <c r="Y13" i="2"/>
  <c r="AX31" i="3"/>
  <c r="BD39" i="3"/>
  <c r="ET7" i="4" a="1"/>
  <c r="AA76" i="2"/>
  <c r="EV13" i="4" a="1"/>
  <c r="EW5" i="4" a="1"/>
  <c r="EM6" i="4" a="1"/>
  <c r="EY5" i="4" a="1"/>
  <c r="W6" i="2"/>
  <c r="AX25" i="3"/>
  <c r="Y105" i="2"/>
  <c r="L5" i="6" a="1"/>
  <c r="BK89" i="3"/>
  <c r="R5" i="6" a="1"/>
  <c r="BC19" i="3"/>
  <c r="AV33" i="3"/>
  <c r="FE7" i="4" a="1"/>
  <c r="AI5" i="6" a="1"/>
  <c r="AW24" i="3"/>
  <c r="AT28" i="3"/>
  <c r="AV10" i="3"/>
  <c r="AA51" i="2"/>
  <c r="AZ6" i="3"/>
  <c r="AA87" i="2"/>
  <c r="AS17" i="3"/>
  <c r="BD60" i="3"/>
  <c r="X6" i="2"/>
  <c r="K31" i="2"/>
  <c r="Y33" i="2"/>
  <c r="AS35" i="3"/>
  <c r="EY7" i="4" a="1"/>
  <c r="R6" i="2"/>
  <c r="AA105" i="2"/>
  <c r="AT30" i="3"/>
  <c r="Y49" i="2"/>
  <c r="EX15" i="4" a="1"/>
  <c r="BB27" i="3"/>
  <c r="AS28" i="3"/>
  <c r="F6" i="6" a="1"/>
  <c r="AA45" i="2"/>
  <c r="AF11" i="3"/>
  <c r="AA49" i="2"/>
  <c r="Y80" i="2"/>
  <c r="BA9" i="3"/>
  <c r="EO11" i="4" a="1"/>
  <c r="AF10" i="3"/>
  <c r="G30" i="2"/>
  <c r="EY14" i="4" a="1"/>
  <c r="AA109" i="2"/>
  <c r="Y76" i="2"/>
  <c r="AU8" i="3"/>
  <c r="AT11" i="3"/>
  <c r="AX14" i="3"/>
  <c r="I23" i="2"/>
  <c r="AU28" i="3"/>
  <c r="EZ5" i="4" a="1"/>
  <c r="AA89" i="2"/>
  <c r="AY23" i="3"/>
  <c r="AS19" i="3"/>
  <c r="BA46" i="3"/>
  <c r="AF14" i="3"/>
  <c r="Z108" i="2"/>
  <c r="Y64" i="2"/>
  <c r="BC6" i="3"/>
  <c r="AT6" i="6" a="1"/>
  <c r="AV39" i="3"/>
  <c r="Z13" i="2"/>
  <c r="EU11" i="4" a="1"/>
  <c r="H5" i="6" a="1"/>
  <c r="BD13" i="3"/>
  <c r="E23" i="2"/>
  <c r="AS39" i="3"/>
  <c r="I28" i="2"/>
  <c r="BD32" i="3"/>
  <c r="Y41" i="2"/>
  <c r="AG5" i="6" a="1"/>
  <c r="Y45" i="2"/>
  <c r="EX12" i="4" a="1"/>
  <c r="FA13" i="4" a="1"/>
  <c r="AY85" i="3"/>
  <c r="EM8" i="4" a="1"/>
  <c r="BA34" i="3"/>
  <c r="AZ8" i="3"/>
  <c r="AU38" i="3"/>
  <c r="Y85" i="2"/>
  <c r="AG7" i="4" a="1"/>
  <c r="AD6" i="6" a="1"/>
  <c r="J26" i="2"/>
  <c r="AF6" i="6" a="1"/>
  <c r="FA6" i="4" a="1"/>
  <c r="EO14" i="4" a="1"/>
  <c r="BB38" i="3"/>
  <c r="FD7" i="4" a="1"/>
  <c r="AA95" i="2"/>
  <c r="AX16" i="3"/>
  <c r="AF23" i="3"/>
  <c r="Z98" i="2"/>
  <c r="AW33" i="3"/>
  <c r="Z83" i="2"/>
  <c r="AS18" i="3"/>
  <c r="FA5" i="4" a="1"/>
  <c r="AS23" i="3"/>
  <c r="AA80" i="2"/>
  <c r="Q54" i="2"/>
  <c r="Z105" i="2"/>
  <c r="AX7" i="3"/>
  <c r="AA50" i="2"/>
  <c r="BB22" i="3"/>
  <c r="Y5" i="6" a="1"/>
  <c r="Y19" i="2"/>
  <c r="Z34" i="2"/>
  <c r="AZ36" i="3"/>
  <c r="FE11" i="4" a="1"/>
  <c r="EP12" i="4" a="1"/>
  <c r="BB41" i="3"/>
  <c r="EP6" i="4" a="1"/>
  <c r="AR6" i="6" a="1"/>
  <c r="Y83" i="2"/>
  <c r="Y81" i="2"/>
  <c r="AS6" i="3"/>
  <c r="Y12" i="2"/>
  <c r="K5" i="6" a="1"/>
  <c r="EQ9" i="4" a="1"/>
  <c r="Z30" i="2"/>
  <c r="S22" i="2"/>
  <c r="AA31" i="2"/>
  <c r="Z6" i="6" a="1"/>
  <c r="Z52" i="2"/>
  <c r="Y56" i="2"/>
  <c r="AF30" i="3"/>
  <c r="FF12" i="4" a="1"/>
  <c r="BB16" i="3"/>
  <c r="AF36" i="3"/>
  <c r="FD6" i="4" a="1"/>
  <c r="AZ27" i="3"/>
  <c r="J5" i="6" a="1"/>
  <c r="Y79" i="2"/>
  <c r="R29" i="2"/>
  <c r="EN6" i="4" a="1"/>
  <c r="BD34" i="3"/>
  <c r="AV27" i="3"/>
  <c r="AA96" i="2"/>
  <c r="Q6" i="6" a="1"/>
  <c r="AZ30" i="3"/>
  <c r="AA54" i="2"/>
  <c r="AU27" i="3"/>
  <c r="FB7" i="4" a="1"/>
  <c r="AA74" i="2"/>
  <c r="Z68" i="2"/>
  <c r="EN15" i="4" a="1"/>
  <c r="Y72" i="2"/>
  <c r="AW29" i="3"/>
  <c r="EX14" i="4" a="1"/>
  <c r="AA41" i="2"/>
  <c r="BC35" i="3"/>
  <c r="Y24" i="2"/>
  <c r="BB18" i="3"/>
  <c r="AZ13" i="3"/>
  <c r="BB74" i="3"/>
  <c r="AA99" i="2"/>
  <c r="AU12" i="3"/>
  <c r="E5" i="6" a="1"/>
  <c r="Y34" i="2"/>
  <c r="AZ28" i="3"/>
  <c r="BD41" i="3"/>
  <c r="BC32" i="3"/>
  <c r="Y98" i="2"/>
  <c r="AY78" i="3"/>
  <c r="BA13" i="3"/>
  <c r="Y14" i="2"/>
  <c r="AZ19" i="3"/>
  <c r="AA84" i="2"/>
  <c r="EY11" i="4" a="1"/>
  <c r="R20" i="2"/>
  <c r="FC7" i="4" a="1"/>
  <c r="P27" i="2"/>
  <c r="EQ11" i="4" a="1"/>
  <c r="AA104" i="2"/>
  <c r="EW9" i="4" a="1"/>
  <c r="Z89" i="2"/>
  <c r="FC14" i="4" a="1"/>
  <c r="BA42" i="3"/>
  <c r="EQ14" i="4" a="1"/>
  <c r="AZ7" i="3"/>
  <c r="BA38" i="3"/>
  <c r="AW6" i="3"/>
  <c r="AV28" i="3"/>
  <c r="BC17" i="3"/>
  <c r="E33" i="2"/>
  <c r="FE15" i="4" a="1"/>
  <c r="AA33" i="2"/>
  <c r="AF5" i="3"/>
  <c r="AF87" i="3" s="1"/>
  <c r="FF11" i="4" a="1"/>
  <c r="AF41" i="3"/>
  <c r="AK5" i="6" a="1"/>
  <c r="AA83" i="2"/>
  <c r="FF15" i="4" a="1"/>
  <c r="AA58" i="2"/>
  <c r="ES5" i="4" a="1"/>
  <c r="AA55" i="2"/>
  <c r="EN8" i="4" a="1"/>
  <c r="BA14" i="3"/>
  <c r="AT37" i="3"/>
  <c r="FD16" i="4" a="1"/>
  <c r="EV11" i="4" a="1"/>
  <c r="EX11" i="4" a="1"/>
  <c r="D14" i="2"/>
  <c r="BC12" i="3"/>
  <c r="BC5" i="3"/>
  <c r="BA27" i="3"/>
  <c r="AY11" i="3"/>
  <c r="AW26" i="3"/>
  <c r="AY35" i="3"/>
  <c r="Z9" i="2"/>
  <c r="AY39" i="3"/>
  <c r="BC11" i="3"/>
  <c r="EW6" i="4" a="1"/>
  <c r="AF28" i="3"/>
  <c r="EP9" i="4" a="1"/>
  <c r="BC36" i="3"/>
  <c r="BD18" i="3"/>
  <c r="D24" i="2"/>
  <c r="AT46" i="3"/>
  <c r="Z110" i="2"/>
  <c r="AY58" i="3"/>
  <c r="EX6" i="4" a="1"/>
  <c r="Z71" i="2"/>
  <c r="Z75" i="2"/>
  <c r="C5" i="3"/>
  <c r="AX27" i="3"/>
  <c r="AA86" i="2"/>
  <c r="AF26" i="3"/>
  <c r="BB48" i="3"/>
  <c r="BB32" i="3"/>
  <c r="AJ11" i="4" a="1"/>
  <c r="AF5" i="6" a="1"/>
  <c r="AA7" i="2"/>
  <c r="AS45" i="3"/>
  <c r="BC46" i="3"/>
  <c r="EU8" i="4" a="1"/>
  <c r="Z86" i="2"/>
  <c r="Y88" i="2"/>
  <c r="FD14" i="4" a="1"/>
  <c r="Y47" i="2"/>
  <c r="AG6" i="6" a="1"/>
  <c r="FF13" i="4" a="1"/>
  <c r="AY13" i="3"/>
  <c r="DG8" i="4" a="1"/>
  <c r="BA11" i="3"/>
  <c r="Z56" i="2"/>
  <c r="AV31" i="3"/>
  <c r="BD35" i="3"/>
  <c r="AV5" i="3"/>
  <c r="FC8" i="4" a="1"/>
  <c r="Y108" i="2"/>
  <c r="FB16" i="4" a="1"/>
  <c r="FE14" i="4" a="1"/>
  <c r="AW25" i="3"/>
  <c r="BA5" i="3"/>
  <c r="AY10" i="3"/>
  <c r="BC80" i="3"/>
  <c r="BA30" i="3"/>
  <c r="Z107" i="2"/>
  <c r="E6" i="6" a="1"/>
  <c r="FA12" i="4" a="1"/>
  <c r="AS14" i="3"/>
  <c r="Y91" i="2"/>
  <c r="AJ6" i="6" a="1"/>
  <c r="FD11" i="4" a="1"/>
  <c r="AX13" i="3"/>
  <c r="Y23" i="2"/>
  <c r="Z79" i="2"/>
  <c r="AX40" i="3"/>
  <c r="AA52" i="2"/>
  <c r="AT13" i="3"/>
  <c r="BD36" i="3"/>
  <c r="EM5" i="4" a="1"/>
  <c r="BB21" i="3"/>
  <c r="AW49" i="3"/>
  <c r="AW21" i="3"/>
  <c r="Z14" i="2"/>
  <c r="Y87" i="2"/>
  <c r="AU17" i="3"/>
  <c r="BD77" i="3"/>
  <c r="BA23" i="3"/>
  <c r="AT39" i="3"/>
  <c r="AU40" i="3"/>
  <c r="BC34" i="3"/>
  <c r="BD27" i="3"/>
  <c r="AY6" i="3"/>
  <c r="Z76" i="2"/>
  <c r="AA23" i="2"/>
  <c r="AV15" i="3"/>
  <c r="BD33" i="3"/>
  <c r="AY32" i="3"/>
  <c r="AS9" i="3"/>
  <c r="X20" i="2"/>
  <c r="BC26" i="3"/>
  <c r="AE6" i="6" a="1"/>
  <c r="AT40" i="3"/>
  <c r="AT21" i="3"/>
  <c r="ES16" i="4" a="1"/>
  <c r="AF8" i="3"/>
  <c r="FE5" i="4" a="1"/>
  <c r="Z22" i="2"/>
  <c r="Y86" i="2"/>
  <c r="AV21" i="3"/>
  <c r="AA75" i="2"/>
  <c r="AW35" i="3"/>
  <c r="Y67" i="2"/>
  <c r="BC24" i="3"/>
  <c r="AA11" i="2"/>
  <c r="EZ14" i="4" a="1"/>
  <c r="ER13" i="4" a="1"/>
  <c r="Z43" i="2"/>
  <c r="AY16" i="3"/>
  <c r="AA65" i="2"/>
  <c r="Y73" i="2"/>
  <c r="Z53" i="2"/>
  <c r="EL8" i="4" a="1"/>
  <c r="AA29" i="2"/>
  <c r="AS40" i="3"/>
  <c r="BC57" i="3"/>
  <c r="AV9" i="3"/>
  <c r="Y96" i="2"/>
  <c r="BB23" i="3"/>
  <c r="AY46" i="3"/>
  <c r="Z109" i="2"/>
  <c r="AV13" i="3"/>
  <c r="AS11" i="3"/>
  <c r="AT10" i="3"/>
  <c r="AA40" i="2"/>
  <c r="AF42" i="3"/>
  <c r="BC10" i="3"/>
  <c r="T6" i="6" a="1"/>
  <c r="Z91" i="2"/>
  <c r="AX22" i="3"/>
  <c r="FD9" i="4" a="1"/>
  <c r="AV17" i="3"/>
  <c r="AA78" i="2"/>
  <c r="Z99" i="2"/>
  <c r="AX41" i="3"/>
  <c r="FE8" i="4" a="1"/>
  <c r="C94" i="3"/>
  <c r="AF46" i="3"/>
  <c r="BA40" i="3"/>
  <c r="Y44" i="2"/>
  <c r="AW40" i="3"/>
  <c r="Z72" i="2"/>
  <c r="EO8" i="4" a="1"/>
  <c r="Z31" i="2"/>
  <c r="AY54" i="3"/>
  <c r="Z35" i="2"/>
  <c r="Q5" i="6" a="1"/>
  <c r="AA10" i="2"/>
  <c r="AA24" i="2"/>
  <c r="R6" i="6" a="1"/>
  <c r="Z33" i="2"/>
  <c r="AW14" i="3"/>
  <c r="BA29" i="3"/>
  <c r="V6" i="6" a="1"/>
  <c r="AA97" i="2"/>
  <c r="CR8" i="4" a="1"/>
  <c r="AF24" i="3"/>
  <c r="BA41" i="3"/>
  <c r="BA17" i="3"/>
  <c r="AU23" i="3"/>
  <c r="EQ12" i="4" a="1"/>
  <c r="BC41" i="3"/>
  <c r="AT97" i="3"/>
  <c r="Y15" i="2"/>
  <c r="AP6" i="3"/>
  <c r="AW42" i="3"/>
  <c r="Y59" i="2"/>
  <c r="AU14" i="3"/>
  <c r="T5" i="6" a="1"/>
  <c r="FB13" i="4" a="1"/>
  <c r="Y77" i="2"/>
  <c r="BB68" i="3"/>
  <c r="BD26" i="3"/>
  <c r="AT25" i="3"/>
  <c r="AW15" i="3"/>
  <c r="Y35" i="2"/>
  <c r="Y104" i="2"/>
  <c r="FE6" i="4" a="1"/>
  <c r="Y30" i="2"/>
  <c r="AY67" i="3"/>
  <c r="AY62" i="3"/>
  <c r="AX37" i="3"/>
  <c r="AA13" i="2"/>
  <c r="AX6" i="3"/>
  <c r="F30" i="2"/>
  <c r="ER16" i="4" a="1"/>
  <c r="AS5" i="6" a="1"/>
  <c r="AY65" i="3"/>
  <c r="Y16" i="2"/>
  <c r="AV42" i="3"/>
  <c r="BB46" i="3"/>
  <c r="EY9" i="4" a="1"/>
  <c r="FF8" i="4" a="1"/>
  <c r="EN11" i="4" a="1"/>
  <c r="Z69" i="2"/>
  <c r="AA60" i="2"/>
  <c r="X33" i="2"/>
  <c r="Y28" i="2"/>
  <c r="AS9" i="4" a="1"/>
  <c r="L15" i="2"/>
  <c r="E32" i="3"/>
  <c r="D35" i="2"/>
  <c r="O12" i="2"/>
  <c r="BX12" i="4" a="1"/>
  <c r="Z28" i="2"/>
  <c r="P9" i="2"/>
  <c r="D6" i="2"/>
  <c r="S18" i="2"/>
  <c r="EM12" i="4" a="1"/>
  <c r="AU26" i="3"/>
  <c r="AA85" i="2"/>
  <c r="BM14" i="4" a="1"/>
  <c r="AU13" i="4" a="1"/>
  <c r="R27" i="2"/>
  <c r="EJ14" i="4" a="1"/>
  <c r="E18" i="3"/>
  <c r="AI11" i="4" a="1"/>
  <c r="S10" i="2"/>
  <c r="BH14" i="4" a="1"/>
  <c r="BA48" i="3"/>
  <c r="AR7" i="3"/>
  <c r="I18" i="2"/>
  <c r="F34" i="3"/>
  <c r="BC96" i="3"/>
  <c r="Q28" i="2"/>
  <c r="AV20" i="3"/>
  <c r="CL16" i="4" a="1"/>
  <c r="EO12" i="4" a="1"/>
  <c r="Q20" i="2"/>
  <c r="AU24" i="3"/>
  <c r="S35" i="2"/>
  <c r="C19" i="2"/>
  <c r="BC22" i="3"/>
  <c r="EQ16" i="4" a="1"/>
  <c r="N34" i="2"/>
  <c r="AL6" i="6" a="1"/>
  <c r="Z8" i="2"/>
  <c r="BD15" i="4" a="1"/>
  <c r="D36" i="3"/>
  <c r="EI14" i="4" a="1"/>
  <c r="CU13" i="4" a="1"/>
  <c r="H28" i="2"/>
  <c r="AV25" i="3"/>
  <c r="T26" i="2"/>
  <c r="J17" i="2"/>
  <c r="AJ46" i="3"/>
  <c r="AV41" i="3"/>
  <c r="F15" i="2"/>
  <c r="R54" i="2"/>
  <c r="E33" i="3"/>
  <c r="AU22" i="3"/>
  <c r="K87" i="2"/>
  <c r="EV12" i="4" a="1"/>
  <c r="BT16" i="4" a="1"/>
  <c r="BM5" i="4" a="1"/>
  <c r="AX5" i="6" a="1"/>
  <c r="N9" i="2"/>
  <c r="AD15" i="3"/>
  <c r="AV26" i="3"/>
  <c r="C13" i="2"/>
  <c r="K20" i="2"/>
  <c r="Q30" i="2"/>
  <c r="BS5" i="4" a="1"/>
  <c r="DN15" i="4" a="1"/>
  <c r="G15" i="2"/>
  <c r="Q13" i="4" a="1"/>
  <c r="O32" i="2"/>
  <c r="D6" i="6" a="1"/>
  <c r="AT18" i="3"/>
  <c r="EI6" i="4" a="1"/>
  <c r="K27" i="2"/>
  <c r="E13" i="2"/>
  <c r="EZ11" i="4" a="1"/>
  <c r="H30" i="2"/>
  <c r="Y97" i="2"/>
  <c r="Z97" i="2"/>
  <c r="AX45" i="3"/>
  <c r="FC13" i="4" a="1"/>
  <c r="AA88" i="2"/>
  <c r="AA19" i="2"/>
  <c r="I35" i="2"/>
  <c r="EO16" i="4" a="1"/>
  <c r="EM7" i="4" a="1"/>
  <c r="C4" i="2"/>
  <c r="FD15" i="4" a="1"/>
  <c r="Z51" i="2"/>
  <c r="FF14" i="4" a="1"/>
  <c r="Z42" i="2"/>
  <c r="AA32" i="2"/>
  <c r="AV11" i="3"/>
  <c r="BB35" i="3"/>
  <c r="AZ29" i="3"/>
  <c r="Y99" i="2"/>
  <c r="Z47" i="2"/>
  <c r="Z81" i="2"/>
  <c r="R25" i="2"/>
  <c r="AU45" i="3"/>
  <c r="D5" i="6" a="1"/>
  <c r="BD21" i="3"/>
  <c r="AT27" i="3"/>
  <c r="AY42" i="3"/>
  <c r="AX26" i="3"/>
  <c r="BB15" i="3"/>
  <c r="ER11" i="4" a="1"/>
  <c r="M5" i="6" a="1"/>
  <c r="FB6" i="4" a="1"/>
  <c r="U20" i="2"/>
  <c r="AU5" i="3"/>
  <c r="E8" i="2"/>
  <c r="CQ7" i="4" a="1"/>
  <c r="D6" i="4" a="1"/>
  <c r="DF11" i="4" a="1"/>
  <c r="U21" i="2"/>
  <c r="AZ39" i="3"/>
  <c r="BT13" i="4" a="1"/>
  <c r="CY8" i="4" a="1"/>
  <c r="DM6" i="4" a="1"/>
  <c r="AE5" i="6" a="1"/>
  <c r="AU41" i="3"/>
  <c r="AS41" i="3"/>
  <c r="J19" i="2"/>
  <c r="Z19" i="2"/>
  <c r="M7" i="2"/>
  <c r="AA12" i="2"/>
  <c r="F16" i="2"/>
  <c r="AM8" i="4" a="1"/>
  <c r="AA92" i="2"/>
  <c r="BC5" i="4" a="1"/>
  <c r="AW36" i="3"/>
  <c r="EU12" i="4" a="1"/>
  <c r="O7" i="4" a="1"/>
  <c r="T7" i="2"/>
  <c r="ES9" i="4" a="1"/>
  <c r="L9" i="2"/>
  <c r="W35" i="2"/>
  <c r="DJ15" i="4" a="1"/>
  <c r="AS25" i="3"/>
  <c r="K13" i="2"/>
  <c r="BC89" i="3"/>
  <c r="K21" i="2"/>
  <c r="AR38" i="3"/>
  <c r="EU7" i="4" a="1"/>
  <c r="AW9" i="3"/>
  <c r="DY11" i="4" a="1"/>
  <c r="AU35" i="3"/>
  <c r="AS32" i="3"/>
  <c r="D30" i="2"/>
  <c r="Z20" i="2"/>
  <c r="DT9" i="4" a="1"/>
  <c r="AA93" i="2"/>
  <c r="T6" i="2"/>
  <c r="EO7" i="4" a="1"/>
  <c r="V31" i="2"/>
  <c r="C9" i="2"/>
  <c r="P23" i="2"/>
  <c r="AF22" i="3"/>
  <c r="EO6" i="4" a="1"/>
  <c r="BD25" i="3"/>
  <c r="BB26" i="3"/>
  <c r="FD12" i="4" a="1"/>
  <c r="AX5" i="3"/>
  <c r="AX59" i="3" s="1"/>
  <c r="AV34" i="3"/>
  <c r="AA110" i="2"/>
  <c r="D28" i="2"/>
  <c r="AY33" i="3"/>
  <c r="Y74" i="2"/>
  <c r="AT12" i="3"/>
  <c r="AT36" i="3"/>
  <c r="EV7" i="4" a="1"/>
  <c r="AF7" i="3"/>
  <c r="Z93" i="2"/>
  <c r="EL11" i="4" a="1"/>
  <c r="AA57" i="2"/>
  <c r="Z62" i="2"/>
  <c r="Z49" i="2"/>
  <c r="AV45" i="3"/>
  <c r="BB24" i="3"/>
  <c r="BA12" i="3"/>
  <c r="AP5" i="6" a="1"/>
  <c r="AV16" i="3"/>
  <c r="AZ24" i="3"/>
  <c r="ES13" i="4" a="1"/>
  <c r="ER7" i="4" a="1"/>
  <c r="Y29" i="2"/>
  <c r="BA31" i="3"/>
  <c r="EQ13" i="4" a="1"/>
  <c r="FF5" i="4" a="1"/>
  <c r="D17" i="2"/>
  <c r="AX30" i="3"/>
  <c r="AY68" i="3"/>
  <c r="I20" i="2"/>
  <c r="BC30" i="3"/>
  <c r="F18" i="2"/>
  <c r="Y11" i="2"/>
  <c r="W25" i="2"/>
  <c r="AF21" i="3"/>
  <c r="CQ14" i="4" a="1"/>
  <c r="T23" i="2"/>
  <c r="M8" i="2"/>
  <c r="AS5" i="3"/>
  <c r="S20" i="2"/>
  <c r="AX42" i="3"/>
  <c r="W18" i="2"/>
  <c r="Y71" i="2"/>
  <c r="DO5" i="4" a="1"/>
  <c r="AZ9" i="3"/>
  <c r="D23" i="2"/>
  <c r="W34" i="2"/>
  <c r="EP13" i="4" a="1"/>
  <c r="Y25" i="2"/>
  <c r="EI9" i="4" a="1"/>
  <c r="CH15" i="4" a="1"/>
  <c r="AN5" i="6" a="1"/>
  <c r="Y82" i="2"/>
  <c r="H6" i="2"/>
  <c r="AZ42" i="3"/>
  <c r="BM7" i="4" a="1"/>
  <c r="R16" i="4" a="1"/>
  <c r="U11" i="2"/>
  <c r="BA74" i="3"/>
  <c r="AY7" i="4" a="1"/>
  <c r="BD67" i="3"/>
  <c r="BV7" i="4" a="1"/>
  <c r="X23" i="2"/>
  <c r="AF37" i="3"/>
  <c r="CK15" i="4" a="1"/>
  <c r="Y15" i="4" a="1"/>
  <c r="AT20" i="3"/>
  <c r="EJ5" i="4" a="1"/>
  <c r="Z80" i="2"/>
  <c r="Q27" i="2"/>
  <c r="AT32" i="3"/>
  <c r="DQ13" i="4" a="1"/>
  <c r="H17" i="2"/>
  <c r="AA47" i="2"/>
  <c r="Z77" i="2"/>
  <c r="X9" i="2"/>
  <c r="Q46" i="2"/>
  <c r="BC40" i="3"/>
  <c r="AA56" i="2"/>
  <c r="BC25" i="3"/>
  <c r="AT41" i="3"/>
  <c r="E14" i="2"/>
  <c r="AY41" i="3"/>
  <c r="BB8" i="3"/>
  <c r="AY69" i="3"/>
  <c r="AW12" i="3"/>
  <c r="AU39" i="3"/>
  <c r="FE13" i="4" a="1"/>
  <c r="Y5" i="2"/>
  <c r="BD20" i="3"/>
  <c r="AY28" i="3"/>
  <c r="AU31" i="3"/>
  <c r="AY8" i="3"/>
  <c r="AA21" i="2"/>
  <c r="AA28" i="2"/>
  <c r="FA7" i="4" a="1"/>
  <c r="Z24" i="2"/>
  <c r="Z65" i="2"/>
  <c r="EO15" i="4" a="1"/>
  <c r="EZ12" i="4" a="1"/>
  <c r="AA34" i="2"/>
  <c r="AY29" i="3"/>
  <c r="AV5" i="6" a="1"/>
  <c r="AA26" i="2"/>
  <c r="AA8" i="2"/>
  <c r="AA70" i="2"/>
  <c r="AS16" i="3"/>
  <c r="FA14" i="4" a="1"/>
  <c r="AA15" i="2"/>
  <c r="AY57" i="3"/>
  <c r="AF34" i="3"/>
  <c r="G31" i="2"/>
  <c r="F35" i="2"/>
  <c r="AY74" i="3"/>
  <c r="R32" i="2"/>
  <c r="Y26" i="2"/>
  <c r="K34" i="2"/>
  <c r="BD74" i="3"/>
  <c r="F39" i="3"/>
  <c r="BB69" i="3"/>
  <c r="BB71" i="3"/>
  <c r="AA98" i="2"/>
  <c r="T30" i="2"/>
  <c r="BC13" i="3"/>
  <c r="G11" i="2"/>
  <c r="AX10" i="3"/>
  <c r="P9" i="4" a="1"/>
  <c r="AT29" i="3"/>
  <c r="AU7" i="4" a="1"/>
  <c r="AT45" i="3"/>
  <c r="S26" i="2"/>
  <c r="CS12" i="4" a="1"/>
  <c r="AZ25" i="3"/>
  <c r="AW34" i="3"/>
  <c r="D8" i="2"/>
  <c r="N20" i="2"/>
  <c r="T35" i="2"/>
  <c r="AU16" i="3"/>
  <c r="P21" i="2"/>
  <c r="BB36" i="3"/>
  <c r="J14" i="2"/>
  <c r="K33" i="2"/>
  <c r="D27" i="3"/>
  <c r="Q78" i="2"/>
  <c r="DS6" i="4" a="1"/>
  <c r="Q24" i="2"/>
  <c r="Y107" i="2"/>
  <c r="L12" i="2"/>
  <c r="AS6" i="6" a="1"/>
  <c r="N6" i="6" a="1"/>
  <c r="EY15" i="4" a="1"/>
  <c r="F11" i="4" a="1"/>
  <c r="ER6" i="4" a="1"/>
  <c r="M31" i="2"/>
  <c r="AV24" i="3"/>
  <c r="M28" i="2"/>
  <c r="AV6" i="6" a="1"/>
  <c r="BO14" i="4" a="1"/>
  <c r="V5" i="2"/>
  <c r="AU25" i="3"/>
  <c r="BD9" i="3"/>
  <c r="DH12" i="4" a="1"/>
  <c r="C7" i="2"/>
  <c r="BC45" i="3"/>
  <c r="Z41" i="2"/>
  <c r="D36" i="2"/>
  <c r="H32" i="2"/>
  <c r="AL8" i="4" a="1"/>
  <c r="U5" i="4" a="1"/>
  <c r="F21" i="2"/>
  <c r="EN16" i="4" a="1"/>
  <c r="AN8" i="4" a="1"/>
  <c r="L11" i="2"/>
  <c r="I11" i="4" a="1"/>
  <c r="AV22" i="3"/>
  <c r="H99" i="2"/>
  <c r="AF33" i="3"/>
  <c r="ER12" i="4" a="1"/>
  <c r="X15" i="2"/>
  <c r="AR45" i="3"/>
  <c r="S5" i="2"/>
  <c r="Z64" i="2"/>
  <c r="N36" i="2"/>
  <c r="BB87" i="3"/>
  <c r="V15" i="2"/>
  <c r="AM6" i="4" a="1"/>
  <c r="E12" i="2"/>
  <c r="EU15" i="4" a="1"/>
  <c r="BB86" i="3"/>
  <c r="N10" i="2"/>
  <c r="AS22" i="3"/>
  <c r="F5" i="2"/>
  <c r="S27" i="2"/>
  <c r="AU5" i="4" a="1"/>
  <c r="AF45" i="3"/>
  <c r="AB11" i="4" a="1"/>
  <c r="AW18" i="3"/>
  <c r="DL11" i="4" a="1"/>
  <c r="T12" i="2"/>
  <c r="AS30" i="3"/>
  <c r="V16" i="2"/>
  <c r="S11" i="4" a="1"/>
  <c r="AA14" i="2"/>
  <c r="BB37" i="3"/>
  <c r="EW11" i="4" a="1"/>
  <c r="Y31" i="2"/>
  <c r="BA6" i="3"/>
  <c r="AT5" i="6" a="1"/>
  <c r="EN14" i="4" a="1"/>
  <c r="BA7" i="3"/>
  <c r="Z11" i="2"/>
  <c r="FF6" i="4" a="1"/>
  <c r="AP5" i="3"/>
  <c r="AY45" i="3"/>
  <c r="BA19" i="3"/>
  <c r="EO13" i="4" a="1"/>
  <c r="AY14" i="3"/>
  <c r="AW11" i="3"/>
  <c r="Z12" i="2"/>
  <c r="BC31" i="3"/>
  <c r="FA15" i="4" a="1"/>
  <c r="AY15" i="3"/>
  <c r="Z21" i="2"/>
  <c r="BA35" i="3"/>
  <c r="Z63" i="2"/>
  <c r="Z7" i="2"/>
  <c r="EL7" i="4" a="1"/>
  <c r="Z84" i="2"/>
  <c r="BA25" i="3"/>
  <c r="BB14" i="3"/>
  <c r="EM9" i="4" a="1"/>
  <c r="BC7" i="3"/>
  <c r="Y63" i="2"/>
  <c r="AW23" i="3"/>
  <c r="AZ17" i="3"/>
  <c r="ES8" i="4" a="1"/>
  <c r="DU11" i="4" a="1"/>
  <c r="F42" i="3"/>
  <c r="EW14" i="4" a="1"/>
  <c r="V21" i="2"/>
  <c r="EV6" i="4" a="1"/>
  <c r="C32" i="2"/>
  <c r="X17" i="2"/>
  <c r="AZ20" i="3"/>
  <c r="AW31" i="3"/>
  <c r="K28" i="2"/>
  <c r="EQ15" i="4" a="1"/>
  <c r="X27" i="2"/>
  <c r="CH5" i="4" a="1"/>
  <c r="DO6" i="4" a="1"/>
  <c r="AY34" i="3"/>
  <c r="DN7" i="4" a="1"/>
  <c r="AV46" i="3"/>
  <c r="CS15" i="4" a="1"/>
  <c r="U12" i="2"/>
  <c r="X13" i="2"/>
  <c r="C15" i="2"/>
  <c r="T25" i="2"/>
  <c r="AN6" i="6" a="1"/>
  <c r="G8" i="2"/>
  <c r="BD40" i="3"/>
  <c r="DG13" i="4" a="1"/>
  <c r="G7" i="3"/>
  <c r="CV12" i="4" a="1"/>
  <c r="CD7" i="4" a="1"/>
  <c r="S36" i="2"/>
  <c r="DX16" i="4" a="1"/>
  <c r="AR5" i="3"/>
  <c r="AR89" i="3" s="1"/>
  <c r="O23" i="2"/>
  <c r="G16" i="2"/>
  <c r="L30" i="2"/>
  <c r="Z95" i="2"/>
  <c r="F25" i="2"/>
  <c r="M22" i="2"/>
  <c r="C15" i="4" a="1"/>
  <c r="AQ5" i="6" a="1"/>
  <c r="O26" i="2"/>
  <c r="AB5" i="6" a="1"/>
  <c r="G33" i="2"/>
  <c r="DX7" i="4" a="1"/>
  <c r="EP14" i="4" a="1"/>
  <c r="AJ5" i="6" a="1"/>
  <c r="N23" i="2"/>
  <c r="DL8" i="4" a="1"/>
  <c r="EU6" i="4" a="1"/>
  <c r="FC11" i="4" a="1"/>
  <c r="E15" i="2"/>
  <c r="DT14" i="4" a="1"/>
  <c r="K6" i="2"/>
  <c r="DI6" i="4" a="1"/>
  <c r="J18" i="2"/>
  <c r="ES15" i="4" a="1"/>
  <c r="AF8" i="4" a="1"/>
  <c r="E28" i="2"/>
  <c r="DW14" i="4" a="1"/>
  <c r="BA83" i="3"/>
  <c r="H24" i="2"/>
  <c r="AM5" i="6" a="1"/>
  <c r="U7" i="2"/>
  <c r="Z10" i="2"/>
  <c r="U16" i="2"/>
  <c r="BA80" i="3"/>
  <c r="U14" i="4" a="1"/>
  <c r="EV16" i="4" a="1"/>
  <c r="DX12" i="4" a="1"/>
  <c r="S33" i="2"/>
  <c r="T24" i="2"/>
  <c r="AS21" i="3"/>
  <c r="AY82" i="3"/>
  <c r="J10" i="2"/>
  <c r="ER5" i="4" a="1"/>
  <c r="R30" i="2"/>
  <c r="CG7" i="4" a="1"/>
  <c r="CO9" i="4" a="1"/>
  <c r="O22" i="2"/>
  <c r="F14" i="3"/>
  <c r="I12" i="2"/>
  <c r="Y61" i="2"/>
  <c r="L7" i="2"/>
  <c r="AF27" i="3"/>
  <c r="AV7" i="3"/>
  <c r="AA73" i="2"/>
  <c r="U18" i="2"/>
  <c r="I9" i="2"/>
  <c r="AY19" i="3"/>
  <c r="J21" i="2"/>
  <c r="AY94" i="3"/>
  <c r="AA77" i="2"/>
  <c r="P8" i="2"/>
  <c r="E6" i="2"/>
  <c r="C31" i="2"/>
  <c r="AA5" i="4" a="1"/>
  <c r="T11" i="2"/>
  <c r="EU16" i="4" a="1"/>
  <c r="Z26" i="2"/>
  <c r="AU9" i="3"/>
  <c r="EV8" i="4" a="1"/>
  <c r="Z61" i="2"/>
  <c r="AA6" i="2"/>
  <c r="C6" i="6" a="1"/>
  <c r="EY6" i="4" a="1"/>
  <c r="Y68" i="2"/>
  <c r="Y90" i="2"/>
  <c r="AT9" i="3"/>
  <c r="Z66" i="2"/>
  <c r="AF19" i="3"/>
  <c r="C11" i="2"/>
  <c r="D29" i="2"/>
  <c r="Z73" i="2"/>
  <c r="FA16" i="4" a="1"/>
  <c r="ET8" i="4" a="1"/>
  <c r="AS31" i="3"/>
  <c r="AZ26" i="3"/>
  <c r="AK8" i="4" a="1"/>
  <c r="AA66" i="2"/>
  <c r="BA8" i="3"/>
  <c r="AA69" i="2"/>
  <c r="D12" i="2"/>
  <c r="Z96" i="2"/>
  <c r="BA15" i="3"/>
  <c r="BB19" i="3"/>
  <c r="AU34" i="3"/>
  <c r="AA17" i="2"/>
  <c r="Y89" i="2"/>
  <c r="X5" i="6" a="1"/>
  <c r="EC15" i="4" a="1"/>
  <c r="AT35" i="3"/>
  <c r="S15" i="2"/>
  <c r="BA84" i="3"/>
  <c r="BW15" i="4" a="1"/>
  <c r="AY86" i="3"/>
  <c r="T13" i="2"/>
  <c r="AT19" i="3"/>
  <c r="I19" i="2"/>
  <c r="W33" i="2"/>
  <c r="O6" i="6" a="1"/>
  <c r="EW12" i="4" a="1"/>
  <c r="I14" i="2"/>
  <c r="ET9" i="4" a="1"/>
  <c r="R9" i="2"/>
  <c r="M14" i="2"/>
  <c r="DT16" i="4" a="1"/>
  <c r="AT86" i="3"/>
  <c r="Z16" i="4" a="1"/>
  <c r="J22" i="2"/>
  <c r="BC21" i="3"/>
  <c r="O16" i="2"/>
  <c r="ET14" i="4" a="1"/>
  <c r="AV36" i="3"/>
  <c r="BA39" i="3"/>
  <c r="P36" i="2"/>
  <c r="S6" i="2"/>
  <c r="AS33" i="3"/>
  <c r="Q69" i="2"/>
  <c r="AX29" i="3"/>
  <c r="BB65" i="3"/>
  <c r="U19" i="2"/>
  <c r="P24" i="2"/>
  <c r="U17" i="2"/>
  <c r="H27" i="2"/>
  <c r="H45" i="3"/>
  <c r="ES11" i="4" a="1"/>
  <c r="E31" i="2"/>
  <c r="DM5" i="4" a="1"/>
  <c r="C24" i="2"/>
  <c r="W5" i="4" a="1"/>
  <c r="X92" i="2"/>
  <c r="C17" i="2"/>
  <c r="AW7" i="3"/>
  <c r="E10" i="3"/>
  <c r="R33" i="2"/>
  <c r="DA5" i="4" a="1"/>
  <c r="AR22" i="3"/>
  <c r="FB8" i="4" a="1"/>
  <c r="U5" i="6" a="1"/>
  <c r="Y7" i="2"/>
  <c r="AV12" i="3"/>
  <c r="BC58" i="3"/>
  <c r="BB10" i="3"/>
  <c r="Z94" i="2"/>
  <c r="AW10" i="3"/>
  <c r="ES7" i="4" a="1"/>
  <c r="BD46" i="3"/>
  <c r="Q22" i="2"/>
  <c r="AZ11" i="3"/>
  <c r="BS13" i="4" a="1"/>
  <c r="BD30" i="3"/>
  <c r="Q33" i="2"/>
  <c r="AU7" i="3"/>
  <c r="Z50" i="2"/>
  <c r="AZ37" i="3"/>
  <c r="AF16" i="3"/>
  <c r="DC15" i="4" a="1"/>
  <c r="AT42" i="3"/>
  <c r="C6" i="4" a="1"/>
  <c r="AY40" i="3"/>
  <c r="AA91" i="2"/>
  <c r="AZ35" i="3"/>
  <c r="BA21" i="3"/>
  <c r="BA18" i="3"/>
  <c r="AW13" i="3"/>
  <c r="AX18" i="3"/>
  <c r="AA30" i="2"/>
  <c r="C16" i="2"/>
  <c r="AY38" i="3"/>
  <c r="S9" i="2"/>
  <c r="H23" i="2"/>
  <c r="E16" i="3"/>
  <c r="EL9" i="4" a="1"/>
  <c r="M14" i="4" a="1"/>
  <c r="AT93" i="3"/>
  <c r="D38" i="3"/>
  <c r="BZ9" i="4" a="1"/>
  <c r="ER15" i="4" a="1"/>
  <c r="AX35" i="3"/>
  <c r="BD31" i="3"/>
  <c r="Y22" i="2"/>
  <c r="CP9" i="4" a="1"/>
  <c r="Q5" i="2"/>
  <c r="AR9" i="4" a="1"/>
  <c r="X5" i="2"/>
  <c r="AB12" i="4" a="1"/>
  <c r="T46" i="3"/>
  <c r="BC90" i="3"/>
  <c r="CN11" i="4" a="1"/>
  <c r="K14" i="2"/>
  <c r="U22" i="2"/>
  <c r="BC55" i="3"/>
  <c r="Y8" i="2"/>
  <c r="V36" i="2"/>
  <c r="U32" i="2"/>
  <c r="DM16" i="4" a="1"/>
  <c r="AY20" i="3"/>
  <c r="G35" i="2"/>
  <c r="Y57" i="2"/>
  <c r="K26" i="2"/>
  <c r="Y106" i="2"/>
  <c r="BF9" i="4" a="1"/>
  <c r="AZ38" i="3"/>
  <c r="H10" i="2"/>
  <c r="R18" i="2"/>
  <c r="I13" i="2"/>
  <c r="BA20" i="3"/>
  <c r="BB20" i="3"/>
  <c r="AP7" i="3"/>
  <c r="Y52" i="2"/>
  <c r="Z45" i="2"/>
  <c r="AU10" i="3"/>
  <c r="ET16" i="4" a="1"/>
  <c r="AU13" i="3"/>
  <c r="AX15" i="3"/>
  <c r="BC23" i="3"/>
  <c r="Y84" i="2"/>
  <c r="Z40" i="2"/>
  <c r="AA67" i="2"/>
  <c r="FB5" i="4" a="1"/>
  <c r="BD12" i="3"/>
  <c r="AU36" i="3"/>
  <c r="AI6" i="6" a="1"/>
  <c r="AV40" i="3"/>
  <c r="Y6" i="6" a="1"/>
  <c r="AF18" i="3"/>
  <c r="M6" i="2"/>
  <c r="C5" i="4" a="1"/>
  <c r="P5" i="6" a="1"/>
  <c r="Y95" i="2"/>
  <c r="FD8" i="4" a="1"/>
  <c r="EM15" i="4" a="1"/>
  <c r="FB12" i="4" a="1"/>
  <c r="AW45" i="3"/>
  <c r="C18" i="2"/>
  <c r="AX28" i="3"/>
  <c r="Z70" i="2"/>
  <c r="FA11" i="4" a="1"/>
  <c r="L29" i="2"/>
  <c r="C5" i="6" a="1"/>
  <c r="DM15" i="4" a="1"/>
  <c r="BH12" i="4" a="1"/>
  <c r="DR7" i="4" a="1"/>
  <c r="K10" i="2"/>
  <c r="X8" i="4" a="1"/>
  <c r="Q16" i="2"/>
  <c r="Z54" i="2"/>
  <c r="T10" i="2"/>
  <c r="E19" i="2"/>
  <c r="L8" i="2"/>
  <c r="BA33" i="3"/>
  <c r="AA82" i="2"/>
  <c r="DD9" i="4" a="1"/>
  <c r="F10" i="2"/>
  <c r="DW15" i="4" a="1"/>
  <c r="H7" i="2"/>
  <c r="F17" i="2"/>
  <c r="G20" i="2"/>
  <c r="AU67" i="3"/>
  <c r="T8" i="2"/>
  <c r="C20" i="2"/>
  <c r="L17" i="2"/>
  <c r="AO6" i="6" a="1"/>
  <c r="Y53" i="2"/>
  <c r="U34" i="2"/>
  <c r="AR15" i="3"/>
  <c r="ET15" i="4" a="1"/>
  <c r="AW15" i="4" a="1"/>
  <c r="AV14" i="3"/>
  <c r="M35" i="2"/>
  <c r="G5" i="6" a="1"/>
  <c r="N15" i="2"/>
  <c r="AV18" i="3"/>
  <c r="C8" i="2"/>
  <c r="AT69" i="3"/>
  <c r="EX9" i="4" a="1"/>
  <c r="FF7" i="4" a="1"/>
  <c r="C6" i="2"/>
  <c r="Z5" i="2"/>
  <c r="Z55" i="2"/>
  <c r="G18" i="2"/>
  <c r="CS7" i="4" a="1"/>
  <c r="T12" i="4" a="1"/>
  <c r="E6" i="4" a="1"/>
  <c r="AS7" i="4" a="1"/>
  <c r="AW37" i="3"/>
  <c r="G7" i="2"/>
  <c r="X24" i="2"/>
  <c r="S11" i="2"/>
  <c r="AT14" i="3"/>
  <c r="AW28" i="3"/>
  <c r="H15" i="2"/>
  <c r="AW17" i="3"/>
  <c r="BY5" i="4" a="1"/>
  <c r="AF32" i="3"/>
  <c r="E10" i="2"/>
  <c r="BA50" i="3"/>
  <c r="Y75" i="2"/>
  <c r="DZ14" i="4" a="1"/>
  <c r="M25" i="2"/>
  <c r="H31" i="2"/>
  <c r="AW83" i="3"/>
  <c r="R24" i="2"/>
  <c r="F27" i="2"/>
  <c r="AU66" i="3"/>
  <c r="V35" i="2"/>
  <c r="BB31" i="3"/>
  <c r="CW13" i="4" a="1"/>
  <c r="DQ8" i="4" a="1"/>
  <c r="DC12" i="4" a="1"/>
  <c r="EQ8" i="4" a="1"/>
  <c r="S19" i="2"/>
  <c r="AC5" i="6" a="1"/>
  <c r="L10" i="2"/>
  <c r="BS6" i="4" a="1"/>
  <c r="AS15" i="3"/>
  <c r="AE15" i="4" a="1"/>
  <c r="X18" i="2"/>
  <c r="AH5" i="6" a="1"/>
  <c r="AB15" i="4" a="1"/>
  <c r="W45" i="3"/>
  <c r="U15" i="2"/>
  <c r="AZ45" i="3"/>
  <c r="AR19" i="3"/>
  <c r="BK6" i="4" a="1"/>
  <c r="BE11" i="4" a="1"/>
  <c r="W36" i="2"/>
  <c r="EZ9" i="4" a="1"/>
  <c r="D21" i="2"/>
  <c r="BB14" i="4" a="1"/>
  <c r="DI14" i="4" a="1"/>
  <c r="M46" i="3"/>
  <c r="Z60" i="2"/>
  <c r="AJ5" i="4" a="1"/>
  <c r="O30" i="2"/>
  <c r="AA53" i="2"/>
  <c r="AA16" i="2"/>
  <c r="X8" i="2"/>
  <c r="D13" i="4" a="1"/>
  <c r="AU57" i="3"/>
  <c r="R14" i="4" a="1"/>
  <c r="EN7" i="4" a="1"/>
  <c r="F24" i="2"/>
  <c r="BG15" i="4" a="1"/>
  <c r="AO15" i="4" a="1"/>
  <c r="CV13" i="4" a="1"/>
  <c r="AZ12" i="4" a="1"/>
  <c r="I6" i="2"/>
  <c r="CM16" i="4" a="1"/>
  <c r="Y6" i="4" a="1"/>
  <c r="AX6" i="4" a="1"/>
  <c r="D29" i="3"/>
  <c r="BA9" i="4" a="1"/>
  <c r="J32" i="2"/>
  <c r="AU20" i="3"/>
  <c r="F17" i="3"/>
  <c r="K14" i="4" a="1"/>
  <c r="AD16" i="4" a="1"/>
  <c r="E16" i="2"/>
  <c r="EG15" i="4" a="1"/>
  <c r="AD7" i="4" a="1"/>
  <c r="EF16" i="4" a="1"/>
  <c r="G24" i="2"/>
  <c r="BW12" i="4" a="1"/>
  <c r="J27" i="2"/>
  <c r="G13" i="2"/>
  <c r="CD12" i="4" a="1"/>
  <c r="I16" i="2"/>
  <c r="E26" i="2"/>
  <c r="AS29" i="3"/>
  <c r="E11" i="3"/>
  <c r="F33" i="2"/>
  <c r="V12" i="2"/>
  <c r="DM13" i="4" a="1"/>
  <c r="EA7" i="4" a="1"/>
  <c r="AR16" i="3"/>
  <c r="E24" i="2"/>
  <c r="Q13" i="2"/>
  <c r="DQ9" i="4" a="1"/>
  <c r="J7" i="2"/>
  <c r="DJ11" i="4" a="1"/>
  <c r="CB5" i="4" a="1"/>
  <c r="L9" i="4" a="1"/>
  <c r="AF17" i="3"/>
  <c r="D37" i="3"/>
  <c r="V10" i="2"/>
  <c r="DO16" i="4" a="1"/>
  <c r="BJ7" i="4" a="1"/>
  <c r="S28" i="2"/>
  <c r="DW11" i="4" a="1"/>
  <c r="AD14" i="3"/>
  <c r="EI8" i="4" a="1"/>
  <c r="G24" i="3"/>
  <c r="AK6" i="4" a="1"/>
  <c r="R26" i="2"/>
  <c r="BG8" i="4" a="1"/>
  <c r="DM12" i="4" a="1"/>
  <c r="V27" i="2"/>
  <c r="J31" i="2"/>
  <c r="DT12" i="4" a="1"/>
  <c r="Y13" i="4" a="1"/>
  <c r="AL11" i="4" a="1"/>
  <c r="D22" i="3"/>
  <c r="P32" i="2"/>
  <c r="AV32" i="3"/>
  <c r="W9" i="2"/>
  <c r="L26" i="2"/>
  <c r="G11" i="3"/>
  <c r="O14" i="2"/>
  <c r="DJ7" i="4" a="1"/>
  <c r="L33" i="2"/>
  <c r="EH5" i="4" a="1"/>
  <c r="EE16" i="4" a="1"/>
  <c r="L5" i="2"/>
  <c r="AC9" i="4" a="1"/>
  <c r="DB16" i="4" a="1"/>
  <c r="DR12" i="4" a="1"/>
  <c r="V22" i="2"/>
  <c r="Q36" i="2"/>
  <c r="CQ8" i="4" a="1"/>
  <c r="AF40" i="3"/>
  <c r="C7" i="4" a="1"/>
  <c r="AT26" i="3"/>
  <c r="AS7" i="3"/>
  <c r="M10" i="2"/>
  <c r="G26" i="2"/>
  <c r="EE14" i="4" a="1"/>
  <c r="G23" i="2"/>
  <c r="BA5" i="4" a="1"/>
  <c r="L36" i="2"/>
  <c r="ET11" i="4" a="1"/>
  <c r="Y17" i="2"/>
  <c r="H14" i="2"/>
  <c r="BL12" i="4" a="1"/>
  <c r="P31" i="2"/>
  <c r="AM11" i="4" a="1"/>
  <c r="C30" i="2"/>
  <c r="G29" i="2"/>
  <c r="AU42" i="3"/>
  <c r="EV14" i="4" a="1"/>
  <c r="BD29" i="3"/>
  <c r="K24" i="2"/>
  <c r="EM14" i="4" a="1"/>
  <c r="AL45" i="3"/>
  <c r="Q19" i="2"/>
  <c r="CY15" i="4" a="1"/>
  <c r="X30" i="2"/>
  <c r="J11" i="2"/>
  <c r="P20" i="2"/>
  <c r="I21" i="2"/>
  <c r="D5" i="2"/>
  <c r="AX21" i="3"/>
  <c r="W22" i="2"/>
  <c r="F22" i="2"/>
  <c r="E5" i="2"/>
  <c r="AG14" i="4" a="1"/>
  <c r="AX11" i="3"/>
  <c r="BD5" i="4" a="1"/>
  <c r="M17" i="2"/>
  <c r="AT31" i="3"/>
  <c r="FB14" i="4" a="1"/>
  <c r="BX8" i="4" a="1"/>
  <c r="AP15" i="4" a="1"/>
  <c r="AT71" i="3"/>
  <c r="Z82" i="2"/>
  <c r="AZ5" i="4" a="1"/>
  <c r="M33" i="2"/>
  <c r="K15" i="4" a="1"/>
  <c r="DS13" i="4" a="1"/>
  <c r="AZ14" i="4" a="1"/>
  <c r="DK7" i="4" a="1"/>
  <c r="D8" i="4" a="1"/>
  <c r="Y50" i="2"/>
  <c r="DG11" i="4" a="1"/>
  <c r="DO12" i="4" a="1"/>
  <c r="Y45" i="3"/>
  <c r="CS8" i="4" a="1"/>
  <c r="BA15" i="4" a="1"/>
  <c r="CP5" i="4" a="1"/>
  <c r="AS42" i="3"/>
  <c r="BH5" i="4" a="1"/>
  <c r="P14" i="4" a="1"/>
  <c r="AQ46" i="3"/>
  <c r="N35" i="2"/>
  <c r="D19" i="3"/>
  <c r="BZ14" i="4" a="1"/>
  <c r="E19" i="3"/>
  <c r="CK11" i="4" a="1"/>
  <c r="W27" i="2"/>
  <c r="H12" i="2"/>
  <c r="Q5" i="4" a="1"/>
  <c r="R11" i="2"/>
  <c r="AG15" i="4" a="1"/>
  <c r="EK5" i="4" a="1"/>
  <c r="R11" i="4" a="1"/>
  <c r="CG13" i="4" a="1"/>
  <c r="AV8" i="3"/>
  <c r="Z48" i="2"/>
  <c r="DL14" i="4" a="1"/>
  <c r="AN15" i="4" a="1"/>
  <c r="AA71" i="2"/>
  <c r="BW14" i="4" a="1"/>
  <c r="C21" i="2"/>
  <c r="G6" i="4" a="1"/>
  <c r="E9" i="3"/>
  <c r="C14" i="2"/>
  <c r="DO7" i="4" a="1"/>
  <c r="EC13" i="4" a="1"/>
  <c r="J33" i="2"/>
  <c r="R34" i="2"/>
  <c r="BL9" i="4" a="1"/>
  <c r="AF9" i="3"/>
  <c r="N7" i="2"/>
  <c r="S13" i="2"/>
  <c r="I26" i="2"/>
  <c r="G28" i="2"/>
  <c r="R17" i="2"/>
  <c r="BD7" i="3"/>
  <c r="AA62" i="2"/>
  <c r="AT6" i="3"/>
  <c r="AY91" i="3"/>
  <c r="F22" i="3"/>
  <c r="AD9" i="4" a="1"/>
  <c r="U30" i="2"/>
  <c r="U23" i="2"/>
  <c r="BB12" i="3"/>
  <c r="AZ34" i="3"/>
  <c r="EV9" i="4" a="1"/>
  <c r="AW38" i="3"/>
  <c r="BA32" i="3"/>
  <c r="O12" i="4" a="1"/>
  <c r="AM46" i="3"/>
  <c r="BA24" i="3"/>
  <c r="H9" i="2"/>
  <c r="DH14" i="4" a="1"/>
  <c r="BU13" i="4" a="1"/>
  <c r="V26" i="2"/>
  <c r="AS15" i="4" a="1"/>
  <c r="R7" i="2"/>
  <c r="K9" i="2"/>
  <c r="DP9" i="4" a="1"/>
  <c r="X12" i="2"/>
  <c r="Z44" i="2"/>
  <c r="K8" i="2"/>
  <c r="AU63" i="3"/>
  <c r="G16" i="4" a="1"/>
  <c r="W12" i="2"/>
  <c r="EL14" i="4" a="1"/>
  <c r="BB57" i="3"/>
  <c r="T21" i="2"/>
  <c r="J6" i="2"/>
  <c r="BO8" i="4" a="1"/>
  <c r="EY13" i="4" a="1"/>
  <c r="H35" i="2"/>
  <c r="F11" i="2"/>
  <c r="G28" i="3"/>
  <c r="W7" i="4" a="1"/>
  <c r="J9" i="2"/>
  <c r="DR13" i="4" a="1"/>
  <c r="L6" i="4" a="1"/>
  <c r="F12" i="4" a="1"/>
  <c r="AX13" i="4" a="1"/>
  <c r="AO6" i="3"/>
  <c r="CJ11" i="4" a="1"/>
  <c r="D40" i="3"/>
  <c r="AB14" i="4" a="1"/>
  <c r="O9" i="2"/>
  <c r="DK9" i="4" a="1"/>
  <c r="K35" i="2"/>
  <c r="H18" i="2"/>
  <c r="N11" i="2"/>
  <c r="DF12" i="4" a="1"/>
  <c r="CJ5" i="4" a="1"/>
  <c r="W6" i="4" a="1"/>
  <c r="BD17" i="3"/>
  <c r="AC8" i="4" a="1"/>
  <c r="DJ14" i="4" a="1"/>
  <c r="L24" i="2"/>
  <c r="DV6" i="4" a="1"/>
  <c r="DS15" i="4" a="1"/>
  <c r="P26" i="2"/>
  <c r="J29" i="2"/>
  <c r="O24" i="2"/>
  <c r="CU9" i="4" a="1"/>
  <c r="V24" i="2"/>
  <c r="AY37" i="3"/>
  <c r="S45" i="3"/>
  <c r="DV16" i="4" a="1"/>
  <c r="DH6" i="4" a="1"/>
  <c r="M30" i="2"/>
  <c r="CT16" i="4" a="1"/>
  <c r="T36" i="2"/>
  <c r="DL6" i="4" a="1"/>
  <c r="AD12" i="4" a="1"/>
  <c r="Y54" i="2"/>
  <c r="CR15" i="4" a="1"/>
  <c r="ES6" i="4" a="1"/>
  <c r="CA12" i="4" a="1"/>
  <c r="CY12" i="4" a="1"/>
  <c r="X7" i="2"/>
  <c r="W7" i="2"/>
  <c r="L25" i="2"/>
  <c r="AY18" i="3"/>
  <c r="AR5" i="6" a="1"/>
  <c r="Y94" i="2"/>
  <c r="AF31" i="3"/>
  <c r="U5" i="2"/>
  <c r="D34" i="2"/>
  <c r="O28" i="2"/>
  <c r="N30" i="2"/>
  <c r="BB30" i="3"/>
  <c r="AT16" i="3"/>
  <c r="N8" i="2"/>
  <c r="Z78" i="2"/>
  <c r="AK6" i="6" a="1"/>
  <c r="Z45" i="3"/>
  <c r="O6" i="2"/>
  <c r="EZ15" i="4" a="1"/>
  <c r="F9" i="2"/>
  <c r="K16" i="2"/>
  <c r="O15" i="2"/>
  <c r="S62" i="2"/>
  <c r="CF14" i="4" a="1"/>
  <c r="K36" i="2"/>
  <c r="I10" i="2"/>
  <c r="Z18" i="2"/>
  <c r="EZ16" i="4" a="1"/>
  <c r="V25" i="2"/>
  <c r="EN9" i="4" a="1"/>
  <c r="N17" i="2"/>
  <c r="BB49" i="3"/>
  <c r="Y46" i="2"/>
  <c r="CM6" i="4" a="1"/>
  <c r="EP7" i="4" a="1"/>
  <c r="Y109" i="2"/>
  <c r="Q55" i="2"/>
  <c r="J25" i="2"/>
  <c r="EW15" i="4" a="1"/>
  <c r="C27" i="2"/>
  <c r="D26" i="2"/>
  <c r="O6" i="4" a="1"/>
  <c r="AF12" i="4" a="1"/>
  <c r="EF13" i="4" a="1"/>
  <c r="K17" i="2"/>
  <c r="G11" i="4" a="1"/>
  <c r="D9" i="2"/>
  <c r="BN12" i="4" a="1"/>
  <c r="BS15" i="4" a="1"/>
  <c r="BF12" i="4" a="1"/>
  <c r="BB28" i="3"/>
  <c r="BZ6" i="4" a="1"/>
  <c r="H22" i="2"/>
  <c r="N26" i="2"/>
  <c r="DP15" i="4" a="1"/>
  <c r="G45" i="3"/>
  <c r="O20" i="2"/>
  <c r="CA5" i="4" a="1"/>
  <c r="Q10" i="2"/>
  <c r="C10" i="2"/>
  <c r="EE7" i="4" a="1"/>
  <c r="EE12" i="4" a="1"/>
  <c r="AR11" i="3"/>
  <c r="CB7" i="4" a="1"/>
  <c r="DK6" i="4" a="1"/>
  <c r="U9" i="2"/>
  <c r="CW7" i="4" a="1"/>
  <c r="O13" i="4" a="1"/>
  <c r="W11" i="4" a="1"/>
  <c r="Z67" i="2"/>
  <c r="G5" i="2"/>
  <c r="BO7" i="4" a="1"/>
  <c r="W32" i="2"/>
  <c r="EA12" i="4" a="1"/>
  <c r="D22" i="2"/>
  <c r="N6" i="4" a="1"/>
  <c r="BF11" i="4" a="1"/>
  <c r="DT7" i="4" a="1"/>
  <c r="CV9" i="4" a="1"/>
  <c r="DG5" i="4" a="1"/>
  <c r="G21" i="2"/>
  <c r="R16" i="2"/>
  <c r="R19" i="2"/>
  <c r="CG9" i="4" a="1"/>
  <c r="BY8" i="4" a="1"/>
  <c r="P22" i="2"/>
  <c r="D8" i="3"/>
  <c r="E36" i="2"/>
  <c r="CE14" i="4" a="1"/>
  <c r="T28" i="2"/>
  <c r="DB14" i="4" a="1"/>
  <c r="AY17" i="3"/>
  <c r="EL6" i="4" a="1"/>
  <c r="AY79" i="3"/>
  <c r="X32" i="2"/>
  <c r="AO11" i="4" a="1"/>
  <c r="AU33" i="3"/>
  <c r="N18" i="2"/>
  <c r="V23" i="2"/>
  <c r="BA7" i="4" a="1"/>
  <c r="BZ13" i="4" a="1"/>
  <c r="DB8" i="4" a="1"/>
  <c r="DN9" i="4" a="1"/>
  <c r="CS14" i="4" a="1"/>
  <c r="L7" i="4" a="1"/>
  <c r="AU6" i="4" a="1"/>
  <c r="F10" i="3"/>
  <c r="F34" i="2"/>
  <c r="AK13" i="4" a="1"/>
  <c r="AS5" i="4" a="1"/>
  <c r="AR39" i="3"/>
  <c r="DF6" i="4" a="1"/>
  <c r="L21" i="2"/>
  <c r="BZ11" i="4" a="1"/>
  <c r="CZ14" i="4" a="1"/>
  <c r="O34" i="2"/>
  <c r="F13" i="3"/>
  <c r="O33" i="2"/>
  <c r="N22" i="2"/>
  <c r="X66" i="2"/>
  <c r="V7" i="4" a="1"/>
  <c r="P29" i="2"/>
  <c r="O10" i="2"/>
  <c r="AU71" i="3"/>
  <c r="V9" i="2"/>
  <c r="AA36" i="2"/>
  <c r="N19" i="2"/>
  <c r="AM6" i="6" a="1"/>
  <c r="AU16" i="4" a="1"/>
  <c r="P28" i="2"/>
  <c r="V19" i="2"/>
  <c r="AF29" i="3"/>
  <c r="V11" i="2"/>
  <c r="F38" i="3"/>
  <c r="FC9" i="4" a="1"/>
  <c r="AY5" i="6" a="1"/>
  <c r="U6" i="4" a="1"/>
  <c r="D19" i="2"/>
  <c r="AU21" i="3"/>
  <c r="AA22" i="2"/>
  <c r="S30" i="2"/>
  <c r="Y20" i="2"/>
  <c r="Z57" i="2"/>
  <c r="AT23" i="3"/>
  <c r="J15" i="2"/>
  <c r="V33" i="2"/>
  <c r="CI14" i="4" a="1"/>
  <c r="AS13" i="3"/>
  <c r="CY16" i="4" a="1"/>
  <c r="F26" i="2"/>
  <c r="EZ8" i="4" a="1"/>
  <c r="W46" i="2"/>
  <c r="K11" i="2"/>
  <c r="S5" i="6" a="1"/>
  <c r="AL5" i="6" a="1"/>
  <c r="W19" i="2"/>
  <c r="D31" i="2"/>
  <c r="Y58" i="2"/>
  <c r="FC15" i="4" a="1"/>
  <c r="CO13" i="4" a="1"/>
  <c r="BF7" i="4" a="1"/>
  <c r="CJ15" i="4" a="1"/>
  <c r="AY11" i="4" a="1"/>
  <c r="D47" i="2"/>
  <c r="EK8" i="4" a="1"/>
  <c r="CW14" i="4" a="1"/>
  <c r="AX23" i="3"/>
  <c r="L35" i="2"/>
  <c r="U31" i="2"/>
  <c r="L46" i="3"/>
  <c r="BX5" i="4" a="1"/>
  <c r="CN8" i="4" a="1"/>
  <c r="BE6" i="4" a="1"/>
  <c r="N28" i="2"/>
  <c r="BC15" i="4" a="1"/>
  <c r="EB14" i="4" a="1"/>
  <c r="EA5" i="4" a="1"/>
  <c r="L6" i="2"/>
  <c r="BI13" i="4" a="1"/>
  <c r="L14" i="2"/>
  <c r="AA16" i="4" a="1"/>
  <c r="EH8" i="4" a="1"/>
  <c r="AT14" i="4" a="1"/>
  <c r="AA72" i="2"/>
  <c r="CC8" i="4" a="1"/>
  <c r="Y111" i="2"/>
  <c r="X28" i="2"/>
  <c r="D16" i="3"/>
  <c r="AM45" i="3"/>
  <c r="AU18" i="3"/>
  <c r="E9" i="2"/>
  <c r="CR13" i="4" a="1"/>
  <c r="AQ11" i="4" a="1"/>
  <c r="AE16" i="4" a="1"/>
  <c r="AD11" i="3"/>
  <c r="DY12" i="4" a="1"/>
  <c r="EF15" i="4" a="1"/>
  <c r="X41" i="2"/>
  <c r="BN14" i="4" a="1"/>
  <c r="U28" i="2"/>
  <c r="AI9" i="4" a="1"/>
  <c r="AX12" i="3"/>
  <c r="AW16" i="3"/>
  <c r="BN16" i="4" a="1"/>
  <c r="AW7" i="4" a="1"/>
  <c r="AY21" i="3"/>
  <c r="AD45" i="3"/>
  <c r="U26" i="2"/>
  <c r="L11" i="4" a="1"/>
  <c r="BC12" i="4" a="1"/>
  <c r="T20" i="2"/>
  <c r="BS14" i="4" a="1"/>
  <c r="DP7" i="4" a="1"/>
  <c r="M19" i="2"/>
  <c r="W23" i="2"/>
  <c r="E32" i="2"/>
  <c r="AR13" i="4" a="1"/>
  <c r="E17" i="2"/>
  <c r="E30" i="3"/>
  <c r="T45" i="3"/>
  <c r="AC45" i="3"/>
  <c r="BO12" i="4" a="1"/>
  <c r="G36" i="2"/>
  <c r="Z7" i="4" a="1"/>
  <c r="AX24" i="3"/>
  <c r="N45" i="3"/>
  <c r="DO13" i="4" a="1"/>
  <c r="T33" i="2"/>
  <c r="CN14" i="4" a="1"/>
  <c r="R22" i="2"/>
  <c r="E34" i="2"/>
  <c r="E9" i="4" a="1"/>
  <c r="AQ9" i="4" a="1"/>
  <c r="BI6" i="4" a="1"/>
  <c r="S46" i="3"/>
  <c r="BD16" i="3"/>
  <c r="AY70" i="3"/>
  <c r="L13" i="2"/>
  <c r="X26" i="2"/>
  <c r="V34" i="2"/>
  <c r="AS20" i="3"/>
  <c r="AC16" i="4" a="1"/>
  <c r="BI7" i="4" a="1"/>
  <c r="BA95" i="3"/>
  <c r="FD5" i="4" a="1"/>
  <c r="R5" i="2"/>
  <c r="U13" i="2"/>
  <c r="AZ15" i="3"/>
  <c r="AT48" i="3"/>
  <c r="W14" i="2"/>
  <c r="R14" i="2"/>
  <c r="AX20" i="3"/>
  <c r="AZ18" i="3"/>
  <c r="F11" i="3"/>
  <c r="EX16" i="4" a="1"/>
  <c r="AD5" i="6" a="1"/>
  <c r="AT8" i="3"/>
  <c r="Z36" i="2"/>
  <c r="O7" i="2"/>
  <c r="X16" i="2"/>
  <c r="AU37" i="3"/>
  <c r="DF16" i="4" a="1"/>
  <c r="EU5" i="4" a="1"/>
  <c r="AX9" i="4" a="1"/>
  <c r="G25" i="2"/>
  <c r="AZ12" i="3"/>
  <c r="T5" i="2"/>
  <c r="I7" i="2"/>
  <c r="J5" i="2"/>
  <c r="EW8" i="4" a="1"/>
  <c r="BD24" i="3"/>
  <c r="O25" i="2"/>
  <c r="CQ15" i="4" a="1"/>
  <c r="ER8" i="4" a="1"/>
  <c r="AZ46" i="3"/>
  <c r="I14" i="4" a="1"/>
  <c r="W17" i="2"/>
  <c r="EH11" i="4" a="1"/>
  <c r="S16" i="4" a="1"/>
  <c r="P25" i="2"/>
  <c r="S7" i="2"/>
  <c r="N5" i="4" a="1"/>
  <c r="EI5" i="4" a="1"/>
  <c r="W21" i="2"/>
  <c r="AR20" i="3"/>
  <c r="BC47" i="3"/>
  <c r="AU30" i="3"/>
  <c r="F29" i="2"/>
  <c r="AB16" i="4" a="1"/>
  <c r="BB39" i="3"/>
  <c r="AL13" i="4" a="1"/>
  <c r="V11" i="4" a="1"/>
  <c r="EG16" i="4" a="1"/>
  <c r="AT74" i="3"/>
  <c r="BK11" i="4" a="1"/>
  <c r="J24" i="2"/>
  <c r="BB42" i="3"/>
  <c r="AU93" i="3"/>
  <c r="BC29" i="3"/>
  <c r="FA9" i="4" a="1"/>
  <c r="BA65" i="3"/>
  <c r="BC39" i="3"/>
  <c r="C22" i="2"/>
  <c r="AS47" i="3"/>
  <c r="CY14" i="4" a="1"/>
  <c r="K5" i="2"/>
  <c r="BC68" i="3"/>
  <c r="AX39" i="3"/>
  <c r="EQ7" i="4" a="1"/>
  <c r="FC12" i="4" a="1"/>
  <c r="I24" i="2"/>
  <c r="E21" i="2"/>
  <c r="I8" i="2"/>
  <c r="AC14" i="4" a="1"/>
  <c r="BU7" i="4" a="1"/>
  <c r="AM5" i="4" a="1"/>
  <c r="E11" i="2"/>
  <c r="D13" i="2"/>
  <c r="F46" i="3"/>
  <c r="BC9" i="3"/>
  <c r="AV38" i="3"/>
  <c r="ET5" i="4" a="1"/>
  <c r="AY36" i="3"/>
  <c r="EA13" i="4" a="1"/>
  <c r="K43" i="2"/>
  <c r="X6" i="6" a="1"/>
  <c r="AI13" i="4" a="1"/>
  <c r="O8" i="2"/>
  <c r="M15" i="2"/>
  <c r="Q25" i="2"/>
  <c r="AX46" i="3"/>
  <c r="S31" i="2"/>
  <c r="C8" i="4" a="1"/>
  <c r="AD11" i="4" a="1"/>
  <c r="AF38" i="3"/>
  <c r="Z32" i="2"/>
  <c r="S15" i="4" a="1"/>
  <c r="Z46" i="2"/>
  <c r="AY24" i="3"/>
  <c r="R31" i="2"/>
  <c r="AN5" i="4" a="1"/>
  <c r="X29" i="2"/>
  <c r="BE15" i="4" a="1"/>
  <c r="CA7" i="4" a="1"/>
  <c r="EK6" i="4" a="1"/>
  <c r="BM9" i="4" a="1"/>
  <c r="BS7" i="4" a="1"/>
  <c r="ET6" i="4" a="1"/>
  <c r="H5" i="2"/>
  <c r="DL9" i="4" a="1"/>
  <c r="DP12" i="4" a="1"/>
  <c r="F7" i="2"/>
  <c r="AT24" i="3"/>
  <c r="AY27" i="3"/>
  <c r="F23" i="2"/>
  <c r="W29" i="2"/>
  <c r="DZ8" i="4" a="1"/>
  <c r="AP5" i="4" a="1"/>
  <c r="I17" i="2"/>
  <c r="BN7" i="4" a="1"/>
  <c r="Z6" i="4" a="1"/>
  <c r="F7" i="4" a="1"/>
  <c r="T16" i="2"/>
  <c r="AA7" i="4" a="1"/>
  <c r="N31" i="2"/>
  <c r="F33" i="3"/>
  <c r="DT8" i="4" a="1"/>
  <c r="P6" i="4" a="1"/>
  <c r="BN6" i="4" a="1"/>
  <c r="P10" i="2"/>
  <c r="AQ12" i="4" a="1"/>
  <c r="CA6" i="4" a="1"/>
  <c r="DQ16" i="4" a="1"/>
  <c r="AI46" i="3"/>
  <c r="AN7" i="4" a="1"/>
  <c r="AS46" i="3"/>
  <c r="G26" i="3"/>
  <c r="AZ16" i="4" a="1"/>
  <c r="G6" i="2"/>
  <c r="AY30" i="3"/>
  <c r="BD14" i="3"/>
  <c r="R21" i="2"/>
  <c r="AX33" i="3"/>
  <c r="BB54" i="3"/>
  <c r="AW27" i="3"/>
  <c r="AY6" i="6" a="1"/>
  <c r="O18" i="2"/>
  <c r="AK5" i="4" a="1"/>
  <c r="Q17" i="2"/>
  <c r="AG45" i="3"/>
  <c r="W16" i="2"/>
  <c r="AO5" i="6" a="1"/>
  <c r="EL12" i="4" a="1"/>
  <c r="EU9" i="4" a="1"/>
  <c r="DU7" i="4" a="1"/>
  <c r="F8" i="2"/>
  <c r="BD6" i="3"/>
  <c r="V29" i="2"/>
  <c r="I33" i="2"/>
  <c r="AA20" i="2"/>
  <c r="F31" i="2"/>
  <c r="G27" i="3"/>
  <c r="EL5" i="4" a="1"/>
  <c r="FE9" i="4" a="1"/>
  <c r="CN7" i="4" a="1"/>
  <c r="AY72" i="3"/>
  <c r="AV30" i="3"/>
  <c r="BB13" i="3"/>
  <c r="I36" i="2"/>
  <c r="P34" i="2"/>
  <c r="G14" i="4" a="1"/>
  <c r="J20" i="2"/>
  <c r="BB17" i="3"/>
  <c r="AJ9" i="4" a="1"/>
  <c r="AY47" i="3"/>
  <c r="I45" i="3"/>
  <c r="AB13" i="4" a="1"/>
  <c r="K29" i="2"/>
  <c r="EM16" i="4" a="1"/>
  <c r="AZ40" i="3"/>
  <c r="CS6" i="4" a="1"/>
  <c r="AF15" i="3"/>
  <c r="EC11" i="4" a="1"/>
  <c r="CD6" i="4" a="1"/>
  <c r="R15" i="4" a="1"/>
  <c r="DK14" i="4" a="1"/>
  <c r="BM13" i="4" a="1"/>
  <c r="E6" i="3"/>
  <c r="L28" i="2"/>
  <c r="I29" i="2"/>
  <c r="DE12" i="4" a="1"/>
  <c r="V7" i="2"/>
  <c r="E35" i="2"/>
  <c r="M18" i="2"/>
  <c r="C36" i="2"/>
  <c r="BA26" i="3"/>
  <c r="AZ10" i="3"/>
  <c r="Q9" i="2"/>
  <c r="G5" i="4" a="1"/>
  <c r="BP11" i="4" a="1"/>
  <c r="DA11" i="4" a="1"/>
  <c r="CP15" i="4" a="1"/>
  <c r="E17" i="3"/>
  <c r="U10" i="2"/>
  <c r="Q23" i="2"/>
  <c r="Z5" i="6" a="1"/>
  <c r="U6" i="2"/>
  <c r="CI6" i="4" a="1"/>
  <c r="F9" i="3"/>
  <c r="DQ11" i="4" a="1"/>
  <c r="H46" i="3"/>
  <c r="DW8" i="4" a="1"/>
  <c r="W20" i="2"/>
  <c r="D20" i="2"/>
  <c r="D15" i="3"/>
  <c r="CX12" i="4" a="1"/>
  <c r="E14" i="3"/>
  <c r="BD22" i="3"/>
  <c r="AY5" i="4" a="1"/>
  <c r="F20" i="2"/>
  <c r="BK7" i="4" a="1"/>
  <c r="DZ6" i="4" a="1"/>
  <c r="CL7" i="4" a="1"/>
  <c r="DF8" i="4" a="1"/>
  <c r="AZ32" i="3"/>
  <c r="H19" i="2"/>
  <c r="CE8" i="4" a="1"/>
  <c r="AP14" i="4" a="1"/>
  <c r="AO14" i="4" a="1"/>
  <c r="DJ13" i="4" a="1"/>
  <c r="D33" i="2"/>
  <c r="CD16" i="4" a="1"/>
  <c r="E18" i="2"/>
  <c r="O15" i="4" a="1"/>
  <c r="AR34" i="3"/>
  <c r="R15" i="2"/>
  <c r="D18" i="3"/>
  <c r="EA9" i="4" a="1"/>
  <c r="C12" i="2"/>
  <c r="CA14" i="4" a="1"/>
  <c r="Z12" i="4" a="1"/>
  <c r="D27" i="2"/>
  <c r="N27" i="2"/>
  <c r="G27" i="2"/>
  <c r="CD9" i="4" a="1"/>
  <c r="P8" i="4" a="1"/>
  <c r="X16" i="4" a="1"/>
  <c r="BV6" i="4" a="1"/>
  <c r="DM7" i="4" a="1"/>
  <c r="DF7" i="4" a="1"/>
  <c r="T27" i="2"/>
  <c r="AZ22" i="3"/>
  <c r="AE7" i="4" a="1"/>
  <c r="ER9" i="4" a="1"/>
  <c r="H6" i="4" a="1"/>
  <c r="W11" i="2"/>
  <c r="V16" i="4" a="1"/>
  <c r="DI15" i="4" a="1"/>
  <c r="C28" i="2"/>
  <c r="I8" i="4" a="1"/>
  <c r="J35" i="2"/>
  <c r="D33" i="3"/>
  <c r="K23" i="2"/>
  <c r="BL11" i="4" a="1"/>
  <c r="AY96" i="3"/>
  <c r="X15" i="4" a="1"/>
  <c r="K15" i="2"/>
  <c r="N14" i="2"/>
  <c r="V17" i="2"/>
  <c r="BI16" i="4" a="1"/>
  <c r="AO8" i="4" a="1"/>
  <c r="BC6" i="4" a="1"/>
  <c r="CA11" i="4" a="1"/>
  <c r="AD13" i="3"/>
  <c r="X25" i="2"/>
  <c r="U9" i="4" a="1"/>
  <c r="DF14" i="4" a="1"/>
  <c r="AQ15" i="4" a="1"/>
  <c r="S17" i="2"/>
  <c r="N5" i="2"/>
  <c r="AD18" i="3"/>
  <c r="AT17" i="3"/>
  <c r="AU8" i="4" a="1"/>
  <c r="X63" i="2"/>
  <c r="BE14" i="4" a="1"/>
  <c r="CV16" i="4" a="1"/>
  <c r="M23" i="2"/>
  <c r="AI7" i="4" a="1"/>
  <c r="L20" i="2"/>
  <c r="F36" i="3"/>
  <c r="DA7" i="4" a="1"/>
  <c r="EF14" i="4" a="1"/>
  <c r="CF16" i="4" a="1"/>
  <c r="P5" i="2"/>
  <c r="AA25" i="2"/>
  <c r="EQ6" i="4" a="1"/>
  <c r="AI16" i="4" a="1"/>
  <c r="EE15" i="4" a="1"/>
  <c r="M13" i="2"/>
  <c r="BY13" i="4" a="1"/>
  <c r="J30" i="2"/>
  <c r="G32" i="2"/>
  <c r="BX9" i="4" a="1"/>
  <c r="EG14" i="4" a="1"/>
  <c r="BL8" i="4" a="1"/>
  <c r="X7" i="4" a="1"/>
  <c r="H9" i="4" a="1"/>
  <c r="K59" i="2"/>
  <c r="CG15" i="4" a="1"/>
  <c r="J13" i="4" a="1"/>
  <c r="T8" i="4" a="1"/>
  <c r="M21" i="2"/>
  <c r="AU11" i="4" a="1"/>
  <c r="V28" i="2"/>
  <c r="M24" i="2"/>
  <c r="V13" i="2"/>
  <c r="BI8" i="4" a="1"/>
  <c r="CW8" i="4" a="1"/>
  <c r="CR6" i="4" a="1"/>
  <c r="D12" i="3"/>
  <c r="F12" i="2"/>
  <c r="AL46" i="3"/>
  <c r="Q18" i="2"/>
  <c r="BR13" i="4" a="1"/>
  <c r="AK11" i="4" a="1"/>
  <c r="E46" i="3"/>
  <c r="CJ16" i="4" a="1"/>
  <c r="DQ12" i="4" a="1"/>
  <c r="EH13" i="4" a="1"/>
  <c r="BO13" i="4" a="1"/>
  <c r="AV16" i="4" a="1"/>
  <c r="DA6" i="4" a="1"/>
  <c r="O14" i="4" a="1"/>
  <c r="D24" i="3"/>
  <c r="H11" i="2"/>
  <c r="BQ5" i="4" a="1"/>
  <c r="AR18" i="3"/>
  <c r="X14" i="2"/>
  <c r="BJ8" i="4" a="1"/>
  <c r="G15" i="4" a="1"/>
  <c r="AW68" i="3"/>
  <c r="EG9" i="4" a="1"/>
  <c r="CP8" i="4" a="1"/>
  <c r="M15" i="4" a="1"/>
  <c r="EB16" i="4" a="1"/>
  <c r="BC71" i="3"/>
  <c r="BD12" i="4" a="1"/>
  <c r="CQ11" i="4" a="1"/>
  <c r="CB14" i="4" a="1"/>
  <c r="CH11" i="4" a="1"/>
  <c r="BC7" i="4" a="1"/>
  <c r="BY6" i="4" a="1"/>
  <c r="F29" i="3"/>
  <c r="CD13" i="4" a="1"/>
  <c r="O46" i="3"/>
  <c r="CX13" i="4" a="1"/>
  <c r="DF5" i="4" a="1"/>
  <c r="E39" i="3"/>
  <c r="AE6" i="4" a="1"/>
  <c r="CM14" i="4" a="1"/>
  <c r="BA13" i="4" a="1"/>
  <c r="BV15" i="4" a="1"/>
  <c r="L22" i="2"/>
  <c r="CR5" i="4" a="1"/>
  <c r="CH7" i="4" a="1"/>
  <c r="DM14" i="4" a="1"/>
  <c r="EC8" i="4" a="1"/>
  <c r="S12" i="4" a="1"/>
  <c r="P35" i="2"/>
  <c r="BX13" i="4" a="1"/>
  <c r="V32" i="2"/>
  <c r="K46" i="3"/>
  <c r="AD15" i="4" a="1"/>
  <c r="W31" i="2"/>
  <c r="G12" i="3"/>
  <c r="EY8" i="4" a="1"/>
  <c r="J36" i="2"/>
  <c r="EK15" i="4" a="1"/>
  <c r="K22" i="2"/>
  <c r="O11" i="2"/>
  <c r="J12" i="4" a="1"/>
  <c r="DU8" i="4" a="1"/>
  <c r="G5" i="3"/>
  <c r="Y93" i="2"/>
  <c r="DE15" i="4" a="1"/>
  <c r="AE9" i="4" a="1"/>
  <c r="O5" i="2"/>
  <c r="DE16" i="4" a="1"/>
  <c r="V12" i="4" a="1"/>
  <c r="J15" i="4" a="1"/>
  <c r="T14" i="2"/>
  <c r="H8" i="2"/>
  <c r="O13" i="2"/>
  <c r="R36" i="2"/>
  <c r="AE13" i="4" a="1"/>
  <c r="BD8" i="4" a="1"/>
  <c r="BG16" i="4" a="1"/>
  <c r="O5" i="6" a="1"/>
  <c r="BV5" i="4" a="1"/>
  <c r="AR12" i="3"/>
  <c r="DR14" i="4" a="1"/>
  <c r="P16" i="2"/>
  <c r="E29" i="3"/>
  <c r="DD5" i="4" a="1"/>
  <c r="O16" i="4" a="1"/>
  <c r="P5" i="4" a="1"/>
  <c r="EG7" i="4" a="1"/>
  <c r="AK14" i="4" a="1"/>
  <c r="BR5" i="4" a="1"/>
  <c r="AQ6" i="3"/>
  <c r="EM11" i="4" a="1"/>
  <c r="X35" i="2"/>
  <c r="T29" i="2"/>
  <c r="H25" i="2"/>
  <c r="CV14" i="4" a="1"/>
  <c r="CC11" i="4" a="1"/>
  <c r="V15" i="4" a="1"/>
  <c r="Q11" i="4" a="1"/>
  <c r="N12" i="4" a="1"/>
  <c r="M5" i="4" a="1"/>
  <c r="F13" i="4" a="1"/>
  <c r="DY8" i="4" a="1"/>
  <c r="L23" i="2"/>
  <c r="V20" i="2"/>
  <c r="BQ7" i="4" a="1"/>
  <c r="E42" i="3"/>
  <c r="CL15" i="4" a="1"/>
  <c r="CX15" i="4" a="1"/>
  <c r="DZ12" i="4" a="1"/>
  <c r="CE7" i="4" a="1"/>
  <c r="ED9" i="4" a="1"/>
  <c r="CC7" i="4" a="1"/>
  <c r="AR17" i="3"/>
  <c r="AI45" i="3"/>
  <c r="BV13" i="4" a="1"/>
  <c r="BF15" i="4" a="1"/>
  <c r="AM14" i="4" a="1"/>
  <c r="W14" i="4" a="1"/>
  <c r="BW16" i="4" a="1"/>
  <c r="AV12" i="4" a="1"/>
  <c r="AD16" i="3"/>
  <c r="P45" i="3"/>
  <c r="BC77" i="3"/>
  <c r="D46" i="3"/>
  <c r="D7" i="4" a="1"/>
  <c r="R12" i="4" a="1"/>
  <c r="AE12" i="4" a="1"/>
  <c r="DB12" i="4" a="1"/>
  <c r="AR7" i="4" a="1"/>
  <c r="DR8" i="4" a="1"/>
  <c r="M7" i="4" a="1"/>
  <c r="CP6" i="4" a="1"/>
  <c r="BC8" i="4" a="1"/>
  <c r="CH9" i="4" a="1"/>
  <c r="O11" i="4" a="1"/>
  <c r="EH14" i="4" a="1"/>
  <c r="DI5" i="4" a="1"/>
  <c r="CE12" i="4" a="1"/>
  <c r="DP5" i="4" a="1"/>
  <c r="L16" i="2"/>
  <c r="DO8" i="4" a="1"/>
  <c r="BZ16" i="4" a="1"/>
  <c r="U16" i="4" a="1"/>
  <c r="AI5" i="4" a="1"/>
  <c r="E45" i="2"/>
  <c r="AY12" i="4" a="1"/>
  <c r="Q8" i="4" a="1"/>
  <c r="CC9" i="4" a="1"/>
  <c r="CM8" i="4" a="1"/>
  <c r="AR14" i="4" a="1"/>
  <c r="AZ9" i="4" a="1"/>
  <c r="H7" i="4" a="1"/>
  <c r="CZ15" i="4" a="1"/>
  <c r="S12" i="2"/>
  <c r="BD9" i="4" a="1"/>
  <c r="DS12" i="4" a="1"/>
  <c r="DH15" i="4" a="1"/>
  <c r="AR9" i="3"/>
  <c r="DE8" i="4" a="1"/>
  <c r="J8" i="4" a="1"/>
  <c r="CX16" i="4" a="1"/>
  <c r="DY14" i="4" a="1"/>
  <c r="K32" i="2"/>
  <c r="CT15" i="4" a="1"/>
  <c r="DH8" i="4" a="1"/>
  <c r="CI16" i="4" a="1"/>
  <c r="AC6" i="6" a="1"/>
  <c r="C59" i="2"/>
  <c r="BC13" i="4" a="1"/>
  <c r="AC15" i="4" a="1"/>
  <c r="CW5" i="4" a="1"/>
  <c r="L32" i="2"/>
  <c r="X46" i="3"/>
  <c r="G16" i="3"/>
  <c r="BT8" i="4" a="1"/>
  <c r="S14" i="4" a="1"/>
  <c r="DX5" i="4" a="1"/>
  <c r="AB9" i="4" a="1"/>
  <c r="AS26" i="3"/>
  <c r="I25" i="2"/>
  <c r="AS14" i="4" a="1"/>
  <c r="EK16" i="4" a="1"/>
  <c r="EI16" i="4" a="1"/>
  <c r="DS11" i="4" a="1"/>
  <c r="DQ7" i="4" a="1"/>
  <c r="CU12" i="4" a="1"/>
  <c r="F19" i="3"/>
  <c r="AS13" i="4" a="1"/>
  <c r="AR25" i="3"/>
  <c r="EU14" i="4" a="1"/>
  <c r="EH16" i="4" a="1"/>
  <c r="I11" i="2"/>
  <c r="DC16" i="4" a="1"/>
  <c r="CG14" i="4" a="1"/>
  <c r="AA13" i="4" a="1"/>
  <c r="C13" i="4" a="1"/>
  <c r="BT6" i="4" a="1"/>
  <c r="DU16" i="4" a="1"/>
  <c r="T17" i="2"/>
  <c r="I34" i="2"/>
  <c r="BI5" i="4" a="1"/>
  <c r="C45" i="3"/>
  <c r="V14" i="4" a="1"/>
  <c r="CP7" i="4" a="1"/>
  <c r="X11" i="2"/>
  <c r="BE7" i="4" a="1"/>
  <c r="G14" i="2"/>
  <c r="AR8" i="3"/>
  <c r="O45" i="3"/>
  <c r="AU62" i="3"/>
  <c r="DE6" i="4" a="1"/>
  <c r="H20" i="2"/>
  <c r="BU9" i="4" a="1"/>
  <c r="DG12" i="4" a="1"/>
  <c r="N12" i="2"/>
  <c r="F20" i="3"/>
  <c r="N13" i="2"/>
  <c r="BB29" i="3"/>
  <c r="BR11" i="4" a="1"/>
  <c r="I7" i="4" a="1"/>
  <c r="BY11" i="4" a="1"/>
  <c r="X5" i="4" a="1"/>
  <c r="AR40" i="3"/>
  <c r="M26" i="2"/>
  <c r="EJ12" i="4" a="1"/>
  <c r="G18" i="3"/>
  <c r="AJ15" i="4" a="1"/>
  <c r="DB11" i="4" a="1"/>
  <c r="DY5" i="4" a="1"/>
  <c r="AR11" i="4" a="1"/>
  <c r="CR14" i="4" a="1"/>
  <c r="BJ6" i="4" a="1"/>
  <c r="EG6" i="4" a="1"/>
  <c r="AS97" i="3"/>
  <c r="CW16" i="4" a="1"/>
  <c r="D12" i="4" a="1"/>
  <c r="AL15" i="4" a="1"/>
  <c r="J45" i="3"/>
  <c r="BR7" i="4" a="1"/>
  <c r="D20" i="3"/>
  <c r="CZ7" i="4" a="1"/>
  <c r="S24" i="2"/>
  <c r="F35" i="3"/>
  <c r="AG12" i="4" a="1"/>
  <c r="G20" i="3"/>
  <c r="BN9" i="4" a="1"/>
  <c r="F9" i="4" a="1"/>
  <c r="DH7" i="4" a="1"/>
  <c r="BD68" i="3"/>
  <c r="L12" i="4" a="1"/>
  <c r="Y110" i="2"/>
  <c r="DK5" i="4" a="1"/>
  <c r="AN11" i="4" a="1"/>
  <c r="CP12" i="4" a="1"/>
  <c r="V5" i="4" a="1"/>
  <c r="EC5" i="4" a="1"/>
  <c r="AC11" i="4" a="1"/>
  <c r="DD7" i="4" a="1"/>
  <c r="AK9" i="4" a="1"/>
  <c r="G9" i="2"/>
  <c r="DB6" i="4" a="1"/>
  <c r="X45" i="3"/>
  <c r="DI9" i="4" a="1"/>
  <c r="CT13" i="4" a="1"/>
  <c r="AL7" i="4" a="1"/>
  <c r="BZ15" i="4" a="1"/>
  <c r="AG16" i="4" a="1"/>
  <c r="DN11" i="4" a="1"/>
  <c r="BV11" i="4" a="1"/>
  <c r="I6" i="6" a="1"/>
  <c r="AP16" i="4" a="1"/>
  <c r="BI9" i="4" a="1"/>
  <c r="EK14" i="4" a="1"/>
  <c r="BJ14" i="4" a="1"/>
  <c r="Z8" i="4" a="1"/>
  <c r="AP11" i="4" a="1"/>
  <c r="AN12" i="4" a="1"/>
  <c r="F40" i="3"/>
  <c r="Q12" i="2"/>
  <c r="P12" i="2"/>
  <c r="K7" i="4" a="1"/>
  <c r="L27" i="2"/>
  <c r="Q35" i="2"/>
  <c r="BG12" i="4" a="1"/>
  <c r="AR24" i="3"/>
  <c r="AY48" i="3"/>
  <c r="C35" i="2"/>
  <c r="W8" i="2"/>
  <c r="EB5" i="4" a="1"/>
  <c r="BU6" i="4" a="1"/>
  <c r="EJ16" i="4" a="1"/>
  <c r="G29" i="3"/>
  <c r="F89" i="2"/>
  <c r="W5" i="2"/>
  <c r="X19" i="2"/>
  <c r="BU8" i="4" a="1"/>
  <c r="BM6" i="4" a="1"/>
  <c r="DG16" i="4" a="1"/>
  <c r="D17" i="3"/>
  <c r="BB8" i="4" a="1"/>
  <c r="T32" i="2"/>
  <c r="T22" i="2"/>
  <c r="AM12" i="4" a="1"/>
  <c r="Q59" i="2"/>
  <c r="BZ7" i="4" a="1"/>
  <c r="H34" i="2"/>
  <c r="DP14" i="4" a="1"/>
  <c r="DU6" i="4" a="1"/>
  <c r="DW5" i="4" a="1"/>
  <c r="AR33" i="3"/>
  <c r="N16" i="4" a="1"/>
  <c r="CI5" i="4" a="1"/>
  <c r="AZ13" i="4" a="1"/>
  <c r="AT15" i="4" a="1"/>
  <c r="BB13" i="4" a="1"/>
  <c r="DC9" i="4" a="1"/>
  <c r="BR16" i="4" a="1"/>
  <c r="F6" i="2"/>
  <c r="BA45" i="3"/>
  <c r="G12" i="4" a="1"/>
  <c r="M29" i="2"/>
  <c r="CK8" i="4" a="1"/>
  <c r="W8" i="4" a="1"/>
  <c r="I31" i="2"/>
  <c r="X12" i="4" a="1"/>
  <c r="BS12" i="4" a="1"/>
  <c r="EN12" i="4" a="1"/>
  <c r="S9" i="4" a="1"/>
  <c r="Q56" i="2"/>
  <c r="E22" i="2"/>
  <c r="CQ6" i="4" a="1"/>
  <c r="CH6" i="4" a="1"/>
  <c r="DF15" i="4" a="1"/>
  <c r="BT9" i="4" a="1"/>
  <c r="DD13" i="4" a="1"/>
  <c r="F21" i="3"/>
  <c r="DC14" i="4" a="1"/>
  <c r="Q32" i="2"/>
  <c r="DS9" i="4" a="1"/>
  <c r="AO45" i="3"/>
  <c r="AH7" i="4" a="1"/>
  <c r="DB9" i="4" a="1"/>
  <c r="BA79" i="3"/>
  <c r="CI8" i="4" a="1"/>
  <c r="BD54" i="3"/>
  <c r="BL7" i="4" a="1"/>
  <c r="C16" i="4" a="1"/>
  <c r="AD5" i="3"/>
  <c r="CT5" i="4" a="1"/>
  <c r="CK13" i="4" a="1"/>
  <c r="EC14" i="4" a="1"/>
  <c r="CX11" i="4" a="1"/>
  <c r="AB6" i="4" a="1"/>
  <c r="D11" i="4" a="1"/>
  <c r="E26" i="3"/>
  <c r="CF9" i="4" a="1"/>
  <c r="AY13" i="4" a="1"/>
  <c r="AU19" i="3"/>
  <c r="P11" i="2"/>
  <c r="BF14" i="4" a="1"/>
  <c r="CT7" i="4" a="1"/>
  <c r="AF25" i="3"/>
  <c r="H29" i="2"/>
  <c r="AG11" i="4" a="1"/>
  <c r="CZ16" i="4" a="1"/>
  <c r="AV5" i="4" a="1"/>
  <c r="X31" i="2"/>
  <c r="R46" i="3"/>
  <c r="DT6" i="4" a="1"/>
  <c r="T9" i="4" a="1"/>
  <c r="M27" i="2"/>
  <c r="CK7" i="4" a="1"/>
  <c r="I27" i="2"/>
  <c r="K25" i="2"/>
  <c r="CU11" i="4" a="1"/>
  <c r="AR5" i="4" a="1"/>
  <c r="D15" i="4" a="1"/>
  <c r="Q57" i="2"/>
  <c r="CW15" i="4" a="1"/>
  <c r="AA8" i="4" a="1"/>
  <c r="DV7" i="4" a="1"/>
  <c r="DM9" i="4" a="1"/>
  <c r="P7" i="2"/>
  <c r="W26" i="2"/>
  <c r="CW11" i="4" a="1"/>
  <c r="BV14" i="4" a="1"/>
  <c r="M45" i="3"/>
  <c r="D11" i="2"/>
  <c r="AU5" i="6" a="1"/>
  <c r="AA44" i="2"/>
  <c r="F12" i="3"/>
  <c r="CZ12" i="4" a="1"/>
  <c r="DK13" i="4" a="1"/>
  <c r="U8" i="2"/>
  <c r="BZ12" i="4" a="1"/>
  <c r="EI11" i="4" a="1"/>
  <c r="F75" i="2"/>
  <c r="CW6" i="4" a="1"/>
  <c r="AJ45" i="3"/>
  <c r="AW14" i="4" a="1"/>
  <c r="EK9" i="4" a="1"/>
  <c r="U35" i="2"/>
  <c r="BW6" i="4" a="1"/>
  <c r="N16" i="2"/>
  <c r="O27" i="2"/>
  <c r="AW16" i="4" a="1"/>
  <c r="E27" i="3"/>
  <c r="D13" i="3"/>
  <c r="CU7" i="4" a="1"/>
  <c r="D34" i="3"/>
  <c r="G23" i="3"/>
  <c r="CO5" i="4" a="1"/>
  <c r="P15" i="2"/>
  <c r="AF75" i="3"/>
  <c r="BA12" i="4" a="1"/>
  <c r="AT70" i="3"/>
  <c r="AK45" i="3"/>
  <c r="AW88" i="3"/>
  <c r="AZ96" i="3"/>
  <c r="F5" i="6" a="1"/>
  <c r="AK7" i="4" a="1"/>
  <c r="CM13" i="4" a="1"/>
  <c r="AB45" i="3"/>
  <c r="Q6" i="4" a="1"/>
  <c r="DO9" i="4" a="1"/>
  <c r="W9" i="4" a="1"/>
  <c r="BL15" i="4" a="1"/>
  <c r="F16" i="4" a="1"/>
  <c r="AF5" i="4" a="1"/>
  <c r="AN13" i="4" a="1"/>
  <c r="AY14" i="4" a="1"/>
  <c r="BD91" i="3"/>
  <c r="AD6" i="4" a="1"/>
  <c r="AZ86" i="3"/>
  <c r="E30" i="2"/>
  <c r="P19" i="2"/>
  <c r="BK16" i="4" a="1"/>
  <c r="F14" i="4" a="1"/>
  <c r="CZ5" i="4" a="1"/>
  <c r="T19" i="2"/>
  <c r="EJ7" i="4" a="1"/>
  <c r="M16" i="2"/>
  <c r="CU6" i="4" a="1"/>
  <c r="AE46" i="3"/>
  <c r="M9" i="4" a="1"/>
  <c r="DP8" i="4" a="1"/>
  <c r="E11" i="4" a="1"/>
  <c r="DI11" i="4" a="1"/>
  <c r="BR15" i="4" a="1"/>
  <c r="CP16" i="4" a="1"/>
  <c r="CT8" i="4" a="1"/>
  <c r="EP11" i="4" a="1"/>
  <c r="G22" i="2"/>
  <c r="BT7" i="4" a="1"/>
  <c r="BX11" i="4" a="1"/>
  <c r="AD9" i="3"/>
  <c r="AX14" i="4" a="1"/>
  <c r="CW12" i="4" a="1"/>
  <c r="AP13" i="4" a="1"/>
  <c r="T14" i="4" a="1"/>
  <c r="CL12" i="4" a="1"/>
  <c r="AU79" i="3"/>
  <c r="ED12" i="4" a="1"/>
  <c r="AS63" i="3"/>
  <c r="AZ62" i="3"/>
  <c r="DW9" i="4" a="1"/>
  <c r="DD6" i="4" a="1"/>
  <c r="U29" i="2"/>
  <c r="CN5" i="4" a="1"/>
  <c r="J11" i="4" a="1"/>
  <c r="U33" i="2"/>
  <c r="BW13" i="4" a="1"/>
  <c r="BW8" i="4" a="1"/>
  <c r="BP5" i="4" a="1"/>
  <c r="BG7" i="4" a="1"/>
  <c r="BE16" i="4" a="1"/>
  <c r="DK12" i="4" a="1"/>
  <c r="BI11" i="4" a="1"/>
  <c r="Z46" i="3"/>
  <c r="AE14" i="4" a="1"/>
  <c r="E25" i="3"/>
  <c r="CE6" i="4" a="1"/>
  <c r="AW6" i="4" a="1"/>
  <c r="T6" i="4" a="1"/>
  <c r="DE9" i="4" a="1"/>
  <c r="BR12" i="4" a="1"/>
  <c r="EB12" i="4" a="1"/>
  <c r="T9" i="2"/>
  <c r="D9" i="4" a="1"/>
  <c r="M36" i="2"/>
  <c r="AX5" i="4" a="1"/>
  <c r="G10" i="2"/>
  <c r="N32" i="2"/>
  <c r="DA15" i="4" a="1"/>
  <c r="P33" i="2"/>
  <c r="CM7" i="4" a="1"/>
  <c r="CS16" i="4" a="1"/>
  <c r="F36" i="2"/>
  <c r="AC12" i="4" a="1"/>
  <c r="S32" i="2"/>
  <c r="ED7" i="4" a="1"/>
  <c r="DJ16" i="4" a="1"/>
  <c r="CG8" i="4" a="1"/>
  <c r="BY15" i="4" a="1"/>
  <c r="BB66" i="3"/>
  <c r="EO5" i="4" a="1"/>
  <c r="R7" i="4" a="1"/>
  <c r="D28" i="3"/>
  <c r="BF6" i="4" a="1"/>
  <c r="BP8" i="4" a="1"/>
  <c r="AV11" i="4" a="1"/>
  <c r="V18" i="2"/>
  <c r="O29" i="2"/>
  <c r="CJ6" i="4" a="1"/>
  <c r="X21" i="2"/>
  <c r="DF13" i="4" a="1"/>
  <c r="U14" i="2"/>
  <c r="S25" i="2"/>
  <c r="H13" i="2"/>
  <c r="D7" i="2"/>
  <c r="K5" i="4" a="1"/>
  <c r="C65" i="2"/>
  <c r="AV19" i="3"/>
  <c r="W30" i="2"/>
  <c r="Q11" i="2"/>
  <c r="AP45" i="3"/>
  <c r="S14" i="2"/>
  <c r="DN13" i="4" a="1"/>
  <c r="DO14" i="4" a="1"/>
  <c r="BQ12" i="4" a="1"/>
  <c r="F32" i="2"/>
  <c r="G19" i="2"/>
  <c r="AZ41" i="3"/>
  <c r="H33" i="2"/>
  <c r="CT14" i="4" a="1"/>
  <c r="DQ15" i="4" a="1"/>
  <c r="BU15" i="4" a="1"/>
  <c r="AH14" i="4" a="1"/>
  <c r="E8" i="3"/>
  <c r="I5" i="2"/>
  <c r="AT38" i="3"/>
  <c r="CB9" i="4" a="1"/>
  <c r="BX15" i="4" a="1"/>
  <c r="EB8" i="4" a="1"/>
  <c r="E5" i="4" a="1"/>
  <c r="AT56" i="3"/>
  <c r="EY12" i="4" a="1"/>
  <c r="AR23" i="3"/>
  <c r="DC8" i="4" a="1"/>
  <c r="AL6" i="4" a="1"/>
  <c r="AR42" i="3"/>
  <c r="BO9" i="4" a="1"/>
  <c r="CD15" i="4" a="1"/>
  <c r="CO6" i="4" a="1"/>
  <c r="AJ16" i="4" a="1"/>
  <c r="AS55" i="3"/>
  <c r="AO16" i="4" a="1"/>
  <c r="AZ79" i="3"/>
  <c r="DY13" i="4" a="1"/>
  <c r="BD76" i="3"/>
  <c r="N13" i="4" a="1"/>
  <c r="DL15" i="4" a="1"/>
  <c r="AA12" i="4" a="1"/>
  <c r="R10" i="2"/>
  <c r="CS5" i="4" a="1"/>
  <c r="AJ7" i="4" a="1"/>
  <c r="BE5" i="4" a="1"/>
  <c r="DL16" i="4" a="1"/>
  <c r="BK15" i="4" a="1"/>
  <c r="V8" i="2"/>
  <c r="BD89" i="3"/>
  <c r="AG13" i="4" a="1"/>
  <c r="AT76" i="3"/>
  <c r="D41" i="3"/>
  <c r="AW62" i="3"/>
  <c r="J8" i="2"/>
  <c r="BK12" i="4" a="1"/>
  <c r="BF13" i="4" a="1"/>
  <c r="N11" i="4" a="1"/>
  <c r="AS8" i="4" a="1"/>
  <c r="K7" i="2"/>
  <c r="Z5" i="4" a="1"/>
  <c r="E38" i="3"/>
  <c r="BA11" i="4" a="1"/>
  <c r="L45" i="3"/>
  <c r="DG9" i="4" a="1"/>
  <c r="BB6" i="4" a="1"/>
  <c r="BG9" i="4" a="1"/>
  <c r="AX11" i="4" a="1"/>
  <c r="E16" i="4" a="1"/>
  <c r="J13" i="2"/>
  <c r="U24" i="2"/>
  <c r="EW7" i="4" a="1"/>
  <c r="CD5" i="4" a="1"/>
  <c r="BL5" i="4" a="1"/>
  <c r="DT5" i="4" a="1"/>
  <c r="D21" i="3"/>
  <c r="R6" i="4" a="1"/>
  <c r="BA49" i="3"/>
  <c r="AH16" i="4" a="1"/>
  <c r="CB15" i="4" a="1"/>
  <c r="CZ8" i="4" a="1"/>
  <c r="Q14" i="4" a="1"/>
  <c r="DI8" i="4" a="1"/>
  <c r="K12" i="4" a="1"/>
  <c r="W10" i="2"/>
  <c r="CI15" i="4" a="1"/>
  <c r="BC9" i="4" a="1"/>
  <c r="BZ5" i="4" a="1"/>
  <c r="AU15" i="3"/>
  <c r="EE13" i="4" a="1"/>
  <c r="CK6" i="4" a="1"/>
  <c r="DA14" i="4" a="1"/>
  <c r="F41" i="3"/>
  <c r="P17" i="2"/>
  <c r="J16" i="2"/>
  <c r="CC13" i="4" a="1"/>
  <c r="S6" i="6" a="1"/>
  <c r="AA107" i="2"/>
  <c r="CL9" i="4" a="1"/>
  <c r="AX34" i="3"/>
  <c r="C9" i="4" a="1"/>
  <c r="CN13" i="4" a="1"/>
  <c r="EI15" i="4" a="1"/>
  <c r="ED6" i="4" a="1"/>
  <c r="D32" i="2"/>
  <c r="CC6" i="4" a="1"/>
  <c r="BI15" i="4" a="1"/>
  <c r="T31" i="2"/>
  <c r="DH5" i="4" a="1"/>
  <c r="C34" i="2"/>
  <c r="EL16" i="4" a="1"/>
  <c r="CP14" i="4" a="1"/>
  <c r="CM15" i="4" a="1"/>
  <c r="DY15" i="4" a="1"/>
  <c r="AW9" i="4" a="1"/>
  <c r="G25" i="3"/>
  <c r="L16" i="4" a="1"/>
  <c r="AT6" i="4" a="1"/>
  <c r="BU12" i="4" a="1"/>
  <c r="G7" i="4" a="1"/>
  <c r="Y5" i="4" a="1"/>
  <c r="AI14" i="4" a="1"/>
  <c r="AD10" i="3"/>
  <c r="CJ13" i="4" a="1"/>
  <c r="E20" i="2"/>
  <c r="F30" i="3"/>
  <c r="T16" i="4" a="1"/>
  <c r="AR12" i="4" a="1"/>
  <c r="AV8" i="4" a="1"/>
  <c r="EK13" i="4" a="1"/>
  <c r="C14" i="4" a="1"/>
  <c r="U27" i="2"/>
  <c r="CF7" i="4" a="1"/>
  <c r="CB12" i="4" a="1"/>
  <c r="H54" i="2"/>
  <c r="BQ11" i="4" a="1"/>
  <c r="I15" i="2"/>
  <c r="M11" i="4" a="1"/>
  <c r="CY5" i="4" a="1"/>
  <c r="AX87" i="3"/>
  <c r="CH13" i="4" a="1"/>
  <c r="M8" i="4" a="1"/>
  <c r="BB12" i="4" a="1"/>
  <c r="C11" i="4" a="1"/>
  <c r="BV8" i="4" a="1"/>
  <c r="AK12" i="4" a="1"/>
  <c r="DC13" i="4" a="1"/>
  <c r="AK46" i="3"/>
  <c r="V9" i="4" a="1"/>
  <c r="AD77" i="3"/>
  <c r="AS75" i="3"/>
  <c r="DB5" i="4" a="1"/>
  <c r="R13" i="2"/>
  <c r="E24" i="3"/>
  <c r="S5" i="4" a="1"/>
  <c r="BD64" i="3"/>
  <c r="BK8" i="4" a="1"/>
  <c r="BP15" i="4" a="1"/>
  <c r="Q7" i="2"/>
  <c r="CQ13" i="4" a="1"/>
  <c r="DU14" i="4" a="1"/>
  <c r="BB5" i="4" a="1"/>
  <c r="G9" i="4" a="1"/>
  <c r="DY6" i="4" a="1"/>
  <c r="BG13" i="4" a="1"/>
  <c r="E22" i="3"/>
  <c r="E8" i="4" a="1"/>
  <c r="CA15" i="4" a="1"/>
  <c r="CI13" i="4" a="1"/>
  <c r="I16" i="4" a="1"/>
  <c r="DU9" i="4" a="1"/>
  <c r="AV14" i="4" a="1"/>
  <c r="Y8" i="4" a="1"/>
  <c r="CD8" i="4" a="1"/>
  <c r="DU5" i="4" a="1"/>
  <c r="CJ9" i="4" a="1"/>
  <c r="BX7" i="4" a="1"/>
  <c r="K18" i="2"/>
  <c r="E28" i="3"/>
  <c r="P14" i="2"/>
  <c r="AI15" i="4" a="1"/>
  <c r="AZ76" i="3"/>
  <c r="CX7" i="4" a="1"/>
  <c r="C25" i="2"/>
  <c r="AA9" i="4" a="1"/>
  <c r="DA9" i="4" a="1"/>
  <c r="R28" i="2"/>
  <c r="I46" i="3"/>
  <c r="DX11" i="4" a="1"/>
  <c r="BA16" i="4" a="1"/>
  <c r="CS13" i="4" a="1"/>
  <c r="DO11" i="4" a="1"/>
  <c r="AP9" i="4" a="1"/>
  <c r="E31" i="3"/>
  <c r="Z23" i="2"/>
  <c r="DQ5" i="4" a="1"/>
  <c r="E40" i="3"/>
  <c r="W46" i="3"/>
  <c r="F28" i="2"/>
  <c r="H16" i="2"/>
  <c r="BB34" i="3"/>
  <c r="CO15" i="4" a="1"/>
  <c r="Y14" i="4" a="1"/>
  <c r="AR37" i="3"/>
  <c r="AT61" i="3"/>
  <c r="V6" i="4" a="1"/>
  <c r="N7" i="4" a="1"/>
  <c r="AY6" i="4" a="1"/>
  <c r="R5" i="4" a="1"/>
  <c r="AD8" i="4" a="1"/>
  <c r="I9" i="4" a="1"/>
  <c r="BT12" i="4" a="1"/>
  <c r="AT72" i="3"/>
  <c r="E14" i="4" a="1"/>
  <c r="BD14" i="4" a="1"/>
  <c r="DJ8" i="4" a="1"/>
  <c r="S16" i="2"/>
  <c r="I5" i="6" a="1"/>
  <c r="CT12" i="4" a="1"/>
  <c r="BX14" i="4" a="1"/>
  <c r="DJ9" i="4" a="1"/>
  <c r="AI8" i="4" a="1"/>
  <c r="AI6" i="4" a="1"/>
  <c r="BX16" i="4" a="1"/>
  <c r="W15" i="2"/>
  <c r="E35" i="3"/>
  <c r="CF8" i="4" a="1"/>
  <c r="BE9" i="4" a="1"/>
  <c r="AF9" i="4" a="1"/>
  <c r="D25" i="2"/>
  <c r="EJ15" i="4" a="1"/>
  <c r="Q34" i="2"/>
  <c r="Q15" i="4" a="1"/>
  <c r="D15" i="2"/>
  <c r="DN14" i="4" a="1"/>
  <c r="CL11" i="4" a="1"/>
  <c r="BI12" i="4" a="1"/>
  <c r="W12" i="4" a="1"/>
  <c r="J23" i="2"/>
  <c r="P18" i="2"/>
  <c r="CG6" i="4" a="1"/>
  <c r="DA8" i="4" a="1"/>
  <c r="G14" i="3"/>
  <c r="BA14" i="4" a="1"/>
  <c r="AL16" i="4" a="1"/>
  <c r="AX84" i="3"/>
  <c r="AR14" i="3"/>
  <c r="AW97" i="3"/>
  <c r="CU8" i="4" a="1"/>
  <c r="BD85" i="3"/>
  <c r="AS80" i="3"/>
  <c r="BM12" i="4" a="1"/>
  <c r="AQ6" i="4" a="1"/>
  <c r="V45" i="3"/>
  <c r="Y9" i="4" a="1"/>
  <c r="AZ91" i="3"/>
  <c r="DX9" i="4" a="1"/>
  <c r="AT75" i="3"/>
  <c r="CG12" i="4" a="1"/>
  <c r="AR30" i="3"/>
  <c r="AO12" i="4" a="1"/>
  <c r="F27" i="3"/>
  <c r="U11" i="4" a="1"/>
  <c r="BA85" i="3"/>
  <c r="BD57" i="3"/>
  <c r="CX5" i="4" a="1"/>
  <c r="W15" i="4" a="1"/>
  <c r="DE5" i="4" a="1"/>
  <c r="AT67" i="3"/>
  <c r="BC66" i="3"/>
  <c r="AS64" i="3"/>
  <c r="G86" i="3"/>
  <c r="AZ54" i="3"/>
  <c r="AU84" i="3"/>
  <c r="BB75" i="3"/>
  <c r="AT11" i="4" a="1"/>
  <c r="CP11" i="4" a="1"/>
  <c r="BR6" i="4" a="1"/>
  <c r="BC16" i="4" a="1"/>
  <c r="D5" i="4" a="1"/>
  <c r="DK15" i="4" a="1"/>
  <c r="AW84" i="3"/>
  <c r="BM16" i="4" a="1"/>
  <c r="AS48" i="3"/>
  <c r="K13" i="4" a="1"/>
  <c r="BC94" i="3"/>
  <c r="AO7" i="4" a="1"/>
  <c r="AX15" i="4" a="1"/>
  <c r="CO7" i="4" a="1"/>
  <c r="AF6" i="4" a="1"/>
  <c r="BH11" i="4" a="1"/>
  <c r="AZ61" i="3"/>
  <c r="Q16" i="4" a="1"/>
  <c r="T11" i="4" a="1"/>
  <c r="AR36" i="3"/>
  <c r="BC93" i="3"/>
  <c r="BQ13" i="4" a="1"/>
  <c r="C56" i="3"/>
  <c r="AD59" i="3"/>
  <c r="BA64" i="3"/>
  <c r="BJ12" i="4" a="1"/>
  <c r="AR29" i="3"/>
  <c r="AD95" i="3"/>
  <c r="DD8" i="4" a="1"/>
  <c r="CB8" i="4" a="1"/>
  <c r="H13" i="4" a="1"/>
  <c r="K8" i="4" a="1"/>
  <c r="AW94" i="3"/>
  <c r="AT96" i="3"/>
  <c r="CF11" i="4" a="1"/>
  <c r="AZ75" i="3"/>
  <c r="BC54" i="3"/>
  <c r="F37" i="3"/>
  <c r="AR16" i="4" a="1"/>
  <c r="CV15" i="4" a="1"/>
  <c r="EF9" i="4" a="1"/>
  <c r="C33" i="2"/>
  <c r="CF13" i="4" a="1"/>
  <c r="CN9" i="4" a="1"/>
  <c r="Z11" i="4" a="1"/>
  <c r="BC49" i="3"/>
  <c r="CR12" i="4" a="1"/>
  <c r="EA8" i="4" a="1"/>
  <c r="AW61" i="3"/>
  <c r="D45" i="3"/>
  <c r="BN15" i="4" a="1"/>
  <c r="BP6" i="4" a="1"/>
  <c r="AU81" i="3"/>
  <c r="X11" i="4" a="1"/>
  <c r="BC63" i="3"/>
  <c r="I22" i="2"/>
  <c r="E7" i="4" a="1"/>
  <c r="Q9" i="4" a="1"/>
  <c r="H14" i="4" a="1"/>
  <c r="DW7" i="4" a="1"/>
  <c r="K19" i="2"/>
  <c r="CO14" i="4" a="1"/>
  <c r="AD66" i="3"/>
  <c r="BO11" i="4" a="1"/>
  <c r="AG9" i="4" a="1"/>
  <c r="CG16" i="4" a="1"/>
  <c r="N6" i="2"/>
  <c r="CK12" i="4" a="1"/>
  <c r="W16" i="4" a="1"/>
  <c r="AQ5" i="4" a="1"/>
  <c r="BD13" i="4" a="1"/>
  <c r="M9" i="2"/>
  <c r="AC7" i="4" a="1"/>
  <c r="AY16" i="4" a="1"/>
  <c r="Q45" i="3"/>
  <c r="N21" i="2"/>
  <c r="CV5" i="4" a="1"/>
  <c r="F28" i="3"/>
  <c r="K45" i="3"/>
  <c r="DE7" i="4" a="1"/>
  <c r="E12" i="3"/>
  <c r="U8" i="4" a="1"/>
  <c r="BO5" i="4" a="1"/>
  <c r="CH8" i="4" a="1"/>
  <c r="AX57" i="3"/>
  <c r="EE5" i="4" a="1"/>
  <c r="AX16" i="4" a="1"/>
  <c r="EG13" i="4" a="1"/>
  <c r="CA8" i="4" a="1"/>
  <c r="DI13" i="4" a="1"/>
  <c r="BF8" i="4" a="1"/>
  <c r="J46" i="3"/>
  <c r="AD17" i="3"/>
  <c r="AR15" i="4" a="1"/>
  <c r="I5" i="4" a="1"/>
  <c r="AG46" i="3"/>
  <c r="AZ7" i="4" a="1"/>
  <c r="K9" i="4" a="1"/>
  <c r="AC5" i="4" a="1"/>
  <c r="EH15" i="4" a="1"/>
  <c r="H21" i="2"/>
  <c r="AU72" i="3"/>
  <c r="X34" i="2"/>
  <c r="J6" i="6" a="1"/>
  <c r="M20" i="2"/>
  <c r="AT8" i="4" a="1"/>
  <c r="R23" i="2"/>
  <c r="BT14" i="4" a="1"/>
  <c r="CT11" i="4" a="1"/>
  <c r="CZ13" i="4" a="1"/>
  <c r="BD94" i="3"/>
  <c r="BK5" i="4" a="1"/>
  <c r="AN9" i="4" a="1"/>
  <c r="DN8" i="4" a="1"/>
  <c r="AW66" i="3"/>
  <c r="EE6" i="4" a="1"/>
  <c r="Q26" i="2"/>
  <c r="CE15" i="4" a="1"/>
  <c r="AK16" i="4" a="1"/>
  <c r="CE5" i="4" a="1"/>
  <c r="D10" i="3"/>
  <c r="AF16" i="4" a="1"/>
  <c r="AN6" i="4" a="1"/>
  <c r="BQ15" i="4" a="1"/>
  <c r="BW11" i="4" a="1"/>
  <c r="BD86" i="3"/>
  <c r="EI12" i="4" a="1"/>
  <c r="CL6" i="4" a="1"/>
  <c r="DH16" i="4" a="1"/>
  <c r="BQ8" i="4" a="1"/>
  <c r="V14" i="2"/>
  <c r="EF7" i="4" a="1"/>
  <c r="CE9" i="4" a="1"/>
  <c r="H11" i="4" a="1"/>
  <c r="Z9" i="4" a="1"/>
  <c r="BA47" i="3"/>
  <c r="EF12" i="4" a="1"/>
  <c r="X13" i="4" a="1"/>
  <c r="BN5" i="4" a="1"/>
  <c r="P69" i="2"/>
  <c r="EE9" i="4" a="1"/>
  <c r="M12" i="2"/>
  <c r="H16" i="4" a="1"/>
  <c r="BN13" i="4" a="1"/>
  <c r="DS14" i="4" a="1"/>
  <c r="BD6" i="4" a="1"/>
  <c r="I12" i="4" a="1"/>
  <c r="BU14" i="4" a="1"/>
  <c r="F19" i="2"/>
  <c r="BW7" i="4" a="1"/>
  <c r="BQ6" i="4" a="1"/>
  <c r="L8" i="4" a="1"/>
  <c r="J28" i="2"/>
  <c r="AR27" i="3"/>
  <c r="V30" i="2"/>
  <c r="Q21" i="2"/>
  <c r="CT9" i="4" a="1"/>
  <c r="E15" i="4" a="1"/>
  <c r="BV12" i="4" a="1"/>
  <c r="BM15" i="4" a="1"/>
  <c r="J16" i="4" a="1"/>
  <c r="CN6" i="4" a="1"/>
  <c r="AE11" i="4" a="1"/>
  <c r="AT16" i="4" a="1"/>
  <c r="CC12" i="4" a="1"/>
  <c r="AW90" i="3"/>
  <c r="H5" i="4" a="1"/>
  <c r="V13" i="4" a="1"/>
  <c r="BC60" i="3"/>
  <c r="U36" i="2"/>
  <c r="EC6" i="4" a="1"/>
  <c r="AR32" i="3"/>
  <c r="CR7" i="4" a="1"/>
  <c r="CD14" i="4" a="1"/>
  <c r="AV77" i="3"/>
  <c r="D23" i="3"/>
  <c r="BT15" i="4" a="1"/>
  <c r="DZ9" i="4" a="1"/>
  <c r="AZ60" i="3"/>
  <c r="DL12" i="4" a="1"/>
  <c r="BC85" i="3"/>
  <c r="BD87" i="3"/>
  <c r="F15" i="3"/>
  <c r="EH6" i="4" a="1"/>
  <c r="AV66" i="3"/>
  <c r="G92" i="3"/>
  <c r="AZ73" i="3"/>
  <c r="BB91" i="3"/>
  <c r="AD87" i="3"/>
  <c r="DM11" i="4" a="1"/>
  <c r="CO12" i="4" a="1"/>
  <c r="CY11" i="4" a="1"/>
  <c r="CV7" i="4" a="1"/>
  <c r="O9" i="4" a="1"/>
  <c r="BC48" i="3"/>
  <c r="DZ5" i="4" a="1"/>
  <c r="DV8" i="4" a="1"/>
  <c r="F6" i="4" a="1"/>
  <c r="CJ8" i="4" a="1"/>
  <c r="BP7" i="4" a="1"/>
  <c r="AD5" i="4" a="1"/>
  <c r="AT82" i="3"/>
  <c r="EK11" i="4" a="1"/>
  <c r="CO8" i="4" a="1"/>
  <c r="F7" i="3"/>
  <c r="E23" i="3"/>
  <c r="AW74" i="3"/>
  <c r="AZ89" i="3"/>
  <c r="BB70" i="3"/>
  <c r="BB82" i="3"/>
  <c r="BO6" i="4" a="1"/>
  <c r="DC7" i="4" a="1"/>
  <c r="BD69" i="3"/>
  <c r="AV70" i="3"/>
  <c r="AH8" i="4" a="1"/>
  <c r="T34" i="2"/>
  <c r="AP8" i="4" a="1"/>
  <c r="Y42" i="2"/>
  <c r="AY84" i="3"/>
  <c r="M16" i="4" a="1"/>
  <c r="M5" i="2"/>
  <c r="P16" i="4" a="1"/>
  <c r="AW67" i="3"/>
  <c r="E41" i="3"/>
  <c r="DG7" i="4" a="1"/>
  <c r="BK9" i="4" a="1"/>
  <c r="BX6" i="4" a="1"/>
  <c r="DD12" i="4" a="1"/>
  <c r="X9" i="4" a="1"/>
  <c r="W24" i="2"/>
  <c r="F5" i="4" a="1"/>
  <c r="BJ13" i="4" a="1"/>
  <c r="AH15" i="4" a="1"/>
  <c r="AA45" i="3"/>
  <c r="CG11" i="4" a="1"/>
  <c r="CH12" i="4" a="1"/>
  <c r="DR16" i="4" a="1"/>
  <c r="AX96" i="3"/>
  <c r="AW5" i="4" a="1"/>
  <c r="AT65" i="3"/>
  <c r="AW19" i="3"/>
  <c r="BW5" i="4" a="1"/>
  <c r="CC15" i="4" a="1"/>
  <c r="BM8" i="4" a="1"/>
  <c r="Q31" i="2"/>
  <c r="EA6" i="4" a="1"/>
  <c r="BH15" i="4" a="1"/>
  <c r="P13" i="4" a="1"/>
  <c r="Q8" i="2"/>
  <c r="BY9" i="4" a="1"/>
  <c r="D14" i="3"/>
  <c r="AF7" i="4" a="1"/>
  <c r="AX12" i="4" a="1"/>
  <c r="AV7" i="4" a="1"/>
  <c r="AZ14" i="3"/>
  <c r="P12" i="4" a="1"/>
  <c r="L15" i="4" a="1"/>
  <c r="AQ13" i="4" a="1"/>
  <c r="AV6" i="4" a="1"/>
  <c r="E5" i="3"/>
  <c r="AD14" i="4" a="1"/>
  <c r="EB7" i="4" a="1"/>
  <c r="CV8" i="4" a="1"/>
  <c r="AV13" i="4" a="1"/>
  <c r="P15" i="4" a="1"/>
  <c r="R9" i="4" a="1"/>
  <c r="AA15" i="4" a="1"/>
  <c r="BU11" i="4" a="1"/>
  <c r="DH11" i="4" a="1"/>
  <c r="AY9" i="4" a="1"/>
  <c r="DI12" i="4" a="1"/>
  <c r="AA6" i="4" a="1"/>
  <c r="BU5" i="4" a="1"/>
  <c r="D5" i="3"/>
  <c r="BA57" i="3"/>
  <c r="CV6" i="4" a="1"/>
  <c r="BC86" i="3"/>
  <c r="BL16" i="4" a="1"/>
  <c r="DV12" i="4" a="1"/>
  <c r="AW59" i="3"/>
  <c r="AS61" i="3"/>
  <c r="AN46" i="3"/>
  <c r="AH45" i="3"/>
  <c r="AH6" i="4" a="1"/>
  <c r="AY50" i="3"/>
  <c r="D89" i="3"/>
  <c r="EH9" i="4" a="1"/>
  <c r="DE14" i="4" a="1"/>
  <c r="CQ12" i="4" a="1"/>
  <c r="AZ72" i="3"/>
  <c r="AP12" i="4" a="1"/>
  <c r="D67" i="3"/>
  <c r="AT50" i="3"/>
  <c r="CL13" i="4" a="1"/>
  <c r="D95" i="3"/>
  <c r="DD15" i="4" a="1"/>
  <c r="AR21" i="3"/>
  <c r="AZ81" i="3"/>
  <c r="BB89" i="3"/>
  <c r="AW81" i="3"/>
  <c r="AU49" i="3"/>
  <c r="AD13" i="4" a="1"/>
  <c r="CY7" i="4" a="1"/>
  <c r="AW8" i="4" a="1"/>
  <c r="AS85" i="3"/>
  <c r="CZ11" i="4" a="1"/>
  <c r="G6" i="3"/>
  <c r="J5" i="4" a="1"/>
  <c r="CW9" i="4" a="1"/>
  <c r="AZ48" i="3"/>
  <c r="AZ6" i="4" a="1"/>
  <c r="DY7" i="4" a="1"/>
  <c r="EA15" i="4" a="1"/>
  <c r="DZ15" i="4" a="1"/>
  <c r="AO9" i="4" a="1"/>
  <c r="AX88" i="3"/>
  <c r="Y12" i="4" a="1"/>
  <c r="AT91" i="3"/>
  <c r="E75" i="3"/>
  <c r="AS77" i="3"/>
  <c r="AW75" i="3"/>
  <c r="AL14" i="4" a="1"/>
  <c r="E90" i="3"/>
  <c r="AD91" i="3"/>
  <c r="G88" i="3"/>
  <c r="BB58" i="3"/>
  <c r="BO15" i="4" a="1"/>
  <c r="DC11" i="4" a="1"/>
  <c r="AX80" i="3"/>
  <c r="D59" i="3"/>
  <c r="AX47" i="3"/>
  <c r="BD48" i="3"/>
  <c r="AS62" i="3"/>
  <c r="CB6" i="4" a="1"/>
  <c r="D35" i="3"/>
  <c r="AM15" i="4" a="1"/>
  <c r="BD47" i="3"/>
  <c r="AT83" i="3"/>
  <c r="H8" i="4" a="1"/>
  <c r="DI7" i="4" a="1"/>
  <c r="AT68" i="3"/>
  <c r="AZ83" i="3"/>
  <c r="EB15" i="4" a="1"/>
  <c r="AZ95" i="3"/>
  <c r="S8" i="2"/>
  <c r="AB5" i="4" a="1"/>
  <c r="AR26" i="3"/>
  <c r="AZ23" i="3"/>
  <c r="E25" i="2"/>
  <c r="AD6" i="3"/>
  <c r="CE13" i="4" a="1"/>
  <c r="H36" i="2"/>
  <c r="G46" i="3"/>
  <c r="DV15" i="4" a="1"/>
  <c r="BP16" i="4" a="1"/>
  <c r="T13" i="4" a="1"/>
  <c r="ED8" i="4" a="1"/>
  <c r="AZ77" i="3"/>
  <c r="AT7" i="4" a="1"/>
  <c r="AK15" i="4" a="1"/>
  <c r="DI16" i="4" a="1"/>
  <c r="BY7" i="4" a="1"/>
  <c r="E7" i="2"/>
  <c r="X22" i="2"/>
  <c r="O21" i="2"/>
  <c r="CO16" i="4" a="1"/>
  <c r="ED13" i="4" a="1"/>
  <c r="AL12" i="4" a="1"/>
  <c r="BS16" i="4" a="1"/>
  <c r="K12" i="2"/>
  <c r="H49" i="2"/>
  <c r="CJ7" i="4" a="1"/>
  <c r="DR9" i="4" a="1"/>
  <c r="CI7" i="4" a="1"/>
  <c r="DK8" i="4" a="1"/>
  <c r="DP11" i="4" a="1"/>
  <c r="AI12" i="4" a="1"/>
  <c r="DU15" i="4" a="1"/>
  <c r="DL7" i="4" a="1"/>
  <c r="AS54" i="3"/>
  <c r="AY8" i="4" a="1"/>
  <c r="CQ5" i="4" a="1"/>
  <c r="Q58" i="2"/>
  <c r="O31" i="2"/>
  <c r="R12" i="2"/>
  <c r="BB9" i="4" a="1"/>
  <c r="EG12" i="4" a="1"/>
  <c r="EH7" i="4" a="1"/>
  <c r="Q6" i="2"/>
  <c r="DV13" i="4" a="1"/>
  <c r="DZ11" i="4" a="1"/>
  <c r="CL5" i="4" a="1"/>
  <c r="AN45" i="3"/>
  <c r="AY31" i="3"/>
  <c r="G31" i="3"/>
  <c r="CI12" i="4" a="1"/>
  <c r="BQ16" i="4" a="1"/>
  <c r="J12" i="2"/>
  <c r="DU13" i="4" a="1"/>
  <c r="L5" i="4" a="1"/>
  <c r="BF16" i="4" a="1"/>
  <c r="BM11" i="4" a="1"/>
  <c r="AS12" i="4" a="1"/>
  <c r="DX15" i="4" a="1"/>
  <c r="EB9" i="4" a="1"/>
  <c r="AX58" i="3"/>
  <c r="BT11" i="4" a="1"/>
  <c r="CK14" i="4" a="1"/>
  <c r="AX7" i="4" a="1"/>
  <c r="DB15" i="4" a="1"/>
  <c r="BD65" i="3"/>
  <c r="G19" i="3"/>
  <c r="DL5" i="4" a="1"/>
  <c r="D57" i="3"/>
  <c r="BA94" i="3"/>
  <c r="BC65" i="3"/>
  <c r="AD79" i="3"/>
  <c r="U12" i="4" a="1"/>
  <c r="DJ12" i="4" a="1"/>
  <c r="AT62" i="3"/>
  <c r="D87" i="3"/>
  <c r="BC62" i="3"/>
  <c r="AW13" i="4" a="1"/>
  <c r="BC73" i="3"/>
  <c r="AX78" i="3"/>
  <c r="C29" i="2"/>
  <c r="EE11" i="4" a="1"/>
  <c r="DF9" i="4" a="1"/>
  <c r="DV9" i="4" a="1"/>
  <c r="AU65" i="3"/>
  <c r="AU68" i="3"/>
  <c r="DD16" i="4" a="1"/>
  <c r="CH16" i="4" a="1"/>
  <c r="BS9" i="4" a="1"/>
  <c r="BQ9" i="4" a="1"/>
  <c r="CN16" i="4" a="1"/>
  <c r="BZ8" i="4" a="1"/>
  <c r="AS81" i="3"/>
  <c r="AP46" i="3"/>
  <c r="EK7" i="4" a="1"/>
  <c r="DX8" i="4" a="1"/>
  <c r="BD96" i="3"/>
  <c r="AF50" i="3"/>
  <c r="AJ6" i="4" a="1"/>
  <c r="AH13" i="4" a="1"/>
  <c r="AF71" i="3"/>
  <c r="AR8" i="4" a="1"/>
  <c r="G30" i="3"/>
  <c r="AQ45" i="3"/>
  <c r="AG5" i="4" a="1"/>
  <c r="DE13" i="4" a="1"/>
  <c r="E92" i="3"/>
  <c r="AU59" i="3"/>
  <c r="D72" i="3"/>
  <c r="AU60" i="3"/>
  <c r="L31" i="2"/>
  <c r="AX82" i="3"/>
  <c r="C26" i="2"/>
  <c r="G13" i="4" a="1"/>
  <c r="AT89" i="3"/>
  <c r="CR9" i="4" a="1"/>
  <c r="ED14" i="4" a="1"/>
  <c r="CY13" i="4" a="1"/>
  <c r="AX55" i="3"/>
  <c r="R13" i="4" a="1"/>
  <c r="D88" i="3"/>
  <c r="BD61" i="3"/>
  <c r="D68" i="3"/>
  <c r="F24" i="3"/>
  <c r="AQ8" i="4" a="1"/>
  <c r="AD12" i="3"/>
  <c r="I30" i="2"/>
  <c r="T15" i="2"/>
  <c r="I13" i="4" a="1"/>
  <c r="D16" i="2"/>
  <c r="F6" i="3"/>
  <c r="F13" i="2"/>
  <c r="BL13" i="4" a="1"/>
  <c r="AD94" i="3"/>
  <c r="F8" i="3"/>
  <c r="AF14" i="4" a="1"/>
  <c r="DW12" i="4" a="1"/>
  <c r="P30" i="2"/>
  <c r="G34" i="2"/>
  <c r="CO11" i="4" a="1"/>
  <c r="DG15" i="4" a="1"/>
  <c r="R8" i="4" a="1"/>
  <c r="T18" i="2"/>
  <c r="P46" i="3"/>
  <c r="R35" i="2"/>
  <c r="J14" i="4" a="1"/>
  <c r="E7" i="3"/>
  <c r="DK16" i="4" a="1"/>
  <c r="D7" i="3"/>
  <c r="BC82" i="3"/>
  <c r="N24" i="2"/>
  <c r="H12" i="4" a="1"/>
  <c r="M6" i="4" a="1"/>
  <c r="EA11" i="4" a="1"/>
  <c r="AY15" i="4" a="1"/>
  <c r="CQ9" i="4" a="1"/>
  <c r="AR35" i="3"/>
  <c r="Z14" i="4" a="1"/>
  <c r="BC59" i="3"/>
  <c r="EG5" i="4" a="1"/>
  <c r="AW72" i="3"/>
  <c r="DS7" i="4" a="1"/>
  <c r="AE8" i="4" a="1"/>
  <c r="AB46" i="3"/>
  <c r="CJ14" i="4" a="1"/>
  <c r="DQ14" i="4" a="1"/>
  <c r="Q15" i="2"/>
  <c r="AR13" i="3"/>
  <c r="BL14" i="4" a="1"/>
  <c r="BN11" i="4" a="1"/>
  <c r="AH11" i="4" a="1"/>
  <c r="O8" i="4" a="1"/>
  <c r="BE8" i="4" a="1"/>
  <c r="F18" i="3"/>
  <c r="E34" i="3"/>
  <c r="DP13" i="4" a="1"/>
  <c r="H26" i="2"/>
  <c r="T15" i="4" a="1"/>
  <c r="DW13" i="4" a="1"/>
  <c r="Y16" i="4" a="1"/>
  <c r="BD88" i="3"/>
  <c r="EF8" i="4" a="1"/>
  <c r="BC92" i="3"/>
  <c r="DS8" i="4" a="1"/>
  <c r="Y46" i="3"/>
  <c r="CG5" i="4" a="1"/>
  <c r="BD97" i="3"/>
  <c r="AV15" i="4" a="1"/>
  <c r="O19" i="2"/>
  <c r="BK13" i="4" a="1"/>
  <c r="DE11" i="4" a="1"/>
  <c r="CU15" i="4" a="1"/>
  <c r="O17" i="2"/>
  <c r="N14" i="4" a="1"/>
  <c r="AF20" i="3"/>
  <c r="BO16" i="4" a="1"/>
  <c r="EF6" i="4" a="1"/>
  <c r="F16" i="3"/>
  <c r="S29" i="2"/>
  <c r="BB15" i="4" a="1"/>
  <c r="F32" i="3"/>
  <c r="DS16" i="4" a="1"/>
  <c r="DN6" i="4" a="1"/>
  <c r="AT12" i="4" a="1"/>
  <c r="DG14" i="4" a="1"/>
  <c r="BG14" i="4" a="1"/>
  <c r="Q14" i="2"/>
  <c r="CS9" i="4" a="1"/>
  <c r="CX14" i="4" a="1"/>
  <c r="D25" i="3"/>
  <c r="AJ12" i="4" a="1"/>
  <c r="BB7" i="4" a="1"/>
  <c r="AW87" i="3"/>
  <c r="C23" i="2"/>
  <c r="EC9" i="4" a="1"/>
  <c r="M34" i="2"/>
  <c r="L34" i="2"/>
  <c r="CT6" i="4" a="1"/>
  <c r="AC46" i="3"/>
  <c r="EB13" i="4" a="1"/>
  <c r="AS6" i="4" a="1"/>
  <c r="AT92" i="3"/>
  <c r="BH16" i="4" a="1"/>
  <c r="CU16" i="4" a="1"/>
  <c r="CB16" i="4" a="1"/>
  <c r="AS10" i="3"/>
  <c r="CQ16" i="4" a="1"/>
  <c r="T7" i="4" a="1"/>
  <c r="BL6" i="4" a="1"/>
  <c r="BR8" i="4" a="1"/>
  <c r="BF5" i="4" a="1"/>
  <c r="S23" i="2"/>
  <c r="C12" i="4" a="1"/>
  <c r="O5" i="4" a="1"/>
  <c r="DZ16" i="4" a="1"/>
  <c r="BJ15" i="4" a="1"/>
  <c r="BS11" i="4" a="1"/>
  <c r="AO13" i="4" a="1"/>
  <c r="DK11" i="4" a="1"/>
  <c r="Q7" i="4" a="1"/>
  <c r="C46" i="3"/>
  <c r="AR6" i="4" a="1"/>
  <c r="L13" i="4" a="1"/>
  <c r="D9" i="3"/>
  <c r="AU54" i="3"/>
  <c r="BP9" i="4" a="1"/>
  <c r="S6" i="4" a="1"/>
  <c r="BB45" i="3"/>
  <c r="P6" i="2"/>
  <c r="G17" i="3"/>
  <c r="AH5" i="4" a="1"/>
  <c r="CZ9" i="4" a="1"/>
  <c r="L18" i="2"/>
  <c r="DL13" i="4" a="1"/>
  <c r="K16" i="4" a="1"/>
  <c r="AZ58" i="3"/>
  <c r="Z15" i="4" a="1"/>
  <c r="BY16" i="4" a="1"/>
  <c r="EA14" i="4" a="1"/>
  <c r="AS16" i="4" a="1"/>
  <c r="FF16" i="4" a="1"/>
  <c r="DH9" i="4" a="1"/>
  <c r="E21" i="3"/>
  <c r="S21" i="2"/>
  <c r="EH12" i="4" a="1"/>
  <c r="F26" i="3"/>
  <c r="E37" i="3"/>
  <c r="BD81" i="3"/>
  <c r="EJ9" i="4" a="1"/>
  <c r="CV11" i="4" a="1"/>
  <c r="F25" i="3"/>
  <c r="AA46" i="3"/>
  <c r="BJ5" i="4" a="1"/>
  <c r="D26" i="3"/>
  <c r="DY9" i="4" a="1"/>
  <c r="AG8" i="4" a="1"/>
  <c r="E12" i="4" a="1"/>
  <c r="J34" i="2"/>
  <c r="DV11" i="4" a="1"/>
  <c r="AX73" i="3"/>
  <c r="DR5" i="4" a="1"/>
  <c r="CM12" i="4" a="1"/>
  <c r="W13" i="2"/>
  <c r="R8" i="2"/>
  <c r="U45" i="3"/>
  <c r="DT15" i="4" a="1"/>
  <c r="K11" i="4" a="1"/>
  <c r="M12" i="4" a="1"/>
  <c r="N25" i="2"/>
  <c r="CL14" i="4" a="1"/>
  <c r="F5" i="3"/>
  <c r="BC97" i="3"/>
  <c r="DV5" i="4" a="1"/>
  <c r="EK12" i="4" a="1"/>
  <c r="EJ8" i="4" a="1"/>
  <c r="AU15" i="4" a="1"/>
  <c r="DP6" i="4" a="1"/>
  <c r="BJ9" i="4" a="1"/>
  <c r="AP6" i="4" a="1"/>
  <c r="BV9" i="4" a="1"/>
  <c r="AO46" i="3"/>
  <c r="S13" i="4" a="1"/>
  <c r="AS65" i="3"/>
  <c r="U46" i="3"/>
  <c r="AZ66" i="3"/>
  <c r="W74" i="2"/>
  <c r="AD57" i="3"/>
  <c r="AW85" i="3"/>
  <c r="EE8" i="4" a="1"/>
  <c r="BQ14" i="4" a="1"/>
  <c r="DZ13" i="4" a="1"/>
  <c r="D82" i="3"/>
  <c r="AZ50" i="3"/>
  <c r="CU5" i="4" a="1"/>
  <c r="BD56" i="3"/>
  <c r="BD75" i="3"/>
  <c r="D80" i="3"/>
  <c r="D84" i="3"/>
  <c r="AV50" i="3"/>
  <c r="AX8" i="4" a="1"/>
  <c r="G93" i="3"/>
  <c r="BA87" i="3"/>
  <c r="CK16" i="4" a="1"/>
  <c r="AJ8" i="4" a="1"/>
  <c r="F23" i="3"/>
  <c r="EG11" i="4" a="1"/>
  <c r="BD62" i="3"/>
  <c r="DT13" i="4" a="1"/>
  <c r="DQ6" i="4" a="1"/>
  <c r="D93" i="3"/>
  <c r="BD82" i="3"/>
  <c r="EA16" i="4" a="1"/>
  <c r="BC70" i="3"/>
  <c r="AU70" i="3"/>
  <c r="AV91" i="3"/>
  <c r="AY55" i="3"/>
  <c r="BA58" i="3"/>
  <c r="X36" i="2"/>
  <c r="AT80" i="3"/>
  <c r="E87" i="3"/>
  <c r="AZ15" i="4" a="1"/>
  <c r="AG6" i="4" a="1"/>
  <c r="AS86" i="3"/>
  <c r="AX68" i="3"/>
  <c r="AZ63" i="3"/>
  <c r="BD92" i="3"/>
  <c r="CZ6" i="4" a="1"/>
  <c r="BD63" i="3"/>
  <c r="AU95" i="3"/>
  <c r="D14" i="4" a="1"/>
  <c r="CP13" i="4" a="1"/>
  <c r="BC14" i="4" a="1"/>
  <c r="G9" i="3"/>
  <c r="AD46" i="3"/>
  <c r="AD54" i="3"/>
  <c r="E15" i="3"/>
  <c r="BD90" i="3"/>
  <c r="AT54" i="3"/>
  <c r="F8" i="4" a="1"/>
  <c r="J9" i="4" a="1"/>
  <c r="BC67" i="3"/>
  <c r="CM5" i="4" a="1"/>
  <c r="AZ47" i="3"/>
  <c r="BA55" i="3"/>
  <c r="AD67" i="3"/>
  <c r="EI13" i="4" a="1"/>
  <c r="D74" i="3"/>
  <c r="G74" i="3"/>
  <c r="AY71" i="3"/>
  <c r="DR11" i="4" a="1"/>
  <c r="F15" i="4" a="1"/>
  <c r="AZ11" i="4" a="1"/>
  <c r="E86" i="3"/>
  <c r="BP14" i="4" a="1"/>
  <c r="AZ56" i="3"/>
  <c r="AX63" i="3"/>
  <c r="F88" i="3"/>
  <c r="AW86" i="3"/>
  <c r="DO15" i="4" a="1"/>
  <c r="DZ7" i="4" a="1"/>
  <c r="AX66" i="3"/>
  <c r="M32" i="2"/>
  <c r="G95" i="3"/>
  <c r="AX85" i="3"/>
  <c r="BB60" i="3"/>
  <c r="N15" i="4" a="1"/>
  <c r="AW79" i="3"/>
  <c r="BI14" i="4" a="1"/>
  <c r="CI11" i="4" a="1"/>
  <c r="D30" i="3"/>
  <c r="BH6" i="4" a="1"/>
  <c r="F66" i="3"/>
  <c r="AW47" i="3"/>
  <c r="D83" i="3"/>
  <c r="D42" i="3"/>
  <c r="BD73" i="3"/>
  <c r="AY49" i="3"/>
  <c r="E93" i="3"/>
  <c r="AT60" i="3"/>
  <c r="CA16" i="4" a="1"/>
  <c r="G83" i="3"/>
  <c r="BA72" i="3"/>
  <c r="BA92" i="3"/>
  <c r="E82" i="3"/>
  <c r="AT95" i="3"/>
  <c r="AX89" i="3"/>
  <c r="AY76" i="3"/>
  <c r="E96" i="3"/>
  <c r="BA88" i="3"/>
  <c r="AD55" i="3"/>
  <c r="AD76" i="3"/>
  <c r="BA97" i="3"/>
  <c r="CU14" i="4" a="1"/>
  <c r="AF11" i="4" a="1"/>
  <c r="G82" i="3"/>
  <c r="BA90" i="3"/>
  <c r="AY90" i="3"/>
  <c r="AW80" i="3"/>
  <c r="AT77" i="3"/>
  <c r="AU94" i="3"/>
  <c r="P11" i="4" a="1"/>
  <c r="AZ71" i="3"/>
  <c r="BA77" i="3"/>
  <c r="BD7" i="4" a="1"/>
  <c r="CN15" i="4" a="1"/>
  <c r="AX97" i="3"/>
  <c r="BA69" i="3"/>
  <c r="K6" i="4" a="1"/>
  <c r="BA71" i="3"/>
  <c r="AD89" i="3"/>
  <c r="AY66" i="3"/>
  <c r="F49" i="3"/>
  <c r="E58" i="3"/>
  <c r="E70" i="3"/>
  <c r="D94" i="3"/>
  <c r="AT63" i="3"/>
  <c r="G90" i="3"/>
  <c r="AX56" i="3"/>
  <c r="AM7" i="4" a="1"/>
  <c r="BB84" i="3"/>
  <c r="U7" i="4" a="1"/>
  <c r="AS96" i="3"/>
  <c r="DR15" i="4" a="1"/>
  <c r="AX67" i="3"/>
  <c r="AT66" i="3"/>
  <c r="AD85" i="3"/>
  <c r="AW76" i="3"/>
  <c r="CD11" i="4" a="1"/>
  <c r="AW64" i="3"/>
  <c r="AX81" i="3"/>
  <c r="AT73" i="3"/>
  <c r="D61" i="3"/>
  <c r="DW16" i="4" a="1"/>
  <c r="CK9" i="4" a="1"/>
  <c r="BD70" i="3"/>
  <c r="U13" i="4" a="1"/>
  <c r="AZ84" i="3"/>
  <c r="CF15" i="4" a="1"/>
  <c r="E36" i="3"/>
  <c r="CX9" i="4" a="1"/>
  <c r="ED11" i="4" a="1"/>
  <c r="E79" i="3"/>
  <c r="F89" i="3"/>
  <c r="DY16" i="4" a="1"/>
  <c r="AM13" i="4" a="1"/>
  <c r="DS5" i="4" a="1"/>
  <c r="AZ87" i="3"/>
  <c r="AH9" i="4" a="1"/>
  <c r="AS76" i="3"/>
  <c r="BH8" i="4" a="1"/>
  <c r="AL5" i="4" a="1"/>
  <c r="EJ13" i="4" a="1"/>
  <c r="CF5" i="4" a="1"/>
  <c r="D11" i="3"/>
  <c r="BV16" i="4" a="1"/>
  <c r="BD84" i="3"/>
  <c r="BA66" i="3"/>
  <c r="AD84" i="3"/>
  <c r="BA56" i="3"/>
  <c r="V8" i="4" a="1"/>
  <c r="CF12" i="4" a="1"/>
  <c r="BD55" i="3"/>
  <c r="AU14" i="4" a="1"/>
  <c r="D78" i="3"/>
  <c r="AB7" i="4" a="1"/>
  <c r="AR10" i="3"/>
  <c r="EG8" i="4" a="1"/>
  <c r="AD81" i="3"/>
  <c r="AN16" i="4" a="1"/>
  <c r="BB88" i="3"/>
  <c r="D62" i="3"/>
  <c r="AS91" i="3"/>
  <c r="CX8" i="4" a="1"/>
  <c r="G76" i="3"/>
  <c r="AE5" i="4" a="1"/>
  <c r="DA13" i="4" a="1"/>
  <c r="CB13" i="4" a="1"/>
  <c r="AU89" i="3"/>
  <c r="BP12" i="4" a="1"/>
  <c r="DN5" i="4" a="1"/>
  <c r="M11" i="2"/>
  <c r="BB76" i="3"/>
  <c r="AD63" i="3"/>
  <c r="DJ6" i="4" a="1"/>
  <c r="BY14" i="4" a="1"/>
  <c r="AT81" i="3"/>
  <c r="D96" i="3"/>
  <c r="AX91" i="3"/>
  <c r="AS69" i="3"/>
  <c r="CC16" i="4" a="1"/>
  <c r="AZ88" i="3"/>
  <c r="AW55" i="3"/>
  <c r="CR11" i="4" a="1"/>
  <c r="F78" i="3"/>
  <c r="BA86" i="3"/>
  <c r="AZ92" i="3"/>
  <c r="AW54" i="3"/>
  <c r="D18" i="2"/>
  <c r="AT13" i="4" a="1"/>
  <c r="EC12" i="4" a="1"/>
  <c r="BB11" i="4" a="1"/>
  <c r="BH13" i="4" a="1"/>
  <c r="N46" i="3"/>
  <c r="BD49" i="3"/>
  <c r="BR9" i="4" a="1"/>
  <c r="AT90" i="3"/>
  <c r="E68" i="3"/>
  <c r="G84" i="3"/>
  <c r="AZ93" i="3"/>
  <c r="F61" i="3"/>
  <c r="BA59" i="3"/>
  <c r="AZ82" i="3"/>
  <c r="EC16" i="4" a="1"/>
  <c r="AX76" i="3"/>
  <c r="AU74" i="3"/>
  <c r="DT11" i="4" a="1"/>
  <c r="EF11" i="4" a="1"/>
  <c r="Q46" i="3"/>
  <c r="EB6" i="4" a="1"/>
  <c r="AZ78" i="3"/>
  <c r="AT79" i="3"/>
  <c r="AX86" i="3"/>
  <c r="AW78" i="3"/>
  <c r="AY92" i="3"/>
  <c r="G87" i="3"/>
  <c r="BB16" i="4" a="1"/>
  <c r="BA62" i="3"/>
  <c r="BB55" i="3"/>
  <c r="AU85" i="3"/>
  <c r="AF13" i="4" a="1"/>
  <c r="N8" i="4" a="1"/>
  <c r="AS49" i="3"/>
  <c r="AT87" i="3"/>
  <c r="AU9" i="4" a="1"/>
  <c r="AZ85" i="3"/>
  <c r="Y113" i="2"/>
  <c r="AS78" i="3"/>
  <c r="G59" i="3"/>
  <c r="AW96" i="3"/>
  <c r="BB92" i="3"/>
  <c r="F60" i="3"/>
  <c r="DB7" i="4" a="1"/>
  <c r="BA81" i="3"/>
  <c r="EJ11" i="4" a="1"/>
  <c r="AY88" i="3"/>
  <c r="AZ90" i="3"/>
  <c r="I15" i="4" a="1"/>
  <c r="E73" i="3"/>
  <c r="AS95" i="3"/>
  <c r="AJ13" i="4" a="1"/>
  <c r="I6" i="4" a="1"/>
  <c r="BN8" i="4" a="1"/>
  <c r="G73" i="3"/>
  <c r="ED15" i="4" a="1"/>
  <c r="U15" i="4" a="1"/>
  <c r="AS79" i="3"/>
  <c r="D32" i="3"/>
  <c r="AW11" i="4" a="1"/>
  <c r="DX13" i="4" a="1"/>
  <c r="BD58" i="3"/>
  <c r="DC5" i="4" a="1"/>
  <c r="CS11" i="4" a="1"/>
  <c r="G81" i="3"/>
  <c r="BB81" i="3"/>
  <c r="AT9" i="4" a="1"/>
  <c r="AW73" i="3"/>
  <c r="BG6" i="4" a="1"/>
  <c r="W70" i="2"/>
  <c r="BA93" i="3"/>
  <c r="AL9" i="4" a="1"/>
  <c r="AM9" i="4" a="1"/>
  <c r="BS8" i="4" a="1"/>
  <c r="AX79" i="3"/>
  <c r="BA54" i="3"/>
  <c r="D39" i="3"/>
  <c r="BA8" i="4" a="1"/>
  <c r="AX90" i="3"/>
  <c r="AX54" i="3"/>
  <c r="BA68" i="3"/>
  <c r="G64" i="3"/>
  <c r="BB85" i="3"/>
  <c r="BB93" i="3"/>
  <c r="DN12" i="4" a="1"/>
  <c r="Q29" i="2"/>
  <c r="AS88" i="3"/>
  <c r="AJ14" i="4" a="1"/>
  <c r="G22" i="3"/>
  <c r="BD59" i="3"/>
  <c r="BD16" i="4" a="1"/>
  <c r="AU86" i="3"/>
  <c r="D31" i="3"/>
  <c r="AZ69" i="3"/>
  <c r="L14" i="4" a="1"/>
  <c r="AU88" i="3"/>
  <c r="BW9" i="4" a="1"/>
  <c r="AZ57" i="3"/>
  <c r="AS74" i="3"/>
  <c r="AW50" i="3"/>
  <c r="BA63" i="3"/>
  <c r="D85" i="3"/>
  <c r="DR6" i="4" a="1"/>
  <c r="AX49" i="3"/>
  <c r="AU47" i="3"/>
  <c r="AU58" i="3"/>
  <c r="AS87" i="3"/>
  <c r="BB61" i="3"/>
  <c r="CE11" i="4" a="1"/>
  <c r="BB96" i="3"/>
  <c r="AD80" i="3"/>
  <c r="AU78" i="3"/>
  <c r="J7" i="4" a="1"/>
  <c r="BB83" i="3"/>
  <c r="BE12" i="4" a="1"/>
  <c r="BB90" i="3"/>
  <c r="BD80" i="3"/>
  <c r="F55" i="3"/>
  <c r="AY97" i="3"/>
  <c r="CR16" i="4" a="1"/>
  <c r="E94" i="3"/>
  <c r="BB64" i="3"/>
  <c r="AO6" i="4" a="1"/>
  <c r="BB94" i="3"/>
  <c r="AX75" i="3"/>
  <c r="CM9" i="4" a="1"/>
  <c r="BA60" i="3"/>
  <c r="G60" i="3"/>
  <c r="AO5" i="4" a="1"/>
  <c r="AQ7" i="4" a="1"/>
  <c r="DW6" i="4" a="1"/>
  <c r="DD11" i="4" a="1"/>
  <c r="AW92" i="3"/>
  <c r="AW89" i="3"/>
  <c r="CJ12" i="4" a="1"/>
  <c r="AS90" i="3"/>
  <c r="BB80" i="3"/>
  <c r="AY83" i="3"/>
  <c r="S7" i="4" a="1"/>
  <c r="EJ6" i="4" a="1"/>
  <c r="AZ55" i="3"/>
  <c r="CN12" i="4" a="1"/>
  <c r="AS94" i="3"/>
  <c r="M13" i="4" a="1"/>
  <c r="AS58" i="3"/>
  <c r="AZ80" i="3"/>
  <c r="AT84" i="3"/>
  <c r="CI9" i="4" a="1"/>
  <c r="Y7" i="4" a="1"/>
  <c r="AW71" i="3"/>
  <c r="AX64" i="3"/>
  <c r="BE13" i="4" a="1"/>
  <c r="CH14" i="4" a="1"/>
  <c r="V46" i="3"/>
  <c r="BA6" i="4" a="1"/>
  <c r="Y11" i="4" a="1"/>
  <c r="AS70" i="3"/>
  <c r="AF15" i="4" a="1"/>
  <c r="G10" i="3"/>
  <c r="AH12" i="4" a="1"/>
  <c r="G78" i="3"/>
  <c r="BB72" i="3"/>
  <c r="EI7" i="4" a="1"/>
  <c r="BH9" i="4" a="1"/>
  <c r="G13" i="3"/>
  <c r="AS50" i="3"/>
  <c r="G21" i="3"/>
  <c r="AW69" i="3"/>
  <c r="AT49" i="3"/>
  <c r="AT78" i="3"/>
  <c r="AX74" i="3"/>
  <c r="W28" i="2"/>
  <c r="AD56" i="3"/>
  <c r="AW60" i="3"/>
  <c r="BA91" i="3"/>
  <c r="AT59" i="3"/>
  <c r="AS67" i="3"/>
  <c r="BB77" i="3"/>
  <c r="DV14" i="4" a="1"/>
  <c r="F70" i="3"/>
  <c r="AU48" i="3"/>
  <c r="AT5" i="4" a="1"/>
  <c r="BT5" i="4" a="1"/>
  <c r="AS82" i="3"/>
  <c r="AZ70" i="3"/>
  <c r="ED5" i="4" a="1"/>
  <c r="AU82" i="3"/>
  <c r="DX6" i="4" a="1"/>
  <c r="AY93" i="3"/>
  <c r="CC5" i="4" a="1"/>
  <c r="E64" i="3"/>
  <c r="AU87" i="3"/>
  <c r="AY64" i="3"/>
  <c r="AU56" i="3"/>
  <c r="BD79" i="3"/>
  <c r="AU92" i="3"/>
  <c r="AM16" i="4" a="1"/>
  <c r="G77" i="3"/>
  <c r="AX93" i="3"/>
  <c r="G58" i="3"/>
  <c r="AW93" i="3"/>
  <c r="D64" i="3"/>
  <c r="AZ65" i="3"/>
  <c r="G91" i="3"/>
  <c r="AX60" i="3"/>
  <c r="AS93" i="3"/>
  <c r="F75" i="3"/>
  <c r="AW57" i="3"/>
  <c r="AU12" i="4" a="1"/>
  <c r="AD60" i="3"/>
  <c r="BA67" i="3"/>
  <c r="BB73" i="3"/>
  <c r="AU50" i="3"/>
  <c r="BB79" i="3"/>
  <c r="AW48" i="3"/>
  <c r="AX50" i="3"/>
  <c r="J6" i="4" a="1"/>
  <c r="BB63" i="3"/>
  <c r="AY75" i="3"/>
  <c r="Z112" i="2"/>
  <c r="AX83" i="3"/>
  <c r="AR28" i="3"/>
  <c r="G8" i="3"/>
  <c r="AD58" i="3"/>
  <c r="AT88" i="3"/>
  <c r="DA16" i="4" a="1"/>
  <c r="BC88" i="3"/>
  <c r="DC6" i="4" a="1"/>
  <c r="AU76" i="3"/>
  <c r="AT58" i="3"/>
  <c r="AS89" i="3"/>
  <c r="AP7" i="4" a="1"/>
  <c r="BY12" i="4" a="1"/>
  <c r="AX61" i="3"/>
  <c r="W13" i="4" a="1"/>
  <c r="AR41" i="3"/>
  <c r="CL8" i="4" a="1"/>
  <c r="D16" i="4" a="1"/>
  <c r="AQ16" i="4" a="1"/>
  <c r="AY77" i="3"/>
  <c r="CM11" i="4" a="1"/>
  <c r="DX14" i="4" a="1"/>
  <c r="BH7" i="4" a="1"/>
  <c r="F91" i="3"/>
  <c r="AE45" i="3"/>
  <c r="X6" i="4" a="1"/>
  <c r="CE16" i="4" a="1"/>
  <c r="AT85" i="3"/>
  <c r="BJ11" i="4" a="1"/>
  <c r="DG6" i="4" a="1"/>
  <c r="BD93" i="3"/>
  <c r="DM8" i="4" a="1"/>
  <c r="AX95" i="3"/>
  <c r="AX70" i="3"/>
  <c r="BB95" i="3"/>
  <c r="E13" i="3"/>
  <c r="BC91" i="3"/>
  <c r="AS83" i="3"/>
  <c r="BA82" i="3"/>
  <c r="EF5" i="4" a="1"/>
  <c r="AX48" i="3"/>
  <c r="AX69" i="3"/>
  <c r="CX6" i="4" a="1"/>
  <c r="AW70" i="3"/>
  <c r="DD14" i="4" a="1"/>
  <c r="CA9" i="4" a="1"/>
  <c r="AY56" i="3"/>
  <c r="AW91" i="3"/>
  <c r="AY81" i="3"/>
  <c r="AT94" i="3"/>
  <c r="BD78" i="3"/>
  <c r="AY59" i="3"/>
  <c r="DU12" i="4" a="1"/>
  <c r="F48" i="3"/>
  <c r="BA61" i="3"/>
  <c r="BB78" i="3"/>
  <c r="BR14" i="4" a="1"/>
  <c r="BB62" i="3"/>
  <c r="AZ59" i="3"/>
  <c r="AZ74" i="3"/>
  <c r="BC64" i="3"/>
  <c r="Z13" i="4" a="1"/>
  <c r="AN14" i="4" a="1"/>
  <c r="AZ67" i="3"/>
  <c r="BB56" i="3"/>
  <c r="AT55" i="3"/>
  <c r="BC78" i="3"/>
  <c r="BD71" i="3"/>
  <c r="AA11" i="4" a="1"/>
  <c r="R45" i="3"/>
  <c r="CY9" i="4" a="1"/>
  <c r="BC11" i="4" a="1"/>
  <c r="E20" i="3"/>
  <c r="AU69" i="3"/>
  <c r="AU73" i="3"/>
  <c r="AC13" i="4" a="1"/>
  <c r="BC84" i="3"/>
  <c r="BC56" i="3"/>
  <c r="H15" i="4" a="1"/>
  <c r="AT57" i="3"/>
  <c r="AW12" i="4" a="1"/>
  <c r="AX62" i="3"/>
  <c r="AZ97" i="3"/>
  <c r="CA13" i="4" a="1"/>
  <c r="BJ16" i="4" a="1"/>
  <c r="BA89" i="3"/>
  <c r="BA73" i="3"/>
  <c r="BK14" i="4" a="1"/>
  <c r="T5" i="4" a="1"/>
  <c r="AW58" i="3"/>
  <c r="AZ8" i="4" a="1"/>
  <c r="AQ14" i="4" a="1"/>
  <c r="BD66" i="3"/>
  <c r="CF6" i="4" a="1"/>
  <c r="AC6" i="4" a="1"/>
  <c r="AS11" i="4" a="1"/>
  <c r="AA14" i="4" a="1"/>
  <c r="G85" i="3"/>
  <c r="AR31" i="3"/>
  <c r="G89" i="3"/>
  <c r="BB67" i="3"/>
  <c r="AH46" i="3"/>
  <c r="AU90" i="3"/>
  <c r="BC95" i="3"/>
  <c r="G55" i="3"/>
  <c r="BG11" i="4" a="1"/>
  <c r="G15" i="3"/>
  <c r="AY61" i="3"/>
  <c r="BC83" i="3"/>
  <c r="BU16" i="4" a="1"/>
  <c r="S8" i="4" a="1"/>
  <c r="D6" i="3"/>
  <c r="CK5" i="4" a="1"/>
  <c r="AU80" i="3"/>
  <c r="CB11" i="4" a="1"/>
  <c r="E56" i="3"/>
  <c r="AW82" i="3"/>
  <c r="BC69" i="3"/>
  <c r="BA78" i="3"/>
  <c r="BA75" i="3"/>
  <c r="G80" i="3"/>
  <c r="BA96" i="3"/>
  <c r="EC7" i="4" a="1"/>
  <c r="BP13" i="4" a="1"/>
  <c r="G12" i="2"/>
  <c r="AD65" i="3"/>
  <c r="G8" i="4" a="1"/>
  <c r="X14" i="4" a="1"/>
  <c r="AW77" i="3"/>
  <c r="AU96" i="3"/>
  <c r="BD11" i="4" a="1"/>
  <c r="BG5" i="4" a="1"/>
  <c r="AW65" i="3"/>
  <c r="AD8" i="3"/>
  <c r="AW95" i="3"/>
  <c r="E45" i="3"/>
  <c r="BD83" i="3"/>
  <c r="AT64" i="3"/>
  <c r="F31" i="3"/>
  <c r="DJ5" i="4" a="1"/>
  <c r="AS60" i="3"/>
  <c r="AZ94" i="3"/>
  <c r="F77" i="3"/>
  <c r="AD90" i="3"/>
  <c r="D66" i="3"/>
  <c r="EB11" i="4" a="1"/>
  <c r="CC14" i="4" a="1"/>
  <c r="AZ49" i="3"/>
  <c r="AS92" i="3"/>
  <c r="BD95" i="3"/>
  <c r="Q12" i="4" a="1"/>
  <c r="AD88" i="3"/>
  <c r="AB8" i="4" a="1"/>
  <c r="CY6" i="4" a="1"/>
  <c r="E77" i="3"/>
  <c r="AU64" i="3"/>
  <c r="AY80" i="3"/>
  <c r="DP16" i="4" a="1"/>
  <c r="BC87" i="3"/>
  <c r="N9" i="4" a="1"/>
  <c r="DB13" i="4" a="1"/>
  <c r="DA12" i="4" a="1"/>
  <c r="DH13" i="4" a="1"/>
  <c r="AD7" i="3"/>
  <c r="E13" i="4" a="1"/>
  <c r="AW56" i="3"/>
  <c r="AY73" i="3"/>
  <c r="BD50" i="3"/>
  <c r="AU83" i="3"/>
  <c r="AY63" i="3"/>
  <c r="BB59" i="3"/>
  <c r="DN16" i="4" a="1"/>
  <c r="AD92" i="3"/>
  <c r="BB97" i="3"/>
  <c r="BB47" i="3"/>
  <c r="AU77" i="3"/>
  <c r="AX94" i="3"/>
  <c r="AZ68" i="3"/>
  <c r="BB50" i="3"/>
  <c r="AX92" i="3"/>
  <c r="AV9" i="4" a="1"/>
  <c r="BC74" i="3"/>
  <c r="G97" i="3"/>
  <c r="AW63" i="3"/>
  <c r="AY95" i="3"/>
  <c r="AZ64" i="3"/>
  <c r="AY87" i="3"/>
  <c r="AY89" i="3"/>
  <c r="BC50" i="3"/>
  <c r="BC76" i="3"/>
  <c r="BC75" i="3"/>
  <c r="BC61" i="3"/>
  <c r="BC72" i="3"/>
  <c r="BC81" i="3"/>
  <c r="BC79" i="3"/>
  <c r="BA70" i="3"/>
  <c r="E89" i="3"/>
  <c r="F94" i="3"/>
  <c r="AU97" i="3" l="1"/>
  <c r="E57" i="3"/>
  <c r="G96" i="3"/>
  <c r="E61" i="3"/>
  <c r="E74" i="3"/>
  <c r="D55" i="3"/>
  <c r="D81" i="3"/>
  <c r="AS73" i="3"/>
  <c r="F69" i="3"/>
  <c r="Z113" i="2"/>
  <c r="AD75" i="3"/>
  <c r="D91" i="3"/>
  <c r="AD74" i="3"/>
  <c r="F85" i="3"/>
  <c r="AS68" i="3"/>
  <c r="D58" i="3"/>
  <c r="F93" i="3"/>
  <c r="AX72" i="3"/>
  <c r="AD62" i="3"/>
  <c r="F65" i="3"/>
  <c r="G66" i="3"/>
  <c r="E66" i="3"/>
  <c r="AU55" i="3"/>
  <c r="E67" i="3"/>
  <c r="AX71" i="3"/>
  <c r="AD93" i="3"/>
  <c r="G70" i="3"/>
  <c r="AS57" i="3"/>
  <c r="G61" i="3"/>
  <c r="F79" i="3"/>
  <c r="AU61" i="3"/>
  <c r="AU75" i="3"/>
  <c r="D90" i="3"/>
  <c r="F68" i="3"/>
  <c r="F80" i="3"/>
  <c r="F97" i="3"/>
  <c r="F84" i="3"/>
  <c r="G65" i="3"/>
  <c r="E85" i="3"/>
  <c r="D71" i="3"/>
  <c r="F92" i="3"/>
  <c r="E81" i="3"/>
  <c r="AD68" i="3"/>
  <c r="E88" i="3"/>
  <c r="G57" i="3"/>
  <c r="AD71" i="3"/>
  <c r="E60" i="3"/>
  <c r="E54" i="3"/>
  <c r="E69" i="3"/>
  <c r="G72" i="3"/>
  <c r="D86" i="3"/>
  <c r="F64" i="3"/>
  <c r="E78" i="3"/>
  <c r="F87" i="3"/>
  <c r="D70" i="3"/>
  <c r="E71" i="3"/>
  <c r="G71" i="3"/>
  <c r="D60" i="3"/>
  <c r="G63" i="3"/>
  <c r="G54" i="3"/>
  <c r="E91" i="3"/>
  <c r="F57" i="3"/>
  <c r="F83" i="3"/>
  <c r="F59" i="3"/>
  <c r="F95" i="3"/>
  <c r="AD72" i="3"/>
  <c r="F54" i="3"/>
  <c r="G67" i="3"/>
  <c r="F71" i="3"/>
  <c r="E65" i="3"/>
  <c r="E95" i="3"/>
  <c r="G79" i="3"/>
  <c r="G68" i="3"/>
  <c r="F62" i="3"/>
  <c r="E59" i="3"/>
  <c r="E80" i="3"/>
  <c r="F63" i="3"/>
  <c r="AD73" i="3"/>
  <c r="E84" i="3"/>
  <c r="D65" i="3"/>
  <c r="G75" i="3"/>
  <c r="G94" i="3"/>
  <c r="F96" i="3"/>
  <c r="D75" i="3"/>
  <c r="D73" i="3"/>
  <c r="D56" i="3"/>
  <c r="F82" i="3"/>
  <c r="D79" i="3"/>
  <c r="D77" i="3"/>
  <c r="E55" i="3"/>
  <c r="E72" i="3"/>
  <c r="D63" i="3"/>
  <c r="E62" i="3"/>
  <c r="E83" i="3"/>
  <c r="F67" i="3"/>
  <c r="D76" i="3"/>
  <c r="F73" i="3"/>
  <c r="D97" i="3"/>
  <c r="E76" i="3"/>
  <c r="F58" i="3"/>
  <c r="D69" i="3"/>
  <c r="F74" i="3"/>
  <c r="E97" i="3"/>
  <c r="F86" i="3"/>
  <c r="F76" i="3"/>
  <c r="F50" i="3"/>
  <c r="D54" i="3"/>
  <c r="D92" i="3"/>
  <c r="E63" i="3"/>
  <c r="F47" i="3"/>
  <c r="F90" i="3"/>
  <c r="F72" i="3"/>
  <c r="F81" i="3"/>
  <c r="JU21" i="4"/>
  <c r="JY9" i="4" s="1"/>
  <c r="KD9" i="4"/>
  <c r="KE9" i="4" s="1"/>
  <c r="AV96" i="3"/>
  <c r="AV63" i="3"/>
  <c r="AS56" i="3"/>
  <c r="C73" i="3"/>
  <c r="AV67" i="3"/>
  <c r="AV92" i="3"/>
  <c r="AS59" i="3"/>
  <c r="AD97" i="3"/>
  <c r="AD61" i="3"/>
  <c r="AS71" i="3"/>
  <c r="AV74" i="3"/>
  <c r="AS66" i="3"/>
  <c r="AD83" i="3"/>
  <c r="AV62" i="3"/>
  <c r="C82" i="3"/>
  <c r="AU91" i="3"/>
  <c r="C81" i="3"/>
  <c r="AD70" i="3"/>
  <c r="AX65" i="3"/>
  <c r="AX77" i="3"/>
  <c r="AF60" i="3"/>
  <c r="AV88" i="3"/>
  <c r="AF79" i="3"/>
  <c r="AF67" i="3"/>
  <c r="AS84" i="3"/>
  <c r="C65" i="3"/>
  <c r="G56" i="3"/>
  <c r="AS72" i="3"/>
  <c r="C68" i="3"/>
  <c r="AV47" i="3"/>
  <c r="AA112" i="2"/>
  <c r="AF69" i="3"/>
  <c r="C88" i="3"/>
  <c r="AF77" i="3"/>
  <c r="AV82" i="3"/>
  <c r="C50" i="3"/>
  <c r="C93" i="3"/>
  <c r="C54" i="3"/>
  <c r="C79" i="3"/>
  <c r="AF96" i="3"/>
  <c r="AF66" i="3"/>
  <c r="C89" i="3"/>
  <c r="C83" i="3"/>
  <c r="AD69" i="3"/>
  <c r="AD86" i="3"/>
  <c r="C87" i="3"/>
  <c r="AV49" i="3"/>
  <c r="G69" i="3"/>
  <c r="AD64" i="3"/>
  <c r="AD96" i="3"/>
  <c r="C90" i="3"/>
  <c r="AD78" i="3"/>
  <c r="AF63" i="3"/>
  <c r="C60" i="3"/>
  <c r="C86" i="3"/>
  <c r="AD82" i="3"/>
  <c r="AV57" i="3"/>
  <c r="G62" i="3"/>
  <c r="C59" i="3"/>
  <c r="AF73" i="3"/>
  <c r="C57" i="3"/>
  <c r="AV72" i="3"/>
  <c r="AA111" i="2"/>
  <c r="AV81" i="3"/>
  <c r="AV87" i="3"/>
  <c r="AV55" i="3"/>
  <c r="AF70" i="3"/>
  <c r="AF59" i="3"/>
  <c r="AF86" i="3"/>
  <c r="AV65" i="3"/>
  <c r="C66" i="3"/>
  <c r="AV90" i="3"/>
  <c r="AV64" i="3"/>
  <c r="AV58" i="3"/>
  <c r="C78" i="3"/>
  <c r="AF72" i="3"/>
  <c r="C58" i="3"/>
  <c r="AF89" i="3"/>
  <c r="AV69" i="3"/>
  <c r="AF68" i="3"/>
  <c r="AV73" i="3"/>
  <c r="AF48" i="3"/>
  <c r="AV94" i="3"/>
  <c r="C63" i="3"/>
  <c r="AF49" i="3"/>
  <c r="AV78" i="3"/>
  <c r="AF74" i="3"/>
  <c r="AV93" i="3"/>
  <c r="AV79" i="3"/>
  <c r="C75" i="3"/>
  <c r="AV95" i="3"/>
  <c r="AV76" i="3"/>
  <c r="AF97" i="3"/>
  <c r="AF84" i="3"/>
  <c r="AV48" i="3"/>
  <c r="C67" i="3"/>
  <c r="AV75" i="3"/>
  <c r="C61" i="3"/>
  <c r="AV59" i="3"/>
  <c r="AF55" i="3"/>
  <c r="AF95" i="3"/>
  <c r="C64" i="3"/>
  <c r="C84" i="3"/>
  <c r="AV89" i="3"/>
  <c r="AF85" i="3"/>
  <c r="AF91" i="3"/>
  <c r="AF64" i="3"/>
  <c r="AF62" i="3"/>
  <c r="AF80" i="3"/>
  <c r="AF92" i="3"/>
  <c r="C97" i="3"/>
  <c r="AF58" i="3"/>
  <c r="C96" i="3"/>
  <c r="AV86" i="3"/>
  <c r="AV97" i="3"/>
  <c r="AF82" i="3"/>
  <c r="AF78" i="3"/>
  <c r="AV61" i="3"/>
  <c r="C80" i="3"/>
  <c r="AF81" i="3"/>
  <c r="C76" i="3"/>
  <c r="C72" i="3"/>
  <c r="C91" i="3"/>
  <c r="AF90" i="3"/>
  <c r="AV54" i="3"/>
  <c r="AF54" i="3"/>
  <c r="C69" i="3"/>
  <c r="AV83" i="3"/>
  <c r="AF61" i="3"/>
  <c r="AV60" i="3"/>
  <c r="C74" i="3"/>
  <c r="AF56" i="3"/>
  <c r="AF93" i="3"/>
  <c r="AF57" i="3"/>
  <c r="C71" i="3"/>
  <c r="AF88" i="3"/>
  <c r="AF94" i="3"/>
  <c r="AV80" i="3"/>
  <c r="AF47" i="3"/>
  <c r="AA113" i="2"/>
  <c r="AV84" i="3"/>
  <c r="C62" i="3"/>
  <c r="AF65" i="3"/>
  <c r="AV56" i="3"/>
  <c r="AF76" i="3"/>
  <c r="C92" i="3"/>
  <c r="AV85" i="3"/>
  <c r="AF83" i="3"/>
  <c r="C77" i="3"/>
  <c r="AV68" i="3"/>
  <c r="C85" i="3"/>
  <c r="AV71" i="3"/>
  <c r="C95" i="3"/>
  <c r="C55" i="3"/>
  <c r="C70" i="3"/>
  <c r="CL47" i="1"/>
  <c r="CL36" i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CR42" i="1"/>
  <c r="CV42" i="1" s="1"/>
  <c r="CZ42" i="1" s="1"/>
  <c r="CO42" i="1"/>
  <c r="CS42" i="1" s="1"/>
  <c r="CW42" i="1" s="1"/>
  <c r="DA42" i="1" s="1"/>
  <c r="Y112" i="2"/>
  <c r="AR68" i="3"/>
  <c r="AR67" i="3"/>
  <c r="AR54" i="3"/>
  <c r="AR56" i="3"/>
  <c r="AR48" i="3"/>
  <c r="AR79" i="3"/>
  <c r="AR76" i="3"/>
  <c r="AR92" i="3"/>
  <c r="AR80" i="3"/>
  <c r="AR62" i="3"/>
  <c r="AR70" i="3"/>
  <c r="AR97" i="3"/>
  <c r="AR59" i="3"/>
  <c r="AR87" i="3"/>
  <c r="AR57" i="3"/>
  <c r="AR69" i="3"/>
  <c r="AR50" i="3"/>
  <c r="AR85" i="3"/>
  <c r="AR77" i="3"/>
  <c r="AR55" i="3"/>
  <c r="AR83" i="3"/>
  <c r="AR58" i="3"/>
  <c r="F56" i="3"/>
  <c r="AR90" i="3"/>
  <c r="AR82" i="3"/>
  <c r="AR73" i="3"/>
  <c r="AR91" i="3"/>
  <c r="AR96" i="3"/>
  <c r="AR93" i="3"/>
  <c r="AR86" i="3"/>
  <c r="AR81" i="3"/>
  <c r="AR84" i="3"/>
  <c r="AR95" i="3"/>
  <c r="AR88" i="3"/>
  <c r="AR78" i="3"/>
  <c r="AR61" i="3"/>
  <c r="AR74" i="3"/>
  <c r="AR64" i="3"/>
  <c r="AR71" i="3"/>
  <c r="AR72" i="3"/>
  <c r="AR65" i="3"/>
  <c r="AR75" i="3"/>
  <c r="AR60" i="3"/>
  <c r="AR66" i="3"/>
  <c r="AR94" i="3"/>
  <c r="AR63" i="3"/>
  <c r="AR47" i="3"/>
  <c r="AR49" i="3"/>
  <c r="CK201" i="1"/>
  <c r="CK176" i="1"/>
  <c r="CL225" i="1"/>
  <c r="CL268" i="1"/>
  <c r="CK35" i="1"/>
  <c r="CL38" i="1" s="1"/>
  <c r="CL31" i="1"/>
  <c r="CK23" i="1"/>
  <c r="CK187" i="1"/>
  <c r="CL56" i="1" s="1"/>
  <c r="CM56" i="1" s="1"/>
  <c r="AK172" i="1"/>
  <c r="CI162" i="1"/>
  <c r="CJ162" i="1" s="1"/>
  <c r="CI163" i="1"/>
  <c r="CI154" i="1"/>
  <c r="CJ154" i="1" s="1"/>
  <c r="CM154" i="1" s="1"/>
  <c r="CN154" i="1" s="1"/>
  <c r="CO154" i="1" s="1"/>
  <c r="AB154" i="1" s="1"/>
  <c r="CI93" i="1"/>
  <c r="CE172" i="1"/>
  <c r="CE171" i="1"/>
  <c r="CF171" i="1" s="1"/>
  <c r="CE183" i="1"/>
  <c r="CF183" i="1" s="1"/>
  <c r="CC144" i="1"/>
  <c r="CD144" i="1" s="1"/>
  <c r="CI156" i="1"/>
  <c r="CJ156" i="1" s="1"/>
  <c r="CH93" i="1"/>
  <c r="CA159" i="1"/>
  <c r="CE144" i="1"/>
  <c r="CF144" i="1" s="1"/>
  <c r="CA179" i="1"/>
  <c r="CJ93" i="1"/>
  <c r="CC136" i="1"/>
  <c r="CD136" i="1" s="1"/>
  <c r="CI171" i="1"/>
  <c r="CJ171" i="1" s="1"/>
  <c r="JB16" i="4" s="1"/>
  <c r="CE178" i="1"/>
  <c r="CA168" i="1"/>
  <c r="CB168" i="1" s="1"/>
  <c r="AK159" i="1"/>
  <c r="BY174" i="1"/>
  <c r="BZ174" i="1" s="1"/>
  <c r="CF92" i="1"/>
  <c r="BY141" i="1"/>
  <c r="BZ141" i="1" s="1"/>
  <c r="CC183" i="1"/>
  <c r="CD183" i="1" s="1"/>
  <c r="CC169" i="1"/>
  <c r="CD169" i="1" s="1"/>
  <c r="CA182" i="1"/>
  <c r="CB182" i="1" s="1"/>
  <c r="CC159" i="1"/>
  <c r="F34" i="1"/>
  <c r="CG182" i="1"/>
  <c r="CH182" i="1" s="1"/>
  <c r="AM178" i="1"/>
  <c r="CC164" i="1"/>
  <c r="AK136" i="1"/>
  <c r="CA178" i="1"/>
  <c r="AJ27" i="1"/>
  <c r="CI179" i="1"/>
  <c r="AM39" i="1"/>
  <c r="CI183" i="1"/>
  <c r="CJ183" i="1" s="1"/>
  <c r="CA145" i="1"/>
  <c r="CB145" i="1" s="1"/>
  <c r="AM172" i="1"/>
  <c r="AM166" i="1"/>
  <c r="AN166" i="1" s="1"/>
  <c r="CC138" i="1"/>
  <c r="CI136" i="1"/>
  <c r="CJ136" i="1" s="1"/>
  <c r="CI165" i="1"/>
  <c r="CJ165" i="1" s="1"/>
  <c r="CI161" i="1"/>
  <c r="CJ161" i="1" s="1"/>
  <c r="CI168" i="1"/>
  <c r="CE163" i="1"/>
  <c r="CC173" i="1"/>
  <c r="CD173" i="1" s="1"/>
  <c r="CE136" i="1"/>
  <c r="CC152" i="1"/>
  <c r="BY179" i="1"/>
  <c r="CI173" i="1"/>
  <c r="CJ173" i="1" s="1"/>
  <c r="CE159" i="1"/>
  <c r="BY172" i="1"/>
  <c r="CI146" i="1"/>
  <c r="CJ146" i="1" s="1"/>
  <c r="IW16" i="4" s="1"/>
  <c r="BX51" i="1"/>
  <c r="BX213" i="1" s="1"/>
  <c r="Y92" i="1"/>
  <c r="CD93" i="1"/>
  <c r="CA93" i="1"/>
  <c r="CC137" i="1"/>
  <c r="CD137" i="1" s="1"/>
  <c r="AM173" i="1"/>
  <c r="AN173" i="1" s="1"/>
  <c r="AM138" i="1"/>
  <c r="AM159" i="1"/>
  <c r="AN159" i="1" s="1"/>
  <c r="IA16" i="4" s="1"/>
  <c r="CA174" i="1"/>
  <c r="CB174" i="1" s="1"/>
  <c r="CA136" i="1"/>
  <c r="CB136" i="1" s="1"/>
  <c r="CE168" i="1"/>
  <c r="CF168" i="1" s="1"/>
  <c r="CA171" i="1"/>
  <c r="CB171" i="1" s="1"/>
  <c r="AK168" i="1"/>
  <c r="AL168" i="1" s="1"/>
  <c r="CA164" i="1"/>
  <c r="BY164" i="1"/>
  <c r="CC141" i="1"/>
  <c r="CD141" i="1" s="1"/>
  <c r="BZ92" i="1"/>
  <c r="AM28" i="1"/>
  <c r="BY93" i="1"/>
  <c r="IH9" i="4" s="1"/>
  <c r="AM161" i="1"/>
  <c r="AN161" i="1" s="1"/>
  <c r="AM32" i="1"/>
  <c r="BY152" i="1"/>
  <c r="BY138" i="1"/>
  <c r="CE179" i="1"/>
  <c r="BY145" i="1"/>
  <c r="BZ145" i="1" s="1"/>
  <c r="CC172" i="1"/>
  <c r="CC174" i="1"/>
  <c r="CD174" i="1" s="1"/>
  <c r="AM141" i="1"/>
  <c r="AN141" i="1" s="1"/>
  <c r="CA161" i="1"/>
  <c r="CB161" i="1" s="1"/>
  <c r="BY171" i="1"/>
  <c r="BZ171" i="1" s="1"/>
  <c r="CA138" i="1"/>
  <c r="CD92" i="1"/>
  <c r="CC93" i="1"/>
  <c r="BY156" i="1"/>
  <c r="BZ156" i="1" s="1"/>
  <c r="IM9" i="4" s="1"/>
  <c r="CA146" i="1"/>
  <c r="CB146" i="1" s="1"/>
  <c r="BY146" i="1"/>
  <c r="BZ146" i="1" s="1"/>
  <c r="P66" i="1"/>
  <c r="AM168" i="1"/>
  <c r="AN168" i="1" s="1"/>
  <c r="IA9" i="4" s="1"/>
  <c r="AM163" i="1"/>
  <c r="BY162" i="1"/>
  <c r="BZ162" i="1" s="1"/>
  <c r="BY183" i="1"/>
  <c r="BZ183" i="1" s="1"/>
  <c r="CE146" i="1"/>
  <c r="CF146" i="1" s="1"/>
  <c r="CC182" i="1"/>
  <c r="CD182" i="1" s="1"/>
  <c r="BY161" i="1"/>
  <c r="BZ161" i="1" s="1"/>
  <c r="X93" i="1"/>
  <c r="BY92" i="1"/>
  <c r="CA166" i="1"/>
  <c r="CB166" i="1" s="1"/>
  <c r="IF16" i="4" s="1"/>
  <c r="AM171" i="1"/>
  <c r="AN171" i="1" s="1"/>
  <c r="CE174" i="1"/>
  <c r="CF174" i="1" s="1"/>
  <c r="CC161" i="1"/>
  <c r="CA156" i="1"/>
  <c r="CB156" i="1" s="1"/>
  <c r="AM165" i="1"/>
  <c r="AN165" i="1" s="1"/>
  <c r="AK150" i="1"/>
  <c r="CJ92" i="1"/>
  <c r="C40" i="1"/>
  <c r="IO16" i="4" s="1"/>
  <c r="L32" i="1"/>
  <c r="CA172" i="1"/>
  <c r="BY173" i="1"/>
  <c r="BZ173" i="1" s="1"/>
  <c r="BX32" i="1"/>
  <c r="AJ34" i="1"/>
  <c r="JE16" i="4" s="1"/>
  <c r="AK162" i="1"/>
  <c r="AL162" i="1" s="1"/>
  <c r="IV9" i="4" s="1"/>
  <c r="CC168" i="1"/>
  <c r="CD168" i="1" s="1"/>
  <c r="BY182" i="1"/>
  <c r="BZ182" i="1" s="1"/>
  <c r="AM145" i="1"/>
  <c r="AN145" i="1" s="1"/>
  <c r="AK152" i="1"/>
  <c r="AK138" i="1"/>
  <c r="AL92" i="1"/>
  <c r="CE170" i="1"/>
  <c r="CF170" i="1" s="1"/>
  <c r="CC178" i="1"/>
  <c r="CE145" i="1"/>
  <c r="CF145" i="1" s="1"/>
  <c r="AM164" i="1"/>
  <c r="AK182" i="1"/>
  <c r="AL182" i="1" s="1"/>
  <c r="AK164" i="1"/>
  <c r="AM179" i="1"/>
  <c r="CE92" i="1"/>
  <c r="AJ70" i="1"/>
  <c r="CC162" i="1"/>
  <c r="CD162" i="1" s="1"/>
  <c r="AM183" i="1"/>
  <c r="AN183" i="1" s="1"/>
  <c r="L64" i="1"/>
  <c r="AM156" i="1"/>
  <c r="AN156" i="1" s="1"/>
  <c r="AK39" i="1"/>
  <c r="CA183" i="1"/>
  <c r="CB183" i="1" s="1"/>
  <c r="AK171" i="1"/>
  <c r="AL171" i="1" s="1"/>
  <c r="CA152" i="1"/>
  <c r="CI152" i="1"/>
  <c r="CJ152" i="1" s="1"/>
  <c r="AL54" i="1"/>
  <c r="CB93" i="1"/>
  <c r="CF93" i="1"/>
  <c r="CC166" i="1"/>
  <c r="CD166" i="1" s="1"/>
  <c r="BY169" i="1"/>
  <c r="BZ169" i="1" s="1"/>
  <c r="M55" i="1"/>
  <c r="V39" i="1"/>
  <c r="JE9" i="4" s="1"/>
  <c r="AJ66" i="1"/>
  <c r="AL55" i="1"/>
  <c r="AL66" i="1"/>
  <c r="AK28" i="1"/>
  <c r="JP16" i="4" s="1"/>
  <c r="IC16" i="4" s="1"/>
  <c r="K40" i="1"/>
  <c r="AM43" i="1"/>
  <c r="O27" i="1"/>
  <c r="R54" i="1"/>
  <c r="BY32" i="1"/>
  <c r="IU16" i="4" s="1"/>
  <c r="IH16" i="4" s="1"/>
  <c r="B54" i="1"/>
  <c r="CC171" i="1"/>
  <c r="CD171" i="1" s="1"/>
  <c r="AJ55" i="1"/>
  <c r="P42" i="1"/>
  <c r="JC16" i="4" s="1"/>
  <c r="R66" i="1"/>
  <c r="AL42" i="1"/>
  <c r="N43" i="1"/>
  <c r="N44" i="1"/>
  <c r="CI174" i="1"/>
  <c r="CJ174" i="1" s="1"/>
  <c r="AK64" i="1"/>
  <c r="AL40" i="1"/>
  <c r="P41" i="1"/>
  <c r="CC154" i="1"/>
  <c r="CD154" i="1" s="1"/>
  <c r="BX65" i="1"/>
  <c r="CI164" i="1"/>
  <c r="Q70" i="1"/>
  <c r="S40" i="1"/>
  <c r="O58" i="1"/>
  <c r="E39" i="1"/>
  <c r="AL27" i="1"/>
  <c r="AL250" i="1" s="1"/>
  <c r="S41" i="1"/>
  <c r="H58" i="1"/>
  <c r="BJ33" i="1"/>
  <c r="CA141" i="1"/>
  <c r="CB141" i="1" s="1"/>
  <c r="AK174" i="1"/>
  <c r="AL174" i="1" s="1"/>
  <c r="BL93" i="1"/>
  <c r="BY163" i="1"/>
  <c r="IK9" i="4" s="1"/>
  <c r="IX16" i="4" s="1"/>
  <c r="CA150" i="1"/>
  <c r="CA169" i="1"/>
  <c r="CB169" i="1" s="1"/>
  <c r="JD9" i="4" s="1"/>
  <c r="B66" i="1"/>
  <c r="CI143" i="1"/>
  <c r="CJ143" i="1" s="1"/>
  <c r="CI169" i="1"/>
  <c r="CJ169" i="1" s="1"/>
  <c r="JF9" i="4" s="1"/>
  <c r="I34" i="1"/>
  <c r="IK16" i="4" s="1"/>
  <c r="P27" i="1"/>
  <c r="IF9" i="4" s="1"/>
  <c r="Q34" i="1"/>
  <c r="G182" i="1"/>
  <c r="J34" i="1"/>
  <c r="IS16" i="4" s="1"/>
  <c r="D28" i="1"/>
  <c r="BJ27" i="1"/>
  <c r="BJ250" i="1" s="1"/>
  <c r="D55" i="1"/>
  <c r="CF54" i="1"/>
  <c r="BX66" i="1"/>
  <c r="AJ65" i="1"/>
  <c r="BY143" i="1"/>
  <c r="BZ143" i="1" s="1"/>
  <c r="AM146" i="1"/>
  <c r="AN146" i="1" s="1"/>
  <c r="AK145" i="1"/>
  <c r="AL145" i="1" s="1"/>
  <c r="BY159" i="1"/>
  <c r="AM27" i="1"/>
  <c r="BY166" i="1"/>
  <c r="BZ166" i="1" s="1"/>
  <c r="CA92" i="1"/>
  <c r="CC163" i="1"/>
  <c r="BX28" i="1"/>
  <c r="BZ93" i="1"/>
  <c r="JH9" i="4" s="1"/>
  <c r="CE93" i="1"/>
  <c r="IE9" i="4" s="1"/>
  <c r="HT9" i="4" s="1"/>
  <c r="CF41" i="1"/>
  <c r="AJ41" i="1"/>
  <c r="CE165" i="1"/>
  <c r="CF165" i="1" s="1"/>
  <c r="X137" i="1"/>
  <c r="CC156" i="1"/>
  <c r="CD156" i="1" s="1"/>
  <c r="AK54" i="1"/>
  <c r="AM174" i="1"/>
  <c r="AN174" i="1" s="1"/>
  <c r="AL39" i="1"/>
  <c r="CI166" i="1"/>
  <c r="CJ166" i="1" s="1"/>
  <c r="AJ54" i="1"/>
  <c r="CI141" i="1"/>
  <c r="CJ141" i="1" s="1"/>
  <c r="CC145" i="1"/>
  <c r="CD145" i="1" s="1"/>
  <c r="U58" i="1"/>
  <c r="E44" i="1"/>
  <c r="L34" i="1"/>
  <c r="JG9" i="4" s="1"/>
  <c r="U42" i="1"/>
  <c r="AJ32" i="1"/>
  <c r="CC170" i="1"/>
  <c r="CD170" i="1" s="1"/>
  <c r="Q54" i="1"/>
  <c r="J7" i="6" s="1"/>
  <c r="CA154" i="1"/>
  <c r="CB154" i="1" s="1"/>
  <c r="BJ43" i="1"/>
  <c r="AK33" i="1"/>
  <c r="AL51" i="1"/>
  <c r="IE16" i="4" s="1"/>
  <c r="IE21" i="4" s="1"/>
  <c r="AY96" i="1" s="1"/>
  <c r="M27" i="1"/>
  <c r="HY9" i="4" s="1"/>
  <c r="J44" i="1"/>
  <c r="CI144" i="1"/>
  <c r="CJ144" i="1" s="1"/>
  <c r="CM144" i="1" s="1"/>
  <c r="CN144" i="1" s="1"/>
  <c r="CO144" i="1" s="1"/>
  <c r="CP144" i="1" s="1"/>
  <c r="CQ144" i="1" s="1"/>
  <c r="CR144" i="1" s="1"/>
  <c r="CS144" i="1" s="1"/>
  <c r="AC144" i="1" s="1"/>
  <c r="CA163" i="1"/>
  <c r="CI92" i="1"/>
  <c r="B65" i="1"/>
  <c r="BX58" i="1"/>
  <c r="AI136" i="1"/>
  <c r="CC165" i="1"/>
  <c r="CD165" i="1" s="1"/>
  <c r="CA165" i="1"/>
  <c r="CB165" i="1" s="1"/>
  <c r="BY168" i="1"/>
  <c r="BZ168" i="1" s="1"/>
  <c r="CI170" i="1"/>
  <c r="CJ170" i="1" s="1"/>
  <c r="BY178" i="1"/>
  <c r="BX41" i="1"/>
  <c r="AM41" i="1"/>
  <c r="O40" i="1"/>
  <c r="I54" i="1"/>
  <c r="C41" i="1"/>
  <c r="C55" i="1"/>
  <c r="IG9" i="4" s="1"/>
  <c r="AK65" i="1"/>
  <c r="V41" i="1"/>
  <c r="IZ9" i="4" s="1"/>
  <c r="HQ9" i="4" s="1"/>
  <c r="CH64" i="1"/>
  <c r="Y54" i="1"/>
  <c r="IB9" i="4" s="1"/>
  <c r="IW9" i="4" s="1"/>
  <c r="HW9" i="4" s="1"/>
  <c r="B55" i="1"/>
  <c r="O42" i="1"/>
  <c r="AK51" i="1"/>
  <c r="AK213" i="1" s="1"/>
  <c r="J40" i="1"/>
  <c r="HQ16" i="4" s="1"/>
  <c r="HQ21" i="4" s="1"/>
  <c r="AK96" i="1" s="1"/>
  <c r="P28" i="1"/>
  <c r="Q39" i="1"/>
  <c r="HS8" i="4" s="1"/>
  <c r="H41" i="1"/>
  <c r="G172" i="1"/>
  <c r="T51" i="1"/>
  <c r="BJ32" i="1"/>
  <c r="HR16" i="4" s="1"/>
  <c r="AM55" i="1"/>
  <c r="C64" i="1"/>
  <c r="CD64" i="1"/>
  <c r="IR9" i="4" s="1"/>
  <c r="Z97" i="1"/>
  <c r="S7" i="6" s="1"/>
  <c r="O43" i="1"/>
  <c r="CA39" i="1"/>
  <c r="CG92" i="1"/>
  <c r="AJ28" i="1"/>
  <c r="I39" i="1"/>
  <c r="J28" i="1"/>
  <c r="CC143" i="1"/>
  <c r="HZ16" i="4" s="1"/>
  <c r="BX70" i="1"/>
  <c r="BX54" i="1"/>
  <c r="G65" i="1"/>
  <c r="F44" i="1"/>
  <c r="E64" i="1"/>
  <c r="R42" i="1"/>
  <c r="P32" i="1"/>
  <c r="V58" i="1"/>
  <c r="C28" i="1"/>
  <c r="G39" i="1"/>
  <c r="R55" i="1"/>
  <c r="T42" i="1"/>
  <c r="N66" i="1"/>
  <c r="U40" i="1"/>
  <c r="AJ51" i="1"/>
  <c r="AJ213" i="1" s="1"/>
  <c r="IZ16" i="4" s="1"/>
  <c r="IZ21" i="4" s="1"/>
  <c r="BT96" i="1" s="1"/>
  <c r="R64" i="1"/>
  <c r="O65" i="1"/>
  <c r="M64" i="1"/>
  <c r="AK55" i="1"/>
  <c r="IG16" i="4" s="1"/>
  <c r="T65" i="1"/>
  <c r="T66" i="1"/>
  <c r="BY144" i="1"/>
  <c r="BZ144" i="1" s="1"/>
  <c r="CA162" i="1"/>
  <c r="CB162" i="1" s="1"/>
  <c r="S44" i="1"/>
  <c r="II16" i="4" s="1"/>
  <c r="O44" i="1"/>
  <c r="D58" i="1"/>
  <c r="CC146" i="1"/>
  <c r="CD146" i="1" s="1"/>
  <c r="O41" i="1"/>
  <c r="AM54" i="1"/>
  <c r="AJ64" i="1"/>
  <c r="N51" i="1"/>
  <c r="N213" i="1" s="1"/>
  <c r="T70" i="1"/>
  <c r="JI9" i="4" s="1"/>
  <c r="E178" i="1"/>
  <c r="AL33" i="1"/>
  <c r="C32" i="1"/>
  <c r="O28" i="1"/>
  <c r="JA9" i="4" s="1"/>
  <c r="P174" i="1"/>
  <c r="J55" i="1"/>
  <c r="H51" i="1"/>
  <c r="L51" i="1"/>
  <c r="G66" i="1"/>
  <c r="BL55" i="1"/>
  <c r="O32" i="1"/>
  <c r="IP9" i="4" s="1"/>
  <c r="AK66" i="1"/>
  <c r="JC9" i="4" s="1"/>
  <c r="P64" i="1"/>
  <c r="AL28" i="1"/>
  <c r="IL9" i="4" s="1"/>
  <c r="P146" i="1"/>
  <c r="L66" i="1"/>
  <c r="E27" i="1"/>
  <c r="ID15" i="4" s="1"/>
  <c r="S64" i="1"/>
  <c r="AJ43" i="1"/>
  <c r="IY16" i="4" s="1"/>
  <c r="W44" i="1"/>
  <c r="AM58" i="1"/>
  <c r="B70" i="1"/>
  <c r="P70" i="1"/>
  <c r="K51" i="1"/>
  <c r="O34" i="1"/>
  <c r="P34" i="1"/>
  <c r="IB16" i="4" s="1"/>
  <c r="I7" i="6" s="1"/>
  <c r="HY16" i="4" s="1"/>
  <c r="X86" i="1"/>
  <c r="HP9" i="4" s="1"/>
  <c r="IJ9" i="4" s="1"/>
  <c r="AL65" i="1"/>
  <c r="AM40" i="1"/>
  <c r="CH58" i="1"/>
  <c r="M39" i="1"/>
  <c r="M34" i="1"/>
  <c r="CA143" i="1"/>
  <c r="F42" i="1"/>
  <c r="W32" i="1"/>
  <c r="S43" i="1"/>
  <c r="H32" i="1"/>
  <c r="JH16" i="4" s="1"/>
  <c r="BX55" i="1"/>
  <c r="H55" i="1"/>
  <c r="BY66" i="1"/>
  <c r="AM42" i="1"/>
  <c r="K64" i="1"/>
  <c r="AC7" i="6" s="1"/>
  <c r="IQ16" i="4" s="1"/>
  <c r="J64" i="1"/>
  <c r="IV16" i="4" s="1"/>
  <c r="R34" i="1"/>
  <c r="IO9" i="4" s="1"/>
  <c r="D141" i="1"/>
  <c r="HU16" i="4" s="1"/>
  <c r="IN16" i="4" s="1"/>
  <c r="CI159" i="1"/>
  <c r="CJ159" i="1" s="1"/>
  <c r="BJ42" i="1"/>
  <c r="IM16" i="4" s="1"/>
  <c r="BX43" i="1"/>
  <c r="AK70" i="1"/>
  <c r="K54" i="1"/>
  <c r="G55" i="1"/>
  <c r="S66" i="1"/>
  <c r="W70" i="1"/>
  <c r="IA14" i="4" s="1"/>
  <c r="HS16" i="4" s="1"/>
  <c r="AK58" i="1"/>
  <c r="BX33" i="1"/>
  <c r="N39" i="1"/>
  <c r="S42" i="1"/>
  <c r="X191" i="1"/>
  <c r="N32" i="1"/>
  <c r="AM33" i="1"/>
  <c r="U64" i="1"/>
  <c r="O70" i="1"/>
  <c r="JG8" i="4" s="1"/>
  <c r="AL58" i="1"/>
  <c r="IG7" i="4" s="1"/>
  <c r="JF16" i="4" s="1"/>
  <c r="CC150" i="1"/>
  <c r="HQ15" i="4" s="1"/>
  <c r="W42" i="1"/>
  <c r="BX40" i="1"/>
  <c r="G32" i="1"/>
  <c r="ID16" i="4" s="1"/>
  <c r="ID21" i="4" s="1"/>
  <c r="AX96" i="1" s="1"/>
  <c r="P40" i="1"/>
  <c r="E34" i="1"/>
  <c r="AJ33" i="1"/>
  <c r="U39" i="1"/>
  <c r="IJ8" i="4" s="1"/>
  <c r="F64" i="1"/>
  <c r="I58" i="1"/>
  <c r="L39" i="1"/>
  <c r="Z55" i="1"/>
  <c r="IP16" i="4" s="1"/>
  <c r="L54" i="1"/>
  <c r="W151" i="1"/>
  <c r="BZ43" i="1"/>
  <c r="BJ40" i="1"/>
  <c r="R43" i="1"/>
  <c r="HU9" i="4" s="1"/>
  <c r="W55" i="1"/>
  <c r="U43" i="1"/>
  <c r="M42" i="1"/>
  <c r="J41" i="1"/>
  <c r="CE182" i="1"/>
  <c r="CF182" i="1" s="1"/>
  <c r="J54" i="1"/>
  <c r="I70" i="1"/>
  <c r="V32" i="1"/>
  <c r="S51" i="1"/>
  <c r="HV16" i="4" s="1"/>
  <c r="F51" i="1"/>
  <c r="M51" i="1"/>
  <c r="C51" i="1"/>
  <c r="B34" i="1"/>
  <c r="AJ40" i="1"/>
  <c r="Q41" i="1"/>
  <c r="BX64" i="1"/>
  <c r="D40" i="1"/>
  <c r="C65" i="1"/>
  <c r="G44" i="1"/>
  <c r="AK41" i="1"/>
  <c r="AJ39" i="1"/>
  <c r="JE8" i="4" s="1"/>
  <c r="T27" i="1"/>
  <c r="T7" i="1" s="1"/>
  <c r="T6" i="1" s="1"/>
  <c r="P54" i="1"/>
  <c r="AK43" i="1"/>
  <c r="CF32" i="1"/>
  <c r="CG66" i="1"/>
  <c r="L40" i="1"/>
  <c r="D70" i="1"/>
  <c r="U28" i="1"/>
  <c r="H66" i="1"/>
  <c r="AK27" i="1"/>
  <c r="BL39" i="1"/>
  <c r="J66" i="1"/>
  <c r="HZ9" i="4" s="1"/>
  <c r="CH43" i="1"/>
  <c r="CE154" i="1"/>
  <c r="CF154" i="1" s="1"/>
  <c r="H65" i="1"/>
  <c r="U66" i="1"/>
  <c r="CJ27" i="1"/>
  <c r="P43" i="1"/>
  <c r="N40" i="1"/>
  <c r="AY7" i="6" s="1"/>
  <c r="CJ41" i="1"/>
  <c r="F27" i="1"/>
  <c r="IB7" i="4" s="1"/>
  <c r="H43" i="1"/>
  <c r="JF8" i="4" s="1"/>
  <c r="V66" i="1"/>
  <c r="E54" i="1"/>
  <c r="E28" i="1"/>
  <c r="W66" i="1"/>
  <c r="Y64" i="1"/>
  <c r="P55" i="1"/>
  <c r="L41" i="1"/>
  <c r="X7" i="6" s="1"/>
  <c r="J138" i="1"/>
  <c r="C39" i="1"/>
  <c r="D32" i="1"/>
  <c r="CI153" i="1"/>
  <c r="CI58" i="1"/>
  <c r="CH70" i="1"/>
  <c r="E66" i="1"/>
  <c r="R28" i="1"/>
  <c r="O55" i="1"/>
  <c r="V43" i="1"/>
  <c r="N55" i="1"/>
  <c r="H28" i="1"/>
  <c r="CF33" i="1"/>
  <c r="F55" i="1"/>
  <c r="N28" i="1"/>
  <c r="AL34" i="1"/>
  <c r="CF40" i="1"/>
  <c r="Q42" i="1"/>
  <c r="V42" i="1"/>
  <c r="CF39" i="1"/>
  <c r="T39" i="1"/>
  <c r="CG183" i="1"/>
  <c r="CH183" i="1" s="1"/>
  <c r="K39" i="1"/>
  <c r="CE152" i="1"/>
  <c r="CJ42" i="1"/>
  <c r="S65" i="1"/>
  <c r="D43" i="1"/>
  <c r="D64" i="1"/>
  <c r="V54" i="1"/>
  <c r="L44" i="1"/>
  <c r="IL14" i="4" s="1"/>
  <c r="CE28" i="1"/>
  <c r="IJ16" i="4" s="1"/>
  <c r="CC42" i="1"/>
  <c r="CD33" i="1"/>
  <c r="W136" i="1"/>
  <c r="BJ34" i="1"/>
  <c r="CA40" i="1"/>
  <c r="AJ42" i="1"/>
  <c r="Z161" i="1"/>
  <c r="CG161" i="1" s="1"/>
  <c r="CH161" i="1" s="1"/>
  <c r="ID14" i="4" s="1"/>
  <c r="HW16" i="4" s="1"/>
  <c r="HW21" i="4" s="1"/>
  <c r="AQ96" i="1" s="1"/>
  <c r="K42" i="1"/>
  <c r="K27" i="1"/>
  <c r="K70" i="1"/>
  <c r="CD54" i="1"/>
  <c r="C143" i="1"/>
  <c r="IH7" i="4" s="1"/>
  <c r="V44" i="1"/>
  <c r="J32" i="1"/>
  <c r="U65" i="1"/>
  <c r="I41" i="1"/>
  <c r="BZ54" i="1"/>
  <c r="Y174" i="1"/>
  <c r="R58" i="1"/>
  <c r="CA28" i="1"/>
  <c r="C44" i="1"/>
  <c r="JO9" i="4" s="1"/>
  <c r="U32" i="1"/>
  <c r="BL58" i="1"/>
  <c r="U44" i="1"/>
  <c r="AM7" i="6" s="1"/>
  <c r="M44" i="1"/>
  <c r="O66" i="1"/>
  <c r="N65" i="1"/>
  <c r="AL32" i="1"/>
  <c r="IU14" i="4" s="1"/>
  <c r="U54" i="1"/>
  <c r="M40" i="1"/>
  <c r="W64" i="1"/>
  <c r="CE162" i="1"/>
  <c r="CF162" i="1" s="1"/>
  <c r="CE43" i="1"/>
  <c r="IX14" i="4" s="1"/>
  <c r="Q44" i="1"/>
  <c r="V64" i="1"/>
  <c r="Y156" i="1"/>
  <c r="BX34" i="1"/>
  <c r="CH51" i="1"/>
  <c r="J43" i="1"/>
  <c r="B51" i="1"/>
  <c r="I55" i="1"/>
  <c r="CH92" i="1"/>
  <c r="M43" i="1"/>
  <c r="JJ9" i="4" s="1"/>
  <c r="U55" i="1"/>
  <c r="JN16" i="4" s="1"/>
  <c r="Y40" i="1"/>
  <c r="N41" i="1"/>
  <c r="N27" i="1"/>
  <c r="AK7" i="6" s="1"/>
  <c r="Y179" i="1"/>
  <c r="BZ42" i="1"/>
  <c r="M58" i="1"/>
  <c r="CE40" i="1"/>
  <c r="K55" i="1"/>
  <c r="V28" i="1"/>
  <c r="W28" i="1"/>
  <c r="X172" i="1"/>
  <c r="L58" i="1"/>
  <c r="JD16" i="4" s="1"/>
  <c r="JD21" i="4" s="1"/>
  <c r="BX96" i="1" s="1"/>
  <c r="I66" i="1"/>
  <c r="HX8" i="4" s="1"/>
  <c r="CJ43" i="1"/>
  <c r="M32" i="1"/>
  <c r="G40" i="1"/>
  <c r="J70" i="1"/>
  <c r="AM51" i="1"/>
  <c r="E32" i="1"/>
  <c r="G70" i="1"/>
  <c r="IK8" i="4" s="1"/>
  <c r="I27" i="1"/>
  <c r="V34" i="1"/>
  <c r="CA144" i="1"/>
  <c r="CB144" i="1" s="1"/>
  <c r="W34" i="1"/>
  <c r="JB9" i="4" s="1"/>
  <c r="JB21" i="4" s="1"/>
  <c r="BV96" i="1" s="1"/>
  <c r="Q28" i="1"/>
  <c r="CF64" i="1"/>
  <c r="CH33" i="1"/>
  <c r="T54" i="1"/>
  <c r="T58" i="1"/>
  <c r="HX9" i="4" s="1"/>
  <c r="CE173" i="1"/>
  <c r="CF173" i="1" s="1"/>
  <c r="BZ27" i="1"/>
  <c r="Q43" i="1"/>
  <c r="R39" i="1"/>
  <c r="M28" i="1"/>
  <c r="I65" i="1"/>
  <c r="B42" i="1"/>
  <c r="Z159" i="1"/>
  <c r="Y144" i="1"/>
  <c r="Q32" i="1"/>
  <c r="G34" i="1"/>
  <c r="V51" i="1"/>
  <c r="M70" i="1"/>
  <c r="BY70" i="1"/>
  <c r="IU8" i="4" s="1"/>
  <c r="X168" i="1"/>
  <c r="JA7" i="4" s="1"/>
  <c r="L65" i="1"/>
  <c r="L43" i="1"/>
  <c r="CD34" i="1"/>
  <c r="CD28" i="1"/>
  <c r="I32" i="1"/>
  <c r="W58" i="1"/>
  <c r="IW15" i="4" s="1"/>
  <c r="P44" i="1"/>
  <c r="CJ58" i="1"/>
  <c r="CA70" i="1"/>
  <c r="F66" i="1"/>
  <c r="B58" i="1"/>
  <c r="G42" i="1"/>
  <c r="X43" i="1"/>
  <c r="F54" i="1"/>
  <c r="BZ66" i="1"/>
  <c r="JG16" i="4" s="1"/>
  <c r="JG21" i="4" s="1"/>
  <c r="CA96" i="1" s="1"/>
  <c r="K65" i="1"/>
  <c r="N42" i="1"/>
  <c r="AM34" i="1"/>
  <c r="O64" i="1"/>
  <c r="U51" i="1"/>
  <c r="BJ41" i="1"/>
  <c r="BL43" i="1"/>
  <c r="HR9" i="4" s="1"/>
  <c r="I28" i="1"/>
  <c r="P39" i="1"/>
  <c r="BX42" i="1"/>
  <c r="U34" i="1"/>
  <c r="E65" i="1"/>
  <c r="AK34" i="1"/>
  <c r="BY58" i="1"/>
  <c r="F39" i="1"/>
  <c r="I51" i="1"/>
  <c r="HX16" i="4" s="1"/>
  <c r="AL43" i="1"/>
  <c r="I64" i="1"/>
  <c r="AJ58" i="1"/>
  <c r="H27" i="1"/>
  <c r="H250" i="1" s="1"/>
  <c r="CA137" i="1"/>
  <c r="CB137" i="1" s="1"/>
  <c r="N58" i="1"/>
  <c r="JN9" i="4" s="1"/>
  <c r="T41" i="1"/>
  <c r="W40" i="1"/>
  <c r="HY15" i="4" s="1"/>
  <c r="BY39" i="1"/>
  <c r="R44" i="1"/>
  <c r="JC8" i="4" s="1"/>
  <c r="U70" i="1"/>
  <c r="CA170" i="1"/>
  <c r="CB170" i="1" s="1"/>
  <c r="E51" i="1"/>
  <c r="E213" i="1" s="1"/>
  <c r="CC179" i="1"/>
  <c r="L55" i="1"/>
  <c r="X178" i="1"/>
  <c r="CG93" i="1"/>
  <c r="CC43" i="1"/>
  <c r="G41" i="1"/>
  <c r="CC51" i="1"/>
  <c r="CC213" i="1" s="1"/>
  <c r="BZ41" i="1"/>
  <c r="R32" i="1"/>
  <c r="F28" i="1"/>
  <c r="F40" i="1"/>
  <c r="B27" i="1"/>
  <c r="CB40" i="1"/>
  <c r="M41" i="1"/>
  <c r="L70" i="1"/>
  <c r="CB41" i="1"/>
  <c r="IE15" i="4" s="1"/>
  <c r="BX39" i="1"/>
  <c r="AO7" i="6" s="1"/>
  <c r="K43" i="1"/>
  <c r="E43" i="1"/>
  <c r="G28" i="1"/>
  <c r="JE15" i="4" s="1"/>
  <c r="D44" i="1"/>
  <c r="Y172" i="1"/>
  <c r="K66" i="1"/>
  <c r="CD51" i="1"/>
  <c r="B40" i="1"/>
  <c r="X190" i="1"/>
  <c r="L27" i="1"/>
  <c r="BL40" i="1"/>
  <c r="Y7" i="6" s="1"/>
  <c r="AI7" i="6" s="1"/>
  <c r="CJ33" i="1"/>
  <c r="Z156" i="1"/>
  <c r="CG156" i="1" s="1"/>
  <c r="CH156" i="1" s="1"/>
  <c r="CI54" i="1"/>
  <c r="CD39" i="1"/>
  <c r="JL16" i="4" s="1"/>
  <c r="CA32" i="1"/>
  <c r="Y141" i="1"/>
  <c r="X170" i="1"/>
  <c r="H39" i="1"/>
  <c r="Q40" i="1"/>
  <c r="X96" i="1"/>
  <c r="X174" i="1"/>
  <c r="F70" i="1"/>
  <c r="T64" i="1"/>
  <c r="J42" i="1"/>
  <c r="CI145" i="1"/>
  <c r="CJ145" i="1" s="1"/>
  <c r="CD65" i="1"/>
  <c r="IN9" i="4" s="1"/>
  <c r="AK42" i="1"/>
  <c r="G54" i="1"/>
  <c r="Z58" i="1"/>
  <c r="CD40" i="1"/>
  <c r="CG40" i="1"/>
  <c r="CG28" i="1"/>
  <c r="CF65" i="1"/>
  <c r="BZ70" i="1"/>
  <c r="BL42" i="1"/>
  <c r="Y168" i="1"/>
  <c r="P65" i="1"/>
  <c r="CF34" i="1"/>
  <c r="CJ83" i="1"/>
  <c r="CC32" i="1"/>
  <c r="CH32" i="1"/>
  <c r="CI138" i="1"/>
  <c r="CB33" i="1"/>
  <c r="X28" i="1"/>
  <c r="Q65" i="1"/>
  <c r="AK32" i="1"/>
  <c r="B43" i="1"/>
  <c r="G51" i="1"/>
  <c r="T43" i="1"/>
  <c r="T44" i="1"/>
  <c r="CD58" i="1"/>
  <c r="R27" i="1"/>
  <c r="R250" i="1" s="1"/>
  <c r="CI28" i="1"/>
  <c r="L42" i="1"/>
  <c r="JL9" i="4" s="1"/>
  <c r="H42" i="1"/>
  <c r="O7" i="6" s="1"/>
  <c r="V65" i="1"/>
  <c r="H44" i="1"/>
  <c r="S39" i="1"/>
  <c r="IM15" i="4" s="1"/>
  <c r="R41" i="1"/>
  <c r="BZ65" i="1"/>
  <c r="JG15" i="4" s="1"/>
  <c r="Z43" i="1"/>
  <c r="CA64" i="1"/>
  <c r="CG39" i="1"/>
  <c r="C34" i="1"/>
  <c r="CF66" i="1"/>
  <c r="Y162" i="1"/>
  <c r="C66" i="1"/>
  <c r="B32" i="1"/>
  <c r="X155" i="1"/>
  <c r="C7" i="6" s="1"/>
  <c r="Z27" i="1"/>
  <c r="Z7" i="1" s="1"/>
  <c r="S32" i="1"/>
  <c r="D27" i="1"/>
  <c r="Z164" i="1"/>
  <c r="T40" i="1"/>
  <c r="Z162" i="1"/>
  <c r="CG162" i="1" s="1"/>
  <c r="CH162" i="1" s="1"/>
  <c r="K28" i="1"/>
  <c r="H34" i="1"/>
  <c r="AL41" i="1"/>
  <c r="IS9" i="4" s="1"/>
  <c r="IS21" i="4" s="1"/>
  <c r="BM96" i="1" s="1"/>
  <c r="IQ7" i="4" s="1"/>
  <c r="Q58" i="1"/>
  <c r="CE164" i="1"/>
  <c r="BY28" i="1"/>
  <c r="R65" i="1"/>
  <c r="T28" i="1"/>
  <c r="I40" i="1"/>
  <c r="J27" i="1"/>
  <c r="JD14" i="4" s="1"/>
  <c r="D41" i="1"/>
  <c r="M54" i="1"/>
  <c r="F65" i="1"/>
  <c r="E55" i="1"/>
  <c r="Y190" i="1"/>
  <c r="K58" i="1"/>
  <c r="N54" i="1"/>
  <c r="IP7" i="4" s="1"/>
  <c r="AN7" i="6" s="1"/>
  <c r="S55" i="1"/>
  <c r="B41" i="1"/>
  <c r="W39" i="1"/>
  <c r="T34" i="1"/>
  <c r="CE64" i="1"/>
  <c r="W51" i="1"/>
  <c r="W213" i="1" s="1"/>
  <c r="W43" i="1"/>
  <c r="B64" i="1"/>
  <c r="AL70" i="1"/>
  <c r="CF43" i="1"/>
  <c r="CC54" i="1"/>
  <c r="X151" i="1"/>
  <c r="CH41" i="1"/>
  <c r="CG55" i="1"/>
  <c r="Y28" i="1"/>
  <c r="Y151" i="1"/>
  <c r="CG65" i="1"/>
  <c r="CE39" i="1"/>
  <c r="Y34" i="1"/>
  <c r="CC34" i="1"/>
  <c r="CE41" i="1"/>
  <c r="Y32" i="1"/>
  <c r="CG27" i="1"/>
  <c r="Z42" i="1"/>
  <c r="S34" i="1"/>
  <c r="CC40" i="1"/>
  <c r="R51" i="1"/>
  <c r="D34" i="1"/>
  <c r="U41" i="1"/>
  <c r="Y152" i="1"/>
  <c r="W41" i="1"/>
  <c r="K32" i="1"/>
  <c r="JJ16" i="4" s="1"/>
  <c r="G64" i="1"/>
  <c r="Y136" i="1"/>
  <c r="B28" i="1"/>
  <c r="CA55" i="1"/>
  <c r="IK14" i="4" s="1"/>
  <c r="AV7" i="6" s="1"/>
  <c r="N7" i="6" s="1"/>
  <c r="AS7" i="6" s="1"/>
  <c r="K34" i="1"/>
  <c r="X97" i="1"/>
  <c r="P179" i="1"/>
  <c r="J65" i="1"/>
  <c r="I42" i="1"/>
  <c r="CA42" i="1"/>
  <c r="S70" i="1"/>
  <c r="CC64" i="1"/>
  <c r="CF55" i="1"/>
  <c r="BZ58" i="1"/>
  <c r="CD32" i="1"/>
  <c r="F32" i="1"/>
  <c r="S58" i="1"/>
  <c r="Q64" i="1"/>
  <c r="CE156" i="1"/>
  <c r="CF156" i="1" s="1"/>
  <c r="E70" i="1"/>
  <c r="BL64" i="1"/>
  <c r="CE137" i="1"/>
  <c r="CF137" i="1" s="1"/>
  <c r="Z41" i="1"/>
  <c r="BY42" i="1"/>
  <c r="CE58" i="1"/>
  <c r="CE51" i="1"/>
  <c r="CC33" i="1"/>
  <c r="D42" i="1"/>
  <c r="CI55" i="1"/>
  <c r="Z146" i="1"/>
  <c r="CG146" i="1" s="1"/>
  <c r="CH146" i="1" s="1"/>
  <c r="Y164" i="1"/>
  <c r="Z143" i="1"/>
  <c r="CG143" i="1" s="1"/>
  <c r="CH143" i="1" s="1"/>
  <c r="G43" i="1"/>
  <c r="P51" i="1"/>
  <c r="P213" i="1" s="1"/>
  <c r="Y166" i="1"/>
  <c r="W54" i="1"/>
  <c r="T32" i="1"/>
  <c r="HT16" i="4" s="1"/>
  <c r="HT21" i="4" s="1"/>
  <c r="AN96" i="1" s="1"/>
  <c r="CF70" i="1"/>
  <c r="G27" i="1"/>
  <c r="X55" i="1"/>
  <c r="C54" i="1"/>
  <c r="X159" i="1"/>
  <c r="V40" i="1"/>
  <c r="CD70" i="1"/>
  <c r="S54" i="1"/>
  <c r="BL28" i="1"/>
  <c r="V55" i="1"/>
  <c r="X32" i="1"/>
  <c r="E40" i="1"/>
  <c r="CE150" i="1"/>
  <c r="C43" i="1"/>
  <c r="X66" i="1"/>
  <c r="CB42" i="1"/>
  <c r="CG33" i="1"/>
  <c r="Y182" i="1"/>
  <c r="Z174" i="1"/>
  <c r="CG174" i="1" s="1"/>
  <c r="CH174" i="1" s="1"/>
  <c r="Y191" i="1"/>
  <c r="BZ33" i="1"/>
  <c r="Z86" i="1"/>
  <c r="CB64" i="1"/>
  <c r="CH66" i="1"/>
  <c r="CJ55" i="1"/>
  <c r="O54" i="1"/>
  <c r="S27" i="1"/>
  <c r="S250" i="1" s="1"/>
  <c r="Z191" i="1"/>
  <c r="C58" i="1"/>
  <c r="CA65" i="1"/>
  <c r="CI172" i="1"/>
  <c r="J39" i="1"/>
  <c r="BY55" i="1"/>
  <c r="V70" i="1"/>
  <c r="S28" i="1"/>
  <c r="Z34" i="1"/>
  <c r="L28" i="1"/>
  <c r="Y44" i="1"/>
  <c r="I44" i="1"/>
  <c r="IW8" i="4" s="1"/>
  <c r="IT7" i="4" s="1"/>
  <c r="CH39" i="1"/>
  <c r="CD66" i="1"/>
  <c r="CE70" i="1"/>
  <c r="CJ28" i="1"/>
  <c r="Q55" i="1"/>
  <c r="Y143" i="1"/>
  <c r="CF58" i="1"/>
  <c r="CH65" i="1"/>
  <c r="CB34" i="1"/>
  <c r="Z64" i="1"/>
  <c r="Y137" i="1"/>
  <c r="Y169" i="1"/>
  <c r="A1" i="1"/>
  <c r="H70" i="1"/>
  <c r="Z44" i="1"/>
  <c r="G58" i="1"/>
  <c r="D39" i="1"/>
  <c r="J51" i="1"/>
  <c r="BZ40" i="1"/>
  <c r="D7" i="6" s="1"/>
  <c r="N64" i="1"/>
  <c r="F41" i="1"/>
  <c r="JB15" i="4" s="1"/>
  <c r="P58" i="1"/>
  <c r="B39" i="1"/>
  <c r="CB66" i="1"/>
  <c r="BJ39" i="1"/>
  <c r="IL16" i="4" s="1"/>
  <c r="IL21" i="4" s="1"/>
  <c r="BF96" i="1" s="1"/>
  <c r="Q172" i="1"/>
  <c r="E41" i="1"/>
  <c r="I43" i="1"/>
  <c r="CB55" i="1"/>
  <c r="AL7" i="6" s="1"/>
  <c r="JK16" i="4" s="1"/>
  <c r="B44" i="1"/>
  <c r="R70" i="1"/>
  <c r="IR16" i="4" s="1"/>
  <c r="IR21" i="4" s="1"/>
  <c r="BL96" i="1" s="1"/>
  <c r="CI182" i="1"/>
  <c r="CJ182" i="1" s="1"/>
  <c r="CM182" i="1" s="1"/>
  <c r="CN182" i="1" s="1"/>
  <c r="CO182" i="1" s="1"/>
  <c r="AL64" i="1"/>
  <c r="H40" i="1"/>
  <c r="AK40" i="1"/>
  <c r="JI14" i="4" s="1"/>
  <c r="Q51" i="1"/>
  <c r="Q213" i="1" s="1"/>
  <c r="Z189" i="1"/>
  <c r="CA66" i="1"/>
  <c r="R40" i="1"/>
  <c r="C27" i="1"/>
  <c r="C250" i="1" s="1"/>
  <c r="N34" i="1"/>
  <c r="C70" i="1"/>
  <c r="K41" i="1"/>
  <c r="IC9" i="4" s="1"/>
  <c r="W65" i="1"/>
  <c r="JP8" i="4" s="1"/>
  <c r="CB70" i="1"/>
  <c r="CE169" i="1"/>
  <c r="CF169" i="1" s="1"/>
  <c r="E58" i="1"/>
  <c r="CD27" i="1"/>
  <c r="Z39" i="1"/>
  <c r="CE143" i="1"/>
  <c r="X58" i="1"/>
  <c r="X70" i="1"/>
  <c r="CC39" i="1"/>
  <c r="BZ55" i="1"/>
  <c r="CJ66" i="1"/>
  <c r="X164" i="1"/>
  <c r="CA41" i="1"/>
  <c r="CC70" i="1"/>
  <c r="X41" i="1"/>
  <c r="CA54" i="1"/>
  <c r="CG43" i="1"/>
  <c r="V7" i="6" s="1"/>
  <c r="CG58" i="1"/>
  <c r="CC41" i="1"/>
  <c r="Y65" i="1"/>
  <c r="R7" i="6" s="1"/>
  <c r="Y70" i="1"/>
  <c r="Y161" i="1"/>
  <c r="Z179" i="1"/>
  <c r="CG179" i="1" s="1"/>
  <c r="CB43" i="1"/>
  <c r="T7" i="6" s="1"/>
  <c r="CI32" i="1"/>
  <c r="BL70" i="1"/>
  <c r="BZ32" i="1"/>
  <c r="BY34" i="1"/>
  <c r="CH54" i="1"/>
  <c r="CI137" i="1"/>
  <c r="CJ137" i="1" s="1"/>
  <c r="CM137" i="1" s="1"/>
  <c r="CN137" i="1" s="1"/>
  <c r="CO137" i="1" s="1"/>
  <c r="Z66" i="1"/>
  <c r="X162" i="1"/>
  <c r="CE42" i="1"/>
  <c r="Y138" i="1"/>
  <c r="Z32" i="1"/>
  <c r="X156" i="1"/>
  <c r="CC65" i="1"/>
  <c r="Z178" i="1"/>
  <c r="CG178" i="1" s="1"/>
  <c r="CB28" i="1"/>
  <c r="X154" i="1"/>
  <c r="X150" i="1" s="1"/>
  <c r="BZ28" i="1"/>
  <c r="AE7" i="6" s="1"/>
  <c r="CI66" i="1"/>
  <c r="CB39" i="1"/>
  <c r="Z54" i="1"/>
  <c r="Y163" i="1"/>
  <c r="CE27" i="1"/>
  <c r="CI64" i="1"/>
  <c r="CG54" i="1"/>
  <c r="CA43" i="1"/>
  <c r="X145" i="1"/>
  <c r="X173" i="1" s="1"/>
  <c r="Y42" i="1"/>
  <c r="CC28" i="1"/>
  <c r="CC92" i="1"/>
  <c r="CH28" i="1"/>
  <c r="Z170" i="1"/>
  <c r="CG170" i="1" s="1"/>
  <c r="CH170" i="1" s="1"/>
  <c r="Y165" i="1"/>
  <c r="X54" i="1"/>
  <c r="AJ7" i="6" s="1"/>
  <c r="BY41" i="1"/>
  <c r="E7" i="6" s="1"/>
  <c r="Y97" i="1"/>
  <c r="CI178" i="1"/>
  <c r="CE32" i="1"/>
  <c r="CC55" i="1"/>
  <c r="X98" i="1"/>
  <c r="CJ65" i="1"/>
  <c r="Y146" i="1"/>
  <c r="CG34" i="1"/>
  <c r="AG7" i="6" s="1"/>
  <c r="X143" i="1"/>
  <c r="Y154" i="1"/>
  <c r="Y150" i="1" s="1"/>
  <c r="Z28" i="1"/>
  <c r="BL66" i="1"/>
  <c r="Z154" i="1"/>
  <c r="CG154" i="1" s="1"/>
  <c r="CH154" i="1" s="1"/>
  <c r="Y178" i="1"/>
  <c r="Y159" i="1"/>
  <c r="CE138" i="1"/>
  <c r="Y86" i="1"/>
  <c r="CJ40" i="1"/>
  <c r="BL51" i="1"/>
  <c r="CI34" i="1"/>
  <c r="CE65" i="1"/>
  <c r="CC66" i="1"/>
  <c r="CE34" i="1"/>
  <c r="CI33" i="1"/>
  <c r="C42" i="1"/>
  <c r="CG41" i="1"/>
  <c r="Z183" i="1"/>
  <c r="Z65" i="1"/>
  <c r="D65" i="1"/>
  <c r="CI43" i="1"/>
  <c r="CB51" i="1"/>
  <c r="CB213" i="1" s="1"/>
  <c r="CC27" i="1"/>
  <c r="CC250" i="1" s="1"/>
  <c r="CG70" i="1"/>
  <c r="JM9" i="4" s="1"/>
  <c r="O51" i="1"/>
  <c r="O213" i="1" s="1"/>
  <c r="X42" i="1"/>
  <c r="CE161" i="1"/>
  <c r="CF51" i="1"/>
  <c r="CF213" i="1" s="1"/>
  <c r="CA33" i="1"/>
  <c r="CH40" i="1"/>
  <c r="CI65" i="1"/>
  <c r="Z136" i="1"/>
  <c r="CG136" i="1" s="1"/>
  <c r="CC58" i="1"/>
  <c r="X161" i="1"/>
  <c r="Y155" i="1"/>
  <c r="Z172" i="1"/>
  <c r="CG172" i="1" s="1"/>
  <c r="Q7" i="6" s="1"/>
  <c r="CJ64" i="1"/>
  <c r="CM64" i="1" s="1"/>
  <c r="CN64" i="1" s="1"/>
  <c r="CO64" i="1" s="1"/>
  <c r="CP64" i="1" s="1"/>
  <c r="CQ64" i="1" s="1"/>
  <c r="CR64" i="1" s="1"/>
  <c r="CS64" i="1" s="1"/>
  <c r="CT64" i="1" s="1"/>
  <c r="Q66" i="1"/>
  <c r="X165" i="1"/>
  <c r="CH42" i="1"/>
  <c r="X146" i="1"/>
  <c r="Y170" i="1"/>
  <c r="Z7" i="6" s="1"/>
  <c r="Y58" i="1"/>
  <c r="JK9" i="4" s="1"/>
  <c r="X34" i="1"/>
  <c r="BY27" i="1"/>
  <c r="X183" i="1"/>
  <c r="AR7" i="6" s="1"/>
  <c r="X44" i="1"/>
  <c r="Z168" i="1"/>
  <c r="CG168" i="1" s="1"/>
  <c r="CH168" i="1" s="1"/>
  <c r="P172" i="1"/>
  <c r="Z166" i="1"/>
  <c r="CG166" i="1" s="1"/>
  <c r="CH166" i="1" s="1"/>
  <c r="BY54" i="1"/>
  <c r="BY40" i="1"/>
  <c r="Y183" i="1"/>
  <c r="BL54" i="1"/>
  <c r="CD42" i="1"/>
  <c r="Z190" i="1"/>
  <c r="AF7" i="6" s="1"/>
  <c r="AD7" i="6" s="1"/>
  <c r="HY7" i="4" s="1"/>
  <c r="X189" i="1"/>
  <c r="CG64" i="1"/>
  <c r="CE166" i="1"/>
  <c r="CF166" i="1" s="1"/>
  <c r="X141" i="1"/>
  <c r="X136" i="1"/>
  <c r="D54" i="1"/>
  <c r="Y39" i="1"/>
  <c r="AT7" i="6" s="1"/>
  <c r="CI27" i="1"/>
  <c r="X152" i="1"/>
  <c r="Y98" i="1"/>
  <c r="BL41" i="1"/>
  <c r="CE54" i="1"/>
  <c r="CA51" i="1"/>
  <c r="H54" i="1"/>
  <c r="CD41" i="1"/>
  <c r="BZ34" i="1"/>
  <c r="X163" i="1"/>
  <c r="F58" i="1"/>
  <c r="BL32" i="1"/>
  <c r="X166" i="1"/>
  <c r="Z182" i="1"/>
  <c r="BL34" i="1"/>
  <c r="Z141" i="1"/>
  <c r="CG141" i="1" s="1"/>
  <c r="CH141" i="1" s="1"/>
  <c r="F7" i="6" s="1"/>
  <c r="BY51" i="1"/>
  <c r="BY213" i="1" s="1"/>
  <c r="JN15" i="4" s="1"/>
  <c r="X182" i="1"/>
  <c r="Q27" i="1"/>
  <c r="BY65" i="1"/>
  <c r="X65" i="1"/>
  <c r="W27" i="1"/>
  <c r="W250" i="1" s="1"/>
  <c r="BY43" i="1"/>
  <c r="Z145" i="1"/>
  <c r="CG145" i="1" s="1"/>
  <c r="CH145" i="1" s="1"/>
  <c r="CF27" i="1"/>
  <c r="CF250" i="1" s="1"/>
  <c r="Z169" i="1"/>
  <c r="CG169" i="1" s="1"/>
  <c r="CH169" i="1" s="1"/>
  <c r="CB32" i="1"/>
  <c r="BZ51" i="1"/>
  <c r="JP7" i="4" s="1"/>
  <c r="CD55" i="1"/>
  <c r="V27" i="1"/>
  <c r="V7" i="1" s="1"/>
  <c r="V6" i="1" s="1"/>
  <c r="Z163" i="1"/>
  <c r="X39" i="1"/>
  <c r="CA27" i="1"/>
  <c r="CJ82" i="1"/>
  <c r="CI82" i="1" s="1"/>
  <c r="CH82" i="1" s="1"/>
  <c r="Z138" i="1"/>
  <c r="CG138" i="1" s="1"/>
  <c r="Z152" i="1"/>
  <c r="CG152" i="1" s="1"/>
  <c r="CJ54" i="1"/>
  <c r="T55" i="1"/>
  <c r="AA7" i="6" s="1"/>
  <c r="F43" i="1"/>
  <c r="AP7" i="6" s="1"/>
  <c r="AW7" i="6" s="1"/>
  <c r="D51" i="1"/>
  <c r="D213" i="1" s="1"/>
  <c r="Y145" i="1"/>
  <c r="Y173" i="1" s="1"/>
  <c r="BZ39" i="1"/>
  <c r="M66" i="1"/>
  <c r="CA58" i="1"/>
  <c r="CJ51" i="1"/>
  <c r="CJ213" i="1" s="1"/>
  <c r="O39" i="1"/>
  <c r="Y41" i="1"/>
  <c r="N70" i="1"/>
  <c r="CJ39" i="1"/>
  <c r="Z51" i="1"/>
  <c r="X27" i="1"/>
  <c r="X7" i="1" s="1"/>
  <c r="X6" i="1" s="1"/>
  <c r="JM16" i="4" s="1"/>
  <c r="JM21" i="4" s="1"/>
  <c r="CG96" i="1" s="1"/>
  <c r="L7" i="6" s="1"/>
  <c r="X40" i="1"/>
  <c r="CI40" i="1"/>
  <c r="CG32" i="1"/>
  <c r="CH34" i="1"/>
  <c r="JO16" i="4" s="1"/>
  <c r="JO21" i="4" s="1"/>
  <c r="CI96" i="1" s="1"/>
  <c r="CE141" i="1"/>
  <c r="CF141" i="1" s="1"/>
  <c r="G7" i="6" s="1"/>
  <c r="CE66" i="1"/>
  <c r="BY33" i="1"/>
  <c r="M7" i="6" s="1"/>
  <c r="CH27" i="1"/>
  <c r="JN8" i="4" s="1"/>
  <c r="CF28" i="1"/>
  <c r="CB65" i="1"/>
  <c r="X179" i="1"/>
  <c r="CB58" i="1"/>
  <c r="Z98" i="1"/>
  <c r="CE33" i="1"/>
  <c r="D66" i="1"/>
  <c r="X138" i="1"/>
  <c r="P7" i="6" s="1"/>
  <c r="Y27" i="1"/>
  <c r="W7" i="6" s="1"/>
  <c r="CI70" i="1"/>
  <c r="U27" i="1"/>
  <c r="U7" i="1" s="1"/>
  <c r="U6" i="1" s="1"/>
  <c r="BY64" i="1"/>
  <c r="X51" i="1"/>
  <c r="X213" i="1" s="1"/>
  <c r="CJ70" i="1"/>
  <c r="Y43" i="1"/>
  <c r="E42" i="1"/>
  <c r="CF42" i="1"/>
  <c r="Z151" i="1"/>
  <c r="CG151" i="1" s="1"/>
  <c r="Z96" i="1"/>
  <c r="CJ32" i="1"/>
  <c r="CG51" i="1"/>
  <c r="BX27" i="1"/>
  <c r="CJ34" i="1"/>
  <c r="CI42" i="1"/>
  <c r="K44" i="1"/>
  <c r="JO15" i="4" s="1"/>
  <c r="JO20" i="4" s="1"/>
  <c r="CI98" i="1" s="1"/>
  <c r="JK15" i="4" s="1"/>
  <c r="J58" i="1"/>
  <c r="HT7" i="4" s="1"/>
  <c r="CH55" i="1"/>
  <c r="Z165" i="1"/>
  <c r="CG165" i="1" s="1"/>
  <c r="CH165" i="1" s="1"/>
  <c r="AQ7" i="6" s="1"/>
  <c r="X169" i="1"/>
  <c r="BL65" i="1"/>
  <c r="K7" i="6" s="1"/>
  <c r="BZ64" i="1"/>
  <c r="Z70" i="1"/>
  <c r="Z144" i="1"/>
  <c r="CG144" i="1" s="1"/>
  <c r="CH144" i="1" s="1"/>
  <c r="M65" i="1"/>
  <c r="X64" i="1"/>
  <c r="JK8" i="4" s="1"/>
  <c r="AB7" i="6" s="1"/>
  <c r="Z137" i="1"/>
  <c r="CG137" i="1" s="1"/>
  <c r="CH137" i="1" s="1"/>
  <c r="Y66" i="1"/>
  <c r="CD43" i="1"/>
  <c r="CI39" i="1"/>
  <c r="CI41" i="1"/>
  <c r="Y96" i="1"/>
  <c r="CA34" i="1"/>
  <c r="AH7" i="6" s="1"/>
  <c r="H7" i="6" s="1"/>
  <c r="CG42" i="1"/>
  <c r="Z40" i="1"/>
  <c r="Y189" i="1"/>
  <c r="BL27" i="1"/>
  <c r="BL33" i="1"/>
  <c r="CI51" i="1"/>
  <c r="CI213" i="1" s="1"/>
  <c r="X144" i="1"/>
  <c r="Z155" i="1"/>
  <c r="CG155" i="1" s="1"/>
  <c r="CH155" i="1" s="1"/>
  <c r="AU7" i="6" s="1"/>
  <c r="CB27" i="1"/>
  <c r="Y51" i="1"/>
  <c r="Y213" i="1" s="1"/>
  <c r="U7" i="6" s="1"/>
  <c r="JM15" i="4" s="1"/>
  <c r="JP9" i="4" s="1"/>
  <c r="CE55" i="1"/>
  <c r="H64" i="1"/>
  <c r="AX7" i="6" s="1"/>
  <c r="CB54" i="1"/>
  <c r="Y55" i="1"/>
  <c r="KE15" i="4"/>
  <c r="JV14" i="4"/>
  <c r="JX14" i="4"/>
  <c r="KA14" i="4"/>
  <c r="JZ14" i="4"/>
  <c r="JY7" i="4"/>
  <c r="KF21" i="4"/>
  <c r="KF15" i="4"/>
  <c r="KF20" i="4" s="1"/>
  <c r="JY8" i="4"/>
  <c r="JY20" i="4" s="1"/>
  <c r="KC8" i="4"/>
  <c r="KC20" i="4" s="1"/>
  <c r="JX15" i="4"/>
  <c r="JR15" i="4"/>
  <c r="JR20" i="4" s="1"/>
  <c r="CL98" i="1" s="1"/>
  <c r="CL127" i="1" s="1"/>
  <c r="JU8" i="4"/>
  <c r="JS8" i="4"/>
  <c r="JS20" i="4" s="1"/>
  <c r="JV15" i="4"/>
  <c r="JV20" i="4" s="1"/>
  <c r="KE21" i="4"/>
  <c r="CK198" i="1"/>
  <c r="CL198" i="1" s="1"/>
  <c r="CK45" i="1"/>
  <c r="CK46" i="1" s="1"/>
  <c r="JT15" i="4"/>
  <c r="JU15" i="4"/>
  <c r="KE7" i="4"/>
  <c r="KA7" i="4"/>
  <c r="JV7" i="4"/>
  <c r="JQ14" i="4"/>
  <c r="KG14" i="4"/>
  <c r="CK157" i="1"/>
  <c r="KF14" i="4"/>
  <c r="KF19" i="4" s="1"/>
  <c r="KG8" i="4"/>
  <c r="JV21" i="4"/>
  <c r="JT7" i="4"/>
  <c r="JY14" i="4"/>
  <c r="KB8" i="4"/>
  <c r="KB20" i="4" s="1"/>
  <c r="KG7" i="4"/>
  <c r="CK271" i="1"/>
  <c r="JW14" i="4"/>
  <c r="KD14" i="4"/>
  <c r="KD19" i="4" s="1"/>
  <c r="JZ7" i="4"/>
  <c r="KE8" i="4"/>
  <c r="JX8" i="4"/>
  <c r="KG15" i="4"/>
  <c r="JT14" i="4"/>
  <c r="KH14" i="4"/>
  <c r="KH19" i="4" s="1"/>
  <c r="JS7" i="4"/>
  <c r="JS19" i="4" s="1"/>
  <c r="KH8" i="4"/>
  <c r="KH20" i="4" s="1"/>
  <c r="JU7" i="4"/>
  <c r="JW8" i="4"/>
  <c r="KD15" i="4"/>
  <c r="KB7" i="4"/>
  <c r="KB19" i="4" s="1"/>
  <c r="JX7" i="4"/>
  <c r="JU14" i="4"/>
  <c r="JQ8" i="4"/>
  <c r="JQ20" i="4" s="1"/>
  <c r="CK98" i="1" s="1"/>
  <c r="CK127" i="1" s="1"/>
  <c r="JW15" i="4"/>
  <c r="JW20" i="4" s="1"/>
  <c r="CK199" i="1"/>
  <c r="CL199" i="1" s="1"/>
  <c r="CL164" i="1" s="1"/>
  <c r="JQ7" i="4"/>
  <c r="JW7" i="4"/>
  <c r="JR14" i="4"/>
  <c r="JR19" i="4" s="1"/>
  <c r="CL97" i="1" s="1"/>
  <c r="CL126" i="1" s="1"/>
  <c r="JT21" i="4"/>
  <c r="KD21" i="4"/>
  <c r="CK202" i="1"/>
  <c r="CK13" i="1"/>
  <c r="CK6" i="1"/>
  <c r="JC7" i="4"/>
  <c r="ID8" i="4"/>
  <c r="JC15" i="4"/>
  <c r="HS15" i="4"/>
  <c r="IF14" i="4"/>
  <c r="IM7" i="4"/>
  <c r="JM7" i="4"/>
  <c r="HQ14" i="4"/>
  <c r="IT15" i="4"/>
  <c r="IG15" i="4"/>
  <c r="JH15" i="4"/>
  <c r="IR7" i="4"/>
  <c r="JO7" i="4"/>
  <c r="IA8" i="4"/>
  <c r="JF15" i="4"/>
  <c r="IZ14" i="4"/>
  <c r="JK7" i="4"/>
  <c r="HT14" i="4"/>
  <c r="IB15" i="4"/>
  <c r="IU7" i="4"/>
  <c r="HS7" i="4"/>
  <c r="JC14" i="4"/>
  <c r="IV8" i="4"/>
  <c r="IY14" i="4"/>
  <c r="JA15" i="4"/>
  <c r="IP15" i="4"/>
  <c r="IO14" i="4"/>
  <c r="JF7" i="4"/>
  <c r="IF8" i="4"/>
  <c r="CM145" i="1"/>
  <c r="CN145" i="1" s="1"/>
  <c r="CO145" i="1" s="1"/>
  <c r="HR7" i="4"/>
  <c r="JI15" i="4"/>
  <c r="IQ15" i="4"/>
  <c r="HP14" i="4"/>
  <c r="IL8" i="4"/>
  <c r="IM14" i="4"/>
  <c r="IF15" i="4"/>
  <c r="IF20" i="4" s="1"/>
  <c r="AZ98" i="1" s="1"/>
  <c r="IS7" i="4"/>
  <c r="HV8" i="4"/>
  <c r="CM183" i="1"/>
  <c r="CN183" i="1" s="1"/>
  <c r="CO183" i="1" s="1"/>
  <c r="JO8" i="4"/>
  <c r="HS14" i="4"/>
  <c r="IE7" i="4"/>
  <c r="IB8" i="4"/>
  <c r="HX15" i="4"/>
  <c r="JL8" i="4"/>
  <c r="JG14" i="4"/>
  <c r="IH14" i="4"/>
  <c r="IQ14" i="4"/>
  <c r="HZ7" i="4"/>
  <c r="IS8" i="4"/>
  <c r="IO15" i="4"/>
  <c r="IZ15" i="4"/>
  <c r="JA8" i="4"/>
  <c r="IH8" i="4"/>
  <c r="HW15" i="4"/>
  <c r="IG14" i="4"/>
  <c r="CM146" i="1"/>
  <c r="CN146" i="1" s="1"/>
  <c r="CO146" i="1" s="1"/>
  <c r="IB14" i="4"/>
  <c r="CM156" i="1"/>
  <c r="CN156" i="1" s="1"/>
  <c r="CO156" i="1" s="1"/>
  <c r="IS15" i="4"/>
  <c r="IA7" i="4"/>
  <c r="IL7" i="4"/>
  <c r="IN14" i="4"/>
  <c r="IY7" i="4"/>
  <c r="JB14" i="4"/>
  <c r="JG7" i="4"/>
  <c r="IP14" i="4"/>
  <c r="CM152" i="1"/>
  <c r="CN152" i="1" s="1"/>
  <c r="CO152" i="1" s="1"/>
  <c r="HP8" i="4"/>
  <c r="JI7" i="4"/>
  <c r="JN14" i="4"/>
  <c r="IR15" i="4"/>
  <c r="IO7" i="4"/>
  <c r="JD7" i="4"/>
  <c r="IT14" i="4"/>
  <c r="HV15" i="4"/>
  <c r="IN15" i="4"/>
  <c r="JB8" i="4"/>
  <c r="IA15" i="4"/>
  <c r="HZ15" i="4"/>
  <c r="HY8" i="4"/>
  <c r="IR14" i="4"/>
  <c r="IR19" i="4" s="1"/>
  <c r="BL97" i="1" s="1"/>
  <c r="IF7" i="4"/>
  <c r="IC7" i="4"/>
  <c r="IV7" i="4"/>
  <c r="IK7" i="4"/>
  <c r="JH8" i="4"/>
  <c r="JH20" i="4" s="1"/>
  <c r="CB98" i="1" s="1"/>
  <c r="IX7" i="4"/>
  <c r="JK14" i="4"/>
  <c r="JF14" i="4"/>
  <c r="JF19" i="4" s="1"/>
  <c r="BZ97" i="1" s="1"/>
  <c r="JI8" i="4"/>
  <c r="IV14" i="4"/>
  <c r="HZ14" i="4"/>
  <c r="IG8" i="4"/>
  <c r="IG20" i="4" s="1"/>
  <c r="BA98" i="1" s="1"/>
  <c r="ID7" i="4"/>
  <c r="HY14" i="4"/>
  <c r="IJ14" i="4"/>
  <c r="IO8" i="4"/>
  <c r="IX15" i="4"/>
  <c r="HU7" i="4"/>
  <c r="HW7" i="4"/>
  <c r="IX8" i="4"/>
  <c r="IC8" i="4"/>
  <c r="JJ15" i="4"/>
  <c r="JO14" i="4"/>
  <c r="JO19" i="4" s="1"/>
  <c r="CI97" i="1" s="1"/>
  <c r="II7" i="4"/>
  <c r="HX14" i="4"/>
  <c r="JM14" i="4"/>
  <c r="IL15" i="4"/>
  <c r="IL20" i="4" s="1"/>
  <c r="BF98" i="1" s="1"/>
  <c r="HZ8" i="4"/>
  <c r="IE8" i="4"/>
  <c r="IE20" i="4" s="1"/>
  <c r="AY98" i="1" s="1"/>
  <c r="IR8" i="4"/>
  <c r="IV15" i="4"/>
  <c r="IV20" i="4" s="1"/>
  <c r="BP98" i="1" s="1"/>
  <c r="II14" i="4"/>
  <c r="HX7" i="4"/>
  <c r="JM8" i="4"/>
  <c r="JB7" i="4"/>
  <c r="IU15" i="4"/>
  <c r="HV7" i="4"/>
  <c r="JJ14" i="4"/>
  <c r="JA14" i="4"/>
  <c r="IH15" i="4"/>
  <c r="IH20" i="4" s="1"/>
  <c r="BB98" i="1" s="1"/>
  <c r="IJ7" i="4"/>
  <c r="IN21" i="4"/>
  <c r="BH96" i="1" s="1"/>
  <c r="HU21" i="4"/>
  <c r="AO96" i="1" s="1"/>
  <c r="IP8" i="4"/>
  <c r="IY8" i="4"/>
  <c r="HU14" i="4"/>
  <c r="HU19" i="4" s="1"/>
  <c r="AO97" i="1" s="1"/>
  <c r="JH7" i="4"/>
  <c r="CM141" i="1"/>
  <c r="CN141" i="1" s="1"/>
  <c r="CO141" i="1" s="1"/>
  <c r="HQ8" i="4"/>
  <c r="HQ20" i="4" s="1"/>
  <c r="AK98" i="1" s="1"/>
  <c r="IW7" i="4"/>
  <c r="HU15" i="4"/>
  <c r="IC14" i="4"/>
  <c r="HU8" i="4"/>
  <c r="CP136" i="1"/>
  <c r="CQ136" i="1" s="1"/>
  <c r="CR136" i="1" s="1"/>
  <c r="CS136" i="1" s="1"/>
  <c r="AB136" i="1"/>
  <c r="BZ1" i="1"/>
  <c r="BA76" i="3"/>
  <c r="Z111" i="2"/>
  <c r="AK144" i="1" l="1"/>
  <c r="AL144" i="1" s="1"/>
  <c r="AK173" i="1"/>
  <c r="AL173" i="1" s="1"/>
  <c r="AM144" i="1"/>
  <c r="AN144" i="1" s="1"/>
  <c r="BY137" i="1"/>
  <c r="BZ137" i="1" s="1"/>
  <c r="AM152" i="1"/>
  <c r="AL93" i="1"/>
  <c r="AK170" i="1"/>
  <c r="AL170" i="1" s="1"/>
  <c r="AK161" i="1"/>
  <c r="AL161" i="1" s="1"/>
  <c r="AK165" i="1"/>
  <c r="AL165" i="1" s="1"/>
  <c r="AM154" i="1"/>
  <c r="AN154" i="1" s="1"/>
  <c r="AK156" i="1"/>
  <c r="AL156" i="1" s="1"/>
  <c r="AM182" i="1"/>
  <c r="AN182" i="1" s="1"/>
  <c r="AM137" i="1"/>
  <c r="AN137" i="1" s="1"/>
  <c r="AK146" i="1"/>
  <c r="AL146" i="1" s="1"/>
  <c r="AM150" i="1"/>
  <c r="AK179" i="1"/>
  <c r="AK169" i="1"/>
  <c r="AL169" i="1" s="1"/>
  <c r="IT16" i="4" s="1"/>
  <c r="AK166" i="1"/>
  <c r="AL166" i="1" s="1"/>
  <c r="AK154" i="1"/>
  <c r="AL154" i="1" s="1"/>
  <c r="AM169" i="1"/>
  <c r="AN169" i="1" s="1"/>
  <c r="AM170" i="1"/>
  <c r="AN170" i="1" s="1"/>
  <c r="BY150" i="1"/>
  <c r="Y93" i="1"/>
  <c r="AK178" i="1"/>
  <c r="AK137" i="1"/>
  <c r="AL137" i="1" s="1"/>
  <c r="AK141" i="1"/>
  <c r="AL141" i="1" s="1"/>
  <c r="AM162" i="1"/>
  <c r="AN162" i="1" s="1"/>
  <c r="AK183" i="1"/>
  <c r="AL183" i="1" s="1"/>
  <c r="AK163" i="1"/>
  <c r="AK143" i="1"/>
  <c r="AL143" i="1" s="1"/>
  <c r="X180" i="1"/>
  <c r="Y228" i="1" s="1"/>
  <c r="IA19" i="4"/>
  <c r="AU97" i="1" s="1"/>
  <c r="CE180" i="1"/>
  <c r="JY21" i="4"/>
  <c r="KG16" i="4"/>
  <c r="AI152" i="1"/>
  <c r="AI183" i="1"/>
  <c r="AJ183" i="1" s="1"/>
  <c r="AI166" i="1"/>
  <c r="AJ166" i="1" s="1"/>
  <c r="ID9" i="4" s="1"/>
  <c r="AI159" i="1"/>
  <c r="AI174" i="1"/>
  <c r="AJ174" i="1" s="1"/>
  <c r="AI143" i="1"/>
  <c r="AJ143" i="1" s="1"/>
  <c r="Z93" i="1"/>
  <c r="AI156" i="1"/>
  <c r="AJ156" i="1" s="1"/>
  <c r="AI161" i="1"/>
  <c r="AJ161" i="1" s="1"/>
  <c r="AI150" i="1"/>
  <c r="AM136" i="1"/>
  <c r="AI169" i="1"/>
  <c r="AJ169" i="1" s="1"/>
  <c r="AI141" i="1"/>
  <c r="AJ141" i="1" s="1"/>
  <c r="AI163" i="1"/>
  <c r="HV9" i="4" s="1"/>
  <c r="II9" i="4" s="1"/>
  <c r="AI145" i="1"/>
  <c r="AJ145" i="1" s="1"/>
  <c r="BY170" i="1"/>
  <c r="BZ170" i="1" s="1"/>
  <c r="CB92" i="1"/>
  <c r="AI173" i="1"/>
  <c r="AJ173" i="1" s="1"/>
  <c r="AI154" i="1"/>
  <c r="AJ154" i="1" s="1"/>
  <c r="AI178" i="1"/>
  <c r="AI182" i="1"/>
  <c r="AJ182" i="1" s="1"/>
  <c r="IQ9" i="4" s="1"/>
  <c r="AI165" i="1"/>
  <c r="AJ165" i="1" s="1"/>
  <c r="AI168" i="1"/>
  <c r="AJ168" i="1" s="1"/>
  <c r="BL92" i="1"/>
  <c r="AI144" i="1"/>
  <c r="AJ144" i="1" s="1"/>
  <c r="AI138" i="1"/>
  <c r="AM143" i="1"/>
  <c r="BY154" i="1"/>
  <c r="BZ154" i="1" s="1"/>
  <c r="IT9" i="4" s="1"/>
  <c r="BY165" i="1"/>
  <c r="BZ165" i="1" s="1"/>
  <c r="CA173" i="1"/>
  <c r="CB173" i="1" s="1"/>
  <c r="AI164" i="1"/>
  <c r="HS9" i="4" s="1"/>
  <c r="KE19" i="4"/>
  <c r="AI171" i="1"/>
  <c r="AJ171" i="1" s="1"/>
  <c r="BY136" i="1"/>
  <c r="HP16" i="4" s="1"/>
  <c r="IJ15" i="4" s="1"/>
  <c r="AI170" i="1"/>
  <c r="AJ170" i="1" s="1"/>
  <c r="JI16" i="4" s="1"/>
  <c r="AI179" i="1"/>
  <c r="AI146" i="1"/>
  <c r="AJ146" i="1" s="1"/>
  <c r="AI137" i="1"/>
  <c r="AJ137" i="1" s="1"/>
  <c r="IU9" i="4" s="1"/>
  <c r="AI172" i="1"/>
  <c r="AI162" i="1"/>
  <c r="AJ162" i="1" s="1"/>
  <c r="JE14" i="4" s="1"/>
  <c r="AI93" i="1"/>
  <c r="Z92" i="1"/>
  <c r="CG159" i="1"/>
  <c r="CH159" i="1" s="1"/>
  <c r="AA221" i="1"/>
  <c r="CL48" i="1"/>
  <c r="CL53" i="1"/>
  <c r="CL57" i="1" s="1"/>
  <c r="CL251" i="1"/>
  <c r="CL252" i="1" s="1"/>
  <c r="CL20" i="1"/>
  <c r="BX92" i="1"/>
  <c r="BX93" i="1"/>
  <c r="IY9" i="4" s="1"/>
  <c r="IY21" i="4" s="1"/>
  <c r="BS96" i="1" s="1"/>
  <c r="IM8" i="4" s="1"/>
  <c r="IH21" i="4"/>
  <c r="BB96" i="1" s="1"/>
  <c r="JH21" i="4"/>
  <c r="CB96" i="1" s="1"/>
  <c r="IQ21" i="4"/>
  <c r="BK96" i="1" s="1"/>
  <c r="IZ8" i="4" s="1"/>
  <c r="IZ20" i="4" s="1"/>
  <c r="BT98" i="1" s="1"/>
  <c r="IV21" i="4"/>
  <c r="BP96" i="1" s="1"/>
  <c r="IM21" i="4"/>
  <c r="BG96" i="1" s="1"/>
  <c r="HS21" i="4"/>
  <c r="AM96" i="1" s="1"/>
  <c r="JF21" i="4"/>
  <c r="BZ96" i="1" s="1"/>
  <c r="HV21" i="4"/>
  <c r="AP96" i="1" s="1"/>
  <c r="JE20" i="4"/>
  <c r="BY98" i="1" s="1"/>
  <c r="IX9" i="4" s="1"/>
  <c r="X92" i="1"/>
  <c r="JA16" i="4" s="1"/>
  <c r="JA21" i="4" s="1"/>
  <c r="BU96" i="1" s="1"/>
  <c r="JJ21" i="4"/>
  <c r="CD96" i="1" s="1"/>
  <c r="JK21" i="4"/>
  <c r="CE96" i="1" s="1"/>
  <c r="ID20" i="4"/>
  <c r="AX98" i="1" s="1"/>
  <c r="JC20" i="4"/>
  <c r="BW98" i="1" s="1"/>
  <c r="HS20" i="4"/>
  <c r="AM98" i="1" s="1"/>
  <c r="IP21" i="4"/>
  <c r="BJ96" i="1" s="1"/>
  <c r="JN21" i="4"/>
  <c r="CH96" i="1" s="1"/>
  <c r="JF20" i="4"/>
  <c r="BZ98" i="1" s="1"/>
  <c r="IB21" i="4"/>
  <c r="AV96" i="1" s="1"/>
  <c r="IU19" i="4"/>
  <c r="BO97" i="1" s="1"/>
  <c r="IO21" i="4"/>
  <c r="BI96" i="1" s="1"/>
  <c r="IF21" i="4"/>
  <c r="AZ96" i="1" s="1"/>
  <c r="IC21" i="4"/>
  <c r="AW96" i="1" s="1"/>
  <c r="JP21" i="4"/>
  <c r="CJ96" i="1" s="1"/>
  <c r="IX21" i="4"/>
  <c r="BR96" i="1" s="1"/>
  <c r="HX20" i="4"/>
  <c r="AR98" i="1" s="1"/>
  <c r="IH19" i="4"/>
  <c r="BB97" i="1" s="1"/>
  <c r="IQ19" i="4"/>
  <c r="BK97" i="1" s="1"/>
  <c r="HZ21" i="4"/>
  <c r="AT96" i="1" s="1"/>
  <c r="II21" i="4"/>
  <c r="BC96" i="1" s="1"/>
  <c r="IG19" i="4"/>
  <c r="BA97" i="1" s="1"/>
  <c r="IB19" i="4"/>
  <c r="AV97" i="1" s="1"/>
  <c r="IA21" i="4"/>
  <c r="AU96" i="1" s="1"/>
  <c r="IL19" i="4"/>
  <c r="BF97" i="1" s="1"/>
  <c r="IP19" i="4"/>
  <c r="BJ97" i="1" s="1"/>
  <c r="JE21" i="4"/>
  <c r="BY96" i="1" s="1"/>
  <c r="JD19" i="4"/>
  <c r="BX97" i="1" s="1"/>
  <c r="IT19" i="4"/>
  <c r="BN97" i="1" s="1"/>
  <c r="JB20" i="4"/>
  <c r="BV98" i="1" s="1"/>
  <c r="JC21" i="4"/>
  <c r="BW96" i="1" s="1"/>
  <c r="HY20" i="4"/>
  <c r="AS98" i="1" s="1"/>
  <c r="IK19" i="4"/>
  <c r="BE97" i="1" s="1"/>
  <c r="IX19" i="4"/>
  <c r="BR97" i="1" s="1"/>
  <c r="IM20" i="4"/>
  <c r="BG98" i="1" s="1"/>
  <c r="ID19" i="4"/>
  <c r="AX97" i="1" s="1"/>
  <c r="HY19" i="4"/>
  <c r="AS97" i="1" s="1"/>
  <c r="JM20" i="4"/>
  <c r="CG98" i="1" s="1"/>
  <c r="IU20" i="4"/>
  <c r="BO98" i="1" s="1"/>
  <c r="JA19" i="4"/>
  <c r="BU97" i="1" s="1"/>
  <c r="HX21" i="4"/>
  <c r="AR96" i="1" s="1"/>
  <c r="HR21" i="4"/>
  <c r="AL96" i="1" s="1"/>
  <c r="IU21" i="4"/>
  <c r="BO96" i="1" s="1"/>
  <c r="AL136" i="1"/>
  <c r="CH7" i="1"/>
  <c r="CH19" i="1"/>
  <c r="CJ271" i="1"/>
  <c r="CA29" i="1"/>
  <c r="O45" i="1"/>
  <c r="L250" i="1"/>
  <c r="CK205" i="1"/>
  <c r="CK36" i="1"/>
  <c r="T271" i="1"/>
  <c r="AJ136" i="1"/>
  <c r="K250" i="1"/>
  <c r="T213" i="1"/>
  <c r="Y202" i="1"/>
  <c r="CB143" i="1"/>
  <c r="BZ271" i="1"/>
  <c r="CA117" i="1"/>
  <c r="BZ250" i="1"/>
  <c r="I250" i="1"/>
  <c r="V271" i="1"/>
  <c r="CK221" i="1"/>
  <c r="CH213" i="1"/>
  <c r="M213" i="1"/>
  <c r="S213" i="1"/>
  <c r="AJ250" i="1"/>
  <c r="AJ29" i="1"/>
  <c r="C213" i="1"/>
  <c r="N272" i="1"/>
  <c r="N250" i="1"/>
  <c r="I271" i="1"/>
  <c r="AK250" i="1"/>
  <c r="BY250" i="1"/>
  <c r="F272" i="1"/>
  <c r="F213" i="1"/>
  <c r="T272" i="1"/>
  <c r="CJ168" i="1"/>
  <c r="CF136" i="1"/>
  <c r="AK180" i="1"/>
  <c r="CF272" i="1"/>
  <c r="BY272" i="1"/>
  <c r="CF161" i="1"/>
  <c r="Z173" i="1"/>
  <c r="CE250" i="1"/>
  <c r="CE29" i="1"/>
  <c r="BZ29" i="1"/>
  <c r="I29" i="1"/>
  <c r="T250" i="1"/>
  <c r="T29" i="1"/>
  <c r="L45" i="1"/>
  <c r="AM153" i="1"/>
  <c r="AC64" i="1"/>
  <c r="CU64" i="1"/>
  <c r="CV64" i="1" s="1"/>
  <c r="CW64" i="1" s="1"/>
  <c r="CX64" i="1" s="1"/>
  <c r="CG82" i="1"/>
  <c r="O271" i="1"/>
  <c r="CE167" i="1"/>
  <c r="BJ45" i="1"/>
  <c r="P271" i="1"/>
  <c r="S45" i="1"/>
  <c r="AL45" i="1"/>
  <c r="CG180" i="1"/>
  <c r="CH228" i="1" s="1"/>
  <c r="Y198" i="1"/>
  <c r="CI180" i="1"/>
  <c r="Z221" i="1"/>
  <c r="C45" i="1"/>
  <c r="CG29" i="1"/>
  <c r="CK30" i="1" s="1"/>
  <c r="CG7" i="1"/>
  <c r="Z13" i="1"/>
  <c r="Z6" i="1"/>
  <c r="CH13" i="1"/>
  <c r="CH6" i="1"/>
  <c r="CL12" i="1" s="1"/>
  <c r="CJ250" i="1"/>
  <c r="CJ7" i="1"/>
  <c r="CK47" i="1"/>
  <c r="CK20" i="1" s="1"/>
  <c r="X192" i="1"/>
  <c r="Y199" i="1"/>
  <c r="AM198" i="1"/>
  <c r="AN198" i="1" s="1"/>
  <c r="BZ147" i="1"/>
  <c r="AM199" i="1"/>
  <c r="AN199" i="1" s="1"/>
  <c r="BX45" i="1"/>
  <c r="CJ221" i="1"/>
  <c r="CH250" i="1"/>
  <c r="E45" i="1"/>
  <c r="P202" i="1"/>
  <c r="AB64" i="1"/>
  <c r="CC45" i="1"/>
  <c r="BY147" i="1"/>
  <c r="BZ268" i="1" s="1"/>
  <c r="CC153" i="1"/>
  <c r="CA139" i="1"/>
  <c r="AL29" i="1"/>
  <c r="AL35" i="1" s="1"/>
  <c r="M271" i="1"/>
  <c r="Y139" i="1"/>
  <c r="Z150" i="1"/>
  <c r="CG150" i="1" s="1"/>
  <c r="CG153" i="1" s="1"/>
  <c r="P45" i="1"/>
  <c r="B272" i="1"/>
  <c r="O250" i="1"/>
  <c r="CI250" i="1"/>
  <c r="AM213" i="1"/>
  <c r="V213" i="1"/>
  <c r="BY199" i="1"/>
  <c r="BZ199" i="1" s="1"/>
  <c r="W29" i="1"/>
  <c r="CA213" i="1"/>
  <c r="CA250" i="1"/>
  <c r="V250" i="1"/>
  <c r="BZ213" i="1"/>
  <c r="BZ272" i="1"/>
  <c r="N29" i="1"/>
  <c r="B271" i="1"/>
  <c r="Z213" i="1"/>
  <c r="Z272" i="1"/>
  <c r="CJ84" i="1"/>
  <c r="Z202" i="1"/>
  <c r="O272" i="1"/>
  <c r="Z198" i="1"/>
  <c r="CG163" i="1"/>
  <c r="CG198" i="1" s="1"/>
  <c r="CH198" i="1" s="1"/>
  <c r="CF29" i="1"/>
  <c r="BL45" i="1"/>
  <c r="Q29" i="1"/>
  <c r="W272" i="1"/>
  <c r="B29" i="1"/>
  <c r="B35" i="1" s="1"/>
  <c r="B250" i="1"/>
  <c r="J29" i="1"/>
  <c r="J250" i="1"/>
  <c r="N271" i="1"/>
  <c r="AK29" i="1"/>
  <c r="K29" i="1"/>
  <c r="CD161" i="1"/>
  <c r="CC167" i="1"/>
  <c r="CJ147" i="1"/>
  <c r="CG250" i="1"/>
  <c r="CB117" i="1"/>
  <c r="CJ52" i="1"/>
  <c r="CG272" i="1"/>
  <c r="CG213" i="1"/>
  <c r="Y192" i="1"/>
  <c r="BY29" i="1"/>
  <c r="T45" i="1"/>
  <c r="AJ45" i="1"/>
  <c r="G271" i="1"/>
  <c r="AL213" i="1"/>
  <c r="AL272" i="1"/>
  <c r="CG147" i="1"/>
  <c r="CG202" i="1"/>
  <c r="CH202" i="1" s="1"/>
  <c r="CJ117" i="1"/>
  <c r="CG271" i="1"/>
  <c r="Q272" i="1"/>
  <c r="BX29" i="1"/>
  <c r="BX35" i="1" s="1"/>
  <c r="X153" i="1"/>
  <c r="L29" i="1"/>
  <c r="Y221" i="1"/>
  <c r="R213" i="1"/>
  <c r="R272" i="1"/>
  <c r="Y147" i="1"/>
  <c r="N45" i="1"/>
  <c r="G45" i="1"/>
  <c r="AI153" i="1"/>
  <c r="CC198" i="1"/>
  <c r="CD198" i="1" s="1"/>
  <c r="AM202" i="1"/>
  <c r="AN202" i="1" s="1"/>
  <c r="CI167" i="1"/>
  <c r="CA180" i="1"/>
  <c r="CC175" i="1"/>
  <c r="BY180" i="1"/>
  <c r="AM271" i="1"/>
  <c r="Y167" i="1"/>
  <c r="CC180" i="1"/>
  <c r="CI139" i="1"/>
  <c r="BY198" i="1"/>
  <c r="BZ198" i="1" s="1"/>
  <c r="Z192" i="1"/>
  <c r="X198" i="1"/>
  <c r="Q202" i="1"/>
  <c r="Z167" i="1"/>
  <c r="AA215" i="1" s="1"/>
  <c r="BZ45" i="1"/>
  <c r="CJ45" i="1"/>
  <c r="X175" i="1"/>
  <c r="X204" i="1" s="1"/>
  <c r="CI45" i="1"/>
  <c r="BL29" i="1"/>
  <c r="X147" i="1"/>
  <c r="X56" i="1" s="1"/>
  <c r="CE271" i="1"/>
  <c r="Y153" i="1"/>
  <c r="Y157" i="1" s="1"/>
  <c r="B45" i="1"/>
  <c r="CE272" i="1"/>
  <c r="J271" i="1"/>
  <c r="W45" i="1"/>
  <c r="J45" i="1"/>
  <c r="CE117" i="1"/>
  <c r="AL271" i="1"/>
  <c r="CF117" i="1"/>
  <c r="CB45" i="1"/>
  <c r="CI271" i="1"/>
  <c r="CH271" i="1"/>
  <c r="CE45" i="1"/>
  <c r="CJ29" i="1"/>
  <c r="H45" i="1"/>
  <c r="D45" i="1"/>
  <c r="AM45" i="1"/>
  <c r="H271" i="1"/>
  <c r="CA153" i="1"/>
  <c r="CB52" i="1" s="1"/>
  <c r="CE213" i="1"/>
  <c r="CC139" i="1"/>
  <c r="X202" i="1"/>
  <c r="BY202" i="1"/>
  <c r="BZ202" i="1" s="1"/>
  <c r="CB272" i="1"/>
  <c r="CD271" i="1"/>
  <c r="Z250" i="1"/>
  <c r="Z29" i="1"/>
  <c r="CE153" i="1"/>
  <c r="CF153" i="1" s="1"/>
  <c r="S271" i="1"/>
  <c r="CJ153" i="1"/>
  <c r="J213" i="1"/>
  <c r="J272" i="1"/>
  <c r="R29" i="1"/>
  <c r="O29" i="1"/>
  <c r="Z271" i="1"/>
  <c r="U45" i="1"/>
  <c r="CC147" i="1"/>
  <c r="CD143" i="1"/>
  <c r="CD147" i="1" s="1"/>
  <c r="AK202" i="1"/>
  <c r="AL202" i="1" s="1"/>
  <c r="CB271" i="1"/>
  <c r="CH272" i="1"/>
  <c r="I213" i="1"/>
  <c r="I272" i="1"/>
  <c r="W271" i="1"/>
  <c r="H213" i="1"/>
  <c r="H272" i="1"/>
  <c r="R271" i="1"/>
  <c r="M45" i="1"/>
  <c r="M250" i="1"/>
  <c r="M29" i="1"/>
  <c r="P29" i="1"/>
  <c r="P250" i="1"/>
  <c r="AM250" i="1"/>
  <c r="AM29" i="1"/>
  <c r="AK199" i="1"/>
  <c r="AL199" i="1" s="1"/>
  <c r="CB250" i="1"/>
  <c r="CB29" i="1"/>
  <c r="CH117" i="1"/>
  <c r="CI202" i="1"/>
  <c r="CJ202" i="1" s="1"/>
  <c r="X199" i="1"/>
  <c r="CA45" i="1"/>
  <c r="Q271" i="1"/>
  <c r="G250" i="1"/>
  <c r="G29" i="1"/>
  <c r="CG164" i="1"/>
  <c r="CG199" i="1" s="1"/>
  <c r="CH199" i="1" s="1"/>
  <c r="Z199" i="1"/>
  <c r="F271" i="1"/>
  <c r="AM272" i="1"/>
  <c r="V272" i="1"/>
  <c r="K213" i="1"/>
  <c r="K272" i="1"/>
  <c r="U213" i="1"/>
  <c r="M272" i="1"/>
  <c r="S272" i="1"/>
  <c r="E29" i="1"/>
  <c r="E250" i="1"/>
  <c r="Q45" i="1"/>
  <c r="AM117" i="1"/>
  <c r="CC199" i="1"/>
  <c r="CD199" i="1" s="1"/>
  <c r="F250" i="1"/>
  <c r="F29" i="1"/>
  <c r="C272" i="1"/>
  <c r="CF52" i="1"/>
  <c r="CA202" i="1"/>
  <c r="CB202" i="1" s="1"/>
  <c r="CH29" i="1"/>
  <c r="CI83" i="1"/>
  <c r="CH45" i="1"/>
  <c r="BY271" i="1"/>
  <c r="G213" i="1"/>
  <c r="G272" i="1"/>
  <c r="F45" i="1"/>
  <c r="Y180" i="1"/>
  <c r="I45" i="1"/>
  <c r="BL271" i="1"/>
  <c r="X271" i="1"/>
  <c r="S29" i="1"/>
  <c r="Z147" i="1"/>
  <c r="CE175" i="1"/>
  <c r="BL213" i="1"/>
  <c r="BL272" i="1"/>
  <c r="CF271" i="1"/>
  <c r="Z45" i="1"/>
  <c r="AK45" i="1"/>
  <c r="CC272" i="1"/>
  <c r="CD29" i="1"/>
  <c r="CE139" i="1"/>
  <c r="CN56" i="1"/>
  <c r="CO56" i="1" s="1"/>
  <c r="CP56" i="1" s="1"/>
  <c r="CQ56" i="1" s="1"/>
  <c r="CR56" i="1" s="1"/>
  <c r="CS56" i="1" s="1"/>
  <c r="CT56" i="1" s="1"/>
  <c r="CU56" i="1" s="1"/>
  <c r="CV56" i="1" s="1"/>
  <c r="CW56" i="1" s="1"/>
  <c r="CX56" i="1" s="1"/>
  <c r="CY56" i="1" s="1"/>
  <c r="CZ56" i="1" s="1"/>
  <c r="DA56" i="1" s="1"/>
  <c r="CI7" i="1"/>
  <c r="CI6" i="1" s="1"/>
  <c r="CM12" i="1" s="1"/>
  <c r="CL117" i="1"/>
  <c r="CL118" i="1" s="1"/>
  <c r="CL163" i="1"/>
  <c r="CL167" i="1" s="1"/>
  <c r="CK265" i="1"/>
  <c r="CL222" i="1"/>
  <c r="CL220" i="1" s="1"/>
  <c r="CK203" i="1"/>
  <c r="CL203" i="1" s="1"/>
  <c r="CL202" i="1"/>
  <c r="CL172" i="1" s="1"/>
  <c r="CL175" i="1" s="1"/>
  <c r="CL216" i="1" s="1"/>
  <c r="CP154" i="1"/>
  <c r="CQ154" i="1" s="1"/>
  <c r="CR154" i="1" s="1"/>
  <c r="CS154" i="1" s="1"/>
  <c r="AC42" i="1"/>
  <c r="CI157" i="1"/>
  <c r="CA147" i="1"/>
  <c r="CA167" i="1"/>
  <c r="AK167" i="1"/>
  <c r="AK201" i="1" s="1"/>
  <c r="AM180" i="1"/>
  <c r="CC202" i="1"/>
  <c r="CD202" i="1" s="1"/>
  <c r="CI175" i="1"/>
  <c r="CI204" i="1" s="1"/>
  <c r="CI147" i="1"/>
  <c r="BY175" i="1"/>
  <c r="CT144" i="1"/>
  <c r="CU144" i="1" s="1"/>
  <c r="CV144" i="1" s="1"/>
  <c r="CW144" i="1" s="1"/>
  <c r="CK184" i="1"/>
  <c r="CK185" i="1" s="1"/>
  <c r="AB144" i="1"/>
  <c r="BL250" i="1"/>
  <c r="CC29" i="1"/>
  <c r="X29" i="1"/>
  <c r="W7" i="1"/>
  <c r="W6" i="1" s="1"/>
  <c r="AB42" i="1"/>
  <c r="CJ272" i="1"/>
  <c r="D272" i="1"/>
  <c r="IK15" i="4"/>
  <c r="IK20" i="4" s="1"/>
  <c r="BE98" i="1" s="1"/>
  <c r="JL14" i="4"/>
  <c r="CK200" i="1"/>
  <c r="CL200" i="1" s="1"/>
  <c r="CL201" i="1" s="1"/>
  <c r="KE20" i="4"/>
  <c r="Y175" i="1"/>
  <c r="Y204" i="1" s="1"/>
  <c r="X139" i="1"/>
  <c r="X194" i="1" s="1"/>
  <c r="JN7" i="4"/>
  <c r="CD45" i="1"/>
  <c r="CC271" i="1"/>
  <c r="JL7" i="4"/>
  <c r="U272" i="1"/>
  <c r="IM19" i="4"/>
  <c r="BG97" i="1" s="1"/>
  <c r="BX250" i="1"/>
  <c r="CI29" i="1"/>
  <c r="KG20" i="4"/>
  <c r="CH147" i="1"/>
  <c r="X45" i="1"/>
  <c r="X167" i="1"/>
  <c r="X201" i="1" s="1"/>
  <c r="BY45" i="1"/>
  <c r="L271" i="1"/>
  <c r="HT8" i="4"/>
  <c r="IS14" i="4"/>
  <c r="IS19" i="4" s="1"/>
  <c r="BM97" i="1" s="1"/>
  <c r="IF19" i="4"/>
  <c r="AZ97" i="1" s="1"/>
  <c r="U271" i="1"/>
  <c r="II19" i="4"/>
  <c r="BC97" i="1" s="1"/>
  <c r="CG45" i="1"/>
  <c r="X272" i="1"/>
  <c r="C271" i="1"/>
  <c r="U29" i="1"/>
  <c r="X250" i="1"/>
  <c r="JW19" i="4"/>
  <c r="Y45" i="1"/>
  <c r="IN8" i="4"/>
  <c r="IN20" i="4" s="1"/>
  <c r="BH98" i="1" s="1"/>
  <c r="IV19" i="4"/>
  <c r="BP97" i="1" s="1"/>
  <c r="U250" i="1"/>
  <c r="HP15" i="4"/>
  <c r="HP20" i="4" s="1"/>
  <c r="AJ98" i="1" s="1"/>
  <c r="HV20" i="4"/>
  <c r="AP98" i="1" s="1"/>
  <c r="CK117" i="1"/>
  <c r="CK118" i="1" s="1"/>
  <c r="KG19" i="4"/>
  <c r="JK20" i="4"/>
  <c r="CE98" i="1" s="1"/>
  <c r="JJ8" i="4"/>
  <c r="IY15" i="4"/>
  <c r="IY20" i="4" s="1"/>
  <c r="BS98" i="1" s="1"/>
  <c r="JN19" i="4"/>
  <c r="CH97" i="1" s="1"/>
  <c r="BX271" i="1"/>
  <c r="JQ19" i="4"/>
  <c r="CK97" i="1" s="1"/>
  <c r="CK126" i="1" s="1"/>
  <c r="BX272" i="1"/>
  <c r="JJ20" i="4"/>
  <c r="CD98" i="1" s="1"/>
  <c r="Z139" i="1"/>
  <c r="AA226" i="1" s="1"/>
  <c r="CD117" i="1"/>
  <c r="CD250" i="1"/>
  <c r="CG117" i="1"/>
  <c r="CF45" i="1"/>
  <c r="JH14" i="4"/>
  <c r="JH19" i="4" s="1"/>
  <c r="CB97" i="1" s="1"/>
  <c r="HR15" i="4"/>
  <c r="HR8" i="4"/>
  <c r="CA198" i="1"/>
  <c r="CB198" i="1" s="1"/>
  <c r="HT15" i="4"/>
  <c r="JU19" i="4"/>
  <c r="JN20" i="4"/>
  <c r="CH98" i="1" s="1"/>
  <c r="CM65" i="1"/>
  <c r="CN65" i="1" s="1"/>
  <c r="CO65" i="1" s="1"/>
  <c r="CP65" i="1" s="1"/>
  <c r="JL15" i="4"/>
  <c r="JL20" i="4" s="1"/>
  <c r="CF98" i="1" s="1"/>
  <c r="IW20" i="4"/>
  <c r="BQ98" i="1" s="1"/>
  <c r="K271" i="1"/>
  <c r="IZ7" i="4"/>
  <c r="IZ19" i="4" s="1"/>
  <c r="BT97" i="1" s="1"/>
  <c r="HY21" i="4"/>
  <c r="AS96" i="1" s="1"/>
  <c r="IQ8" i="4"/>
  <c r="HQ7" i="4"/>
  <c r="HQ19" i="4" s="1"/>
  <c r="AK97" i="1" s="1"/>
  <c r="IN7" i="4"/>
  <c r="IN19" i="4" s="1"/>
  <c r="BH97" i="1" s="1"/>
  <c r="JD15" i="4"/>
  <c r="CI199" i="1"/>
  <c r="CJ199" i="1" s="1"/>
  <c r="Y7" i="1"/>
  <c r="Y6" i="1" s="1"/>
  <c r="Y250" i="1"/>
  <c r="JP14" i="4"/>
  <c r="JP19" i="4" s="1"/>
  <c r="CJ97" i="1" s="1"/>
  <c r="AB137" i="1"/>
  <c r="CP137" i="1"/>
  <c r="CQ137" i="1" s="1"/>
  <c r="CR137" i="1" s="1"/>
  <c r="CS137" i="1" s="1"/>
  <c r="Y29" i="1"/>
  <c r="K45" i="1"/>
  <c r="BY153" i="1"/>
  <c r="AL159" i="1"/>
  <c r="AM221" i="1" s="1"/>
  <c r="CI198" i="1"/>
  <c r="CJ198" i="1" s="1"/>
  <c r="JM19" i="4"/>
  <c r="CG97" i="1" s="1"/>
  <c r="HZ19" i="4"/>
  <c r="AT97" i="1" s="1"/>
  <c r="Q250" i="1"/>
  <c r="JK19" i="4"/>
  <c r="CE97" i="1" s="1"/>
  <c r="IA20" i="4"/>
  <c r="AU98" i="1" s="1"/>
  <c r="HS19" i="4"/>
  <c r="AM97" i="1" s="1"/>
  <c r="JC19" i="4"/>
  <c r="BW97" i="1" s="1"/>
  <c r="CI117" i="1"/>
  <c r="Y272" i="1"/>
  <c r="JT19" i="4"/>
  <c r="JZ19" i="4"/>
  <c r="JJ7" i="4"/>
  <c r="JJ19" i="4" s="1"/>
  <c r="CD97" i="1" s="1"/>
  <c r="R45" i="1"/>
  <c r="IW14" i="4"/>
  <c r="IW19" i="4" s="1"/>
  <c r="BQ97" i="1" s="1"/>
  <c r="IG21" i="4"/>
  <c r="BA96" i="1" s="1"/>
  <c r="HW14" i="4"/>
  <c r="HW19" i="4" s="1"/>
  <c r="AQ97" i="1" s="1"/>
  <c r="IW21" i="4"/>
  <c r="BQ96" i="1" s="1"/>
  <c r="CD159" i="1"/>
  <c r="CE221" i="1" s="1"/>
  <c r="IC19" i="4"/>
  <c r="AW97" i="1" s="1"/>
  <c r="V29" i="1"/>
  <c r="CA272" i="1"/>
  <c r="JI19" i="4"/>
  <c r="CC97" i="1" s="1"/>
  <c r="CI151" i="1"/>
  <c r="CC117" i="1"/>
  <c r="C29" i="1"/>
  <c r="C35" i="1" s="1"/>
  <c r="P272" i="1"/>
  <c r="JU20" i="4"/>
  <c r="KA19" i="4"/>
  <c r="CE157" i="1"/>
  <c r="D250" i="1"/>
  <c r="D29" i="1"/>
  <c r="IJ21" i="4"/>
  <c r="BD96" i="1" s="1"/>
  <c r="JD8" i="4"/>
  <c r="II8" i="4"/>
  <c r="IK21" i="4"/>
  <c r="BE96" i="1" s="1"/>
  <c r="CI272" i="1"/>
  <c r="IQ20" i="4"/>
  <c r="BK98" i="1" s="1"/>
  <c r="Z180" i="1"/>
  <c r="AA228" i="1" s="1"/>
  <c r="JX20" i="4"/>
  <c r="JX19" i="4"/>
  <c r="CP182" i="1"/>
  <c r="CQ182" i="1" s="1"/>
  <c r="CR182" i="1" s="1"/>
  <c r="CS182" i="1" s="1"/>
  <c r="AB182" i="1"/>
  <c r="JP15" i="4"/>
  <c r="JP20" i="4" s="1"/>
  <c r="CJ98" i="1" s="1"/>
  <c r="JL21" i="4"/>
  <c r="CF96" i="1" s="1"/>
  <c r="H29" i="1"/>
  <c r="IC15" i="4"/>
  <c r="L213" i="1"/>
  <c r="L272" i="1"/>
  <c r="IE14" i="4"/>
  <c r="IE19" i="4" s="1"/>
  <c r="AY97" i="1" s="1"/>
  <c r="HW8" i="4"/>
  <c r="HW20" i="4" s="1"/>
  <c r="AQ98" i="1" s="1"/>
  <c r="AK153" i="1"/>
  <c r="CB159" i="1"/>
  <c r="CC221" i="1" s="1"/>
  <c r="IC20" i="4"/>
  <c r="AW98" i="1" s="1"/>
  <c r="HT19" i="4"/>
  <c r="AN97" i="1" s="1"/>
  <c r="CA271" i="1"/>
  <c r="CA199" i="1"/>
  <c r="CB199" i="1" s="1"/>
  <c r="JY19" i="4"/>
  <c r="JV19" i="4"/>
  <c r="Y271" i="1"/>
  <c r="IT8" i="4"/>
  <c r="IT20" i="4" s="1"/>
  <c r="BN98" i="1" s="1"/>
  <c r="CF143" i="1"/>
  <c r="CF147" i="1" s="1"/>
  <c r="CE147" i="1"/>
  <c r="CD213" i="1"/>
  <c r="CD272" i="1"/>
  <c r="II15" i="4"/>
  <c r="G202" i="1"/>
  <c r="JE7" i="4"/>
  <c r="BZ159" i="1"/>
  <c r="CA221" i="1" s="1"/>
  <c r="D271" i="1"/>
  <c r="V45" i="1"/>
  <c r="CF159" i="1"/>
  <c r="CF221" i="1"/>
  <c r="JG20" i="4"/>
  <c r="CA98" i="1" s="1"/>
  <c r="HP7" i="4"/>
  <c r="HP19" i="4" s="1"/>
  <c r="AJ97" i="1" s="1"/>
  <c r="HV14" i="4"/>
  <c r="HV19" i="4" s="1"/>
  <c r="AP97" i="1" s="1"/>
  <c r="HR14" i="4"/>
  <c r="HR19" i="4" s="1"/>
  <c r="AL97" i="1" s="1"/>
  <c r="CO6" i="1"/>
  <c r="CP12" i="1" s="1"/>
  <c r="CM153" i="1"/>
  <c r="CN153" i="1" s="1"/>
  <c r="CO153" i="1" s="1"/>
  <c r="CP153" i="1" s="1"/>
  <c r="CQ153" i="1" s="1"/>
  <c r="CR153" i="1" s="1"/>
  <c r="CS153" i="1" s="1"/>
  <c r="CT153" i="1" s="1"/>
  <c r="CU153" i="1" s="1"/>
  <c r="CV153" i="1" s="1"/>
  <c r="CW153" i="1" s="1"/>
  <c r="CX153" i="1" s="1"/>
  <c r="CY153" i="1" s="1"/>
  <c r="CZ153" i="1" s="1"/>
  <c r="DA153" i="1" s="1"/>
  <c r="HZ20" i="4"/>
  <c r="AT98" i="1" s="1"/>
  <c r="AB146" i="1"/>
  <c r="CP146" i="1"/>
  <c r="CQ146" i="1" s="1"/>
  <c r="CR146" i="1" s="1"/>
  <c r="CS146" i="1" s="1"/>
  <c r="IS20" i="4"/>
  <c r="BM98" i="1" s="1"/>
  <c r="JI20" i="4"/>
  <c r="CC98" i="1" s="1"/>
  <c r="HU20" i="4"/>
  <c r="AO98" i="1" s="1"/>
  <c r="IJ19" i="4"/>
  <c r="BD97" i="1" s="1"/>
  <c r="IO19" i="4"/>
  <c r="BI97" i="1" s="1"/>
  <c r="CG139" i="1"/>
  <c r="CH136" i="1"/>
  <c r="IB20" i="4"/>
  <c r="AV98" i="1" s="1"/>
  <c r="JB19" i="4"/>
  <c r="BV97" i="1" s="1"/>
  <c r="AB156" i="1"/>
  <c r="CP156" i="1"/>
  <c r="CQ156" i="1" s="1"/>
  <c r="CR156" i="1" s="1"/>
  <c r="CS156" i="1" s="1"/>
  <c r="CN96" i="1"/>
  <c r="CP145" i="1"/>
  <c r="CQ145" i="1" s="1"/>
  <c r="CR145" i="1" s="1"/>
  <c r="CS145" i="1" s="1"/>
  <c r="AB145" i="1"/>
  <c r="IP20" i="4"/>
  <c r="BJ98" i="1" s="1"/>
  <c r="CM83" i="1"/>
  <c r="CN83" i="1" s="1"/>
  <c r="CO83" i="1" s="1"/>
  <c r="CP83" i="1" s="1"/>
  <c r="CQ83" i="1" s="1"/>
  <c r="CR83" i="1" s="1"/>
  <c r="CS83" i="1" s="1"/>
  <c r="CT83" i="1" s="1"/>
  <c r="CU83" i="1" s="1"/>
  <c r="CV83" i="1" s="1"/>
  <c r="CW83" i="1" s="1"/>
  <c r="CX83" i="1" s="1"/>
  <c r="CY83" i="1" s="1"/>
  <c r="CZ83" i="1" s="1"/>
  <c r="DA83" i="1" s="1"/>
  <c r="AB183" i="1"/>
  <c r="CP183" i="1"/>
  <c r="CQ183" i="1" s="1"/>
  <c r="CR183" i="1" s="1"/>
  <c r="CS183" i="1" s="1"/>
  <c r="JA20" i="4"/>
  <c r="BU98" i="1" s="1"/>
  <c r="CP141" i="1"/>
  <c r="CQ141" i="1" s="1"/>
  <c r="CR141" i="1" s="1"/>
  <c r="CS141" i="1" s="1"/>
  <c r="AB141" i="1"/>
  <c r="HX19" i="4"/>
  <c r="AR97" i="1" s="1"/>
  <c r="IR20" i="4"/>
  <c r="BL98" i="1" s="1"/>
  <c r="IY19" i="4"/>
  <c r="BS97" i="1" s="1"/>
  <c r="IX20" i="4"/>
  <c r="BR98" i="1" s="1"/>
  <c r="AB152" i="1"/>
  <c r="CP152" i="1"/>
  <c r="CQ152" i="1" s="1"/>
  <c r="CR152" i="1" s="1"/>
  <c r="CS152" i="1" s="1"/>
  <c r="IO20" i="4"/>
  <c r="BI98" i="1" s="1"/>
  <c r="JG19" i="4"/>
  <c r="CA97" i="1" s="1"/>
  <c r="AD42" i="1"/>
  <c r="AE42" i="1"/>
  <c r="CT136" i="1"/>
  <c r="CU136" i="1" s="1"/>
  <c r="CV136" i="1" s="1"/>
  <c r="CW136" i="1" s="1"/>
  <c r="AC136" i="1"/>
  <c r="CM143" i="1"/>
  <c r="CM159" i="1"/>
  <c r="CM221" i="1" s="1"/>
  <c r="CN82" i="1"/>
  <c r="CM198" i="1"/>
  <c r="CA1" i="1"/>
  <c r="CB1" i="1" s="1"/>
  <c r="IT21" i="4" l="1"/>
  <c r="BN96" i="1" s="1"/>
  <c r="AJ159" i="1"/>
  <c r="AI221" i="1"/>
  <c r="BZ136" i="1"/>
  <c r="AI180" i="1"/>
  <c r="AJ228" i="1" s="1"/>
  <c r="AL147" i="1"/>
  <c r="AM167" i="1"/>
  <c r="AM201" i="1" s="1"/>
  <c r="AK175" i="1"/>
  <c r="AK204" i="1" s="1"/>
  <c r="AI175" i="1"/>
  <c r="AI216" i="1" s="1"/>
  <c r="CI221" i="1"/>
  <c r="CA175" i="1"/>
  <c r="AK147" i="1"/>
  <c r="AK198" i="1"/>
  <c r="AL198" i="1" s="1"/>
  <c r="AK139" i="1"/>
  <c r="AM147" i="1"/>
  <c r="AN143" i="1"/>
  <c r="AN147" i="1" s="1"/>
  <c r="AM175" i="1"/>
  <c r="AM204" i="1" s="1"/>
  <c r="BY167" i="1"/>
  <c r="AI167" i="1"/>
  <c r="AI215" i="1" s="1"/>
  <c r="JL19" i="4"/>
  <c r="CF97" i="1" s="1"/>
  <c r="JI21" i="4"/>
  <c r="CC96" i="1" s="1"/>
  <c r="IJ20" i="4"/>
  <c r="BD98" i="1" s="1"/>
  <c r="HP21" i="4"/>
  <c r="AJ96" i="1" s="1"/>
  <c r="CH221" i="1"/>
  <c r="AA77" i="1"/>
  <c r="CG221" i="1"/>
  <c r="AI147" i="1"/>
  <c r="BY139" i="1"/>
  <c r="CE187" i="1"/>
  <c r="AN136" i="1"/>
  <c r="AM139" i="1"/>
  <c r="KA15" i="4"/>
  <c r="CJ9" i="1"/>
  <c r="CA46" i="1"/>
  <c r="AI139" i="1"/>
  <c r="AJ147" i="1"/>
  <c r="JE19" i="4"/>
  <c r="BY97" i="1" s="1"/>
  <c r="AA30" i="1"/>
  <c r="AA207" i="1"/>
  <c r="AA225" i="1"/>
  <c r="AA224" i="1" s="1"/>
  <c r="AA268" i="1"/>
  <c r="CL59" i="1"/>
  <c r="CL60" i="1"/>
  <c r="HR20" i="4"/>
  <c r="AL98" i="1" s="1"/>
  <c r="HT20" i="4"/>
  <c r="AN98" i="1" s="1"/>
  <c r="II20" i="4"/>
  <c r="BC98" i="1" s="1"/>
  <c r="CB147" i="1"/>
  <c r="CI187" i="1"/>
  <c r="CA35" i="1"/>
  <c r="CA36" i="1" s="1"/>
  <c r="AJ221" i="1"/>
  <c r="AK221" i="1"/>
  <c r="AM187" i="1"/>
  <c r="CO96" i="1"/>
  <c r="AI217" i="1"/>
  <c r="CJ23" i="1"/>
  <c r="T35" i="1"/>
  <c r="T117" i="1"/>
  <c r="AD64" i="1"/>
  <c r="CY64" i="1"/>
  <c r="CZ64" i="1" s="1"/>
  <c r="DA64" i="1" s="1"/>
  <c r="CF82" i="1"/>
  <c r="CH163" i="1"/>
  <c r="G46" i="1"/>
  <c r="AJ35" i="1"/>
  <c r="BZ35" i="1"/>
  <c r="CA31" i="1"/>
  <c r="AN153" i="1"/>
  <c r="AN157" i="1" s="1"/>
  <c r="AM157" i="1"/>
  <c r="BL35" i="1"/>
  <c r="S117" i="1"/>
  <c r="AL164" i="1"/>
  <c r="CE35" i="1"/>
  <c r="CE30" i="1"/>
  <c r="CH52" i="1"/>
  <c r="CH153" i="1"/>
  <c r="I35" i="1"/>
  <c r="I117" i="1"/>
  <c r="CG173" i="1"/>
  <c r="Z175" i="1"/>
  <c r="AA216" i="1" s="1"/>
  <c r="AA217" i="1" s="1"/>
  <c r="AA218" i="1" s="1"/>
  <c r="U207" i="1"/>
  <c r="U30" i="1"/>
  <c r="U35" i="1"/>
  <c r="U117" i="1"/>
  <c r="AJ52" i="1"/>
  <c r="AJ153" i="1"/>
  <c r="AI157" i="1"/>
  <c r="Y56" i="1"/>
  <c r="S46" i="1"/>
  <c r="Z153" i="1"/>
  <c r="CD163" i="1"/>
  <c r="CL269" i="1"/>
  <c r="CL270" i="1" s="1"/>
  <c r="CL50" i="1"/>
  <c r="CA176" i="1"/>
  <c r="CI201" i="1"/>
  <c r="Z201" i="1"/>
  <c r="Z215" i="1"/>
  <c r="Y215" i="1"/>
  <c r="X205" i="1"/>
  <c r="X176" i="1"/>
  <c r="Y268" i="1"/>
  <c r="Y216" i="1"/>
  <c r="CI31" i="1"/>
  <c r="X187" i="1"/>
  <c r="X128" i="1" s="1"/>
  <c r="CC204" i="1"/>
  <c r="CJ244" i="1"/>
  <c r="X148" i="1"/>
  <c r="CK123" i="1"/>
  <c r="CK121" i="1"/>
  <c r="CK122" i="1"/>
  <c r="AM205" i="1"/>
  <c r="CH31" i="1"/>
  <c r="CK263" i="1"/>
  <c r="CK244" i="1"/>
  <c r="AM176" i="1"/>
  <c r="BZ225" i="1"/>
  <c r="CI46" i="1"/>
  <c r="AL225" i="1"/>
  <c r="AL268" i="1"/>
  <c r="AK148" i="1"/>
  <c r="AK187" i="1"/>
  <c r="AL47" i="1"/>
  <c r="AL36" i="1"/>
  <c r="AL172" i="1"/>
  <c r="AL175" i="1" s="1"/>
  <c r="P46" i="1"/>
  <c r="AL163" i="1"/>
  <c r="CC201" i="1"/>
  <c r="S35" i="1"/>
  <c r="AJ46" i="1"/>
  <c r="CG46" i="1"/>
  <c r="CI13" i="1"/>
  <c r="L46" i="1"/>
  <c r="B46" i="1"/>
  <c r="Y194" i="1"/>
  <c r="CF46" i="1"/>
  <c r="CA201" i="1"/>
  <c r="CG268" i="1"/>
  <c r="CK251" i="1"/>
  <c r="CK252" i="1" s="1"/>
  <c r="CK53" i="1"/>
  <c r="CK57" i="1" s="1"/>
  <c r="CK48" i="1"/>
  <c r="CJ13" i="1"/>
  <c r="X46" i="1"/>
  <c r="Z52" i="1"/>
  <c r="BY148" i="1"/>
  <c r="CC176" i="1"/>
  <c r="CH225" i="1"/>
  <c r="BY187" i="1"/>
  <c r="AK176" i="1"/>
  <c r="AJ225" i="1"/>
  <c r="BX46" i="1"/>
  <c r="CD46" i="1"/>
  <c r="CK225" i="1"/>
  <c r="CK268" i="1"/>
  <c r="Z46" i="1"/>
  <c r="AK205" i="1"/>
  <c r="N46" i="1"/>
  <c r="Z12" i="1"/>
  <c r="Y201" i="1"/>
  <c r="CA204" i="1"/>
  <c r="CM203" i="1"/>
  <c r="CN203" i="1" s="1"/>
  <c r="CO203" i="1" s="1"/>
  <c r="CP203" i="1" s="1"/>
  <c r="CQ203" i="1" s="1"/>
  <c r="CR203" i="1" s="1"/>
  <c r="CS203" i="1" s="1"/>
  <c r="CT203" i="1" s="1"/>
  <c r="CU203" i="1" s="1"/>
  <c r="CV203" i="1" s="1"/>
  <c r="CW203" i="1" s="1"/>
  <c r="CX203" i="1" s="1"/>
  <c r="CY203" i="1" s="1"/>
  <c r="CZ203" i="1" s="1"/>
  <c r="DA203" i="1" s="1"/>
  <c r="CH172" i="1"/>
  <c r="Z157" i="1"/>
  <c r="AA222" i="1" s="1"/>
  <c r="AA220" i="1" s="1"/>
  <c r="AA229" i="1" s="1"/>
  <c r="AA230" i="1" s="1"/>
  <c r="T207" i="1"/>
  <c r="Y52" i="1"/>
  <c r="CG35" i="1"/>
  <c r="CG47" i="1" s="1"/>
  <c r="CK49" i="1" s="1"/>
  <c r="CG187" i="1"/>
  <c r="AM148" i="1"/>
  <c r="CJ6" i="1"/>
  <c r="X200" i="1"/>
  <c r="CH268" i="1"/>
  <c r="CG157" i="1"/>
  <c r="CJ118" i="1"/>
  <c r="CJ121" i="1" s="1"/>
  <c r="BL46" i="1"/>
  <c r="CI225" i="1"/>
  <c r="Y148" i="1"/>
  <c r="CI244" i="1"/>
  <c r="AK203" i="1"/>
  <c r="AL203" i="1" s="1"/>
  <c r="AL204" i="1" s="1"/>
  <c r="CC207" i="1"/>
  <c r="CA244" i="1"/>
  <c r="CJ207" i="1"/>
  <c r="CK52" i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CD52" i="1"/>
  <c r="CD153" i="1"/>
  <c r="CC157" i="1"/>
  <c r="AL46" i="1"/>
  <c r="BY31" i="1"/>
  <c r="X157" i="1"/>
  <c r="X52" i="1"/>
  <c r="T46" i="1"/>
  <c r="K117" i="1"/>
  <c r="K30" i="1"/>
  <c r="K207" i="1"/>
  <c r="K35" i="1"/>
  <c r="N117" i="1"/>
  <c r="N35" i="1"/>
  <c r="CH46" i="1"/>
  <c r="L117" i="1"/>
  <c r="L30" i="1"/>
  <c r="L207" i="1"/>
  <c r="L35" i="1"/>
  <c r="B36" i="1"/>
  <c r="B47" i="1"/>
  <c r="CF35" i="1"/>
  <c r="CG31" i="1"/>
  <c r="CH244" i="1"/>
  <c r="CF31" i="1"/>
  <c r="CE207" i="1"/>
  <c r="Z56" i="1"/>
  <c r="Z268" i="1"/>
  <c r="Z225" i="1"/>
  <c r="AK31" i="1"/>
  <c r="CD225" i="1"/>
  <c r="CD268" i="1"/>
  <c r="CD30" i="1"/>
  <c r="BZ172" i="1"/>
  <c r="BZ175" i="1" s="1"/>
  <c r="BX36" i="1"/>
  <c r="BX47" i="1"/>
  <c r="AL31" i="1"/>
  <c r="AK35" i="1"/>
  <c r="T30" i="1"/>
  <c r="S30" i="1"/>
  <c r="Y265" i="1"/>
  <c r="Y267" i="1"/>
  <c r="Z228" i="1"/>
  <c r="V35" i="1"/>
  <c r="V117" i="1"/>
  <c r="V30" i="1"/>
  <c r="V207" i="1"/>
  <c r="CG148" i="1"/>
  <c r="BY35" i="1"/>
  <c r="BZ31" i="1"/>
  <c r="AK46" i="1"/>
  <c r="Q35" i="1"/>
  <c r="Q117" i="1"/>
  <c r="I46" i="1"/>
  <c r="AK225" i="1"/>
  <c r="O46" i="1"/>
  <c r="CE176" i="1"/>
  <c r="CA187" i="1"/>
  <c r="CA268" i="1"/>
  <c r="CA148" i="1"/>
  <c r="U46" i="1"/>
  <c r="R207" i="1"/>
  <c r="R35" i="1"/>
  <c r="S37" i="1" s="1"/>
  <c r="R117" i="1"/>
  <c r="R30" i="1"/>
  <c r="CG52" i="1"/>
  <c r="CF157" i="1"/>
  <c r="CF222" i="1" s="1"/>
  <c r="BZ46" i="1"/>
  <c r="K46" i="1"/>
  <c r="BZ163" i="1"/>
  <c r="AM225" i="1"/>
  <c r="AM268" i="1"/>
  <c r="J30" i="1"/>
  <c r="J207" i="1"/>
  <c r="J117" i="1"/>
  <c r="J35" i="1"/>
  <c r="CB225" i="1"/>
  <c r="CB268" i="1"/>
  <c r="CH83" i="1"/>
  <c r="CI84" i="1"/>
  <c r="CI9" i="1" s="1"/>
  <c r="W207" i="1"/>
  <c r="W35" i="1"/>
  <c r="W117" i="1"/>
  <c r="W30" i="1"/>
  <c r="BY204" i="1"/>
  <c r="BY176" i="1"/>
  <c r="Y187" i="1"/>
  <c r="Y128" i="1" s="1"/>
  <c r="CD35" i="1"/>
  <c r="CH30" i="1"/>
  <c r="CE31" i="1"/>
  <c r="CG244" i="1"/>
  <c r="CH35" i="1"/>
  <c r="CL37" i="1" s="1"/>
  <c r="BZ164" i="1"/>
  <c r="J46" i="1"/>
  <c r="BY46" i="1"/>
  <c r="AM200" i="1"/>
  <c r="AN200" i="1" s="1"/>
  <c r="AN201" i="1" s="1"/>
  <c r="CL207" i="1"/>
  <c r="CL30" i="1"/>
  <c r="CL123" i="1"/>
  <c r="CM123" i="1" s="1"/>
  <c r="CN123" i="1" s="1"/>
  <c r="CO123" i="1" s="1"/>
  <c r="CP123" i="1" s="1"/>
  <c r="CQ123" i="1" s="1"/>
  <c r="CR123" i="1" s="1"/>
  <c r="CS123" i="1" s="1"/>
  <c r="CT123" i="1" s="1"/>
  <c r="CU123" i="1" s="1"/>
  <c r="CV123" i="1" s="1"/>
  <c r="CW123" i="1" s="1"/>
  <c r="CX123" i="1" s="1"/>
  <c r="CY123" i="1" s="1"/>
  <c r="CZ123" i="1" s="1"/>
  <c r="DA123" i="1" s="1"/>
  <c r="CL122" i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CL121" i="1"/>
  <c r="CL176" i="1"/>
  <c r="CL215" i="1"/>
  <c r="CL217" i="1" s="1"/>
  <c r="CJ46" i="1"/>
  <c r="CL204" i="1"/>
  <c r="CL205" i="1" s="1"/>
  <c r="AK200" i="1"/>
  <c r="AL200" i="1" s="1"/>
  <c r="AL201" i="1" s="1"/>
  <c r="CI203" i="1"/>
  <c r="CJ203" i="1" s="1"/>
  <c r="F46" i="1"/>
  <c r="CI268" i="1"/>
  <c r="CA225" i="1"/>
  <c r="E46" i="1"/>
  <c r="BY201" i="1"/>
  <c r="BY200" i="1" s="1"/>
  <c r="BZ200" i="1" s="1"/>
  <c r="BZ201" i="1" s="1"/>
  <c r="CB30" i="1"/>
  <c r="CJ268" i="1"/>
  <c r="Y203" i="1"/>
  <c r="CB172" i="1"/>
  <c r="CB175" i="1" s="1"/>
  <c r="Y46" i="1"/>
  <c r="CJ163" i="1"/>
  <c r="Y225" i="1"/>
  <c r="R46" i="1"/>
  <c r="S207" i="1"/>
  <c r="CI148" i="1"/>
  <c r="CJ225" i="1"/>
  <c r="CB164" i="1"/>
  <c r="CJ35" i="1"/>
  <c r="CK31" i="1"/>
  <c r="CK207" i="1"/>
  <c r="Y176" i="1"/>
  <c r="Y184" i="1" s="1"/>
  <c r="X207" i="1"/>
  <c r="CG30" i="1"/>
  <c r="CC35" i="1"/>
  <c r="CA157" i="1"/>
  <c r="CB153" i="1"/>
  <c r="CC46" i="1"/>
  <c r="X267" i="1"/>
  <c r="X203" i="1"/>
  <c r="CI207" i="1"/>
  <c r="N30" i="1"/>
  <c r="N207" i="1"/>
  <c r="CD164" i="1"/>
  <c r="CJ151" i="1"/>
  <c r="CI150" i="1"/>
  <c r="CB46" i="1"/>
  <c r="CB31" i="1"/>
  <c r="CF30" i="1"/>
  <c r="CE244" i="1"/>
  <c r="CD244" i="1"/>
  <c r="CC31" i="1"/>
  <c r="CB35" i="1"/>
  <c r="W46" i="1"/>
  <c r="CJ30" i="1"/>
  <c r="CF207" i="1"/>
  <c r="CD172" i="1"/>
  <c r="CD175" i="1" s="1"/>
  <c r="CH164" i="1"/>
  <c r="AM31" i="1"/>
  <c r="AM35" i="1"/>
  <c r="M35" i="1"/>
  <c r="M117" i="1"/>
  <c r="M207" i="1"/>
  <c r="M30" i="1"/>
  <c r="O117" i="1"/>
  <c r="O35" i="1"/>
  <c r="O207" i="1"/>
  <c r="O30" i="1"/>
  <c r="Z187" i="1"/>
  <c r="Z128" i="1" s="1"/>
  <c r="Z148" i="1"/>
  <c r="C207" i="1"/>
  <c r="AM244" i="1"/>
  <c r="Q46" i="1"/>
  <c r="CF244" i="1"/>
  <c r="CC244" i="1"/>
  <c r="Y77" i="1"/>
  <c r="CG167" i="1"/>
  <c r="H207" i="1"/>
  <c r="F35" i="1"/>
  <c r="F30" i="1"/>
  <c r="F207" i="1"/>
  <c r="CC148" i="1"/>
  <c r="CC187" i="1"/>
  <c r="CE46" i="1"/>
  <c r="Y263" i="1"/>
  <c r="I30" i="1"/>
  <c r="I207" i="1"/>
  <c r="CC30" i="1"/>
  <c r="CB244" i="1"/>
  <c r="Q30" i="1"/>
  <c r="Q207" i="1"/>
  <c r="Z267" i="1"/>
  <c r="Z194" i="1"/>
  <c r="V46" i="1"/>
  <c r="H30" i="1"/>
  <c r="G117" i="1"/>
  <c r="G30" i="1"/>
  <c r="G207" i="1"/>
  <c r="G35" i="1"/>
  <c r="CJ172" i="1"/>
  <c r="CJ175" i="1" s="1"/>
  <c r="F117" i="1"/>
  <c r="E117" i="1"/>
  <c r="E35" i="1"/>
  <c r="CI176" i="1"/>
  <c r="CI184" i="1" s="1"/>
  <c r="M46" i="1"/>
  <c r="AM203" i="1"/>
  <c r="AN203" i="1" s="1"/>
  <c r="AN204" i="1" s="1"/>
  <c r="Z77" i="1"/>
  <c r="Z30" i="1"/>
  <c r="Z117" i="1"/>
  <c r="Z207" i="1"/>
  <c r="Z35" i="1"/>
  <c r="AA37" i="1" s="1"/>
  <c r="CG207" i="1"/>
  <c r="AM46" i="1"/>
  <c r="C30" i="1"/>
  <c r="CD207" i="1"/>
  <c r="CD31" i="1"/>
  <c r="CH207" i="1"/>
  <c r="AI187" i="1"/>
  <c r="AJ56" i="1" s="1"/>
  <c r="AI225" i="1"/>
  <c r="AI148" i="1"/>
  <c r="CB163" i="1"/>
  <c r="P207" i="1"/>
  <c r="P30" i="1"/>
  <c r="P35" i="1"/>
  <c r="P117" i="1"/>
  <c r="CX144" i="1"/>
  <c r="CY144" i="1" s="1"/>
  <c r="CZ144" i="1" s="1"/>
  <c r="DA144" i="1" s="1"/>
  <c r="AE144" i="1" s="1"/>
  <c r="AD144" i="1"/>
  <c r="CL244" i="1"/>
  <c r="CI23" i="1"/>
  <c r="CT154" i="1"/>
  <c r="CU154" i="1" s="1"/>
  <c r="CV154" i="1" s="1"/>
  <c r="CW154" i="1" s="1"/>
  <c r="AC154" i="1"/>
  <c r="AB65" i="1"/>
  <c r="AI176" i="1"/>
  <c r="CF268" i="1"/>
  <c r="CG225" i="1"/>
  <c r="X117" i="1"/>
  <c r="X35" i="1"/>
  <c r="X30" i="1"/>
  <c r="CE268" i="1"/>
  <c r="CB221" i="1"/>
  <c r="AL221" i="1"/>
  <c r="CJ31" i="1"/>
  <c r="CI35" i="1"/>
  <c r="CI30" i="1"/>
  <c r="BZ221" i="1"/>
  <c r="CJ127" i="1"/>
  <c r="CJ126" i="1"/>
  <c r="CM5" i="1"/>
  <c r="H35" i="1"/>
  <c r="H117" i="1"/>
  <c r="CE148" i="1"/>
  <c r="H46" i="1"/>
  <c r="CQ65" i="1"/>
  <c r="CR65" i="1" s="1"/>
  <c r="CS65" i="1" s="1"/>
  <c r="CT65" i="1" s="1"/>
  <c r="AL52" i="1"/>
  <c r="AK157" i="1"/>
  <c r="AL153" i="1"/>
  <c r="D30" i="1"/>
  <c r="E207" i="1"/>
  <c r="D207" i="1"/>
  <c r="D35" i="1"/>
  <c r="C37" i="1"/>
  <c r="C36" i="1"/>
  <c r="BZ153" i="1"/>
  <c r="BZ52" i="1"/>
  <c r="BY157" i="1"/>
  <c r="CE225" i="1"/>
  <c r="CT182" i="1"/>
  <c r="CU182" i="1" s="1"/>
  <c r="CV182" i="1" s="1"/>
  <c r="CW182" i="1" s="1"/>
  <c r="AC182" i="1"/>
  <c r="E30" i="1"/>
  <c r="Y30" i="1"/>
  <c r="Y35" i="1"/>
  <c r="Y117" i="1"/>
  <c r="Y207" i="1"/>
  <c r="CM199" i="1"/>
  <c r="CN199" i="1" s="1"/>
  <c r="CO199" i="1" s="1"/>
  <c r="CP199" i="1" s="1"/>
  <c r="CQ199" i="1" s="1"/>
  <c r="CR199" i="1" s="1"/>
  <c r="CS199" i="1" s="1"/>
  <c r="CT199" i="1" s="1"/>
  <c r="CU199" i="1" s="1"/>
  <c r="CV199" i="1" s="1"/>
  <c r="CW199" i="1" s="1"/>
  <c r="CX199" i="1" s="1"/>
  <c r="CY199" i="1" s="1"/>
  <c r="CZ199" i="1" s="1"/>
  <c r="DA199" i="1" s="1"/>
  <c r="CJ164" i="1"/>
  <c r="C46" i="1"/>
  <c r="CT137" i="1"/>
  <c r="CU137" i="1" s="1"/>
  <c r="CV137" i="1" s="1"/>
  <c r="CW137" i="1" s="1"/>
  <c r="AC137" i="1"/>
  <c r="JD20" i="4"/>
  <c r="BX98" i="1" s="1"/>
  <c r="D46" i="1"/>
  <c r="CF225" i="1"/>
  <c r="C47" i="1"/>
  <c r="CD221" i="1"/>
  <c r="CM84" i="1"/>
  <c r="CT156" i="1"/>
  <c r="CU156" i="1" s="1"/>
  <c r="CV156" i="1" s="1"/>
  <c r="CW156" i="1" s="1"/>
  <c r="AC156" i="1"/>
  <c r="CG175" i="1"/>
  <c r="AJ36" i="1"/>
  <c r="AJ47" i="1"/>
  <c r="CT152" i="1"/>
  <c r="CU152" i="1" s="1"/>
  <c r="CV152" i="1" s="1"/>
  <c r="CW152" i="1" s="1"/>
  <c r="AC152" i="1"/>
  <c r="AC183" i="1"/>
  <c r="CT183" i="1"/>
  <c r="CU183" i="1" s="1"/>
  <c r="CV183" i="1" s="1"/>
  <c r="CW183" i="1" s="1"/>
  <c r="AB96" i="1"/>
  <c r="CP96" i="1"/>
  <c r="CQ96" i="1" s="1"/>
  <c r="CR96" i="1" s="1"/>
  <c r="CS96" i="1" s="1"/>
  <c r="CT141" i="1"/>
  <c r="CU141" i="1" s="1"/>
  <c r="CV141" i="1" s="1"/>
  <c r="CW141" i="1" s="1"/>
  <c r="AC141" i="1"/>
  <c r="U36" i="1"/>
  <c r="U47" i="1"/>
  <c r="I36" i="1"/>
  <c r="I47" i="1"/>
  <c r="CE36" i="1"/>
  <c r="CE47" i="1"/>
  <c r="CE37" i="1"/>
  <c r="CT146" i="1"/>
  <c r="CU146" i="1" s="1"/>
  <c r="CV146" i="1" s="1"/>
  <c r="CW146" i="1" s="1"/>
  <c r="AC146" i="1"/>
  <c r="U37" i="1"/>
  <c r="T36" i="1"/>
  <c r="T47" i="1"/>
  <c r="T37" i="1"/>
  <c r="AC145" i="1"/>
  <c r="CT145" i="1"/>
  <c r="CU145" i="1" s="1"/>
  <c r="CV145" i="1" s="1"/>
  <c r="CW145" i="1" s="1"/>
  <c r="Z204" i="1"/>
  <c r="Z176" i="1"/>
  <c r="Z216" i="1"/>
  <c r="Z217" i="1" s="1"/>
  <c r="BZ47" i="1"/>
  <c r="CA38" i="1"/>
  <c r="BZ36" i="1"/>
  <c r="CM147" i="1"/>
  <c r="CN143" i="1"/>
  <c r="CE82" i="1"/>
  <c r="CN198" i="1"/>
  <c r="CO82" i="1"/>
  <c r="CN84" i="1"/>
  <c r="CN159" i="1"/>
  <c r="CO159" i="1" s="1"/>
  <c r="AE64" i="1"/>
  <c r="CX136" i="1"/>
  <c r="CY136" i="1" s="1"/>
  <c r="CZ136" i="1" s="1"/>
  <c r="DA136" i="1" s="1"/>
  <c r="AE136" i="1" s="1"/>
  <c r="AD136" i="1"/>
  <c r="CC1" i="1"/>
  <c r="C106" i="2"/>
  <c r="I46" i="2"/>
  <c r="S61" i="2"/>
  <c r="H47" i="2"/>
  <c r="S83" i="2"/>
  <c r="F59" i="2"/>
  <c r="M66" i="2"/>
  <c r="R47" i="2"/>
  <c r="S92" i="2"/>
  <c r="U66" i="2"/>
  <c r="R58" i="2"/>
  <c r="R84" i="2"/>
  <c r="R40" i="2"/>
  <c r="X106" i="2"/>
  <c r="C61" i="2"/>
  <c r="R71" i="2"/>
  <c r="N99" i="2"/>
  <c r="L57" i="2"/>
  <c r="N54" i="2"/>
  <c r="J90" i="2"/>
  <c r="K76" i="2"/>
  <c r="Q71" i="2"/>
  <c r="T67" i="2"/>
  <c r="D52" i="2"/>
  <c r="L93" i="2"/>
  <c r="H61" i="2"/>
  <c r="G71" i="2"/>
  <c r="F106" i="2"/>
  <c r="V70" i="2"/>
  <c r="W113" i="2"/>
  <c r="H69" i="2"/>
  <c r="V90" i="2"/>
  <c r="C90" i="2"/>
  <c r="T99" i="2"/>
  <c r="I63" i="2"/>
  <c r="Q42" i="2"/>
  <c r="E78" i="2"/>
  <c r="U51" i="2"/>
  <c r="P43" i="2"/>
  <c r="X104" i="2"/>
  <c r="M90" i="2"/>
  <c r="H45" i="2"/>
  <c r="I81" i="2"/>
  <c r="X113" i="2"/>
  <c r="N71" i="2"/>
  <c r="W64" i="2"/>
  <c r="T53" i="2"/>
  <c r="F93" i="2"/>
  <c r="I90" i="2"/>
  <c r="E74" i="2"/>
  <c r="O77" i="2"/>
  <c r="S77" i="2"/>
  <c r="S78" i="2"/>
  <c r="V81" i="2"/>
  <c r="W72" i="2"/>
  <c r="C75" i="2"/>
  <c r="G43" i="2"/>
  <c r="F109" i="2"/>
  <c r="D86" i="2"/>
  <c r="P50" i="2"/>
  <c r="O106" i="2"/>
  <c r="J99" i="2"/>
  <c r="P96" i="2"/>
  <c r="T62" i="2"/>
  <c r="T52" i="2"/>
  <c r="E53" i="2"/>
  <c r="C109" i="2"/>
  <c r="K94" i="2"/>
  <c r="X95" i="2"/>
  <c r="H74" i="2"/>
  <c r="T65" i="2"/>
  <c r="I42" i="2"/>
  <c r="U41" i="2"/>
  <c r="V51" i="2"/>
  <c r="E65" i="2"/>
  <c r="N63" i="2"/>
  <c r="L98" i="2"/>
  <c r="L83" i="2"/>
  <c r="Q80" i="2"/>
  <c r="X73" i="2"/>
  <c r="T105" i="2"/>
  <c r="D79" i="2"/>
  <c r="S42" i="2"/>
  <c r="E63" i="2"/>
  <c r="R60" i="2"/>
  <c r="U54" i="2"/>
  <c r="C40" i="2"/>
  <c r="U99" i="2"/>
  <c r="C96" i="2"/>
  <c r="S90" i="2"/>
  <c r="U52" i="2"/>
  <c r="P68" i="2"/>
  <c r="V106" i="2"/>
  <c r="O109" i="2"/>
  <c r="X99" i="2"/>
  <c r="T73" i="2"/>
  <c r="P78" i="2"/>
  <c r="I76" i="2"/>
  <c r="V83" i="2"/>
  <c r="X107" i="2"/>
  <c r="H105" i="2"/>
  <c r="V80" i="2"/>
  <c r="M64" i="2"/>
  <c r="D43" i="2"/>
  <c r="O88" i="2"/>
  <c r="D113" i="2"/>
  <c r="R107" i="2"/>
  <c r="L66" i="2"/>
  <c r="G58" i="2"/>
  <c r="E85" i="2"/>
  <c r="S89" i="2"/>
  <c r="O83" i="2"/>
  <c r="V111" i="2"/>
  <c r="P47" i="2"/>
  <c r="Q91" i="2"/>
  <c r="J47" i="2"/>
  <c r="E51" i="2"/>
  <c r="E90" i="2"/>
  <c r="X46" i="2"/>
  <c r="D71" i="2"/>
  <c r="J111" i="2"/>
  <c r="T64" i="2"/>
  <c r="P70" i="2"/>
  <c r="F78" i="2"/>
  <c r="F88" i="2"/>
  <c r="T40" i="2"/>
  <c r="O71" i="2"/>
  <c r="I75" i="2"/>
  <c r="W65" i="2"/>
  <c r="I49" i="2"/>
  <c r="I60" i="2"/>
  <c r="U77" i="2"/>
  <c r="V75" i="2"/>
  <c r="V76" i="2"/>
  <c r="H66" i="2"/>
  <c r="Q82" i="2"/>
  <c r="J77" i="2"/>
  <c r="M62" i="2"/>
  <c r="N92" i="2"/>
  <c r="O110" i="2"/>
  <c r="M94" i="2"/>
  <c r="M41" i="2"/>
  <c r="W112" i="2"/>
  <c r="N77" i="2"/>
  <c r="D73" i="2"/>
  <c r="T70" i="2"/>
  <c r="R113" i="2"/>
  <c r="L80" i="2"/>
  <c r="Q49" i="2"/>
  <c r="C74" i="2"/>
  <c r="O56" i="2"/>
  <c r="G45" i="2"/>
  <c r="R72" i="2"/>
  <c r="I83" i="2"/>
  <c r="P104" i="2"/>
  <c r="D94" i="2"/>
  <c r="T59" i="2"/>
  <c r="G77" i="2"/>
  <c r="J49" i="2"/>
  <c r="P71" i="2"/>
  <c r="G113" i="2"/>
  <c r="E49" i="2"/>
  <c r="G53" i="2"/>
  <c r="L97" i="2"/>
  <c r="C71" i="2"/>
  <c r="V112" i="2"/>
  <c r="K60" i="2"/>
  <c r="L105" i="2"/>
  <c r="F54" i="2"/>
  <c r="H98" i="2"/>
  <c r="T78" i="2"/>
  <c r="S41" i="2"/>
  <c r="G51" i="2"/>
  <c r="I93" i="2"/>
  <c r="E111" i="2"/>
  <c r="L99" i="2"/>
  <c r="I69" i="2"/>
  <c r="P110" i="2"/>
  <c r="Q92" i="2"/>
  <c r="M82" i="2"/>
  <c r="M52" i="2"/>
  <c r="F49" i="2"/>
  <c r="X50" i="2"/>
  <c r="O43" i="2"/>
  <c r="K62" i="2"/>
  <c r="T94" i="2"/>
  <c r="T79" i="2"/>
  <c r="Q104" i="2"/>
  <c r="U113" i="2"/>
  <c r="F51" i="2"/>
  <c r="T51" i="2"/>
  <c r="I51" i="2"/>
  <c r="F46" i="2"/>
  <c r="S45" i="2"/>
  <c r="N110" i="2"/>
  <c r="P113" i="2"/>
  <c r="R81" i="2"/>
  <c r="O96" i="2"/>
  <c r="W106" i="2"/>
  <c r="N52" i="2"/>
  <c r="E48" i="2"/>
  <c r="Q67" i="2"/>
  <c r="E82" i="2"/>
  <c r="L40" i="2"/>
  <c r="J113" i="2"/>
  <c r="M84" i="2"/>
  <c r="H93" i="2"/>
  <c r="T106" i="2"/>
  <c r="G50" i="2"/>
  <c r="E81" i="2"/>
  <c r="U69" i="2"/>
  <c r="C47" i="2"/>
  <c r="D91" i="2"/>
  <c r="M57" i="2"/>
  <c r="X97" i="2"/>
  <c r="U82" i="2"/>
  <c r="S97" i="2"/>
  <c r="E52" i="2"/>
  <c r="Q109" i="2"/>
  <c r="E93" i="2"/>
  <c r="Q112" i="2"/>
  <c r="T76" i="2"/>
  <c r="S73" i="2"/>
  <c r="E46" i="2"/>
  <c r="C49" i="2"/>
  <c r="D105" i="2"/>
  <c r="N45" i="2"/>
  <c r="N105" i="2"/>
  <c r="M83" i="2"/>
  <c r="K64" i="2"/>
  <c r="S80" i="2"/>
  <c r="U68" i="2"/>
  <c r="X45" i="2"/>
  <c r="K44" i="2"/>
  <c r="K46" i="2"/>
  <c r="O70" i="2"/>
  <c r="T81" i="2"/>
  <c r="L87" i="2"/>
  <c r="W61" i="2"/>
  <c r="P40" i="2"/>
  <c r="J43" i="2"/>
  <c r="D70" i="2"/>
  <c r="M99" i="2"/>
  <c r="G44" i="2"/>
  <c r="S55" i="2"/>
  <c r="I78" i="2"/>
  <c r="D111" i="2"/>
  <c r="Q110" i="2"/>
  <c r="G48" i="2"/>
  <c r="X88" i="2"/>
  <c r="Q72" i="2"/>
  <c r="O54" i="2"/>
  <c r="C81" i="2"/>
  <c r="H80" i="2"/>
  <c r="W66" i="2"/>
  <c r="O46" i="2"/>
  <c r="D55" i="2"/>
  <c r="T45" i="2"/>
  <c r="H89" i="2"/>
  <c r="U97" i="2"/>
  <c r="S65" i="2"/>
  <c r="Q66" i="2"/>
  <c r="O55" i="2"/>
  <c r="L49" i="2"/>
  <c r="V66" i="2"/>
  <c r="V62" i="2"/>
  <c r="T68" i="2"/>
  <c r="K47" i="2"/>
  <c r="S48" i="2"/>
  <c r="L56" i="2"/>
  <c r="M68" i="2"/>
  <c r="Q43" i="2"/>
  <c r="R56" i="2"/>
  <c r="G59" i="2"/>
  <c r="O108" i="2"/>
  <c r="X76" i="2"/>
  <c r="K99" i="2"/>
  <c r="L74" i="2"/>
  <c r="D40" i="2"/>
  <c r="I98" i="2"/>
  <c r="V54" i="2"/>
  <c r="W43" i="2"/>
  <c r="J60" i="2"/>
  <c r="V73" i="2"/>
  <c r="K77" i="2"/>
  <c r="X48" i="2"/>
  <c r="N104" i="2"/>
  <c r="L79" i="2"/>
  <c r="U43" i="2"/>
  <c r="H92" i="2"/>
  <c r="I43" i="2"/>
  <c r="T57" i="2"/>
  <c r="J112" i="2"/>
  <c r="R48" i="2"/>
  <c r="V52" i="2"/>
  <c r="K54" i="2"/>
  <c r="C95" i="2"/>
  <c r="P91" i="2"/>
  <c r="P53" i="2"/>
  <c r="E109" i="2"/>
  <c r="N79" i="2"/>
  <c r="O53" i="2"/>
  <c r="C93" i="2"/>
  <c r="I99" i="2"/>
  <c r="S108" i="2"/>
  <c r="G83" i="2"/>
  <c r="M86" i="2"/>
  <c r="Q86" i="2"/>
  <c r="C56" i="2"/>
  <c r="V95" i="2"/>
  <c r="G75" i="2"/>
  <c r="F70" i="2"/>
  <c r="T104" i="2"/>
  <c r="O90" i="2"/>
  <c r="N73" i="2"/>
  <c r="W80" i="2"/>
  <c r="H109" i="2"/>
  <c r="V50" i="2"/>
  <c r="D59" i="2"/>
  <c r="W76" i="2"/>
  <c r="U86" i="2"/>
  <c r="H58" i="2"/>
  <c r="U85" i="2"/>
  <c r="T98" i="2"/>
  <c r="S43" i="2"/>
  <c r="O60" i="2"/>
  <c r="F92" i="2"/>
  <c r="W83" i="2"/>
  <c r="N83" i="2"/>
  <c r="H64" i="2"/>
  <c r="D78" i="2"/>
  <c r="O64" i="2"/>
  <c r="Q45" i="2"/>
  <c r="U91" i="2"/>
  <c r="O85" i="2"/>
  <c r="P77" i="2"/>
  <c r="L64" i="2"/>
  <c r="H73" i="2"/>
  <c r="L69" i="2"/>
  <c r="V87" i="2"/>
  <c r="F57" i="2"/>
  <c r="V89" i="2"/>
  <c r="Q68" i="2"/>
  <c r="Q89" i="2"/>
  <c r="I61" i="2"/>
  <c r="P67" i="2"/>
  <c r="Q107" i="2"/>
  <c r="D58" i="2"/>
  <c r="S98" i="2"/>
  <c r="W55" i="2"/>
  <c r="H41" i="2"/>
  <c r="P86" i="2"/>
  <c r="T69" i="2"/>
  <c r="E68" i="2"/>
  <c r="D56" i="2"/>
  <c r="E42" i="2"/>
  <c r="O79" i="2"/>
  <c r="G88" i="2"/>
  <c r="Q65" i="2"/>
  <c r="Q99" i="2"/>
  <c r="U78" i="2"/>
  <c r="L91" i="2"/>
  <c r="T56" i="2"/>
  <c r="R97" i="2"/>
  <c r="E56" i="2"/>
  <c r="I109" i="2"/>
  <c r="S105" i="2"/>
  <c r="N66" i="2"/>
  <c r="J62" i="2"/>
  <c r="L86" i="2"/>
  <c r="U79" i="2"/>
  <c r="M113" i="2"/>
  <c r="C45" i="2"/>
  <c r="V96" i="2"/>
  <c r="L84" i="2"/>
  <c r="O45" i="2"/>
  <c r="N46" i="2"/>
  <c r="H51" i="2"/>
  <c r="H112" i="2"/>
  <c r="O87" i="2"/>
  <c r="O107" i="2"/>
  <c r="M60" i="2"/>
  <c r="H68" i="2"/>
  <c r="W41" i="2"/>
  <c r="Q94" i="2"/>
  <c r="M67" i="2"/>
  <c r="G82" i="2"/>
  <c r="U71" i="2"/>
  <c r="F47" i="2"/>
  <c r="W81" i="2"/>
  <c r="J84" i="2"/>
  <c r="L62" i="2"/>
  <c r="R108" i="2"/>
  <c r="I70" i="2"/>
  <c r="C43" i="2"/>
  <c r="C83" i="2"/>
  <c r="I59" i="2"/>
  <c r="U93" i="2"/>
  <c r="E59" i="2"/>
  <c r="U109" i="2"/>
  <c r="L63" i="2"/>
  <c r="C86" i="2"/>
  <c r="S49" i="2"/>
  <c r="X84" i="2"/>
  <c r="V74" i="2"/>
  <c r="F69" i="2"/>
  <c r="S88" i="2"/>
  <c r="F96" i="2"/>
  <c r="L107" i="2"/>
  <c r="L110" i="2"/>
  <c r="N49" i="2"/>
  <c r="H95" i="2"/>
  <c r="P62" i="2"/>
  <c r="W86" i="2"/>
  <c r="E71" i="2"/>
  <c r="N68" i="2"/>
  <c r="V86" i="2"/>
  <c r="J79" i="2"/>
  <c r="G66" i="2"/>
  <c r="M53" i="2"/>
  <c r="I73" i="2"/>
  <c r="W50" i="2"/>
  <c r="C67" i="2"/>
  <c r="U63" i="2"/>
  <c r="H77" i="2"/>
  <c r="M107" i="2"/>
  <c r="T80" i="2"/>
  <c r="J87" i="2"/>
  <c r="V85" i="2"/>
  <c r="K51" i="2"/>
  <c r="P41" i="2"/>
  <c r="G91" i="2"/>
  <c r="O51" i="2"/>
  <c r="D74" i="2"/>
  <c r="E106" i="2"/>
  <c r="S93" i="2"/>
  <c r="O91" i="2"/>
  <c r="I71" i="2"/>
  <c r="W87" i="2"/>
  <c r="N113" i="2"/>
  <c r="M89" i="2"/>
  <c r="U112" i="2"/>
  <c r="U107" i="2"/>
  <c r="X112" i="2"/>
  <c r="I55" i="2"/>
  <c r="L48" i="2"/>
  <c r="K107" i="2"/>
  <c r="X56" i="2"/>
  <c r="E86" i="2"/>
  <c r="S46" i="2"/>
  <c r="H40" i="2"/>
  <c r="S111" i="2"/>
  <c r="K89" i="2"/>
  <c r="M69" i="2"/>
  <c r="Q48" i="2"/>
  <c r="X81" i="2"/>
  <c r="E47" i="2"/>
  <c r="X62" i="2"/>
  <c r="U45" i="2"/>
  <c r="S60" i="2"/>
  <c r="R93" i="2"/>
  <c r="T107" i="2"/>
  <c r="W79" i="2"/>
  <c r="N62" i="2"/>
  <c r="W60" i="2"/>
  <c r="C55" i="2"/>
  <c r="N41" i="2"/>
  <c r="T75" i="2"/>
  <c r="S96" i="2"/>
  <c r="E43" i="2"/>
  <c r="W63" i="2"/>
  <c r="W97" i="2"/>
  <c r="L65" i="2"/>
  <c r="F44" i="2"/>
  <c r="G90" i="2"/>
  <c r="S112" i="2"/>
  <c r="X43" i="2"/>
  <c r="L104" i="2"/>
  <c r="M56" i="2"/>
  <c r="D41" i="2"/>
  <c r="I96" i="2"/>
  <c r="C110" i="2"/>
  <c r="F50" i="2"/>
  <c r="G80" i="2"/>
  <c r="T48" i="2"/>
  <c r="P85" i="2"/>
  <c r="H75" i="2"/>
  <c r="W88" i="2"/>
  <c r="L112" i="2"/>
  <c r="L61" i="2"/>
  <c r="Q76" i="2"/>
  <c r="X80" i="2"/>
  <c r="O48" i="2"/>
  <c r="U53" i="2"/>
  <c r="W53" i="2"/>
  <c r="H82" i="2"/>
  <c r="I108" i="2"/>
  <c r="X74" i="2"/>
  <c r="S109" i="2"/>
  <c r="H106" i="2"/>
  <c r="V99" i="2"/>
  <c r="S58" i="2"/>
  <c r="U105" i="2"/>
  <c r="Q61" i="2"/>
  <c r="J41" i="2"/>
  <c r="L94" i="2"/>
  <c r="S69" i="2"/>
  <c r="J96" i="2"/>
  <c r="E105" i="2"/>
  <c r="R96" i="2"/>
  <c r="N93" i="2"/>
  <c r="U65" i="2"/>
  <c r="H55" i="2"/>
  <c r="D48" i="2"/>
  <c r="L109" i="2"/>
  <c r="K85" i="2"/>
  <c r="I79" i="2"/>
  <c r="I67" i="2"/>
  <c r="C57" i="2"/>
  <c r="K78" i="2"/>
  <c r="H88" i="2"/>
  <c r="P73" i="2"/>
  <c r="N75" i="2"/>
  <c r="W52" i="2"/>
  <c r="J81" i="2"/>
  <c r="G89" i="2"/>
  <c r="N58" i="2"/>
  <c r="R85" i="2"/>
  <c r="N88" i="2"/>
  <c r="K98" i="2"/>
  <c r="M108" i="2"/>
  <c r="F91" i="2"/>
  <c r="F90" i="2"/>
  <c r="H46" i="2"/>
  <c r="U76" i="2"/>
  <c r="L44" i="2"/>
  <c r="J66" i="2"/>
  <c r="W68" i="2"/>
  <c r="M87" i="2"/>
  <c r="Q113" i="2"/>
  <c r="K69" i="2"/>
  <c r="J109" i="2"/>
  <c r="U110" i="2"/>
  <c r="C73" i="2"/>
  <c r="D72" i="2"/>
  <c r="P108" i="2"/>
  <c r="I56" i="2"/>
  <c r="E77" i="2"/>
  <c r="M43" i="2"/>
  <c r="I104" i="2"/>
  <c r="H83" i="2"/>
  <c r="N64" i="2"/>
  <c r="N91" i="2"/>
  <c r="I47" i="2"/>
  <c r="D96" i="2"/>
  <c r="W62" i="2"/>
  <c r="O44" i="2"/>
  <c r="V104" i="2"/>
  <c r="V92" i="2"/>
  <c r="O97" i="2"/>
  <c r="Q88" i="2"/>
  <c r="M65" i="2"/>
  <c r="M74" i="2"/>
  <c r="R67" i="2"/>
  <c r="W47" i="2"/>
  <c r="R64" i="2"/>
  <c r="H76" i="2"/>
  <c r="H81" i="2"/>
  <c r="Q95" i="2"/>
  <c r="T42" i="2"/>
  <c r="J93" i="2"/>
  <c r="I86" i="2"/>
  <c r="K83" i="2"/>
  <c r="Q63" i="2"/>
  <c r="M98" i="2"/>
  <c r="S94" i="2"/>
  <c r="Q41" i="2"/>
  <c r="X61" i="2"/>
  <c r="F60" i="2"/>
  <c r="F64" i="2"/>
  <c r="G105" i="2"/>
  <c r="C69" i="2"/>
  <c r="I54" i="2"/>
  <c r="K81" i="2"/>
  <c r="G52" i="2"/>
  <c r="G106" i="2"/>
  <c r="O86" i="2"/>
  <c r="V59" i="2"/>
  <c r="T87" i="2"/>
  <c r="K105" i="2"/>
  <c r="D44" i="2"/>
  <c r="J108" i="2"/>
  <c r="T86" i="2"/>
  <c r="P55" i="2"/>
  <c r="U49" i="2"/>
  <c r="G68" i="2"/>
  <c r="U92" i="2"/>
  <c r="C64" i="2"/>
  <c r="S54" i="2"/>
  <c r="M92" i="2"/>
  <c r="G108" i="2"/>
  <c r="G98" i="2"/>
  <c r="X83" i="2"/>
  <c r="R89" i="2"/>
  <c r="R42" i="2"/>
  <c r="T113" i="2"/>
  <c r="L67" i="2"/>
  <c r="J86" i="2"/>
  <c r="I95" i="2"/>
  <c r="N107" i="2"/>
  <c r="K86" i="2"/>
  <c r="D62" i="2"/>
  <c r="H50" i="2"/>
  <c r="M91" i="2"/>
  <c r="N89" i="2"/>
  <c r="T111" i="2"/>
  <c r="J78" i="2"/>
  <c r="L47" i="2"/>
  <c r="S71" i="2"/>
  <c r="I105" i="2"/>
  <c r="K84" i="2"/>
  <c r="P89" i="2"/>
  <c r="C91" i="2"/>
  <c r="X93" i="2"/>
  <c r="F42" i="2"/>
  <c r="W94" i="2"/>
  <c r="O104" i="2"/>
  <c r="W69" i="2"/>
  <c r="S106" i="2"/>
  <c r="P94" i="2"/>
  <c r="E95" i="2"/>
  <c r="L51" i="2"/>
  <c r="R51" i="2"/>
  <c r="P92" i="2"/>
  <c r="H44" i="2"/>
  <c r="F41" i="2"/>
  <c r="T110" i="2"/>
  <c r="E41" i="2"/>
  <c r="H85" i="2"/>
  <c r="K112" i="2"/>
  <c r="P59" i="2"/>
  <c r="C44" i="2"/>
  <c r="L73" i="2"/>
  <c r="R74" i="2"/>
  <c r="S40" i="2"/>
  <c r="P99" i="2"/>
  <c r="J74" i="2"/>
  <c r="W44" i="2"/>
  <c r="Q62" i="2"/>
  <c r="G65" i="2"/>
  <c r="N65" i="2"/>
  <c r="D90" i="2"/>
  <c r="H104" i="2"/>
  <c r="I52" i="2"/>
  <c r="J80" i="2"/>
  <c r="U46" i="2"/>
  <c r="R45" i="2"/>
  <c r="E87" i="2"/>
  <c r="L78" i="2"/>
  <c r="W89" i="2"/>
  <c r="S76" i="2"/>
  <c r="D75" i="2"/>
  <c r="D67" i="2"/>
  <c r="P64" i="2"/>
  <c r="F61" i="2"/>
  <c r="X71" i="2"/>
  <c r="U62" i="2"/>
  <c r="G42" i="2"/>
  <c r="U55" i="2"/>
  <c r="E73" i="2"/>
  <c r="N44" i="2"/>
  <c r="Q73" i="2"/>
  <c r="G94" i="2"/>
  <c r="R83" i="2"/>
  <c r="R50" i="2"/>
  <c r="O78" i="2"/>
  <c r="O113" i="2"/>
  <c r="S110" i="2"/>
  <c r="I53" i="2"/>
  <c r="V94" i="2"/>
  <c r="D109" i="2"/>
  <c r="P98" i="2"/>
  <c r="X52" i="2"/>
  <c r="F94" i="2"/>
  <c r="N69" i="2"/>
  <c r="X58" i="2"/>
  <c r="O57" i="2"/>
  <c r="R77" i="2"/>
  <c r="U75" i="2"/>
  <c r="I66" i="2"/>
  <c r="K91" i="2"/>
  <c r="J50" i="2"/>
  <c r="K67" i="2"/>
  <c r="J106" i="2"/>
  <c r="P63" i="2"/>
  <c r="C89" i="2"/>
  <c r="J89" i="2"/>
  <c r="H63" i="2"/>
  <c r="S84" i="2"/>
  <c r="J48" i="2"/>
  <c r="J45" i="2"/>
  <c r="I111" i="2"/>
  <c r="L90" i="2"/>
  <c r="D64" i="2"/>
  <c r="S85" i="2"/>
  <c r="W84" i="2"/>
  <c r="V42" i="2"/>
  <c r="K41" i="2"/>
  <c r="T85" i="2"/>
  <c r="P111" i="2"/>
  <c r="P79" i="2"/>
  <c r="L82" i="2"/>
  <c r="U111" i="2"/>
  <c r="E104" i="2"/>
  <c r="D97" i="2"/>
  <c r="X47" i="2"/>
  <c r="L71" i="2"/>
  <c r="F99" i="2"/>
  <c r="F112" i="2"/>
  <c r="H108" i="2"/>
  <c r="R41" i="2"/>
  <c r="O69" i="2"/>
  <c r="V78" i="2"/>
  <c r="G70" i="2"/>
  <c r="X70" i="2"/>
  <c r="L111" i="2"/>
  <c r="M63" i="2"/>
  <c r="P57" i="2"/>
  <c r="V113" i="2"/>
  <c r="P112" i="2"/>
  <c r="U48" i="2"/>
  <c r="G81" i="2"/>
  <c r="T108" i="2"/>
  <c r="T74" i="2"/>
  <c r="W92" i="2"/>
  <c r="D98" i="2"/>
  <c r="G87" i="2"/>
  <c r="C99" i="2"/>
  <c r="D84" i="2"/>
  <c r="L75" i="2"/>
  <c r="V109" i="2"/>
  <c r="N57" i="2"/>
  <c r="D110" i="2"/>
  <c r="C54" i="2"/>
  <c r="G46" i="2"/>
  <c r="O74" i="2"/>
  <c r="V71" i="2"/>
  <c r="G79" i="2"/>
  <c r="H57" i="2"/>
  <c r="G86" i="2"/>
  <c r="V65" i="2"/>
  <c r="M58" i="2"/>
  <c r="K65" i="2"/>
  <c r="N74" i="2"/>
  <c r="S63" i="2"/>
  <c r="W51" i="2"/>
  <c r="P44" i="2"/>
  <c r="R55" i="2"/>
  <c r="E96" i="2"/>
  <c r="K75" i="2"/>
  <c r="G109" i="2"/>
  <c r="S113" i="2"/>
  <c r="N43" i="2"/>
  <c r="U73" i="2"/>
  <c r="O98" i="2"/>
  <c r="V56" i="2"/>
  <c r="K73" i="2"/>
  <c r="W57" i="2"/>
  <c r="G61" i="2"/>
  <c r="J82" i="2"/>
  <c r="R44" i="2"/>
  <c r="M45" i="2"/>
  <c r="J46" i="2"/>
  <c r="U44" i="2"/>
  <c r="X44" i="2"/>
  <c r="L95" i="2"/>
  <c r="F73" i="2"/>
  <c r="R76" i="2"/>
  <c r="D81" i="2"/>
  <c r="E99" i="2"/>
  <c r="P48" i="2"/>
  <c r="G111" i="2"/>
  <c r="G64" i="2"/>
  <c r="U94" i="2"/>
  <c r="T84" i="2"/>
  <c r="O67" i="2"/>
  <c r="H94" i="2"/>
  <c r="W107" i="2"/>
  <c r="X85" i="2"/>
  <c r="I107" i="2"/>
  <c r="K93" i="2"/>
  <c r="G95" i="2"/>
  <c r="V77" i="2"/>
  <c r="L43" i="2"/>
  <c r="N40" i="2"/>
  <c r="E40" i="2"/>
  <c r="O61" i="2"/>
  <c r="M93" i="2"/>
  <c r="M61" i="2"/>
  <c r="U96" i="2"/>
  <c r="X40" i="2"/>
  <c r="E79" i="2"/>
  <c r="X59" i="2"/>
  <c r="D53" i="2"/>
  <c r="L92" i="2"/>
  <c r="F48" i="2"/>
  <c r="Q44" i="2"/>
  <c r="L41" i="2"/>
  <c r="H79" i="2"/>
  <c r="W40" i="2"/>
  <c r="N86" i="2"/>
  <c r="K109" i="2"/>
  <c r="Q90" i="2"/>
  <c r="K52" i="2"/>
  <c r="T61" i="2"/>
  <c r="C104" i="2"/>
  <c r="G92" i="2"/>
  <c r="W111" i="2"/>
  <c r="M40" i="2"/>
  <c r="J107" i="2"/>
  <c r="O49" i="2"/>
  <c r="M81" i="2"/>
  <c r="D77" i="2"/>
  <c r="P56" i="2"/>
  <c r="U90" i="2"/>
  <c r="R94" i="2"/>
  <c r="Q50" i="2"/>
  <c r="H71" i="2"/>
  <c r="D99" i="2"/>
  <c r="F110" i="2"/>
  <c r="N108" i="2"/>
  <c r="K57" i="2"/>
  <c r="O111" i="2"/>
  <c r="T60" i="2"/>
  <c r="N97" i="2"/>
  <c r="K68" i="2"/>
  <c r="I97" i="2"/>
  <c r="Q51" i="2"/>
  <c r="K58" i="2"/>
  <c r="J73" i="2"/>
  <c r="M111" i="2"/>
  <c r="U83" i="2"/>
  <c r="M104" i="2"/>
  <c r="G74" i="2"/>
  <c r="D60" i="2"/>
  <c r="Q81" i="2"/>
  <c r="I74" i="2"/>
  <c r="J55" i="2"/>
  <c r="E92" i="2"/>
  <c r="O94" i="2"/>
  <c r="D50" i="2"/>
  <c r="W91" i="2"/>
  <c r="S52" i="2"/>
  <c r="L70" i="2"/>
  <c r="G107" i="2"/>
  <c r="O75" i="2"/>
  <c r="L42" i="2"/>
  <c r="N53" i="2"/>
  <c r="G49" i="2"/>
  <c r="T93" i="2"/>
  <c r="M96" i="2"/>
  <c r="H107" i="2"/>
  <c r="L72" i="2"/>
  <c r="L46" i="2"/>
  <c r="M88" i="2"/>
  <c r="L55" i="2"/>
  <c r="M112" i="2"/>
  <c r="D107" i="2"/>
  <c r="M54" i="2"/>
  <c r="V47" i="2"/>
  <c r="N42" i="2"/>
  <c r="R62" i="2"/>
  <c r="M49" i="2"/>
  <c r="M106" i="2"/>
  <c r="R111" i="2"/>
  <c r="S81" i="2"/>
  <c r="J42" i="2"/>
  <c r="D106" i="2"/>
  <c r="P80" i="2"/>
  <c r="S44" i="2"/>
  <c r="E98" i="2"/>
  <c r="O112" i="2"/>
  <c r="T88" i="2"/>
  <c r="U98" i="2"/>
  <c r="T95" i="2"/>
  <c r="U56" i="2"/>
  <c r="T44" i="2"/>
  <c r="C80" i="2"/>
  <c r="H52" i="2"/>
  <c r="V55" i="2"/>
  <c r="U87" i="2"/>
  <c r="J98" i="2"/>
  <c r="W99" i="2"/>
  <c r="Q70" i="2"/>
  <c r="K111" i="2"/>
  <c r="V107" i="2"/>
  <c r="E84" i="2"/>
  <c r="H113" i="2"/>
  <c r="D68" i="2"/>
  <c r="X42" i="2"/>
  <c r="I57" i="2"/>
  <c r="P65" i="2"/>
  <c r="L77" i="2"/>
  <c r="X91" i="2"/>
  <c r="R86" i="2"/>
  <c r="S66" i="2"/>
  <c r="D88" i="2"/>
  <c r="E80" i="2"/>
  <c r="M95" i="2"/>
  <c r="M71" i="2"/>
  <c r="S82" i="2"/>
  <c r="J53" i="2"/>
  <c r="T72" i="2"/>
  <c r="K72" i="2"/>
  <c r="F98" i="2"/>
  <c r="D93" i="2"/>
  <c r="M105" i="2"/>
  <c r="W90" i="2"/>
  <c r="D45" i="2"/>
  <c r="J91" i="2"/>
  <c r="V49" i="2"/>
  <c r="L85" i="2"/>
  <c r="U67" i="2"/>
  <c r="W105" i="2"/>
  <c r="G55" i="2"/>
  <c r="C77" i="2"/>
  <c r="O42" i="2"/>
  <c r="E61" i="2"/>
  <c r="T46" i="2"/>
  <c r="H48" i="2"/>
  <c r="L96" i="2"/>
  <c r="O73" i="2"/>
  <c r="N56" i="2"/>
  <c r="K80" i="2"/>
  <c r="G60" i="2"/>
  <c r="E94" i="2"/>
  <c r="U40" i="2"/>
  <c r="C87" i="2"/>
  <c r="N84" i="2"/>
  <c r="P42" i="2"/>
  <c r="T66" i="2"/>
  <c r="D104" i="2"/>
  <c r="Q53" i="2"/>
  <c r="C107" i="2"/>
  <c r="C88" i="2"/>
  <c r="R106" i="2"/>
  <c r="R70" i="2"/>
  <c r="S64" i="2"/>
  <c r="C62" i="2"/>
  <c r="F111" i="2"/>
  <c r="R43" i="2"/>
  <c r="G96" i="2"/>
  <c r="F74" i="2"/>
  <c r="M77" i="2"/>
  <c r="V84" i="2"/>
  <c r="P83" i="2"/>
  <c r="F65" i="2"/>
  <c r="V58" i="2"/>
  <c r="R63" i="2"/>
  <c r="X79" i="2"/>
  <c r="E110" i="2"/>
  <c r="U108" i="2"/>
  <c r="T82" i="2"/>
  <c r="N80" i="2"/>
  <c r="U88" i="2"/>
  <c r="P90" i="2"/>
  <c r="U64" i="2"/>
  <c r="R110" i="2"/>
  <c r="W95" i="2"/>
  <c r="G56" i="2"/>
  <c r="V105" i="2"/>
  <c r="E60" i="2"/>
  <c r="N76" i="2"/>
  <c r="P49" i="2"/>
  <c r="S91" i="2"/>
  <c r="J40" i="2"/>
  <c r="E97" i="2"/>
  <c r="H90" i="2"/>
  <c r="L89" i="2"/>
  <c r="K40" i="2"/>
  <c r="N67" i="2"/>
  <c r="G84" i="2"/>
  <c r="R112" i="2"/>
  <c r="D85" i="2"/>
  <c r="I77" i="2"/>
  <c r="U42" i="2"/>
  <c r="F84" i="2"/>
  <c r="C63" i="2"/>
  <c r="L108" i="2"/>
  <c r="T49" i="2"/>
  <c r="P105" i="2"/>
  <c r="O81" i="2"/>
  <c r="J44" i="2"/>
  <c r="N82" i="2"/>
  <c r="E89" i="2"/>
  <c r="I62" i="2"/>
  <c r="W49" i="2"/>
  <c r="D65" i="2"/>
  <c r="V108" i="2"/>
  <c r="V60" i="2"/>
  <c r="S70" i="2"/>
  <c r="U72" i="2"/>
  <c r="H43" i="2"/>
  <c r="Q52" i="2"/>
  <c r="P61" i="2"/>
  <c r="W104" i="2"/>
  <c r="M46" i="2"/>
  <c r="H97" i="2"/>
  <c r="T71" i="2"/>
  <c r="S99" i="2"/>
  <c r="K49" i="2"/>
  <c r="F55" i="2"/>
  <c r="T92" i="2"/>
  <c r="Q40" i="2"/>
  <c r="G54" i="2"/>
  <c r="N51" i="2"/>
  <c r="J85" i="2"/>
  <c r="D49" i="2"/>
  <c r="M72" i="2"/>
  <c r="N95" i="2"/>
  <c r="G93" i="2"/>
  <c r="K63" i="2"/>
  <c r="L50" i="2"/>
  <c r="P52" i="2"/>
  <c r="N60" i="2"/>
  <c r="P106" i="2"/>
  <c r="K55" i="2"/>
  <c r="V63" i="2"/>
  <c r="F79" i="2"/>
  <c r="G110" i="2"/>
  <c r="C92" i="2"/>
  <c r="J57" i="2"/>
  <c r="V40" i="2"/>
  <c r="O58" i="2"/>
  <c r="R59" i="2"/>
  <c r="V61" i="2"/>
  <c r="T112" i="2"/>
  <c r="M42" i="2"/>
  <c r="O41" i="2"/>
  <c r="V46" i="2"/>
  <c r="U57" i="2"/>
  <c r="O65" i="2"/>
  <c r="O52" i="2"/>
  <c r="F76" i="2"/>
  <c r="C85" i="2"/>
  <c r="M48" i="2"/>
  <c r="I72" i="2"/>
  <c r="Q96" i="2"/>
  <c r="W75" i="2"/>
  <c r="G40" i="2"/>
  <c r="X111" i="2"/>
  <c r="L54" i="2"/>
  <c r="I84" i="2"/>
  <c r="K106" i="2"/>
  <c r="W78" i="2"/>
  <c r="D69" i="2"/>
  <c r="S50" i="2"/>
  <c r="N61" i="2"/>
  <c r="N55" i="2"/>
  <c r="W93" i="2"/>
  <c r="C50" i="2"/>
  <c r="P97" i="2"/>
  <c r="U47" i="2"/>
  <c r="J52" i="2"/>
  <c r="J70" i="2"/>
  <c r="V93" i="2"/>
  <c r="D82" i="2"/>
  <c r="N85" i="2"/>
  <c r="Q60" i="2"/>
  <c r="K90" i="2"/>
  <c r="U84" i="2"/>
  <c r="U95" i="2"/>
  <c r="O95" i="2"/>
  <c r="L59" i="2"/>
  <c r="U81" i="2"/>
  <c r="R79" i="2"/>
  <c r="P54" i="2"/>
  <c r="O63" i="2"/>
  <c r="E91" i="2"/>
  <c r="O76" i="2"/>
  <c r="K48" i="2"/>
  <c r="W98" i="2"/>
  <c r="R105" i="2"/>
  <c r="R109" i="2"/>
  <c r="J69" i="2"/>
  <c r="V48" i="2"/>
  <c r="H60" i="2"/>
  <c r="F53" i="2"/>
  <c r="P93" i="2"/>
  <c r="U59" i="2"/>
  <c r="W54" i="2"/>
  <c r="M75" i="2"/>
  <c r="I80" i="2"/>
  <c r="Q106" i="2"/>
  <c r="W67" i="2"/>
  <c r="L76" i="2"/>
  <c r="S53" i="2"/>
  <c r="I88" i="2"/>
  <c r="F77" i="2"/>
  <c r="G72" i="2"/>
  <c r="W73" i="2"/>
  <c r="S51" i="2"/>
  <c r="F107" i="2"/>
  <c r="X69" i="2"/>
  <c r="S104" i="2"/>
  <c r="O66" i="2"/>
  <c r="G85" i="2"/>
  <c r="P95" i="2"/>
  <c r="W48" i="2"/>
  <c r="C70" i="2"/>
  <c r="R75" i="2"/>
  <c r="Q74" i="2"/>
  <c r="K108" i="2"/>
  <c r="R87" i="2"/>
  <c r="V53" i="2"/>
  <c r="F58" i="2"/>
  <c r="U70" i="2"/>
  <c r="J72" i="2"/>
  <c r="R80" i="2"/>
  <c r="K110" i="2"/>
  <c r="W108" i="2"/>
  <c r="E108" i="2"/>
  <c r="P51" i="2"/>
  <c r="I68" i="2"/>
  <c r="P45" i="2"/>
  <c r="X72" i="2"/>
  <c r="T47" i="2"/>
  <c r="M97" i="2"/>
  <c r="S68" i="2"/>
  <c r="X53" i="2"/>
  <c r="I87" i="2"/>
  <c r="X86" i="2"/>
  <c r="X87" i="2"/>
  <c r="S107" i="2"/>
  <c r="J59" i="2"/>
  <c r="X105" i="2"/>
  <c r="T50" i="2"/>
  <c r="H110" i="2"/>
  <c r="F67" i="2"/>
  <c r="C82" i="2"/>
  <c r="F113" i="2"/>
  <c r="D63" i="2"/>
  <c r="W58" i="2"/>
  <c r="I94" i="2"/>
  <c r="M50" i="2"/>
  <c r="T91" i="2"/>
  <c r="G104" i="2"/>
  <c r="T97" i="2"/>
  <c r="J68" i="2"/>
  <c r="N78" i="2"/>
  <c r="M55" i="2"/>
  <c r="S57" i="2"/>
  <c r="D66" i="2"/>
  <c r="G78" i="2"/>
  <c r="N109" i="2"/>
  <c r="X65" i="2"/>
  <c r="M76" i="2"/>
  <c r="Q85" i="2"/>
  <c r="Q108" i="2"/>
  <c r="F62" i="2"/>
  <c r="K56" i="2"/>
  <c r="G57" i="2"/>
  <c r="C76" i="2"/>
  <c r="D42" i="2"/>
  <c r="W110" i="2"/>
  <c r="D112" i="2"/>
  <c r="J97" i="2"/>
  <c r="C79" i="2"/>
  <c r="E75" i="2"/>
  <c r="G41" i="2"/>
  <c r="X67" i="2"/>
  <c r="K74" i="2"/>
  <c r="E66" i="2"/>
  <c r="I64" i="2"/>
  <c r="F80" i="2"/>
  <c r="V45" i="2"/>
  <c r="U89" i="2"/>
  <c r="C98" i="2"/>
  <c r="W77" i="2"/>
  <c r="M59" i="2"/>
  <c r="F52" i="2"/>
  <c r="O59" i="2"/>
  <c r="X78" i="2"/>
  <c r="F40" i="2"/>
  <c r="K42" i="2"/>
  <c r="E44" i="2"/>
  <c r="H65" i="2"/>
  <c r="V88" i="2"/>
  <c r="J94" i="2"/>
  <c r="W71" i="2"/>
  <c r="F72" i="2"/>
  <c r="M51" i="2"/>
  <c r="P46" i="2"/>
  <c r="F43" i="2"/>
  <c r="K71" i="2"/>
  <c r="P82" i="2"/>
  <c r="Q79" i="2"/>
  <c r="F87" i="2"/>
  <c r="F45" i="2"/>
  <c r="H67" i="2"/>
  <c r="C84" i="2"/>
  <c r="Q75" i="2"/>
  <c r="X109" i="2"/>
  <c r="H53" i="2"/>
  <c r="I110" i="2"/>
  <c r="N98" i="2"/>
  <c r="P72" i="2"/>
  <c r="E76" i="2"/>
  <c r="V82" i="2"/>
  <c r="N94" i="2"/>
  <c r="X64" i="2"/>
  <c r="T109" i="2"/>
  <c r="O105" i="2"/>
  <c r="L81" i="2"/>
  <c r="P109" i="2"/>
  <c r="K50" i="2"/>
  <c r="C41" i="2"/>
  <c r="C97" i="2"/>
  <c r="O62" i="2"/>
  <c r="Q105" i="2"/>
  <c r="I106" i="2"/>
  <c r="U80" i="2"/>
  <c r="R104" i="2"/>
  <c r="X94" i="2"/>
  <c r="E50" i="2"/>
  <c r="R82" i="2"/>
  <c r="Q77" i="2"/>
  <c r="S59" i="2"/>
  <c r="N112" i="2"/>
  <c r="R88" i="2"/>
  <c r="N96" i="2"/>
  <c r="N106" i="2"/>
  <c r="C52" i="2"/>
  <c r="P76" i="2"/>
  <c r="I82" i="2"/>
  <c r="C58" i="2"/>
  <c r="D108" i="2"/>
  <c r="E64" i="2"/>
  <c r="H84" i="2"/>
  <c r="F105" i="2"/>
  <c r="M47" i="2"/>
  <c r="L88" i="2"/>
  <c r="N50" i="2"/>
  <c r="W59" i="2"/>
  <c r="Q93" i="2"/>
  <c r="C78" i="2"/>
  <c r="U74" i="2"/>
  <c r="K88" i="2"/>
  <c r="I50" i="2"/>
  <c r="P74" i="2"/>
  <c r="E107" i="2"/>
  <c r="D46" i="2"/>
  <c r="S87" i="2"/>
  <c r="N47" i="2"/>
  <c r="R98" i="2"/>
  <c r="O84" i="2"/>
  <c r="V41" i="2"/>
  <c r="W45" i="2"/>
  <c r="M73" i="2"/>
  <c r="D51" i="2"/>
  <c r="W96" i="2"/>
  <c r="S75" i="2"/>
  <c r="K95" i="2"/>
  <c r="S86" i="2"/>
  <c r="T54" i="2"/>
  <c r="I40" i="2"/>
  <c r="F85" i="2"/>
  <c r="U106" i="2"/>
  <c r="M109" i="2"/>
  <c r="K61" i="2"/>
  <c r="L106" i="2"/>
  <c r="G73" i="2"/>
  <c r="D54" i="2"/>
  <c r="G67" i="2"/>
  <c r="X54" i="2"/>
  <c r="C53" i="2"/>
  <c r="J75" i="2"/>
  <c r="U61" i="2"/>
  <c r="D83" i="2"/>
  <c r="R57" i="2"/>
  <c r="T89" i="2"/>
  <c r="X75" i="2"/>
  <c r="I65" i="2"/>
  <c r="N81" i="2"/>
  <c r="D95" i="2"/>
  <c r="G99" i="2"/>
  <c r="L60" i="2"/>
  <c r="T58" i="2"/>
  <c r="J67" i="2"/>
  <c r="H59" i="2"/>
  <c r="F66" i="2"/>
  <c r="J71" i="2"/>
  <c r="P107" i="2"/>
  <c r="K97" i="2"/>
  <c r="H87" i="2"/>
  <c r="R78" i="2"/>
  <c r="O89" i="2"/>
  <c r="J92" i="2"/>
  <c r="T77" i="2"/>
  <c r="S72" i="2"/>
  <c r="V67" i="2"/>
  <c r="P58" i="2"/>
  <c r="W56" i="2"/>
  <c r="I48" i="2"/>
  <c r="S79" i="2"/>
  <c r="L53" i="2"/>
  <c r="C72" i="2"/>
  <c r="J61" i="2"/>
  <c r="I44" i="2"/>
  <c r="P84" i="2"/>
  <c r="C94" i="2"/>
  <c r="X55" i="2"/>
  <c r="S74" i="2"/>
  <c r="W85" i="2"/>
  <c r="J51" i="2"/>
  <c r="Q64" i="2"/>
  <c r="X110" i="2"/>
  <c r="I58" i="2"/>
  <c r="D61" i="2"/>
  <c r="V44" i="2"/>
  <c r="K79" i="2"/>
  <c r="H72" i="2"/>
  <c r="F108" i="2"/>
  <c r="W42" i="2"/>
  <c r="E83" i="2"/>
  <c r="J105" i="2"/>
  <c r="G69" i="2"/>
  <c r="E58" i="2"/>
  <c r="X82" i="2"/>
  <c r="E72" i="2"/>
  <c r="M85" i="2"/>
  <c r="C51" i="2"/>
  <c r="X96" i="2"/>
  <c r="V57" i="2"/>
  <c r="X108" i="2"/>
  <c r="J65" i="2"/>
  <c r="X89" i="2"/>
  <c r="R61" i="2"/>
  <c r="V43" i="2"/>
  <c r="X90" i="2"/>
  <c r="E69" i="2"/>
  <c r="O68" i="2"/>
  <c r="H86" i="2"/>
  <c r="V98" i="2"/>
  <c r="V68" i="2"/>
  <c r="C108" i="2"/>
  <c r="I112" i="2"/>
  <c r="X57" i="2"/>
  <c r="T41" i="2"/>
  <c r="E112" i="2"/>
  <c r="K70" i="2"/>
  <c r="U58" i="2"/>
  <c r="O82" i="2"/>
  <c r="H42" i="2"/>
  <c r="S56" i="2"/>
  <c r="R52" i="2"/>
  <c r="X98" i="2"/>
  <c r="P66" i="2"/>
  <c r="O99" i="2"/>
  <c r="N72" i="2"/>
  <c r="F82" i="2"/>
  <c r="X60" i="2"/>
  <c r="C42" i="2"/>
  <c r="G97" i="2"/>
  <c r="X77" i="2"/>
  <c r="H78" i="2"/>
  <c r="E88" i="2"/>
  <c r="T63" i="2"/>
  <c r="K53" i="2"/>
  <c r="C66" i="2"/>
  <c r="E55" i="2"/>
  <c r="C46" i="2"/>
  <c r="J104" i="2"/>
  <c r="H56" i="2"/>
  <c r="F56" i="2"/>
  <c r="E113" i="2"/>
  <c r="M79" i="2"/>
  <c r="J56" i="2"/>
  <c r="E70" i="2"/>
  <c r="I113" i="2"/>
  <c r="D89" i="2"/>
  <c r="K66" i="2"/>
  <c r="F83" i="2"/>
  <c r="N70" i="2"/>
  <c r="N59" i="2"/>
  <c r="H96" i="2"/>
  <c r="S95" i="2"/>
  <c r="L113" i="2"/>
  <c r="E62" i="2"/>
  <c r="U60" i="2"/>
  <c r="E54" i="2"/>
  <c r="L45" i="2"/>
  <c r="J88" i="2"/>
  <c r="J76" i="2"/>
  <c r="G76" i="2"/>
  <c r="I85" i="2"/>
  <c r="V91" i="2"/>
  <c r="I45" i="2"/>
  <c r="Q97" i="2"/>
  <c r="J64" i="2"/>
  <c r="L52" i="2"/>
  <c r="P60" i="2"/>
  <c r="G63" i="2"/>
  <c r="F95" i="2"/>
  <c r="O80" i="2"/>
  <c r="J83" i="2"/>
  <c r="I41" i="2"/>
  <c r="D76" i="2"/>
  <c r="R68" i="2"/>
  <c r="V64" i="2"/>
  <c r="V97" i="2"/>
  <c r="Q84" i="2"/>
  <c r="C68" i="2"/>
  <c r="R49" i="2"/>
  <c r="R91" i="2"/>
  <c r="J54" i="2"/>
  <c r="D92" i="2"/>
  <c r="N48" i="2"/>
  <c r="F86" i="2"/>
  <c r="U104" i="2"/>
  <c r="I91" i="2"/>
  <c r="L58" i="2"/>
  <c r="I92" i="2"/>
  <c r="X49" i="2"/>
  <c r="X51" i="2"/>
  <c r="T43" i="2"/>
  <c r="G47" i="2"/>
  <c r="P81" i="2"/>
  <c r="U50" i="2"/>
  <c r="Q83" i="2"/>
  <c r="O40" i="2"/>
  <c r="D87" i="2"/>
  <c r="H111" i="2"/>
  <c r="R92" i="2"/>
  <c r="F97" i="2"/>
  <c r="N90" i="2"/>
  <c r="R90" i="2"/>
  <c r="V79" i="2"/>
  <c r="V110" i="2"/>
  <c r="R46" i="2"/>
  <c r="W82" i="2"/>
  <c r="T83" i="2"/>
  <c r="K96" i="2"/>
  <c r="R73" i="2"/>
  <c r="O47" i="2"/>
  <c r="R53" i="2"/>
  <c r="M44" i="2"/>
  <c r="J95" i="2"/>
  <c r="I89" i="2"/>
  <c r="N87" i="2"/>
  <c r="F81" i="2"/>
  <c r="J110" i="2"/>
  <c r="D80" i="2"/>
  <c r="S47" i="2"/>
  <c r="K82" i="2"/>
  <c r="J58" i="2"/>
  <c r="E57" i="2"/>
  <c r="H91" i="2"/>
  <c r="O72" i="2"/>
  <c r="P75" i="2"/>
  <c r="H70" i="2"/>
  <c r="J63" i="2"/>
  <c r="T90" i="2"/>
  <c r="Q98" i="2"/>
  <c r="R66" i="2"/>
  <c r="M110" i="2"/>
  <c r="F68" i="2"/>
  <c r="V72" i="2"/>
  <c r="P88" i="2"/>
  <c r="F104" i="2"/>
  <c r="C105" i="2"/>
  <c r="M70" i="2"/>
  <c r="R65" i="2"/>
  <c r="K45" i="2"/>
  <c r="M80" i="2"/>
  <c r="S67" i="2"/>
  <c r="C48" i="2"/>
  <c r="K113" i="2"/>
  <c r="R95" i="2"/>
  <c r="R99" i="2"/>
  <c r="V69" i="2"/>
  <c r="F63" i="2"/>
  <c r="X68" i="2"/>
  <c r="R69" i="2"/>
  <c r="L68" i="2"/>
  <c r="G62" i="2"/>
  <c r="E67" i="2"/>
  <c r="K92" i="2"/>
  <c r="C60" i="2"/>
  <c r="P87" i="2"/>
  <c r="Q47" i="2"/>
  <c r="Q87" i="2"/>
  <c r="M78" i="2"/>
  <c r="K104" i="2"/>
  <c r="G112" i="2"/>
  <c r="O92" i="2"/>
  <c r="O50" i="2"/>
  <c r="D57" i="2"/>
  <c r="W109" i="2"/>
  <c r="T96" i="2"/>
  <c r="O93" i="2"/>
  <c r="F71" i="2"/>
  <c r="T55" i="2"/>
  <c r="N111" i="2"/>
  <c r="H62" i="2"/>
  <c r="Q111" i="2"/>
  <c r="AA78" i="1" l="1"/>
  <c r="KA20" i="4"/>
  <c r="JT8" i="4"/>
  <c r="CA47" i="1"/>
  <c r="Z200" i="1"/>
  <c r="CI205" i="1"/>
  <c r="AA232" i="1"/>
  <c r="CL67" i="1"/>
  <c r="CL61" i="1"/>
  <c r="CL264" i="1" s="1"/>
  <c r="CL253" i="1"/>
  <c r="CD167" i="1"/>
  <c r="CH167" i="1"/>
  <c r="CG263" i="1"/>
  <c r="CC225" i="1"/>
  <c r="CC268" i="1"/>
  <c r="CE184" i="1"/>
  <c r="CE185" i="1" s="1"/>
  <c r="BL36" i="1"/>
  <c r="BL47" i="1"/>
  <c r="Z263" i="1"/>
  <c r="Z222" i="1"/>
  <c r="Z220" i="1" s="1"/>
  <c r="Z265" i="1"/>
  <c r="CG128" i="1"/>
  <c r="CH56" i="1"/>
  <c r="CH157" i="1"/>
  <c r="CI222" i="1" s="1"/>
  <c r="CI220" i="1" s="1"/>
  <c r="CI52" i="1"/>
  <c r="AL205" i="1"/>
  <c r="CA184" i="1"/>
  <c r="CC203" i="1"/>
  <c r="CD203" i="1" s="1"/>
  <c r="CD204" i="1" s="1"/>
  <c r="CA205" i="1"/>
  <c r="CI185" i="1"/>
  <c r="CJ38" i="1"/>
  <c r="CF220" i="1"/>
  <c r="Y217" i="1"/>
  <c r="CJ123" i="1"/>
  <c r="CJ122" i="1"/>
  <c r="AK184" i="1"/>
  <c r="AK185" i="1" s="1"/>
  <c r="CN6" i="1"/>
  <c r="AM184" i="1"/>
  <c r="AM185" i="1" s="1"/>
  <c r="B251" i="1"/>
  <c r="B252" i="1" s="1"/>
  <c r="B131" i="1"/>
  <c r="Z184" i="1"/>
  <c r="CC184" i="1"/>
  <c r="CA200" i="1"/>
  <c r="CB200" i="1" s="1"/>
  <c r="CB201" i="1" s="1"/>
  <c r="CK37" i="1"/>
  <c r="CG36" i="1"/>
  <c r="CD37" i="1"/>
  <c r="CM125" i="1"/>
  <c r="O36" i="1"/>
  <c r="O47" i="1"/>
  <c r="CH173" i="1"/>
  <c r="K47" i="1"/>
  <c r="B53" i="1"/>
  <c r="B57" i="1" s="1"/>
  <c r="B48" i="1"/>
  <c r="Q47" i="1"/>
  <c r="Q36" i="1"/>
  <c r="R37" i="1"/>
  <c r="BY38" i="1"/>
  <c r="BY36" i="1"/>
  <c r="BY47" i="1"/>
  <c r="BZ38" i="1"/>
  <c r="K36" i="1"/>
  <c r="L37" i="1"/>
  <c r="AI184" i="1"/>
  <c r="AJ157" i="1"/>
  <c r="AK52" i="1"/>
  <c r="CJ167" i="1"/>
  <c r="CK215" i="1" s="1"/>
  <c r="R36" i="1"/>
  <c r="R47" i="1"/>
  <c r="BY203" i="1"/>
  <c r="BZ203" i="1" s="1"/>
  <c r="BZ204" i="1" s="1"/>
  <c r="CG201" i="1"/>
  <c r="CH222" i="1"/>
  <c r="CH220" i="1" s="1"/>
  <c r="X265" i="1"/>
  <c r="CF38" i="1"/>
  <c r="CH84" i="1"/>
  <c r="CH9" i="1" s="1"/>
  <c r="BX48" i="1"/>
  <c r="BX251" i="1"/>
  <c r="BX252" i="1" s="1"/>
  <c r="BX53" i="1"/>
  <c r="BX57" i="1" s="1"/>
  <c r="M36" i="1"/>
  <c r="N37" i="1"/>
  <c r="M47" i="1"/>
  <c r="BL48" i="1"/>
  <c r="BL53" i="1"/>
  <c r="BL57" i="1" s="1"/>
  <c r="BL251" i="1"/>
  <c r="BL252" i="1" s="1"/>
  <c r="AM36" i="1"/>
  <c r="AM47" i="1"/>
  <c r="AM38" i="1"/>
  <c r="P36" i="1"/>
  <c r="Q37" i="1"/>
  <c r="P47" i="1"/>
  <c r="CI200" i="1"/>
  <c r="CJ200" i="1" s="1"/>
  <c r="CJ201" i="1" s="1"/>
  <c r="X263" i="1"/>
  <c r="X184" i="1"/>
  <c r="X185" i="1" s="1"/>
  <c r="Y222" i="1"/>
  <c r="Y220" i="1" s="1"/>
  <c r="V47" i="1"/>
  <c r="V36" i="1"/>
  <c r="CE38" i="1"/>
  <c r="CD47" i="1"/>
  <c r="CH37" i="1"/>
  <c r="CD36" i="1"/>
  <c r="CG83" i="1"/>
  <c r="CK60" i="1"/>
  <c r="CK59" i="1"/>
  <c r="Y185" i="1"/>
  <c r="CC185" i="1"/>
  <c r="CG265" i="1"/>
  <c r="CK216" i="1"/>
  <c r="CG53" i="1"/>
  <c r="CG57" i="1" s="1"/>
  <c r="CG251" i="1"/>
  <c r="CG252" i="1" s="1"/>
  <c r="CD176" i="1"/>
  <c r="CG48" i="1"/>
  <c r="CJ150" i="1"/>
  <c r="CH36" i="1"/>
  <c r="CH38" i="1"/>
  <c r="CD38" i="1"/>
  <c r="F36" i="1"/>
  <c r="F47" i="1"/>
  <c r="AL167" i="1"/>
  <c r="AL176" i="1" s="1"/>
  <c r="CA203" i="1"/>
  <c r="CB203" i="1" s="1"/>
  <c r="CB204" i="1" s="1"/>
  <c r="CB205" i="1" s="1"/>
  <c r="CK151" i="1"/>
  <c r="CK38" i="1"/>
  <c r="CJ47" i="1"/>
  <c r="CJ36" i="1"/>
  <c r="CG222" i="1"/>
  <c r="CG220" i="1" s="1"/>
  <c r="CB167" i="1"/>
  <c r="CB176" i="1" s="1"/>
  <c r="CD157" i="1"/>
  <c r="CE52" i="1"/>
  <c r="CH215" i="1"/>
  <c r="BZ167" i="1"/>
  <c r="BZ176" i="1" s="1"/>
  <c r="CA185" i="1"/>
  <c r="CB157" i="1"/>
  <c r="CC52" i="1"/>
  <c r="CG37" i="1"/>
  <c r="CC36" i="1"/>
  <c r="CC47" i="1"/>
  <c r="AN205" i="1"/>
  <c r="J36" i="1"/>
  <c r="J47" i="1"/>
  <c r="K37" i="1"/>
  <c r="CC38" i="1"/>
  <c r="CB38" i="1"/>
  <c r="CB36" i="1"/>
  <c r="CB37" i="1"/>
  <c r="CB47" i="1"/>
  <c r="N47" i="1"/>
  <c r="N36" i="1"/>
  <c r="AK47" i="1"/>
  <c r="AK36" i="1"/>
  <c r="AL38" i="1"/>
  <c r="CF36" i="1"/>
  <c r="CF47" i="1"/>
  <c r="CG38" i="1"/>
  <c r="CI118" i="1"/>
  <c r="CI127" i="1"/>
  <c r="CI111" i="1"/>
  <c r="CI126" i="1"/>
  <c r="V37" i="1"/>
  <c r="J37" i="1"/>
  <c r="W37" i="1"/>
  <c r="CI37" i="1"/>
  <c r="CI38" i="1"/>
  <c r="CH47" i="1"/>
  <c r="G37" i="1"/>
  <c r="AL53" i="1"/>
  <c r="AL57" i="1" s="1"/>
  <c r="AL251" i="1"/>
  <c r="AL252" i="1" s="1"/>
  <c r="AL48" i="1"/>
  <c r="CC205" i="1"/>
  <c r="CC200" i="1"/>
  <c r="CD200" i="1" s="1"/>
  <c r="CD201" i="1" s="1"/>
  <c r="CD205" i="1" s="1"/>
  <c r="S36" i="1"/>
  <c r="S47" i="1"/>
  <c r="Y205" i="1"/>
  <c r="Y208" i="1" s="1"/>
  <c r="Y209" i="1" s="1"/>
  <c r="Y200" i="1"/>
  <c r="CJ204" i="1"/>
  <c r="CJ205" i="1" s="1"/>
  <c r="CH175" i="1"/>
  <c r="CH176" i="1" s="1"/>
  <c r="AK38" i="1"/>
  <c r="M37" i="1"/>
  <c r="L36" i="1"/>
  <c r="L47" i="1"/>
  <c r="CF37" i="1"/>
  <c r="O37" i="1"/>
  <c r="W47" i="1"/>
  <c r="X37" i="1"/>
  <c r="W36" i="1"/>
  <c r="CJ37" i="1"/>
  <c r="I37" i="1"/>
  <c r="CA251" i="1"/>
  <c r="CA252" i="1" s="1"/>
  <c r="CA53" i="1"/>
  <c r="CA57" i="1" s="1"/>
  <c r="CA48" i="1"/>
  <c r="Z37" i="1"/>
  <c r="Z36" i="1"/>
  <c r="Z78" i="1"/>
  <c r="Z47" i="1"/>
  <c r="BY205" i="1"/>
  <c r="G47" i="1"/>
  <c r="G36" i="1"/>
  <c r="H37" i="1"/>
  <c r="CC37" i="1"/>
  <c r="E36" i="1"/>
  <c r="E37" i="1"/>
  <c r="E47" i="1"/>
  <c r="F37" i="1"/>
  <c r="CG176" i="1"/>
  <c r="CG184" i="1" s="1"/>
  <c r="CG185" i="1" s="1"/>
  <c r="Y78" i="1"/>
  <c r="P37" i="1"/>
  <c r="C49" i="1"/>
  <c r="CX154" i="1"/>
  <c r="CY154" i="1" s="1"/>
  <c r="CZ154" i="1" s="1"/>
  <c r="DA154" i="1" s="1"/>
  <c r="AE154" i="1" s="1"/>
  <c r="AD154" i="1"/>
  <c r="X36" i="1"/>
  <c r="X47" i="1"/>
  <c r="CI36" i="1"/>
  <c r="CI47" i="1"/>
  <c r="CQ6" i="1"/>
  <c r="CU65" i="1"/>
  <c r="CV65" i="1" s="1"/>
  <c r="CW65" i="1" s="1"/>
  <c r="CX65" i="1" s="1"/>
  <c r="CA52" i="1"/>
  <c r="BZ157" i="1"/>
  <c r="CA222" i="1" s="1"/>
  <c r="CA220" i="1" s="1"/>
  <c r="AL157" i="1"/>
  <c r="AM222" i="1" s="1"/>
  <c r="AM220" i="1" s="1"/>
  <c r="AM52" i="1"/>
  <c r="Y36" i="1"/>
  <c r="Y37" i="1"/>
  <c r="Y47" i="1"/>
  <c r="C251" i="1"/>
  <c r="C252" i="1" s="1"/>
  <c r="C48" i="1"/>
  <c r="C269" i="1"/>
  <c r="C53" i="1"/>
  <c r="C57" i="1" s="1"/>
  <c r="C131" i="1"/>
  <c r="AD137" i="1"/>
  <c r="CX137" i="1"/>
  <c r="CY137" i="1" s="1"/>
  <c r="CZ137" i="1" s="1"/>
  <c r="DA137" i="1" s="1"/>
  <c r="AE137" i="1" s="1"/>
  <c r="H36" i="1"/>
  <c r="H47" i="1"/>
  <c r="AD182" i="1"/>
  <c r="CX182" i="1"/>
  <c r="CY182" i="1" s="1"/>
  <c r="CZ182" i="1" s="1"/>
  <c r="DA182" i="1" s="1"/>
  <c r="AE182" i="1" s="1"/>
  <c r="BY184" i="1"/>
  <c r="BY185" i="1" s="1"/>
  <c r="CR6" i="1"/>
  <c r="D36" i="1"/>
  <c r="D47" i="1"/>
  <c r="D49" i="1" s="1"/>
  <c r="D37" i="1"/>
  <c r="AC65" i="1"/>
  <c r="U53" i="1"/>
  <c r="U57" i="1" s="1"/>
  <c r="U48" i="1"/>
  <c r="U251" i="1"/>
  <c r="U252" i="1" s="1"/>
  <c r="U131" i="1"/>
  <c r="U269" i="1"/>
  <c r="CX183" i="1"/>
  <c r="CY183" i="1" s="1"/>
  <c r="CZ183" i="1" s="1"/>
  <c r="DA183" i="1" s="1"/>
  <c r="AE183" i="1" s="1"/>
  <c r="AD183" i="1"/>
  <c r="CX156" i="1"/>
  <c r="CY156" i="1" s="1"/>
  <c r="CZ156" i="1" s="1"/>
  <c r="DA156" i="1" s="1"/>
  <c r="AE156" i="1" s="1"/>
  <c r="AD156" i="1"/>
  <c r="AD141" i="1"/>
  <c r="CX141" i="1"/>
  <c r="CY141" i="1" s="1"/>
  <c r="CZ141" i="1" s="1"/>
  <c r="DA141" i="1" s="1"/>
  <c r="AE141" i="1" s="1"/>
  <c r="CX146" i="1"/>
  <c r="CY146" i="1" s="1"/>
  <c r="CZ146" i="1" s="1"/>
  <c r="DA146" i="1" s="1"/>
  <c r="AE146" i="1" s="1"/>
  <c r="AD146" i="1"/>
  <c r="I251" i="1"/>
  <c r="I252" i="1" s="1"/>
  <c r="I53" i="1"/>
  <c r="I57" i="1" s="1"/>
  <c r="I131" i="1"/>
  <c r="I48" i="1"/>
  <c r="CM202" i="1"/>
  <c r="AJ251" i="1"/>
  <c r="AJ252" i="1" s="1"/>
  <c r="AJ48" i="1"/>
  <c r="AJ53" i="1"/>
  <c r="AJ57" i="1" s="1"/>
  <c r="Z203" i="1"/>
  <c r="Z205" i="1"/>
  <c r="AA208" i="1" s="1"/>
  <c r="AA209" i="1" s="1"/>
  <c r="CX145" i="1"/>
  <c r="CY145" i="1" s="1"/>
  <c r="CZ145" i="1" s="1"/>
  <c r="DA145" i="1" s="1"/>
  <c r="AE145" i="1" s="1"/>
  <c r="AD145" i="1"/>
  <c r="T48" i="1"/>
  <c r="T131" i="1"/>
  <c r="T251" i="1"/>
  <c r="T252" i="1" s="1"/>
  <c r="U49" i="1"/>
  <c r="T53" i="1"/>
  <c r="T57" i="1" s="1"/>
  <c r="CE251" i="1"/>
  <c r="CE252" i="1" s="1"/>
  <c r="CE49" i="1"/>
  <c r="CE48" i="1"/>
  <c r="CE53" i="1"/>
  <c r="CE57" i="1" s="1"/>
  <c r="AC96" i="1"/>
  <c r="CT96" i="1"/>
  <c r="CU96" i="1" s="1"/>
  <c r="CV96" i="1" s="1"/>
  <c r="CW96" i="1" s="1"/>
  <c r="AD152" i="1"/>
  <c r="CX152" i="1"/>
  <c r="CY152" i="1" s="1"/>
  <c r="CZ152" i="1" s="1"/>
  <c r="DA152" i="1" s="1"/>
  <c r="AE152" i="1" s="1"/>
  <c r="CG204" i="1"/>
  <c r="CG203" i="1" s="1"/>
  <c r="CH203" i="1" s="1"/>
  <c r="CH204" i="1" s="1"/>
  <c r="BZ53" i="1"/>
  <c r="BZ48" i="1"/>
  <c r="CA50" i="1"/>
  <c r="CA269" i="1"/>
  <c r="CA270" i="1" s="1"/>
  <c r="BZ251" i="1"/>
  <c r="BZ252" i="1" s="1"/>
  <c r="CN221" i="1"/>
  <c r="CN147" i="1"/>
  <c r="CO143" i="1"/>
  <c r="CM200" i="1"/>
  <c r="CO84" i="1"/>
  <c r="CP82" i="1"/>
  <c r="CM268" i="1"/>
  <c r="CM225" i="1"/>
  <c r="CD82" i="1"/>
  <c r="CO221" i="1"/>
  <c r="CP159" i="1"/>
  <c r="CP221" i="1" s="1"/>
  <c r="AB159" i="1"/>
  <c r="CO198" i="1"/>
  <c r="W152" i="1"/>
  <c r="T191" i="1"/>
  <c r="T98" i="1"/>
  <c r="L174" i="1"/>
  <c r="N151" i="1"/>
  <c r="R156" i="1"/>
  <c r="T97" i="1"/>
  <c r="G96" i="1"/>
  <c r="S159" i="1"/>
  <c r="F169" i="1"/>
  <c r="W166" i="1"/>
  <c r="B151" i="1"/>
  <c r="U163" i="1"/>
  <c r="U198" i="1" s="1"/>
  <c r="R170" i="1"/>
  <c r="D190" i="1"/>
  <c r="F163" i="1"/>
  <c r="F198" i="1" s="1"/>
  <c r="J92" i="1"/>
  <c r="E182" i="1"/>
  <c r="H190" i="1"/>
  <c r="F190" i="1"/>
  <c r="I190" i="1"/>
  <c r="Q146" i="1"/>
  <c r="O178" i="1"/>
  <c r="Q164" i="1"/>
  <c r="Q199" i="1" s="1"/>
  <c r="I182" i="1"/>
  <c r="S172" i="1"/>
  <c r="S202" i="1" s="1"/>
  <c r="I159" i="1"/>
  <c r="S174" i="1"/>
  <c r="L163" i="1"/>
  <c r="L198" i="1" s="1"/>
  <c r="L155" i="1"/>
  <c r="V145" i="1"/>
  <c r="V173" i="1" s="1"/>
  <c r="K168" i="1"/>
  <c r="B145" i="1"/>
  <c r="B173" i="1" s="1"/>
  <c r="N138" i="1"/>
  <c r="C86" i="1"/>
  <c r="G169" i="1"/>
  <c r="S191" i="1"/>
  <c r="M136" i="1"/>
  <c r="B169" i="1"/>
  <c r="U162" i="1"/>
  <c r="K93" i="1"/>
  <c r="S169" i="1"/>
  <c r="I168" i="1"/>
  <c r="K137" i="1"/>
  <c r="I191" i="1"/>
  <c r="H179" i="1"/>
  <c r="N98" i="1"/>
  <c r="E165" i="1"/>
  <c r="W154" i="1"/>
  <c r="W150" i="1" s="1"/>
  <c r="W138" i="1"/>
  <c r="B83" i="1"/>
  <c r="K154" i="1"/>
  <c r="K150" i="1" s="1"/>
  <c r="H183" i="1"/>
  <c r="B179" i="1"/>
  <c r="D136" i="1"/>
  <c r="T141" i="1"/>
  <c r="K152" i="1"/>
  <c r="T162" i="1"/>
  <c r="N92" i="1"/>
  <c r="H143" i="1"/>
  <c r="G98" i="1"/>
  <c r="W179" i="1"/>
  <c r="V96" i="1"/>
  <c r="J168" i="1"/>
  <c r="P97" i="1"/>
  <c r="V151" i="1"/>
  <c r="T92" i="1"/>
  <c r="B183" i="1"/>
  <c r="R146" i="1"/>
  <c r="I179" i="1"/>
  <c r="V162" i="1"/>
  <c r="F137" i="1"/>
  <c r="J136" i="1"/>
  <c r="V190" i="1"/>
  <c r="B156" i="1"/>
  <c r="V166" i="1"/>
  <c r="T161" i="1"/>
  <c r="R144" i="1"/>
  <c r="T165" i="1"/>
  <c r="I97" i="1"/>
  <c r="B191" i="1"/>
  <c r="O174" i="1"/>
  <c r="S86" i="1"/>
  <c r="D172" i="1"/>
  <c r="D202" i="1" s="1"/>
  <c r="K163" i="1"/>
  <c r="K198" i="1" s="1"/>
  <c r="S156" i="1"/>
  <c r="V86" i="1"/>
  <c r="C152" i="1"/>
  <c r="P183" i="1"/>
  <c r="D170" i="1"/>
  <c r="M86" i="1"/>
  <c r="K151" i="1"/>
  <c r="E97" i="1"/>
  <c r="C189" i="1"/>
  <c r="E137" i="1"/>
  <c r="T93" i="1"/>
  <c r="O162" i="1"/>
  <c r="Q183" i="1"/>
  <c r="U156" i="1"/>
  <c r="D152" i="1"/>
  <c r="U136" i="1"/>
  <c r="P163" i="1"/>
  <c r="P198" i="1" s="1"/>
  <c r="J161" i="1"/>
  <c r="L137" i="1"/>
  <c r="J165" i="1"/>
  <c r="D155" i="1"/>
  <c r="O191" i="1"/>
  <c r="E152" i="1"/>
  <c r="W137" i="1"/>
  <c r="M156" i="1"/>
  <c r="V152" i="1"/>
  <c r="K143" i="1"/>
  <c r="R165" i="1"/>
  <c r="I86" i="1"/>
  <c r="K146" i="1"/>
  <c r="W159" i="1"/>
  <c r="X221" i="1" s="1"/>
  <c r="T86" i="1"/>
  <c r="L136" i="1"/>
  <c r="F189" i="1"/>
  <c r="U93" i="1"/>
  <c r="P144" i="1"/>
  <c r="S137" i="1"/>
  <c r="J191" i="1"/>
  <c r="G143" i="1"/>
  <c r="I166" i="1"/>
  <c r="K178" i="1"/>
  <c r="K172" i="1"/>
  <c r="K202" i="1" s="1"/>
  <c r="L190" i="1"/>
  <c r="D179" i="1"/>
  <c r="Q152" i="1"/>
  <c r="V170" i="1"/>
  <c r="C138" i="1"/>
  <c r="B189" i="1"/>
  <c r="P162" i="1"/>
  <c r="F191" i="1"/>
  <c r="M168" i="1"/>
  <c r="Q93" i="1"/>
  <c r="Q169" i="1"/>
  <c r="V141" i="1"/>
  <c r="N93" i="1"/>
  <c r="D168" i="1"/>
  <c r="M93" i="1"/>
  <c r="V98" i="1"/>
  <c r="S163" i="1"/>
  <c r="S198" i="1" s="1"/>
  <c r="G154" i="1"/>
  <c r="G150" i="1" s="1"/>
  <c r="V183" i="1"/>
  <c r="K179" i="1"/>
  <c r="E145" i="1"/>
  <c r="E173" i="1" s="1"/>
  <c r="J156" i="1"/>
  <c r="Q86" i="1"/>
  <c r="U189" i="1"/>
  <c r="O166" i="1"/>
  <c r="L169" i="1"/>
  <c r="N189" i="1"/>
  <c r="R178" i="1"/>
  <c r="W98" i="1"/>
  <c r="J162" i="1"/>
  <c r="P161" i="1"/>
  <c r="F86" i="1"/>
  <c r="C178" i="1"/>
  <c r="B182" i="1"/>
  <c r="Q189" i="1"/>
  <c r="U165" i="1"/>
  <c r="N141" i="1"/>
  <c r="O179" i="1"/>
  <c r="Q159" i="1"/>
  <c r="R161" i="1"/>
  <c r="L151" i="1"/>
  <c r="F154" i="1"/>
  <c r="F150" i="1" s="1"/>
  <c r="T145" i="1"/>
  <c r="T173" i="1" s="1"/>
  <c r="W86" i="1"/>
  <c r="O151" i="1"/>
  <c r="V136" i="1"/>
  <c r="N182" i="1"/>
  <c r="I169" i="1"/>
  <c r="M179" i="1"/>
  <c r="O98" i="1"/>
  <c r="F152" i="1"/>
  <c r="R136" i="1"/>
  <c r="F98" i="1"/>
  <c r="U143" i="1"/>
  <c r="U183" i="1"/>
  <c r="W172" i="1"/>
  <c r="D93" i="1"/>
  <c r="L98" i="1"/>
  <c r="H137" i="1"/>
  <c r="H97" i="1"/>
  <c r="Q191" i="1"/>
  <c r="N144" i="1"/>
  <c r="P182" i="1"/>
  <c r="V165" i="1"/>
  <c r="B152" i="1"/>
  <c r="R154" i="1"/>
  <c r="R150" i="1" s="1"/>
  <c r="M137" i="1"/>
  <c r="V164" i="1"/>
  <c r="V199" i="1" s="1"/>
  <c r="G168" i="1"/>
  <c r="C137" i="1"/>
  <c r="N97" i="1"/>
  <c r="O97" i="1"/>
  <c r="C156" i="1"/>
  <c r="N96" i="1"/>
  <c r="U146" i="1"/>
  <c r="P152" i="1"/>
  <c r="U169" i="1"/>
  <c r="G159" i="1"/>
  <c r="N143" i="1"/>
  <c r="T96" i="1"/>
  <c r="F172" i="1"/>
  <c r="F202" i="1" s="1"/>
  <c r="R93" i="1"/>
  <c r="U168" i="1"/>
  <c r="U154" i="1"/>
  <c r="U150" i="1" s="1"/>
  <c r="L165" i="1"/>
  <c r="C141" i="1"/>
  <c r="E98" i="1"/>
  <c r="R162" i="1"/>
  <c r="E164" i="1"/>
  <c r="E199" i="1" s="1"/>
  <c r="K98" i="1"/>
  <c r="R189" i="1"/>
  <c r="V174" i="1"/>
  <c r="G179" i="1"/>
  <c r="V92" i="1"/>
  <c r="P138" i="1"/>
  <c r="L143" i="1"/>
  <c r="U190" i="1"/>
  <c r="I155" i="1"/>
  <c r="R179" i="1"/>
  <c r="E92" i="1"/>
  <c r="J166" i="1"/>
  <c r="E172" i="1"/>
  <c r="E202" i="1" s="1"/>
  <c r="W97" i="1"/>
  <c r="S136" i="1"/>
  <c r="W93" i="1"/>
  <c r="B165" i="1"/>
  <c r="J155" i="1"/>
  <c r="U151" i="1"/>
  <c r="Q154" i="1"/>
  <c r="Q150" i="1" s="1"/>
  <c r="U155" i="1"/>
  <c r="U92" i="1"/>
  <c r="H144" i="1"/>
  <c r="F155" i="1"/>
  <c r="N179" i="1"/>
  <c r="B86" i="1"/>
  <c r="M163" i="1"/>
  <c r="M198" i="1" s="1"/>
  <c r="O164" i="1"/>
  <c r="O199" i="1" s="1"/>
  <c r="P191" i="1"/>
  <c r="V191" i="1"/>
  <c r="O93" i="1"/>
  <c r="O154" i="1"/>
  <c r="O150" i="1" s="1"/>
  <c r="H159" i="1"/>
  <c r="N86" i="1"/>
  <c r="Q179" i="1"/>
  <c r="H138" i="1"/>
  <c r="T151" i="1"/>
  <c r="T143" i="1"/>
  <c r="U141" i="1"/>
  <c r="O138" i="1"/>
  <c r="E96" i="1"/>
  <c r="W165" i="1"/>
  <c r="D164" i="1"/>
  <c r="D199" i="1" s="1"/>
  <c r="N169" i="1"/>
  <c r="O189" i="1"/>
  <c r="F146" i="1"/>
  <c r="I170" i="1"/>
  <c r="M172" i="1"/>
  <c r="M202" i="1" s="1"/>
  <c r="T159" i="1"/>
  <c r="L156" i="1"/>
  <c r="M98" i="1"/>
  <c r="T137" i="1"/>
  <c r="M144" i="1"/>
  <c r="S144" i="1"/>
  <c r="P169" i="1"/>
  <c r="D146" i="1"/>
  <c r="E141" i="1"/>
  <c r="W96" i="1"/>
  <c r="H164" i="1"/>
  <c r="H199" i="1" s="1"/>
  <c r="V163" i="1"/>
  <c r="V198" i="1" s="1"/>
  <c r="N162" i="1"/>
  <c r="C146" i="1"/>
  <c r="N170" i="1"/>
  <c r="B164" i="1"/>
  <c r="B199" i="1" s="1"/>
  <c r="R183" i="1"/>
  <c r="N168" i="1"/>
  <c r="V146" i="1"/>
  <c r="C172" i="1"/>
  <c r="C202" i="1" s="1"/>
  <c r="F144" i="1"/>
  <c r="S96" i="1"/>
  <c r="P143" i="1"/>
  <c r="D174" i="1"/>
  <c r="I172" i="1"/>
  <c r="I202" i="1" s="1"/>
  <c r="C93" i="1"/>
  <c r="O172" i="1"/>
  <c r="O202" i="1" s="1"/>
  <c r="U179" i="1"/>
  <c r="B155" i="1"/>
  <c r="U191" i="1"/>
  <c r="F145" i="1"/>
  <c r="F173" i="1" s="1"/>
  <c r="F183" i="1"/>
  <c r="O143" i="1"/>
  <c r="S190" i="1"/>
  <c r="D92" i="1"/>
  <c r="G189" i="1"/>
  <c r="M191" i="1"/>
  <c r="E179" i="1"/>
  <c r="E180" i="1" s="1"/>
  <c r="F228" i="1" s="1"/>
  <c r="Q165" i="1"/>
  <c r="S170" i="1"/>
  <c r="D96" i="1"/>
  <c r="K183" i="1"/>
  <c r="I92" i="1"/>
  <c r="C145" i="1"/>
  <c r="C173" i="1" s="1"/>
  <c r="Q143" i="1"/>
  <c r="N190" i="1"/>
  <c r="R155" i="1"/>
  <c r="B150" i="1"/>
  <c r="S152" i="1"/>
  <c r="G163" i="1"/>
  <c r="G198" i="1" s="1"/>
  <c r="B96" i="1"/>
  <c r="E161" i="1"/>
  <c r="E169" i="1"/>
  <c r="N163" i="1"/>
  <c r="N198" i="1" s="1"/>
  <c r="H152" i="1"/>
  <c r="T170" i="1"/>
  <c r="V179" i="1"/>
  <c r="E174" i="1"/>
  <c r="R98" i="1"/>
  <c r="L189" i="1"/>
  <c r="K162" i="1"/>
  <c r="F179" i="1"/>
  <c r="J152" i="1"/>
  <c r="H174" i="1"/>
  <c r="M161" i="1"/>
  <c r="T146" i="1"/>
  <c r="Q137" i="1"/>
  <c r="I156" i="1"/>
  <c r="K164" i="1"/>
  <c r="K199" i="1" s="1"/>
  <c r="E136" i="1"/>
  <c r="W145" i="1"/>
  <c r="W173" i="1" s="1"/>
  <c r="R137" i="1"/>
  <c r="U138" i="1"/>
  <c r="C96" i="1"/>
  <c r="Q190" i="1"/>
  <c r="N164" i="1"/>
  <c r="N199" i="1" s="1"/>
  <c r="W155" i="1"/>
  <c r="P98" i="1"/>
  <c r="F168" i="1"/>
  <c r="S146" i="1"/>
  <c r="O92" i="1"/>
  <c r="G92" i="1"/>
  <c r="R168" i="1"/>
  <c r="M189" i="1"/>
  <c r="Q96" i="1"/>
  <c r="I93" i="1"/>
  <c r="C166" i="1"/>
  <c r="M145" i="1"/>
  <c r="M173" i="1" s="1"/>
  <c r="C144" i="1"/>
  <c r="D165" i="1"/>
  <c r="U164" i="1"/>
  <c r="U199" i="1" s="1"/>
  <c r="Q155" i="1"/>
  <c r="J190" i="1"/>
  <c r="F178" i="1"/>
  <c r="D183" i="1"/>
  <c r="H154" i="1"/>
  <c r="H150" i="1" s="1"/>
  <c r="L97" i="1"/>
  <c r="E170" i="1"/>
  <c r="Q151" i="1"/>
  <c r="N154" i="1"/>
  <c r="N150" i="1" s="1"/>
  <c r="F182" i="1"/>
  <c r="Q97" i="1"/>
  <c r="S168" i="1"/>
  <c r="V137" i="1"/>
  <c r="J98" i="1"/>
  <c r="E93" i="1"/>
  <c r="C82" i="1"/>
  <c r="C183" i="1"/>
  <c r="H141" i="1"/>
  <c r="P170" i="1"/>
  <c r="K161" i="1"/>
  <c r="C136" i="1"/>
  <c r="M170" i="1"/>
  <c r="D98" i="1"/>
  <c r="J179" i="1"/>
  <c r="T189" i="1"/>
  <c r="S98" i="1"/>
  <c r="B170" i="1"/>
  <c r="R190" i="1"/>
  <c r="H155" i="1"/>
  <c r="R182" i="1"/>
  <c r="B144" i="1"/>
  <c r="G170" i="1"/>
  <c r="L166" i="1"/>
  <c r="K166" i="1"/>
  <c r="H169" i="1"/>
  <c r="J170" i="1"/>
  <c r="J146" i="1"/>
  <c r="G165" i="1"/>
  <c r="E143" i="1"/>
  <c r="W164" i="1"/>
  <c r="B161" i="1"/>
  <c r="G137" i="1"/>
  <c r="O136" i="1"/>
  <c r="J137" i="1"/>
  <c r="O155" i="1"/>
  <c r="Q174" i="1"/>
  <c r="V172" i="1"/>
  <c r="V202" i="1" s="1"/>
  <c r="M190" i="1"/>
  <c r="L182" i="1"/>
  <c r="N174" i="1"/>
  <c r="Q162" i="1"/>
  <c r="C162" i="1"/>
  <c r="N191" i="1"/>
  <c r="I141" i="1"/>
  <c r="Q144" i="1"/>
  <c r="E191" i="1"/>
  <c r="R151" i="1"/>
  <c r="I174" i="1"/>
  <c r="V143" i="1"/>
  <c r="R159" i="1"/>
  <c r="N172" i="1"/>
  <c r="N202" i="1" s="1"/>
  <c r="I144" i="1"/>
  <c r="U178" i="1"/>
  <c r="G151" i="1"/>
  <c r="L164" i="1"/>
  <c r="L199" i="1" s="1"/>
  <c r="V144" i="1"/>
  <c r="O182" i="1"/>
  <c r="G156" i="1"/>
  <c r="K190" i="1"/>
  <c r="N137" i="1"/>
  <c r="O163" i="1"/>
  <c r="O198" i="1" s="1"/>
  <c r="R172" i="1"/>
  <c r="R202" i="1" s="1"/>
  <c r="B178" i="1"/>
  <c r="L144" i="1"/>
  <c r="K92" i="1"/>
  <c r="D161" i="1"/>
  <c r="U86" i="1"/>
  <c r="L161" i="1"/>
  <c r="P136" i="1"/>
  <c r="H172" i="1"/>
  <c r="H202" i="1" s="1"/>
  <c r="G136" i="1"/>
  <c r="I154" i="1"/>
  <c r="I150" i="1" s="1"/>
  <c r="L152" i="1"/>
  <c r="Q170" i="1"/>
  <c r="C155" i="1"/>
  <c r="S179" i="1"/>
  <c r="H162" i="1"/>
  <c r="C179" i="1"/>
  <c r="D182" i="1"/>
  <c r="D159" i="1"/>
  <c r="D143" i="1"/>
  <c r="E156" i="1"/>
  <c r="E189" i="1"/>
  <c r="S182" i="1"/>
  <c r="U96" i="1"/>
  <c r="H178" i="1"/>
  <c r="K145" i="1"/>
  <c r="K173" i="1" s="1"/>
  <c r="I145" i="1"/>
  <c r="I173" i="1" s="1"/>
  <c r="S151" i="1"/>
  <c r="I98" i="1"/>
  <c r="T178" i="1"/>
  <c r="E163" i="1"/>
  <c r="E198" i="1" s="1"/>
  <c r="J169" i="1"/>
  <c r="W191" i="1"/>
  <c r="B141" i="1"/>
  <c r="M141" i="1"/>
  <c r="Q145" i="1"/>
  <c r="Q173" i="1" s="1"/>
  <c r="W170" i="1"/>
  <c r="P92" i="1"/>
  <c r="G161" i="1"/>
  <c r="C191" i="1"/>
  <c r="N161" i="1"/>
  <c r="G86" i="1"/>
  <c r="R191" i="1"/>
  <c r="I189" i="1"/>
  <c r="O146" i="1"/>
  <c r="T156" i="1"/>
  <c r="F151" i="1"/>
  <c r="O96" i="1"/>
  <c r="R92" i="1"/>
  <c r="M165" i="1"/>
  <c r="K136" i="1"/>
  <c r="O86" i="1"/>
  <c r="P151" i="1"/>
  <c r="U97" i="1"/>
  <c r="C170" i="1"/>
  <c r="W144" i="1"/>
  <c r="F170" i="1"/>
  <c r="J163" i="1"/>
  <c r="J198" i="1" s="1"/>
  <c r="W183" i="1"/>
  <c r="M152" i="1"/>
  <c r="F161" i="1"/>
  <c r="V169" i="1"/>
  <c r="K170" i="1"/>
  <c r="Q138" i="1"/>
  <c r="E151" i="1"/>
  <c r="U98" i="1"/>
  <c r="O159" i="1"/>
  <c r="M159" i="1"/>
  <c r="B174" i="1"/>
  <c r="M174" i="1"/>
  <c r="L162" i="1"/>
  <c r="M97" i="1"/>
  <c r="H93" i="1"/>
  <c r="B163" i="1"/>
  <c r="B198" i="1" s="1"/>
  <c r="W143" i="1"/>
  <c r="M162" i="1"/>
  <c r="B136" i="1"/>
  <c r="G174" i="1"/>
  <c r="I152" i="1"/>
  <c r="V182" i="1"/>
  <c r="N166" i="1"/>
  <c r="F162" i="1"/>
  <c r="N165" i="1"/>
  <c r="T168" i="1"/>
  <c r="I146" i="1"/>
  <c r="K97" i="1"/>
  <c r="T136" i="1"/>
  <c r="H145" i="1"/>
  <c r="H173" i="1" s="1"/>
  <c r="N159" i="1"/>
  <c r="C83" i="1"/>
  <c r="J178" i="1"/>
  <c r="L191" i="1"/>
  <c r="O152" i="1"/>
  <c r="F143" i="1"/>
  <c r="T190" i="1"/>
  <c r="W146" i="1"/>
  <c r="J182" i="1"/>
  <c r="D169" i="1"/>
  <c r="C165" i="1"/>
  <c r="O168" i="1"/>
  <c r="W92" i="1"/>
  <c r="W156" i="1"/>
  <c r="I96" i="1"/>
  <c r="L178" i="1"/>
  <c r="E144" i="1"/>
  <c r="L183" i="1"/>
  <c r="R138" i="1"/>
  <c r="C182" i="1"/>
  <c r="J172" i="1"/>
  <c r="J202" i="1" s="1"/>
  <c r="Q178" i="1"/>
  <c r="G166" i="1"/>
  <c r="F164" i="1"/>
  <c r="F199" i="1" s="1"/>
  <c r="H163" i="1"/>
  <c r="H198" i="1" s="1"/>
  <c r="Q136" i="1"/>
  <c r="R141" i="1"/>
  <c r="P190" i="1"/>
  <c r="O144" i="1"/>
  <c r="H191" i="1"/>
  <c r="F165" i="1"/>
  <c r="M169" i="1"/>
  <c r="B146" i="1"/>
  <c r="H161" i="1"/>
  <c r="N183" i="1"/>
  <c r="R97" i="1"/>
  <c r="G146" i="1"/>
  <c r="G190" i="1"/>
  <c r="O183" i="1"/>
  <c r="P178" i="1"/>
  <c r="P180" i="1" s="1"/>
  <c r="Q228" i="1" s="1"/>
  <c r="B82" i="1"/>
  <c r="K159" i="1"/>
  <c r="M166" i="1"/>
  <c r="O156" i="1"/>
  <c r="U144" i="1"/>
  <c r="I162" i="1"/>
  <c r="L168" i="1"/>
  <c r="H156" i="1"/>
  <c r="T155" i="1"/>
  <c r="E190" i="1"/>
  <c r="T138" i="1"/>
  <c r="T172" i="1"/>
  <c r="T202" i="1" s="1"/>
  <c r="Q92" i="1"/>
  <c r="U172" i="1"/>
  <c r="U202" i="1" s="1"/>
  <c r="R163" i="1"/>
  <c r="R198" i="1" s="1"/>
  <c r="G138" i="1"/>
  <c r="C168" i="1"/>
  <c r="M92" i="1"/>
  <c r="D150" i="1"/>
  <c r="B138" i="1"/>
  <c r="E138" i="1"/>
  <c r="M155" i="1"/>
  <c r="U182" i="1"/>
  <c r="G97" i="1"/>
  <c r="G155" i="1"/>
  <c r="H182" i="1"/>
  <c r="I164" i="1"/>
  <c r="I199" i="1" s="1"/>
  <c r="B190" i="1"/>
  <c r="H189" i="1"/>
  <c r="J86" i="1"/>
  <c r="C174" i="1"/>
  <c r="D137" i="1"/>
  <c r="T182" i="1"/>
  <c r="U159" i="1"/>
  <c r="F141" i="1"/>
  <c r="M96" i="1"/>
  <c r="C151" i="1"/>
  <c r="D156" i="1"/>
  <c r="W189" i="1"/>
  <c r="D178" i="1"/>
  <c r="G93" i="1"/>
  <c r="S143" i="1"/>
  <c r="D144" i="1"/>
  <c r="C163" i="1"/>
  <c r="C198" i="1" s="1"/>
  <c r="D83" i="1"/>
  <c r="K155" i="1"/>
  <c r="D191" i="1"/>
  <c r="E155" i="1"/>
  <c r="B172" i="1"/>
  <c r="B202" i="1" s="1"/>
  <c r="P86" i="1"/>
  <c r="C190" i="1"/>
  <c r="L154" i="1"/>
  <c r="L150" i="1" s="1"/>
  <c r="E168" i="1"/>
  <c r="V154" i="1"/>
  <c r="V150" i="1" s="1"/>
  <c r="L93" i="1"/>
  <c r="T164" i="1"/>
  <c r="T199" i="1" s="1"/>
  <c r="V168" i="1"/>
  <c r="K182" i="1"/>
  <c r="I178" i="1"/>
  <c r="K96" i="1"/>
  <c r="K169" i="1"/>
  <c r="M164" i="1"/>
  <c r="M199" i="1" s="1"/>
  <c r="P189" i="1"/>
  <c r="F97" i="1"/>
  <c r="J96" i="1"/>
  <c r="K156" i="1"/>
  <c r="P137" i="1"/>
  <c r="E154" i="1"/>
  <c r="E150" i="1" s="1"/>
  <c r="V156" i="1"/>
  <c r="R164" i="1"/>
  <c r="R199" i="1" s="1"/>
  <c r="S164" i="1"/>
  <c r="S199" i="1" s="1"/>
  <c r="S138" i="1"/>
  <c r="B154" i="1"/>
  <c r="J93" i="1"/>
  <c r="N146" i="1"/>
  <c r="M143" i="1"/>
  <c r="O170" i="1"/>
  <c r="O165" i="1"/>
  <c r="J97" i="1"/>
  <c r="H86" i="1"/>
  <c r="O169" i="1"/>
  <c r="W168" i="1"/>
  <c r="P168" i="1"/>
  <c r="S178" i="1"/>
  <c r="L172" i="1"/>
  <c r="L202" i="1" s="1"/>
  <c r="K138" i="1"/>
  <c r="S162" i="1"/>
  <c r="T179" i="1"/>
  <c r="G191" i="1"/>
  <c r="G152" i="1"/>
  <c r="I137" i="1"/>
  <c r="S155" i="1"/>
  <c r="D166" i="1"/>
  <c r="N178" i="1"/>
  <c r="B162" i="1"/>
  <c r="L145" i="1"/>
  <c r="L173" i="1" s="1"/>
  <c r="C98" i="1"/>
  <c r="K144" i="1"/>
  <c r="D86" i="1"/>
  <c r="L92" i="1"/>
  <c r="F93" i="1"/>
  <c r="J154" i="1"/>
  <c r="J150" i="1" s="1"/>
  <c r="W178" i="1"/>
  <c r="T169" i="1"/>
  <c r="E166" i="1"/>
  <c r="F92" i="1"/>
  <c r="U137" i="1"/>
  <c r="S165" i="1"/>
  <c r="W161" i="1"/>
  <c r="L96" i="1"/>
  <c r="S93" i="1"/>
  <c r="W163" i="1"/>
  <c r="P166" i="1"/>
  <c r="S161" i="1"/>
  <c r="U170" i="1"/>
  <c r="N145" i="1"/>
  <c r="N173" i="1" s="1"/>
  <c r="H166" i="1"/>
  <c r="I165" i="1"/>
  <c r="I138" i="1"/>
  <c r="K141" i="1"/>
  <c r="I161" i="1"/>
  <c r="M182" i="1"/>
  <c r="H146" i="1"/>
  <c r="U152" i="1"/>
  <c r="N152" i="1"/>
  <c r="O137" i="1"/>
  <c r="R86" i="1"/>
  <c r="S141" i="1"/>
  <c r="H92" i="1"/>
  <c r="W174" i="1"/>
  <c r="D151" i="1"/>
  <c r="I163" i="1"/>
  <c r="I198" i="1" s="1"/>
  <c r="F96" i="1"/>
  <c r="C97" i="1"/>
  <c r="I151" i="1"/>
  <c r="R169" i="1"/>
  <c r="G162" i="1"/>
  <c r="J159" i="1"/>
  <c r="W182" i="1"/>
  <c r="B97" i="1"/>
  <c r="G145" i="1"/>
  <c r="G173" i="1" s="1"/>
  <c r="S97" i="1"/>
  <c r="F166" i="1"/>
  <c r="F138" i="1"/>
  <c r="R96" i="1"/>
  <c r="P93" i="1"/>
  <c r="M151" i="1"/>
  <c r="P165" i="1"/>
  <c r="G141" i="1"/>
  <c r="C164" i="1"/>
  <c r="C199" i="1" s="1"/>
  <c r="J145" i="1"/>
  <c r="J173" i="1" s="1"/>
  <c r="T144" i="1"/>
  <c r="L179" i="1"/>
  <c r="W162" i="1"/>
  <c r="W141" i="1"/>
  <c r="V97" i="1"/>
  <c r="N136" i="1"/>
  <c r="T166" i="1"/>
  <c r="P156" i="1"/>
  <c r="P145" i="1"/>
  <c r="P173" i="1" s="1"/>
  <c r="P155" i="1"/>
  <c r="L141" i="1"/>
  <c r="H151" i="1"/>
  <c r="J141" i="1"/>
  <c r="M154" i="1"/>
  <c r="M150" i="1" s="1"/>
  <c r="Q163" i="1"/>
  <c r="Q198" i="1" s="1"/>
  <c r="V189" i="1"/>
  <c r="M178" i="1"/>
  <c r="H136" i="1"/>
  <c r="B137" i="1"/>
  <c r="S183" i="1"/>
  <c r="O145" i="1"/>
  <c r="O173" i="1" s="1"/>
  <c r="P96" i="1"/>
  <c r="P141" i="1"/>
  <c r="G183" i="1"/>
  <c r="P164" i="1"/>
  <c r="P199" i="1" s="1"/>
  <c r="F156" i="1"/>
  <c r="Q166" i="1"/>
  <c r="R152" i="1"/>
  <c r="I183" i="1"/>
  <c r="P159" i="1"/>
  <c r="Q161" i="1"/>
  <c r="K191" i="1"/>
  <c r="T154" i="1"/>
  <c r="T150" i="1" s="1"/>
  <c r="V159" i="1"/>
  <c r="D189" i="1"/>
  <c r="F159" i="1"/>
  <c r="L86" i="1"/>
  <c r="U161" i="1"/>
  <c r="D97" i="1"/>
  <c r="H168" i="1"/>
  <c r="O161" i="1"/>
  <c r="B98" i="1"/>
  <c r="T152" i="1"/>
  <c r="M138" i="1"/>
  <c r="B168" i="1"/>
  <c r="L170" i="1"/>
  <c r="R174" i="1"/>
  <c r="U145" i="1"/>
  <c r="U173" i="1" s="1"/>
  <c r="I143" i="1"/>
  <c r="I136" i="1"/>
  <c r="F136" i="1"/>
  <c r="F174" i="1"/>
  <c r="U174" i="1"/>
  <c r="S189" i="1"/>
  <c r="E146" i="1"/>
  <c r="C169" i="1"/>
  <c r="S166" i="1"/>
  <c r="B159" i="1"/>
  <c r="B143" i="1"/>
  <c r="W190" i="1"/>
  <c r="K174" i="1"/>
  <c r="M183" i="1"/>
  <c r="D145" i="1"/>
  <c r="D173" i="1" s="1"/>
  <c r="H96" i="1"/>
  <c r="N155" i="1"/>
  <c r="V161" i="1"/>
  <c r="V93" i="1"/>
  <c r="C161" i="1"/>
  <c r="K165" i="1"/>
  <c r="D82" i="1"/>
  <c r="V138" i="1"/>
  <c r="J144" i="1"/>
  <c r="L159" i="1"/>
  <c r="Q182" i="1"/>
  <c r="D138" i="1"/>
  <c r="R166" i="1"/>
  <c r="G178" i="1"/>
  <c r="E86" i="1"/>
  <c r="C159" i="1"/>
  <c r="S145" i="1"/>
  <c r="S173" i="1" s="1"/>
  <c r="R145" i="1"/>
  <c r="R173" i="1" s="1"/>
  <c r="S154" i="1"/>
  <c r="S150" i="1" s="1"/>
  <c r="J183" i="1"/>
  <c r="T163" i="1"/>
  <c r="T198" i="1" s="1"/>
  <c r="E162" i="1"/>
  <c r="Q141" i="1"/>
  <c r="J189" i="1"/>
  <c r="J164" i="1"/>
  <c r="J199" i="1" s="1"/>
  <c r="J143" i="1"/>
  <c r="B166" i="1"/>
  <c r="J174" i="1"/>
  <c r="V178" i="1"/>
  <c r="O141" i="1"/>
  <c r="L146" i="1"/>
  <c r="R143" i="1"/>
  <c r="T174" i="1"/>
  <c r="O190" i="1"/>
  <c r="U166" i="1"/>
  <c r="S92" i="1"/>
  <c r="E159" i="1"/>
  <c r="H170" i="1"/>
  <c r="P154" i="1"/>
  <c r="P150" i="1" s="1"/>
  <c r="H98" i="1"/>
  <c r="C92" i="1"/>
  <c r="K86" i="1"/>
  <c r="C154" i="1"/>
  <c r="D162" i="1"/>
  <c r="Q168" i="1"/>
  <c r="W169" i="1"/>
  <c r="L138" i="1"/>
  <c r="C150" i="1"/>
  <c r="Q98" i="1"/>
  <c r="N156" i="1"/>
  <c r="G164" i="1"/>
  <c r="G199" i="1" s="1"/>
  <c r="D154" i="1"/>
  <c r="E183" i="1"/>
  <c r="T183" i="1"/>
  <c r="K189" i="1"/>
  <c r="Q156" i="1"/>
  <c r="J151" i="1"/>
  <c r="H165" i="1"/>
  <c r="D163" i="1"/>
  <c r="D198" i="1" s="1"/>
  <c r="V155" i="1"/>
  <c r="G144" i="1"/>
  <c r="M146" i="1"/>
  <c r="CD1" i="1"/>
  <c r="CE1" i="1" s="1"/>
  <c r="CF1" i="1" s="1"/>
  <c r="CG1" i="1" s="1"/>
  <c r="CH1" i="1" s="1"/>
  <c r="CI1" i="1" s="1"/>
  <c r="CJ1" i="1" s="1"/>
  <c r="AA79" i="1" l="1"/>
  <c r="JT20" i="4"/>
  <c r="JS16" i="4"/>
  <c r="JS21" i="4" s="1"/>
  <c r="KH9" i="4" s="1"/>
  <c r="KG9" i="4" s="1"/>
  <c r="AA49" i="1"/>
  <c r="AA269" i="1"/>
  <c r="AA270" i="1" s="1"/>
  <c r="CL138" i="1"/>
  <c r="CL139" i="1" s="1"/>
  <c r="CL71" i="1"/>
  <c r="CL85" i="1"/>
  <c r="CL212" i="1"/>
  <c r="CL214" i="1" s="1"/>
  <c r="CL218" i="1" s="1"/>
  <c r="CL232" i="1" s="1"/>
  <c r="CL21" i="1"/>
  <c r="Z185" i="1"/>
  <c r="O53" i="1"/>
  <c r="O57" i="1" s="1"/>
  <c r="O251" i="1"/>
  <c r="O252" i="1" s="1"/>
  <c r="O131" i="1"/>
  <c r="O48" i="1"/>
  <c r="K131" i="1"/>
  <c r="K53" i="1"/>
  <c r="K57" i="1" s="1"/>
  <c r="K251" i="1"/>
  <c r="K252" i="1" s="1"/>
  <c r="K48" i="1"/>
  <c r="Q131" i="1"/>
  <c r="Q48" i="1"/>
  <c r="Q251" i="1"/>
  <c r="Q252" i="1" s="1"/>
  <c r="Q53" i="1"/>
  <c r="Q57" i="1" s="1"/>
  <c r="B60" i="1"/>
  <c r="B59" i="1"/>
  <c r="BY50" i="1"/>
  <c r="BZ50" i="1"/>
  <c r="BY48" i="1"/>
  <c r="BY251" i="1"/>
  <c r="BY252" i="1" s="1"/>
  <c r="BZ269" i="1"/>
  <c r="BZ270" i="1" s="1"/>
  <c r="BY53" i="1"/>
  <c r="CA131" i="1"/>
  <c r="BY269" i="1"/>
  <c r="CL49" i="1"/>
  <c r="CH20" i="1"/>
  <c r="AI185" i="1"/>
  <c r="R53" i="1"/>
  <c r="R57" i="1" s="1"/>
  <c r="R269" i="1"/>
  <c r="R251" i="1"/>
  <c r="R252" i="1" s="1"/>
  <c r="R131" i="1"/>
  <c r="R48" i="1"/>
  <c r="V49" i="1"/>
  <c r="P49" i="1"/>
  <c r="CG200" i="1"/>
  <c r="CH200" i="1" s="1"/>
  <c r="CH201" i="1" s="1"/>
  <c r="AK222" i="1"/>
  <c r="AK220" i="1" s="1"/>
  <c r="AJ222" i="1"/>
  <c r="AJ220" i="1" s="1"/>
  <c r="BZ205" i="1"/>
  <c r="CB50" i="1"/>
  <c r="CB269" i="1"/>
  <c r="CB270" i="1" s="1"/>
  <c r="CB251" i="1"/>
  <c r="CB252" i="1" s="1"/>
  <c r="CD245" i="1"/>
  <c r="CF49" i="1"/>
  <c r="CB53" i="1"/>
  <c r="CE131" i="1"/>
  <c r="CC269" i="1"/>
  <c r="CC270" i="1" s="1"/>
  <c r="CD49" i="1"/>
  <c r="BX59" i="1"/>
  <c r="BX60" i="1"/>
  <c r="CG59" i="1"/>
  <c r="CG60" i="1"/>
  <c r="CK62" i="1" s="1"/>
  <c r="CK150" i="1"/>
  <c r="CL151" i="1"/>
  <c r="CL150" i="1" s="1"/>
  <c r="CK253" i="1"/>
  <c r="CL63" i="1"/>
  <c r="CD208" i="1"/>
  <c r="CK61" i="1"/>
  <c r="CK264" i="1" s="1"/>
  <c r="CJ176" i="1"/>
  <c r="CK67" i="1"/>
  <c r="CM7" i="1"/>
  <c r="CK217" i="1"/>
  <c r="CK269" i="1"/>
  <c r="CK270" i="1" s="1"/>
  <c r="CK50" i="1"/>
  <c r="CJ53" i="1"/>
  <c r="CJ57" i="1" s="1"/>
  <c r="CJ251" i="1"/>
  <c r="CJ252" i="1" s="1"/>
  <c r="CJ48" i="1"/>
  <c r="CE222" i="1"/>
  <c r="CE220" i="1" s="1"/>
  <c r="CD222" i="1"/>
  <c r="CD220" i="1" s="1"/>
  <c r="CC53" i="1"/>
  <c r="CC57" i="1" s="1"/>
  <c r="CC251" i="1"/>
  <c r="CC252" i="1" s="1"/>
  <c r="CC48" i="1"/>
  <c r="CG49" i="1"/>
  <c r="CC222" i="1"/>
  <c r="CC220" i="1" s="1"/>
  <c r="CB222" i="1"/>
  <c r="CB220" i="1" s="1"/>
  <c r="CH269" i="1"/>
  <c r="CH270" i="1" s="1"/>
  <c r="CH50" i="1"/>
  <c r="CH48" i="1"/>
  <c r="CH53" i="1"/>
  <c r="CH57" i="1" s="1"/>
  <c r="CH251" i="1"/>
  <c r="CH252" i="1" s="1"/>
  <c r="CI121" i="1"/>
  <c r="CI122" i="1"/>
  <c r="CI123" i="1"/>
  <c r="N251" i="1"/>
  <c r="N252" i="1" s="1"/>
  <c r="N269" i="1"/>
  <c r="O49" i="1"/>
  <c r="N53" i="1"/>
  <c r="N57" i="1" s="1"/>
  <c r="N131" i="1"/>
  <c r="N48" i="1"/>
  <c r="O269" i="1"/>
  <c r="K269" i="1"/>
  <c r="CE245" i="1"/>
  <c r="CB49" i="1"/>
  <c r="CD131" i="1"/>
  <c r="CB48" i="1"/>
  <c r="CC50" i="1"/>
  <c r="BL60" i="1"/>
  <c r="BL59" i="1"/>
  <c r="V131" i="1"/>
  <c r="V53" i="1"/>
  <c r="V57" i="1" s="1"/>
  <c r="R49" i="1"/>
  <c r="M131" i="1"/>
  <c r="M48" i="1"/>
  <c r="M251" i="1"/>
  <c r="M252" i="1" s="1"/>
  <c r="M53" i="1"/>
  <c r="M57" i="1" s="1"/>
  <c r="CH126" i="1"/>
  <c r="CH118" i="1"/>
  <c r="CH127" i="1"/>
  <c r="CF83" i="1"/>
  <c r="CG84" i="1"/>
  <c r="CG9" i="1" s="1"/>
  <c r="P251" i="1"/>
  <c r="P252" i="1" s="1"/>
  <c r="P48" i="1"/>
  <c r="Q49" i="1"/>
  <c r="P269" i="1"/>
  <c r="P131" i="1"/>
  <c r="P53" i="1"/>
  <c r="P57" i="1" s="1"/>
  <c r="AM251" i="1"/>
  <c r="AM252" i="1" s="1"/>
  <c r="AM48" i="1"/>
  <c r="AM53" i="1"/>
  <c r="AM57" i="1" s="1"/>
  <c r="AM269" i="1"/>
  <c r="AM270" i="1" s="1"/>
  <c r="AM50" i="1"/>
  <c r="F48" i="1"/>
  <c r="F251" i="1"/>
  <c r="F252" i="1" s="1"/>
  <c r="F131" i="1"/>
  <c r="F53" i="1"/>
  <c r="F57" i="1" s="1"/>
  <c r="CE269" i="1"/>
  <c r="CE270" i="1" s="1"/>
  <c r="CC245" i="1"/>
  <c r="CC131" i="1"/>
  <c r="CG50" i="1"/>
  <c r="CF251" i="1"/>
  <c r="CF252" i="1" s="1"/>
  <c r="CF53" i="1"/>
  <c r="CG269" i="1"/>
  <c r="CG270" i="1" s="1"/>
  <c r="CF48" i="1"/>
  <c r="CF269" i="1"/>
  <c r="CF270" i="1" s="1"/>
  <c r="CJ49" i="1"/>
  <c r="V251" i="1"/>
  <c r="V252" i="1" s="1"/>
  <c r="V269" i="1"/>
  <c r="V48" i="1"/>
  <c r="J251" i="1"/>
  <c r="J252" i="1" s="1"/>
  <c r="J131" i="1"/>
  <c r="K49" i="1"/>
  <c r="J53" i="1"/>
  <c r="J57" i="1" s="1"/>
  <c r="J269" i="1"/>
  <c r="J48" i="1"/>
  <c r="Q269" i="1"/>
  <c r="CD48" i="1"/>
  <c r="CD53" i="1"/>
  <c r="CE50" i="1"/>
  <c r="CD251" i="1"/>
  <c r="CD252" i="1" s="1"/>
  <c r="CF50" i="1"/>
  <c r="CH131" i="1"/>
  <c r="CH245" i="1"/>
  <c r="CI115" i="1"/>
  <c r="CI114" i="1"/>
  <c r="CI113" i="1"/>
  <c r="N49" i="1"/>
  <c r="CG131" i="1"/>
  <c r="CH49" i="1"/>
  <c r="CF131" i="1"/>
  <c r="CD269" i="1"/>
  <c r="CD270" i="1" s="1"/>
  <c r="CF245" i="1"/>
  <c r="CG245" i="1"/>
  <c r="CD50" i="1"/>
  <c r="J49" i="1"/>
  <c r="AM245" i="1"/>
  <c r="AM131" i="1"/>
  <c r="AK50" i="1"/>
  <c r="AK251" i="1"/>
  <c r="AK252" i="1" s="1"/>
  <c r="AL50" i="1"/>
  <c r="AK48" i="1"/>
  <c r="AL269" i="1"/>
  <c r="AL270" i="1" s="1"/>
  <c r="AK53" i="1"/>
  <c r="AK57" i="1" s="1"/>
  <c r="CB131" i="1"/>
  <c r="CC49" i="1"/>
  <c r="CK245" i="1"/>
  <c r="CK131" i="1"/>
  <c r="CJ269" i="1"/>
  <c r="CJ270" i="1" s="1"/>
  <c r="S49" i="1"/>
  <c r="S269" i="1"/>
  <c r="CJ245" i="1"/>
  <c r="CI50" i="1"/>
  <c r="CJ131" i="1"/>
  <c r="AL59" i="1"/>
  <c r="AL60" i="1"/>
  <c r="S131" i="1"/>
  <c r="S251" i="1"/>
  <c r="S252" i="1" s="1"/>
  <c r="S53" i="1"/>
  <c r="S57" i="1" s="1"/>
  <c r="S48" i="1"/>
  <c r="L48" i="1"/>
  <c r="L53" i="1"/>
  <c r="L57" i="1" s="1"/>
  <c r="L131" i="1"/>
  <c r="M49" i="1"/>
  <c r="L251" i="1"/>
  <c r="L252" i="1" s="1"/>
  <c r="L269" i="1"/>
  <c r="E131" i="1"/>
  <c r="E53" i="1"/>
  <c r="E57" i="1" s="1"/>
  <c r="E49" i="1"/>
  <c r="E48" i="1"/>
  <c r="F49" i="1"/>
  <c r="E251" i="1"/>
  <c r="E252" i="1" s="1"/>
  <c r="Z251" i="1"/>
  <c r="Z252" i="1" s="1"/>
  <c r="Z131" i="1"/>
  <c r="Z48" i="1"/>
  <c r="Z269" i="1"/>
  <c r="Z270" i="1" s="1"/>
  <c r="Z49" i="1"/>
  <c r="Z53" i="1"/>
  <c r="Z79" i="1"/>
  <c r="L49" i="1"/>
  <c r="W49" i="1"/>
  <c r="M269" i="1"/>
  <c r="I269" i="1"/>
  <c r="I49" i="1"/>
  <c r="W53" i="1"/>
  <c r="W57" i="1" s="1"/>
  <c r="W251" i="1"/>
  <c r="W252" i="1" s="1"/>
  <c r="W48" i="1"/>
  <c r="X269" i="1"/>
  <c r="W269" i="1"/>
  <c r="W131" i="1"/>
  <c r="X49" i="1"/>
  <c r="Z208" i="1"/>
  <c r="Z209" i="1" s="1"/>
  <c r="T269" i="1"/>
  <c r="T49" i="1"/>
  <c r="CH216" i="1"/>
  <c r="CH217" i="1" s="1"/>
  <c r="G251" i="1"/>
  <c r="G252" i="1" s="1"/>
  <c r="G269" i="1"/>
  <c r="G48" i="1"/>
  <c r="G53" i="1"/>
  <c r="G57" i="1" s="1"/>
  <c r="G131" i="1"/>
  <c r="CI131" i="1"/>
  <c r="CI245" i="1"/>
  <c r="CG253" i="1"/>
  <c r="CG67" i="1"/>
  <c r="CG61" i="1"/>
  <c r="CG264" i="1" s="1"/>
  <c r="CA59" i="1"/>
  <c r="CA60" i="1"/>
  <c r="G49" i="1"/>
  <c r="F269" i="1"/>
  <c r="CI49" i="1"/>
  <c r="Y79" i="1"/>
  <c r="H49" i="1"/>
  <c r="H269" i="1"/>
  <c r="CJ50" i="1"/>
  <c r="CL245" i="1"/>
  <c r="CL131" i="1"/>
  <c r="AL222" i="1"/>
  <c r="AL220" i="1" s="1"/>
  <c r="BZ222" i="1"/>
  <c r="BZ220" i="1" s="1"/>
  <c r="X48" i="1"/>
  <c r="X131" i="1"/>
  <c r="X53" i="1"/>
  <c r="X251" i="1"/>
  <c r="X252" i="1" s="1"/>
  <c r="CI269" i="1"/>
  <c r="CI270" i="1" s="1"/>
  <c r="CK85" i="1"/>
  <c r="CK212" i="1"/>
  <c r="CK214" i="1" s="1"/>
  <c r="CI251" i="1"/>
  <c r="CI252" i="1" s="1"/>
  <c r="CI53" i="1"/>
  <c r="CI57" i="1" s="1"/>
  <c r="CI48" i="1"/>
  <c r="C60" i="1"/>
  <c r="C59" i="1"/>
  <c r="AD65" i="1"/>
  <c r="CY65" i="1"/>
  <c r="CZ65" i="1" s="1"/>
  <c r="DA65" i="1" s="1"/>
  <c r="CS6" i="1"/>
  <c r="D131" i="1"/>
  <c r="D53" i="1"/>
  <c r="D57" i="1" s="1"/>
  <c r="D269" i="1"/>
  <c r="D251" i="1"/>
  <c r="D252" i="1" s="1"/>
  <c r="D48" i="1"/>
  <c r="H53" i="1"/>
  <c r="H57" i="1" s="1"/>
  <c r="H251" i="1"/>
  <c r="H252" i="1" s="1"/>
  <c r="H131" i="1"/>
  <c r="H48" i="1"/>
  <c r="CT6" i="1"/>
  <c r="Y269" i="1"/>
  <c r="Y270" i="1" s="1"/>
  <c r="Y131" i="1"/>
  <c r="Y53" i="1"/>
  <c r="Y49" i="1"/>
  <c r="Y48" i="1"/>
  <c r="Y251" i="1"/>
  <c r="Y252" i="1" s="1"/>
  <c r="CJ60" i="1"/>
  <c r="CJ59" i="1"/>
  <c r="CC59" i="1"/>
  <c r="CC60" i="1"/>
  <c r="T60" i="1"/>
  <c r="T59" i="1"/>
  <c r="Z74" i="1"/>
  <c r="Z57" i="1"/>
  <c r="CH205" i="1"/>
  <c r="G60" i="1"/>
  <c r="G59" i="1"/>
  <c r="AM60" i="1"/>
  <c r="AM59" i="1"/>
  <c r="BL253" i="1"/>
  <c r="BL67" i="1"/>
  <c r="BL61" i="1"/>
  <c r="BL264" i="1" s="1"/>
  <c r="CI74" i="1"/>
  <c r="CF57" i="1"/>
  <c r="F59" i="1"/>
  <c r="F60" i="1"/>
  <c r="CD57" i="1"/>
  <c r="CG74" i="1"/>
  <c r="CH121" i="1"/>
  <c r="CH122" i="1"/>
  <c r="CH123" i="1"/>
  <c r="CE60" i="1"/>
  <c r="CE59" i="1"/>
  <c r="AJ60" i="1"/>
  <c r="AJ59" i="1"/>
  <c r="B61" i="1"/>
  <c r="B253" i="1"/>
  <c r="B67" i="1"/>
  <c r="B71" i="1" s="1"/>
  <c r="K59" i="1"/>
  <c r="K60" i="1"/>
  <c r="L59" i="1"/>
  <c r="L60" i="1"/>
  <c r="AD96" i="1"/>
  <c r="CX96" i="1"/>
  <c r="CY96" i="1" s="1"/>
  <c r="CZ96" i="1" s="1"/>
  <c r="DA96" i="1" s="1"/>
  <c r="AE96" i="1" s="1"/>
  <c r="P60" i="1"/>
  <c r="P59" i="1"/>
  <c r="CG127" i="1"/>
  <c r="CG130" i="1" s="1"/>
  <c r="CG133" i="1" s="1"/>
  <c r="CG118" i="1"/>
  <c r="CG126" i="1"/>
  <c r="CG129" i="1" s="1"/>
  <c r="CG132" i="1" s="1"/>
  <c r="CG111" i="1"/>
  <c r="W59" i="1"/>
  <c r="W60" i="1"/>
  <c r="I59" i="1"/>
  <c r="I60" i="1"/>
  <c r="Q59" i="1"/>
  <c r="Q60" i="1"/>
  <c r="J59" i="1"/>
  <c r="J60" i="1"/>
  <c r="V60" i="1"/>
  <c r="V59" i="1"/>
  <c r="BX61" i="1"/>
  <c r="BX264" i="1" s="1"/>
  <c r="BX67" i="1"/>
  <c r="BX253" i="1"/>
  <c r="CE83" i="1"/>
  <c r="CF84" i="1"/>
  <c r="CB57" i="1"/>
  <c r="CE74" i="1"/>
  <c r="E60" i="1"/>
  <c r="E59" i="1"/>
  <c r="U60" i="1"/>
  <c r="U59" i="1"/>
  <c r="BZ57" i="1"/>
  <c r="CC74" i="1"/>
  <c r="BY57" i="1"/>
  <c r="CA74" i="1"/>
  <c r="CN202" i="1"/>
  <c r="CM204" i="1"/>
  <c r="M59" i="1"/>
  <c r="M60" i="1"/>
  <c r="O60" i="1"/>
  <c r="O59" i="1"/>
  <c r="C62" i="1"/>
  <c r="AK59" i="1"/>
  <c r="AK60" i="1"/>
  <c r="CG205" i="1"/>
  <c r="CK208" i="1" s="1"/>
  <c r="N59" i="1"/>
  <c r="N60" i="1"/>
  <c r="CH60" i="1"/>
  <c r="CL62" i="1" s="1"/>
  <c r="CH59" i="1"/>
  <c r="F180" i="1"/>
  <c r="G228" i="1" s="1"/>
  <c r="M221" i="1"/>
  <c r="T221" i="1"/>
  <c r="B84" i="1"/>
  <c r="B126" i="1" s="1"/>
  <c r="F221" i="1"/>
  <c r="I153" i="1"/>
  <c r="AB221" i="1"/>
  <c r="CP143" i="1"/>
  <c r="CO147" i="1"/>
  <c r="AB143" i="1"/>
  <c r="CQ159" i="1"/>
  <c r="CQ221" i="1" s="1"/>
  <c r="CQ82" i="1"/>
  <c r="CP84" i="1"/>
  <c r="CN200" i="1"/>
  <c r="CM201" i="1"/>
  <c r="CN268" i="1"/>
  <c r="CN225" i="1"/>
  <c r="CP198" i="1"/>
  <c r="CC82" i="1"/>
  <c r="E221" i="1"/>
  <c r="U221" i="1"/>
  <c r="J139" i="1"/>
  <c r="D221" i="1"/>
  <c r="G180" i="1"/>
  <c r="H228" i="1" s="1"/>
  <c r="M180" i="1"/>
  <c r="N228" i="1" s="1"/>
  <c r="S180" i="1"/>
  <c r="T228" i="1" s="1"/>
  <c r="L153" i="1"/>
  <c r="L52" i="1" s="1"/>
  <c r="D180" i="1"/>
  <c r="E228" i="1" s="1"/>
  <c r="B192" i="1"/>
  <c r="D153" i="1"/>
  <c r="D52" i="1" s="1"/>
  <c r="R147" i="1"/>
  <c r="R56" i="1" s="1"/>
  <c r="F139" i="1"/>
  <c r="F194" i="1" s="1"/>
  <c r="T180" i="1"/>
  <c r="U228" i="1" s="1"/>
  <c r="D147" i="1"/>
  <c r="D56" i="1" s="1"/>
  <c r="P139" i="1"/>
  <c r="P267" i="1" s="1"/>
  <c r="M139" i="1"/>
  <c r="M194" i="1" s="1"/>
  <c r="F153" i="1"/>
  <c r="L139" i="1"/>
  <c r="W221" i="1"/>
  <c r="N139" i="1"/>
  <c r="N153" i="1"/>
  <c r="N157" i="1" s="1"/>
  <c r="P147" i="1"/>
  <c r="P187" i="1" s="1"/>
  <c r="P128" i="1" s="1"/>
  <c r="U153" i="1"/>
  <c r="U52" i="1" s="1"/>
  <c r="E139" i="1"/>
  <c r="E194" i="1" s="1"/>
  <c r="J153" i="1"/>
  <c r="J157" i="1" s="1"/>
  <c r="V153" i="1"/>
  <c r="V52" i="1" s="1"/>
  <c r="B180" i="1"/>
  <c r="C228" i="1" s="1"/>
  <c r="R153" i="1"/>
  <c r="R52" i="1" s="1"/>
  <c r="P192" i="1"/>
  <c r="O139" i="1"/>
  <c r="U192" i="1"/>
  <c r="I221" i="1"/>
  <c r="D139" i="1"/>
  <c r="J221" i="1"/>
  <c r="G139" i="1"/>
  <c r="N147" i="1"/>
  <c r="N56" i="1" s="1"/>
  <c r="K192" i="1"/>
  <c r="U167" i="1"/>
  <c r="U201" i="1" s="1"/>
  <c r="U200" i="1" s="1"/>
  <c r="Q221" i="1"/>
  <c r="G175" i="1"/>
  <c r="G204" i="1" s="1"/>
  <c r="G203" i="1" s="1"/>
  <c r="I167" i="1"/>
  <c r="I201" i="1" s="1"/>
  <c r="I200" i="1" s="1"/>
  <c r="J180" i="1"/>
  <c r="K228" i="1" s="1"/>
  <c r="M147" i="1"/>
  <c r="M56" i="1" s="1"/>
  <c r="S175" i="1"/>
  <c r="S204" i="1" s="1"/>
  <c r="S203" i="1" s="1"/>
  <c r="J147" i="1"/>
  <c r="J56" i="1" s="1"/>
  <c r="M153" i="1"/>
  <c r="I180" i="1"/>
  <c r="J228" i="1" s="1"/>
  <c r="E153" i="1"/>
  <c r="E52" i="1" s="1"/>
  <c r="V221" i="1"/>
  <c r="B139" i="1"/>
  <c r="B194" i="1" s="1"/>
  <c r="O147" i="1"/>
  <c r="G167" i="1"/>
  <c r="G201" i="1" s="1"/>
  <c r="G200" i="1" s="1"/>
  <c r="N167" i="1"/>
  <c r="N201" i="1" s="1"/>
  <c r="N200" i="1" s="1"/>
  <c r="F167" i="1"/>
  <c r="F201" i="1" s="1"/>
  <c r="F200" i="1" s="1"/>
  <c r="N175" i="1"/>
  <c r="N204" i="1" s="1"/>
  <c r="N203" i="1" s="1"/>
  <c r="C175" i="1"/>
  <c r="C204" i="1" s="1"/>
  <c r="C203" i="1" s="1"/>
  <c r="L221" i="1"/>
  <c r="B147" i="1"/>
  <c r="N221" i="1"/>
  <c r="L167" i="1"/>
  <c r="L201" i="1" s="1"/>
  <c r="R221" i="1"/>
  <c r="E192" i="1"/>
  <c r="N192" i="1"/>
  <c r="C139" i="1"/>
  <c r="C194" i="1" s="1"/>
  <c r="C84" i="1"/>
  <c r="C126" i="1" s="1"/>
  <c r="M192" i="1"/>
  <c r="K167" i="1"/>
  <c r="K201" i="1" s="1"/>
  <c r="K200" i="1" s="1"/>
  <c r="V180" i="1"/>
  <c r="W228" i="1" s="1"/>
  <c r="B153" i="1"/>
  <c r="B52" i="1" s="1"/>
  <c r="U180" i="1"/>
  <c r="V228" i="1" s="1"/>
  <c r="H139" i="1"/>
  <c r="H194" i="1" s="1"/>
  <c r="O153" i="1"/>
  <c r="O157" i="1" s="1"/>
  <c r="N180" i="1"/>
  <c r="P153" i="1"/>
  <c r="P157" i="1" s="1"/>
  <c r="R139" i="1"/>
  <c r="R194" i="1" s="1"/>
  <c r="C180" i="1"/>
  <c r="J167" i="1"/>
  <c r="J201" i="1" s="1"/>
  <c r="M175" i="1"/>
  <c r="M204" i="1" s="1"/>
  <c r="M203" i="1" s="1"/>
  <c r="L192" i="1"/>
  <c r="U139" i="1"/>
  <c r="C153" i="1"/>
  <c r="C157" i="1" s="1"/>
  <c r="H147" i="1"/>
  <c r="W153" i="1"/>
  <c r="W52" i="1" s="1"/>
  <c r="T175" i="1"/>
  <c r="T204" i="1" s="1"/>
  <c r="T203" i="1" s="1"/>
  <c r="U175" i="1"/>
  <c r="U204" i="1" s="1"/>
  <c r="U203" i="1" s="1"/>
  <c r="T153" i="1"/>
  <c r="T157" i="1" s="1"/>
  <c r="G153" i="1"/>
  <c r="F147" i="1"/>
  <c r="F56" i="1" s="1"/>
  <c r="T192" i="1"/>
  <c r="S221" i="1"/>
  <c r="V175" i="1"/>
  <c r="V204" i="1" s="1"/>
  <c r="V203" i="1" s="1"/>
  <c r="E175" i="1"/>
  <c r="E204" i="1" s="1"/>
  <c r="E203" i="1" s="1"/>
  <c r="C147" i="1"/>
  <c r="C56" i="1" s="1"/>
  <c r="U147" i="1"/>
  <c r="V147" i="1"/>
  <c r="V56" i="1" s="1"/>
  <c r="O221" i="1"/>
  <c r="S153" i="1"/>
  <c r="S52" i="1" s="1"/>
  <c r="V167" i="1"/>
  <c r="S139" i="1"/>
  <c r="S194" i="1" s="1"/>
  <c r="H180" i="1"/>
  <c r="I228" i="1" s="1"/>
  <c r="G147" i="1"/>
  <c r="T167" i="1"/>
  <c r="T201" i="1" s="1"/>
  <c r="T200" i="1" s="1"/>
  <c r="G192" i="1"/>
  <c r="O180" i="1"/>
  <c r="D84" i="1"/>
  <c r="K221" i="1"/>
  <c r="S147" i="1"/>
  <c r="C167" i="1"/>
  <c r="C201" i="1" s="1"/>
  <c r="C200" i="1" s="1"/>
  <c r="Q139" i="1"/>
  <c r="K153" i="1"/>
  <c r="K52" i="1" s="1"/>
  <c r="H167" i="1"/>
  <c r="I147" i="1"/>
  <c r="E167" i="1"/>
  <c r="E201" i="1" s="1"/>
  <c r="E200" i="1" s="1"/>
  <c r="L175" i="1"/>
  <c r="L204" i="1" s="1"/>
  <c r="L203" i="1" s="1"/>
  <c r="S167" i="1"/>
  <c r="S201" i="1" s="1"/>
  <c r="W192" i="1"/>
  <c r="H192" i="1"/>
  <c r="T139" i="1"/>
  <c r="Q167" i="1"/>
  <c r="Q201" i="1" s="1"/>
  <c r="Q200" i="1" s="1"/>
  <c r="T147" i="1"/>
  <c r="T56" i="1" s="1"/>
  <c r="Q180" i="1"/>
  <c r="R228" i="1" s="1"/>
  <c r="R192" i="1"/>
  <c r="R167" i="1"/>
  <c r="R201" i="1" s="1"/>
  <c r="R200" i="1" s="1"/>
  <c r="R180" i="1"/>
  <c r="S228" i="1" s="1"/>
  <c r="P167" i="1"/>
  <c r="P201" i="1" s="1"/>
  <c r="P200" i="1" s="1"/>
  <c r="C192" i="1"/>
  <c r="V192" i="1"/>
  <c r="I192" i="1"/>
  <c r="D192" i="1"/>
  <c r="Q175" i="1"/>
  <c r="Q204" i="1" s="1"/>
  <c r="Q203" i="1" s="1"/>
  <c r="R175" i="1"/>
  <c r="P175" i="1"/>
  <c r="P204" i="1" s="1"/>
  <c r="P203" i="1" s="1"/>
  <c r="O175" i="1"/>
  <c r="O204" i="1" s="1"/>
  <c r="O203" i="1" s="1"/>
  <c r="D175" i="1"/>
  <c r="D204" i="1" s="1"/>
  <c r="D203" i="1" s="1"/>
  <c r="J175" i="1"/>
  <c r="I175" i="1"/>
  <c r="M167" i="1"/>
  <c r="M201" i="1" s="1"/>
  <c r="M200" i="1" s="1"/>
  <c r="F175" i="1"/>
  <c r="P221" i="1"/>
  <c r="E147" i="1"/>
  <c r="Q153" i="1"/>
  <c r="K180" i="1"/>
  <c r="B167" i="1"/>
  <c r="H175" i="1"/>
  <c r="O167" i="1"/>
  <c r="O201" i="1" s="1"/>
  <c r="F192" i="1"/>
  <c r="D167" i="1"/>
  <c r="D201" i="1" s="1"/>
  <c r="S192" i="1"/>
  <c r="I139" i="1"/>
  <c r="H153" i="1"/>
  <c r="O192" i="1"/>
  <c r="H221" i="1"/>
  <c r="L147" i="1"/>
  <c r="K139" i="1"/>
  <c r="Q147" i="1"/>
  <c r="K175" i="1"/>
  <c r="B175" i="1"/>
  <c r="B204" i="1" s="1"/>
  <c r="B203" i="1" s="1"/>
  <c r="C221" i="1"/>
  <c r="L180" i="1"/>
  <c r="M228" i="1" s="1"/>
  <c r="V139" i="1"/>
  <c r="K147" i="1"/>
  <c r="J192" i="1"/>
  <c r="W147" i="1"/>
  <c r="Q192" i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I16" i="3"/>
  <c r="L13" i="3"/>
  <c r="H21" i="3"/>
  <c r="R10" i="3"/>
  <c r="C32" i="3"/>
  <c r="AH20" i="3"/>
  <c r="AJ14" i="3"/>
  <c r="R15" i="3"/>
  <c r="AN27" i="3"/>
  <c r="AL22" i="3"/>
  <c r="AO10" i="3"/>
  <c r="AQ9" i="3"/>
  <c r="V21" i="3"/>
  <c r="AI19" i="3"/>
  <c r="AB23" i="3"/>
  <c r="C34" i="3"/>
  <c r="T26" i="3"/>
  <c r="V34" i="3"/>
  <c r="T31" i="3"/>
  <c r="AB95" i="3"/>
  <c r="AH24" i="3"/>
  <c r="AD22" i="3"/>
  <c r="K8" i="3"/>
  <c r="AQ29" i="3"/>
  <c r="AI28" i="3"/>
  <c r="AP77" i="3"/>
  <c r="H17" i="3"/>
  <c r="AG13" i="3"/>
  <c r="AB20" i="3"/>
  <c r="K36" i="3"/>
  <c r="T37" i="3"/>
  <c r="G37" i="3"/>
  <c r="AJ41" i="3"/>
  <c r="AC16" i="3"/>
  <c r="Q12" i="3"/>
  <c r="S9" i="3"/>
  <c r="K14" i="3"/>
  <c r="AG16" i="3"/>
  <c r="J34" i="3"/>
  <c r="AP50" i="3"/>
  <c r="AQ16" i="3"/>
  <c r="Y22" i="3"/>
  <c r="L37" i="3"/>
  <c r="AJ27" i="3"/>
  <c r="AO20" i="3"/>
  <c r="C26" i="3"/>
  <c r="AB93" i="3"/>
  <c r="T21" i="3"/>
  <c r="P34" i="3"/>
  <c r="AO31" i="3"/>
  <c r="R27" i="3"/>
  <c r="T8" i="3"/>
  <c r="AM34" i="3"/>
  <c r="X8" i="3"/>
  <c r="V17" i="3"/>
  <c r="AL7" i="3"/>
  <c r="AC22" i="3"/>
  <c r="C22" i="3"/>
  <c r="AB83" i="3"/>
  <c r="J30" i="3"/>
  <c r="AE31" i="3"/>
  <c r="J29" i="3"/>
  <c r="AM36" i="3"/>
  <c r="AQ12" i="3"/>
  <c r="I27" i="3"/>
  <c r="K37" i="3"/>
  <c r="AG31" i="3"/>
  <c r="AP12" i="3"/>
  <c r="R18" i="3"/>
  <c r="AQ41" i="3"/>
  <c r="AC18" i="3"/>
  <c r="AB96" i="3"/>
  <c r="AP79" i="3"/>
  <c r="AM11" i="3"/>
  <c r="S6" i="3"/>
  <c r="P18" i="3"/>
  <c r="AB19" i="3"/>
  <c r="I10" i="3"/>
  <c r="AJ28" i="3"/>
  <c r="AP56" i="3"/>
  <c r="K38" i="3"/>
  <c r="AI39" i="3"/>
  <c r="O22" i="3"/>
  <c r="AD38" i="3"/>
  <c r="I26" i="3"/>
  <c r="AO30" i="3"/>
  <c r="AP69" i="3"/>
  <c r="AQ28" i="3"/>
  <c r="AB37" i="3"/>
  <c r="Q15" i="3"/>
  <c r="AK5" i="3"/>
  <c r="AA35" i="3"/>
  <c r="AH15" i="3"/>
  <c r="AB41" i="3"/>
  <c r="AH21" i="3"/>
  <c r="AM13" i="3"/>
  <c r="O7" i="3"/>
  <c r="K24" i="3"/>
  <c r="AJ42" i="3"/>
  <c r="V25" i="3"/>
  <c r="K26" i="3"/>
  <c r="AB6" i="3"/>
  <c r="C13" i="3"/>
  <c r="M21" i="3"/>
  <c r="AJ19" i="3"/>
  <c r="S17" i="3"/>
  <c r="Y41" i="3"/>
  <c r="H20" i="3"/>
  <c r="AD25" i="3"/>
  <c r="AB36" i="3"/>
  <c r="AG35" i="3"/>
  <c r="AK11" i="3"/>
  <c r="H24" i="3"/>
  <c r="P17" i="3"/>
  <c r="AO25" i="3"/>
  <c r="AN9" i="3"/>
  <c r="C49" i="3"/>
  <c r="AP20" i="3"/>
  <c r="T9" i="3"/>
  <c r="Q30" i="3"/>
  <c r="X41" i="3"/>
  <c r="AQ33" i="3"/>
  <c r="AL41" i="3"/>
  <c r="AK36" i="3"/>
  <c r="L26" i="3"/>
  <c r="U17" i="3"/>
  <c r="H9" i="3"/>
  <c r="AP8" i="3"/>
  <c r="AG37" i="3"/>
  <c r="L41" i="3"/>
  <c r="J16" i="3"/>
  <c r="AO8" i="3"/>
  <c r="AH23" i="3"/>
  <c r="R5" i="3"/>
  <c r="W10" i="3"/>
  <c r="P39" i="3"/>
  <c r="AM33" i="3"/>
  <c r="X29" i="3"/>
  <c r="AN5" i="3"/>
  <c r="R84" i="3"/>
  <c r="W18" i="3"/>
  <c r="J17" i="3"/>
  <c r="AB58" i="3"/>
  <c r="Q9" i="3"/>
  <c r="AP93" i="3"/>
  <c r="AK27" i="3"/>
  <c r="H34" i="3"/>
  <c r="AO41" i="3"/>
  <c r="X26" i="3"/>
  <c r="T17" i="3"/>
  <c r="AO17" i="3"/>
  <c r="M8" i="3"/>
  <c r="AK31" i="3"/>
  <c r="AP42" i="3"/>
  <c r="AH33" i="3"/>
  <c r="V16" i="3"/>
  <c r="AH41" i="3"/>
  <c r="AO42" i="3"/>
  <c r="N18" i="3"/>
  <c r="V22" i="3"/>
  <c r="AO22" i="3"/>
  <c r="P37" i="3"/>
  <c r="AQ13" i="3"/>
  <c r="I19" i="3"/>
  <c r="L33" i="3"/>
  <c r="T12" i="3"/>
  <c r="V9" i="3"/>
  <c r="AN68" i="3"/>
  <c r="AK57" i="3"/>
  <c r="AN63" i="3"/>
  <c r="AH22" i="3"/>
  <c r="I9" i="3"/>
  <c r="M17" i="3"/>
  <c r="AB63" i="3"/>
  <c r="D48" i="3"/>
  <c r="AP86" i="3"/>
  <c r="I14" i="3"/>
  <c r="AK38" i="3"/>
  <c r="AI29" i="3"/>
  <c r="J25" i="3"/>
  <c r="S33" i="3"/>
  <c r="H42" i="3"/>
  <c r="N30" i="3"/>
  <c r="M36" i="3"/>
  <c r="AM23" i="3"/>
  <c r="O42" i="3"/>
  <c r="AE27" i="3"/>
  <c r="AA13" i="3"/>
  <c r="W7" i="3"/>
  <c r="C28" i="3"/>
  <c r="AD29" i="3"/>
  <c r="R7" i="3"/>
  <c r="AP27" i="3"/>
  <c r="AE24" i="3"/>
  <c r="AC12" i="3"/>
  <c r="O18" i="3"/>
  <c r="M14" i="3"/>
  <c r="M27" i="3"/>
  <c r="AH28" i="3"/>
  <c r="S23" i="3"/>
  <c r="AJ40" i="3"/>
  <c r="AL20" i="3"/>
  <c r="AP11" i="3"/>
  <c r="T41" i="3"/>
  <c r="M25" i="3"/>
  <c r="AI7" i="3"/>
  <c r="T23" i="3"/>
  <c r="S40" i="3"/>
  <c r="T19" i="3"/>
  <c r="N27" i="3"/>
  <c r="V5" i="3"/>
  <c r="V49" i="3" s="1"/>
  <c r="Z6" i="3"/>
  <c r="AB79" i="3"/>
  <c r="AL27" i="3"/>
  <c r="N13" i="3"/>
  <c r="L21" i="3"/>
  <c r="AC33" i="3"/>
  <c r="AO35" i="3"/>
  <c r="C39" i="3"/>
  <c r="Y11" i="3"/>
  <c r="H11" i="3"/>
  <c r="AI26" i="3"/>
  <c r="AJ31" i="3"/>
  <c r="AK33" i="3"/>
  <c r="AD19" i="3"/>
  <c r="AI32" i="3"/>
  <c r="S29" i="3"/>
  <c r="AB13" i="3"/>
  <c r="R38" i="3"/>
  <c r="AP83" i="3"/>
  <c r="AN28" i="3"/>
  <c r="AN10" i="3"/>
  <c r="J11" i="3"/>
  <c r="AC27" i="3"/>
  <c r="AQ22" i="3"/>
  <c r="AC28" i="3"/>
  <c r="Q31" i="3"/>
  <c r="AM18" i="3"/>
  <c r="C6" i="3"/>
  <c r="W42" i="3"/>
  <c r="N6" i="3"/>
  <c r="AI17" i="3"/>
  <c r="AP72" i="3"/>
  <c r="AG21" i="3"/>
  <c r="AO15" i="3"/>
  <c r="AH37" i="3"/>
  <c r="Y24" i="3"/>
  <c r="R11" i="3"/>
  <c r="K16" i="3"/>
  <c r="AB82" i="3"/>
  <c r="AA5" i="3"/>
  <c r="AA95" i="3" s="1"/>
  <c r="L7" i="3"/>
  <c r="AI5" i="3"/>
  <c r="L12" i="3"/>
  <c r="AE33" i="3"/>
  <c r="AD23" i="3"/>
  <c r="W22" i="3"/>
  <c r="AP94" i="3"/>
  <c r="AQ15" i="3"/>
  <c r="U35" i="3"/>
  <c r="AM15" i="3"/>
  <c r="AN7" i="3"/>
  <c r="AQ19" i="3"/>
  <c r="AH14" i="3"/>
  <c r="AG7" i="3"/>
  <c r="P35" i="3"/>
  <c r="AE29" i="3"/>
  <c r="V41" i="3"/>
  <c r="N20" i="3"/>
  <c r="X40" i="3"/>
  <c r="Q18" i="3"/>
  <c r="AK8" i="3"/>
  <c r="AI20" i="3"/>
  <c r="S16" i="3"/>
  <c r="I28" i="3"/>
  <c r="J36" i="3"/>
  <c r="AO7" i="3"/>
  <c r="AJ7" i="3"/>
  <c r="Z30" i="3"/>
  <c r="AQ40" i="3"/>
  <c r="AO38" i="3"/>
  <c r="L19" i="3"/>
  <c r="K33" i="3"/>
  <c r="Z12" i="3"/>
  <c r="L9" i="3"/>
  <c r="S21" i="3"/>
  <c r="AG33" i="3"/>
  <c r="V12" i="3"/>
  <c r="AG6" i="3"/>
  <c r="I13" i="3"/>
  <c r="AC10" i="3"/>
  <c r="H8" i="3"/>
  <c r="Q38" i="3"/>
  <c r="T28" i="3"/>
  <c r="V39" i="3"/>
  <c r="AB35" i="3"/>
  <c r="O11" i="3"/>
  <c r="P21" i="3"/>
  <c r="AG24" i="3"/>
  <c r="AP16" i="3"/>
  <c r="AQ27" i="3"/>
  <c r="AG40" i="3"/>
  <c r="AP76" i="3"/>
  <c r="W20" i="3"/>
  <c r="O28" i="3"/>
  <c r="X32" i="3"/>
  <c r="AO12" i="3"/>
  <c r="U37" i="3"/>
  <c r="AE6" i="3"/>
  <c r="X31" i="3"/>
  <c r="AC36" i="3"/>
  <c r="G40" i="3"/>
  <c r="AL35" i="3"/>
  <c r="Q17" i="3"/>
  <c r="U10" i="3"/>
  <c r="C19" i="3"/>
  <c r="AP26" i="3"/>
  <c r="W31" i="3"/>
  <c r="X25" i="3"/>
  <c r="AP89" i="3"/>
  <c r="AP15" i="3"/>
  <c r="I7" i="3"/>
  <c r="AM7" i="3"/>
  <c r="O5" i="3"/>
  <c r="O93" i="3" s="1"/>
  <c r="AA19" i="3"/>
  <c r="I36" i="3"/>
  <c r="AP37" i="3"/>
  <c r="U20" i="3"/>
  <c r="Y7" i="3"/>
  <c r="N19" i="3"/>
  <c r="Q28" i="3"/>
  <c r="AE40" i="3"/>
  <c r="K10" i="3"/>
  <c r="H10" i="3"/>
  <c r="W9" i="3"/>
  <c r="O72" i="3"/>
  <c r="V29" i="3"/>
  <c r="Z33" i="3"/>
  <c r="V24" i="3"/>
  <c r="U23" i="3"/>
  <c r="W27" i="3"/>
  <c r="H6" i="3"/>
  <c r="AB10" i="3"/>
  <c r="AB71" i="3"/>
  <c r="J38" i="3"/>
  <c r="G39" i="3"/>
  <c r="U34" i="3"/>
  <c r="O29" i="3"/>
  <c r="O12" i="3"/>
  <c r="G38" i="3"/>
  <c r="AB12" i="3"/>
  <c r="S39" i="3"/>
  <c r="AB7" i="3"/>
  <c r="AJ39" i="3"/>
  <c r="M26" i="3"/>
  <c r="T40" i="3"/>
  <c r="AQ24" i="3"/>
  <c r="J19" i="3"/>
  <c r="L20" i="3"/>
  <c r="R31" i="3"/>
  <c r="AA22" i="3"/>
  <c r="C4" i="3"/>
  <c r="U42" i="3"/>
  <c r="G34" i="3"/>
  <c r="K27" i="3"/>
  <c r="AE41" i="3"/>
  <c r="M13" i="3"/>
  <c r="AL29" i="3"/>
  <c r="AP48" i="3"/>
  <c r="AB22" i="3"/>
  <c r="L17" i="3"/>
  <c r="AB30" i="3"/>
  <c r="V36" i="3"/>
  <c r="J42" i="3"/>
  <c r="AK6" i="3"/>
  <c r="AJ25" i="3"/>
  <c r="AO21" i="3"/>
  <c r="O8" i="3"/>
  <c r="AH6" i="3"/>
  <c r="AP88" i="3"/>
  <c r="AB72" i="3"/>
  <c r="AJ15" i="3"/>
  <c r="Q27" i="3"/>
  <c r="AB39" i="3"/>
  <c r="AE30" i="3"/>
  <c r="I37" i="3"/>
  <c r="AN22" i="3"/>
  <c r="Z25" i="3"/>
  <c r="E50" i="3"/>
  <c r="AD20" i="3"/>
  <c r="AB49" i="3"/>
  <c r="AG29" i="3"/>
  <c r="K32" i="3"/>
  <c r="X6" i="3"/>
  <c r="Y21" i="3"/>
  <c r="P40" i="3"/>
  <c r="AJ23" i="3"/>
  <c r="Z24" i="3"/>
  <c r="H13" i="3"/>
  <c r="Z29" i="3"/>
  <c r="N42" i="3"/>
  <c r="X19" i="3"/>
  <c r="J18" i="3"/>
  <c r="AB33" i="3"/>
  <c r="Q35" i="3"/>
  <c r="O10" i="3"/>
  <c r="AP23" i="3"/>
  <c r="N9" i="3"/>
  <c r="AB76" i="3"/>
  <c r="AK20" i="3"/>
  <c r="I21" i="3"/>
  <c r="L24" i="3"/>
  <c r="AP59" i="3"/>
  <c r="AA42" i="3"/>
  <c r="P36" i="3"/>
  <c r="I18" i="3"/>
  <c r="AO26" i="3"/>
  <c r="AP81" i="3"/>
  <c r="V33" i="3"/>
  <c r="O27" i="3"/>
  <c r="AK41" i="3"/>
  <c r="S8" i="3"/>
  <c r="AA11" i="3"/>
  <c r="AL23" i="3"/>
  <c r="AP68" i="3"/>
  <c r="H25" i="3"/>
  <c r="AB77" i="3"/>
  <c r="AB75" i="3"/>
  <c r="C24" i="3"/>
  <c r="AB17" i="3"/>
  <c r="V90" i="3"/>
  <c r="Y33" i="3"/>
  <c r="AO33" i="3"/>
  <c r="T13" i="3"/>
  <c r="AO40" i="3"/>
  <c r="Y39" i="3"/>
  <c r="H36" i="3"/>
  <c r="Z19" i="3"/>
  <c r="AA29" i="3"/>
  <c r="AC17" i="3"/>
  <c r="S11" i="3"/>
  <c r="Q16" i="3"/>
  <c r="L38" i="3"/>
  <c r="AH11" i="3"/>
  <c r="AN34" i="3"/>
  <c r="H38" i="3"/>
  <c r="Y36" i="3"/>
  <c r="U29" i="3"/>
  <c r="K13" i="3"/>
  <c r="C31" i="3"/>
  <c r="AQ26" i="3"/>
  <c r="R6" i="3"/>
  <c r="I29" i="3"/>
  <c r="T7" i="3"/>
  <c r="AB85" i="3"/>
  <c r="W40" i="3"/>
  <c r="L10" i="3"/>
  <c r="Q34" i="3"/>
  <c r="AH7" i="3"/>
  <c r="V35" i="3"/>
  <c r="AB81" i="3"/>
  <c r="AC38" i="3"/>
  <c r="H12" i="3"/>
  <c r="M42" i="3"/>
  <c r="R20" i="3"/>
  <c r="J28" i="3"/>
  <c r="AD50" i="3"/>
  <c r="V32" i="3"/>
  <c r="AN18" i="3"/>
  <c r="H30" i="3"/>
  <c r="J21" i="3"/>
  <c r="AJ13" i="3"/>
  <c r="X39" i="3"/>
  <c r="E49" i="3"/>
  <c r="AA49" i="3"/>
  <c r="AK7" i="3"/>
  <c r="O33" i="3"/>
  <c r="AD37" i="3"/>
  <c r="AB55" i="3"/>
  <c r="X5" i="3"/>
  <c r="X30" i="3"/>
  <c r="AE8" i="3"/>
  <c r="AK14" i="3"/>
  <c r="N21" i="3"/>
  <c r="H40" i="3"/>
  <c r="AC34" i="3"/>
  <c r="AH38" i="3"/>
  <c r="AO23" i="3"/>
  <c r="Y29" i="3"/>
  <c r="AG26" i="3"/>
  <c r="AC21" i="3"/>
  <c r="AE9" i="3"/>
  <c r="H26" i="3"/>
  <c r="R26" i="3"/>
  <c r="AM31" i="3"/>
  <c r="I6" i="3"/>
  <c r="AM14" i="3"/>
  <c r="I5" i="3"/>
  <c r="AJ16" i="3"/>
  <c r="T34" i="3"/>
  <c r="R40" i="3"/>
  <c r="N23" i="3"/>
  <c r="P41" i="3"/>
  <c r="AA8" i="3"/>
  <c r="Z39" i="3"/>
  <c r="AM28" i="3"/>
  <c r="AK29" i="3"/>
  <c r="Y31" i="3"/>
  <c r="R25" i="3"/>
  <c r="AB97" i="3"/>
  <c r="K29" i="3"/>
  <c r="AP49" i="3"/>
  <c r="AO11" i="3"/>
  <c r="K39" i="3"/>
  <c r="AA36" i="3"/>
  <c r="AN42" i="3"/>
  <c r="AB60" i="3"/>
  <c r="AG23" i="3"/>
  <c r="AC32" i="3"/>
  <c r="H32" i="3"/>
  <c r="O55" i="3"/>
  <c r="U28" i="3"/>
  <c r="T35" i="3"/>
  <c r="D50" i="3"/>
  <c r="AA14" i="3"/>
  <c r="AK71" i="3"/>
  <c r="AK47" i="3"/>
  <c r="AI92" i="3"/>
  <c r="AJ12" i="3"/>
  <c r="C36" i="3"/>
  <c r="AQ37" i="3"/>
  <c r="V83" i="3"/>
  <c r="U26" i="3"/>
  <c r="V28" i="3"/>
  <c r="AE38" i="3"/>
  <c r="AH17" i="3"/>
  <c r="AB80" i="3"/>
  <c r="U36" i="3"/>
  <c r="Y42" i="3"/>
  <c r="AL40" i="3"/>
  <c r="G47" i="3"/>
  <c r="AE19" i="3"/>
  <c r="AP40" i="3"/>
  <c r="J33" i="3"/>
  <c r="AB26" i="3"/>
  <c r="AL33" i="3"/>
  <c r="AL32" i="3"/>
  <c r="AI13" i="3"/>
  <c r="J24" i="3"/>
  <c r="AL12" i="3"/>
  <c r="H28" i="3"/>
  <c r="AC20" i="3"/>
  <c r="Y9" i="3"/>
  <c r="AG14" i="3"/>
  <c r="T30" i="3"/>
  <c r="AB86" i="3"/>
  <c r="U9" i="3"/>
  <c r="AA31" i="3"/>
  <c r="N16" i="3"/>
  <c r="X21" i="3"/>
  <c r="P38" i="3"/>
  <c r="T27" i="3"/>
  <c r="AE28" i="3"/>
  <c r="N10" i="3"/>
  <c r="Y16" i="3"/>
  <c r="AD32" i="3"/>
  <c r="C20" i="3"/>
  <c r="S38" i="3"/>
  <c r="AP92" i="3"/>
  <c r="AP41" i="3"/>
  <c r="X7" i="3"/>
  <c r="AK22" i="3"/>
  <c r="R35" i="3"/>
  <c r="V20" i="3"/>
  <c r="T36" i="3"/>
  <c r="AB15" i="3"/>
  <c r="AK42" i="3"/>
  <c r="AC26" i="3"/>
  <c r="P14" i="3"/>
  <c r="G48" i="3"/>
  <c r="AN11" i="3"/>
  <c r="AN19" i="3"/>
  <c r="AD28" i="3"/>
  <c r="AL39" i="3"/>
  <c r="AE18" i="3"/>
  <c r="X38" i="3"/>
  <c r="AP74" i="3"/>
  <c r="K20" i="3"/>
  <c r="AL28" i="3"/>
  <c r="AI10" i="3"/>
  <c r="AN26" i="3"/>
  <c r="U21" i="3"/>
  <c r="AA25" i="3"/>
  <c r="P13" i="3"/>
  <c r="AQ32" i="3"/>
  <c r="U39" i="3"/>
  <c r="AP22" i="3"/>
  <c r="AE7" i="3"/>
  <c r="AP17" i="3"/>
  <c r="M40" i="3"/>
  <c r="AQ21" i="3"/>
  <c r="Z21" i="3"/>
  <c r="AI9" i="3"/>
  <c r="Y13" i="3"/>
  <c r="AB54" i="3"/>
  <c r="W21" i="3"/>
  <c r="AE11" i="3"/>
  <c r="AO13" i="3"/>
  <c r="U19" i="3"/>
  <c r="AH36" i="3"/>
  <c r="AA28" i="3"/>
  <c r="I32" i="3"/>
  <c r="AG36" i="3"/>
  <c r="K42" i="3"/>
  <c r="Z22" i="3"/>
  <c r="AB62" i="3"/>
  <c r="X17" i="3"/>
  <c r="C11" i="3"/>
  <c r="X36" i="3"/>
  <c r="AE16" i="3"/>
  <c r="V40" i="3"/>
  <c r="X12" i="3"/>
  <c r="AM8" i="3"/>
  <c r="Z37" i="3"/>
  <c r="R22" i="3"/>
  <c r="S31" i="3"/>
  <c r="AN25" i="3"/>
  <c r="P26" i="3"/>
  <c r="L15" i="3"/>
  <c r="AJ6" i="3"/>
  <c r="S20" i="3"/>
  <c r="AN29" i="3"/>
  <c r="K9" i="3"/>
  <c r="H27" i="3"/>
  <c r="Y19" i="3"/>
  <c r="Q7" i="3"/>
  <c r="AI8" i="3"/>
  <c r="AC29" i="3"/>
  <c r="AO37" i="3"/>
  <c r="AP85" i="3"/>
  <c r="AM12" i="3"/>
  <c r="L28" i="3"/>
  <c r="M5" i="3"/>
  <c r="AG20" i="3"/>
  <c r="Y20" i="3"/>
  <c r="AK34" i="3"/>
  <c r="C9" i="3"/>
  <c r="AE42" i="3"/>
  <c r="AB8" i="3"/>
  <c r="AB84" i="3"/>
  <c r="AB47" i="3"/>
  <c r="AH29" i="3"/>
  <c r="AH5" i="3"/>
  <c r="AH94" i="3" s="1"/>
  <c r="AQ5" i="3"/>
  <c r="AJ26" i="3"/>
  <c r="Q8" i="3"/>
  <c r="AQ49" i="3"/>
  <c r="M69" i="3"/>
  <c r="Q14" i="3"/>
  <c r="S13" i="3"/>
  <c r="AQ30" i="3"/>
  <c r="G42" i="3"/>
  <c r="AA32" i="3"/>
  <c r="X15" i="3"/>
  <c r="V13" i="3"/>
  <c r="Y10" i="3"/>
  <c r="AE25" i="3"/>
  <c r="H31" i="3"/>
  <c r="H41" i="3"/>
  <c r="AA16" i="3"/>
  <c r="AC24" i="3"/>
  <c r="G50" i="3"/>
  <c r="AP60" i="3"/>
  <c r="AP78" i="3"/>
  <c r="K28" i="3"/>
  <c r="T38" i="3"/>
  <c r="M62" i="3"/>
  <c r="T14" i="3"/>
  <c r="X24" i="3"/>
  <c r="T18" i="3"/>
  <c r="M38" i="3"/>
  <c r="AH31" i="3"/>
  <c r="AD24" i="3"/>
  <c r="R34" i="3"/>
  <c r="K18" i="3"/>
  <c r="R96" i="3"/>
  <c r="I38" i="3"/>
  <c r="W6" i="3"/>
  <c r="AD34" i="3"/>
  <c r="U27" i="3"/>
  <c r="AP73" i="3"/>
  <c r="AP34" i="3"/>
  <c r="AG5" i="3"/>
  <c r="L25" i="3"/>
  <c r="I11" i="3"/>
  <c r="AP28" i="3"/>
  <c r="AK24" i="3"/>
  <c r="X9" i="3"/>
  <c r="P29" i="3"/>
  <c r="O32" i="3"/>
  <c r="AI21" i="3"/>
  <c r="Q37" i="3"/>
  <c r="V42" i="3"/>
  <c r="U16" i="3"/>
  <c r="AH42" i="3"/>
  <c r="W34" i="3"/>
  <c r="I24" i="3"/>
  <c r="AG75" i="3"/>
  <c r="R14" i="3"/>
  <c r="AI38" i="3"/>
  <c r="AQ34" i="3"/>
  <c r="AL38" i="3"/>
  <c r="AA41" i="3"/>
  <c r="O25" i="3"/>
  <c r="AB61" i="3"/>
  <c r="AO34" i="3"/>
  <c r="AD39" i="3"/>
  <c r="N35" i="3"/>
  <c r="W33" i="3"/>
  <c r="O40" i="3"/>
  <c r="AP67" i="3"/>
  <c r="C27" i="3"/>
  <c r="U13" i="3"/>
  <c r="AK13" i="3"/>
  <c r="AN12" i="3"/>
  <c r="AC5" i="3"/>
  <c r="X23" i="3"/>
  <c r="H33" i="3"/>
  <c r="K19" i="3"/>
  <c r="S10" i="3"/>
  <c r="V76" i="3"/>
  <c r="AJ18" i="3"/>
  <c r="AC42" i="3"/>
  <c r="AP54" i="3"/>
  <c r="AM26" i="3"/>
  <c r="AQ25" i="3"/>
  <c r="P30" i="3"/>
  <c r="I12" i="3"/>
  <c r="AB24" i="3"/>
  <c r="AD33" i="3"/>
  <c r="AB91" i="3"/>
  <c r="AG30" i="3"/>
  <c r="AC11" i="3"/>
  <c r="S12" i="3"/>
  <c r="S30" i="3"/>
  <c r="AN36" i="3"/>
  <c r="AM17" i="3"/>
  <c r="AO24" i="3"/>
  <c r="AD40" i="3"/>
  <c r="L11" i="3"/>
  <c r="Q5" i="3"/>
  <c r="AP21" i="3"/>
  <c r="N24" i="3"/>
  <c r="Y37" i="3"/>
  <c r="AG11" i="3"/>
  <c r="AB18" i="3"/>
  <c r="U33" i="3"/>
  <c r="I23" i="3"/>
  <c r="R23" i="3"/>
  <c r="L22" i="3"/>
  <c r="S22" i="3"/>
  <c r="C7" i="3"/>
  <c r="Y34" i="3"/>
  <c r="W8" i="3"/>
  <c r="E47" i="3"/>
  <c r="C33" i="3"/>
  <c r="AK32" i="3"/>
  <c r="AK15" i="3"/>
  <c r="M7" i="3"/>
  <c r="AQ36" i="3"/>
  <c r="R30" i="3"/>
  <c r="AP64" i="3"/>
  <c r="AM40" i="3"/>
  <c r="AI30" i="3"/>
  <c r="S24" i="3"/>
  <c r="M39" i="3"/>
  <c r="AI55" i="3"/>
  <c r="Y30" i="3"/>
  <c r="M6" i="3"/>
  <c r="L34" i="3"/>
  <c r="AP31" i="3"/>
  <c r="M34" i="3"/>
  <c r="AB56" i="3"/>
  <c r="AB68" i="3"/>
  <c r="Q6" i="3"/>
  <c r="I33" i="3"/>
  <c r="AA6" i="3"/>
  <c r="AN23" i="3"/>
  <c r="Z10" i="3"/>
  <c r="AP75" i="3"/>
  <c r="N32" i="3"/>
  <c r="AA37" i="3"/>
  <c r="AK39" i="3"/>
  <c r="Y27" i="3"/>
  <c r="AG60" i="3"/>
  <c r="AI24" i="3"/>
  <c r="M12" i="3"/>
  <c r="AD30" i="3"/>
  <c r="AL17" i="3"/>
  <c r="W29" i="3"/>
  <c r="AK79" i="3"/>
  <c r="AP38" i="3"/>
  <c r="M16" i="3"/>
  <c r="AN20" i="3"/>
  <c r="S26" i="3"/>
  <c r="AG32" i="3"/>
  <c r="O9" i="3"/>
  <c r="AK9" i="3"/>
  <c r="AG17" i="3"/>
  <c r="AM19" i="3"/>
  <c r="AE39" i="3"/>
  <c r="AQ35" i="3"/>
  <c r="AE13" i="3"/>
  <c r="AD47" i="3"/>
  <c r="J6" i="3"/>
  <c r="M63" i="3"/>
  <c r="P33" i="3"/>
  <c r="M23" i="3"/>
  <c r="J14" i="3"/>
  <c r="AK37" i="3"/>
  <c r="AC31" i="3"/>
  <c r="R19" i="3"/>
  <c r="AH8" i="3"/>
  <c r="AN40" i="3"/>
  <c r="AO14" i="3"/>
  <c r="V77" i="3"/>
  <c r="AD27" i="3"/>
  <c r="W12" i="3"/>
  <c r="V26" i="3"/>
  <c r="Y15" i="3"/>
  <c r="P19" i="3"/>
  <c r="AP30" i="3"/>
  <c r="AB69" i="3"/>
  <c r="AP80" i="3"/>
  <c r="W17" i="3"/>
  <c r="L23" i="3"/>
  <c r="AI14" i="3"/>
  <c r="AJ38" i="3"/>
  <c r="T24" i="3"/>
  <c r="W25" i="3"/>
  <c r="L14" i="3"/>
  <c r="N17" i="3"/>
  <c r="V23" i="3"/>
  <c r="C17" i="3"/>
  <c r="AI18" i="3"/>
  <c r="W28" i="3"/>
  <c r="U22" i="3"/>
  <c r="AO5" i="3"/>
  <c r="C48" i="3"/>
  <c r="AA18" i="3"/>
  <c r="S7" i="3"/>
  <c r="AM41" i="3"/>
  <c r="N36" i="3"/>
  <c r="AB90" i="3"/>
  <c r="AD21" i="3"/>
  <c r="AE20" i="3"/>
  <c r="AB21" i="3"/>
  <c r="C21" i="3"/>
  <c r="AN41" i="3"/>
  <c r="AG15" i="3"/>
  <c r="M19" i="3"/>
  <c r="O19" i="3"/>
  <c r="O62" i="3"/>
  <c r="AM6" i="3"/>
  <c r="AH18" i="3"/>
  <c r="AQ11" i="3"/>
  <c r="O34" i="3"/>
  <c r="M65" i="3"/>
  <c r="X34" i="3"/>
  <c r="K22" i="3"/>
  <c r="K41" i="3"/>
  <c r="V15" i="3"/>
  <c r="AP35" i="3"/>
  <c r="X13" i="3"/>
  <c r="Z14" i="3"/>
  <c r="AA10" i="3"/>
  <c r="K17" i="3"/>
  <c r="AJ5" i="3"/>
  <c r="Q10" i="3"/>
  <c r="P16" i="3"/>
  <c r="AK18" i="3"/>
  <c r="S35" i="3"/>
  <c r="AJ37" i="3"/>
  <c r="AI31" i="3"/>
  <c r="K40" i="3"/>
  <c r="G35" i="3"/>
  <c r="AH27" i="3"/>
  <c r="AI15" i="3"/>
  <c r="V8" i="3"/>
  <c r="AO39" i="3"/>
  <c r="AB65" i="3"/>
  <c r="AB32" i="3"/>
  <c r="R32" i="3"/>
  <c r="U5" i="3"/>
  <c r="AP70" i="3"/>
  <c r="AA34" i="3"/>
  <c r="C37" i="3"/>
  <c r="R17" i="3"/>
  <c r="AL8" i="3"/>
  <c r="AB92" i="3"/>
  <c r="K23" i="3"/>
  <c r="AI25" i="3"/>
  <c r="J23" i="3"/>
  <c r="AG22" i="3"/>
  <c r="V14" i="3"/>
  <c r="AM37" i="3"/>
  <c r="AJ57" i="3"/>
  <c r="AD41" i="3"/>
  <c r="X10" i="3"/>
  <c r="Z35" i="3"/>
  <c r="C47" i="3"/>
  <c r="AL5" i="3"/>
  <c r="AD48" i="3"/>
  <c r="L8" i="3"/>
  <c r="AE17" i="3"/>
  <c r="AM5" i="3"/>
  <c r="Z17" i="3"/>
  <c r="I8" i="3"/>
  <c r="AL26" i="3"/>
  <c r="AN37" i="3"/>
  <c r="Z13" i="3"/>
  <c r="AK10" i="3"/>
  <c r="S18" i="3"/>
  <c r="AG48" i="3"/>
  <c r="O26" i="3"/>
  <c r="Z18" i="3"/>
  <c r="O39" i="3"/>
  <c r="W37" i="3"/>
  <c r="V37" i="3"/>
  <c r="H22" i="3"/>
  <c r="AL19" i="3"/>
  <c r="H18" i="3"/>
  <c r="J26" i="3"/>
  <c r="M9" i="3"/>
  <c r="U93" i="3"/>
  <c r="V19" i="3"/>
  <c r="R9" i="3"/>
  <c r="AG38" i="3"/>
  <c r="G49" i="3"/>
  <c r="V18" i="3"/>
  <c r="L36" i="3"/>
  <c r="T42" i="3"/>
  <c r="L18" i="3"/>
  <c r="U15" i="3"/>
  <c r="R28" i="3"/>
  <c r="T15" i="3"/>
  <c r="H29" i="3"/>
  <c r="S14" i="3"/>
  <c r="V10" i="3"/>
  <c r="Q41" i="3"/>
  <c r="V38" i="3"/>
  <c r="L32" i="3"/>
  <c r="W39" i="3"/>
  <c r="AE12" i="3"/>
  <c r="C42" i="3"/>
  <c r="AM38" i="3"/>
  <c r="T6" i="3"/>
  <c r="J32" i="3"/>
  <c r="N29" i="3"/>
  <c r="Z5" i="3"/>
  <c r="Z83" i="3" s="1"/>
  <c r="M15" i="3"/>
  <c r="AI11" i="3"/>
  <c r="M37" i="3"/>
  <c r="AQ7" i="3"/>
  <c r="AH10" i="3"/>
  <c r="U11" i="3"/>
  <c r="K31" i="3"/>
  <c r="N11" i="3"/>
  <c r="AJ8" i="3"/>
  <c r="W26" i="3"/>
  <c r="AP87" i="3"/>
  <c r="AK21" i="3"/>
  <c r="AI35" i="3"/>
  <c r="U85" i="3"/>
  <c r="Q29" i="3"/>
  <c r="J9" i="3"/>
  <c r="P24" i="3"/>
  <c r="U18" i="3"/>
  <c r="J15" i="3"/>
  <c r="S32" i="3"/>
  <c r="AM21" i="3"/>
  <c r="AI91" i="3"/>
  <c r="M31" i="3"/>
  <c r="H35" i="3"/>
  <c r="AI12" i="3"/>
  <c r="AN33" i="3"/>
  <c r="O35" i="3"/>
  <c r="AP10" i="3"/>
  <c r="AP65" i="3"/>
  <c r="C18" i="3"/>
  <c r="AC30" i="3"/>
  <c r="I39" i="3"/>
  <c r="M30" i="3"/>
  <c r="P31" i="3"/>
  <c r="D49" i="3"/>
  <c r="AN31" i="3"/>
  <c r="S25" i="3"/>
  <c r="R8" i="3"/>
  <c r="AP14" i="3"/>
  <c r="AA33" i="3"/>
  <c r="U7" i="3"/>
  <c r="P5" i="3"/>
  <c r="P80" i="3"/>
  <c r="AI82" i="3"/>
  <c r="H19" i="3"/>
  <c r="AG25" i="3"/>
  <c r="AJ17" i="3"/>
  <c r="AE14" i="3"/>
  <c r="P6" i="3"/>
  <c r="J5" i="3"/>
  <c r="R36" i="3"/>
  <c r="H16" i="3"/>
  <c r="AE36" i="3"/>
  <c r="AB87" i="3"/>
  <c r="O20" i="3"/>
  <c r="T22" i="3"/>
  <c r="AJ22" i="3"/>
  <c r="I30" i="3"/>
  <c r="M11" i="3"/>
  <c r="AJ10" i="3"/>
  <c r="Z40" i="3"/>
  <c r="AI37" i="3"/>
  <c r="M81" i="3"/>
  <c r="N7" i="3"/>
  <c r="AQ8" i="3"/>
  <c r="AQ10" i="3"/>
  <c r="Q83" i="3"/>
  <c r="M28" i="3"/>
  <c r="O31" i="3"/>
  <c r="AO27" i="3"/>
  <c r="AM42" i="3"/>
  <c r="AB59" i="3"/>
  <c r="O14" i="3"/>
  <c r="AL30" i="3"/>
  <c r="W15" i="3"/>
  <c r="X35" i="3"/>
  <c r="J75" i="3"/>
  <c r="V11" i="3"/>
  <c r="X33" i="3"/>
  <c r="N40" i="3"/>
  <c r="N34" i="3"/>
  <c r="O78" i="3"/>
  <c r="R37" i="3"/>
  <c r="L27" i="3"/>
  <c r="O13" i="3"/>
  <c r="AP66" i="3"/>
  <c r="O82" i="3"/>
  <c r="W16" i="3"/>
  <c r="P8" i="3"/>
  <c r="K35" i="3"/>
  <c r="AK35" i="3"/>
  <c r="Y17" i="3"/>
  <c r="Q33" i="3"/>
  <c r="Q11" i="3"/>
  <c r="AE5" i="3"/>
  <c r="AO9" i="3"/>
  <c r="AJ11" i="3"/>
  <c r="M20" i="3"/>
  <c r="X14" i="3"/>
  <c r="W36" i="3"/>
  <c r="AA7" i="3"/>
  <c r="L40" i="3"/>
  <c r="AC25" i="3"/>
  <c r="J41" i="3"/>
  <c r="AG18" i="3"/>
  <c r="K5" i="3"/>
  <c r="R24" i="3"/>
  <c r="P23" i="3"/>
  <c r="AP33" i="3"/>
  <c r="AG73" i="3"/>
  <c r="W5" i="3"/>
  <c r="S15" i="3"/>
  <c r="T5" i="3"/>
  <c r="T76" i="3" s="1"/>
  <c r="L35" i="3"/>
  <c r="H5" i="3"/>
  <c r="AH26" i="3"/>
  <c r="Y26" i="3"/>
  <c r="AI22" i="3"/>
  <c r="L6" i="3"/>
  <c r="AC13" i="3"/>
  <c r="V6" i="3"/>
  <c r="M35" i="3"/>
  <c r="M41" i="3"/>
  <c r="N25" i="3"/>
  <c r="J22" i="3"/>
  <c r="J10" i="3"/>
  <c r="P12" i="3"/>
  <c r="Y40" i="3"/>
  <c r="K15" i="3"/>
  <c r="P28" i="3"/>
  <c r="N5" i="3"/>
  <c r="L5" i="3"/>
  <c r="Q32" i="3"/>
  <c r="AJ66" i="3"/>
  <c r="L31" i="3"/>
  <c r="K65" i="3"/>
  <c r="U58" i="3"/>
  <c r="AD35" i="3"/>
  <c r="I17" i="3"/>
  <c r="K7" i="3"/>
  <c r="C14" i="3"/>
  <c r="J35" i="3"/>
  <c r="AI36" i="3"/>
  <c r="J20" i="3"/>
  <c r="AB94" i="3"/>
  <c r="AQ20" i="3"/>
  <c r="W23" i="3"/>
  <c r="AL6" i="3"/>
  <c r="AL21" i="3"/>
  <c r="Q20" i="3"/>
  <c r="AJ21" i="3"/>
  <c r="AJ92" i="3"/>
  <c r="U88" i="3"/>
  <c r="R16" i="3"/>
  <c r="AP61" i="3"/>
  <c r="Q39" i="3"/>
  <c r="AG63" i="3"/>
  <c r="AA20" i="3"/>
  <c r="K34" i="3"/>
  <c r="H37" i="3"/>
  <c r="AD26" i="3"/>
  <c r="Q19" i="3"/>
  <c r="P32" i="3"/>
  <c r="AC37" i="3"/>
  <c r="AC40" i="3"/>
  <c r="AH9" i="3"/>
  <c r="AN21" i="3"/>
  <c r="M10" i="3"/>
  <c r="AE15" i="3"/>
  <c r="Y18" i="3"/>
  <c r="AH30" i="3"/>
  <c r="AN24" i="3"/>
  <c r="H93" i="3"/>
  <c r="AL24" i="3"/>
  <c r="AD42" i="3"/>
  <c r="G41" i="3"/>
  <c r="V30" i="3"/>
  <c r="AI6" i="3"/>
  <c r="W30" i="3"/>
  <c r="H14" i="3"/>
  <c r="P27" i="3"/>
  <c r="W32" i="3"/>
  <c r="AI48" i="3"/>
  <c r="AD31" i="3"/>
  <c r="AM22" i="3"/>
  <c r="AM27" i="3"/>
  <c r="AP39" i="3"/>
  <c r="AP19" i="3"/>
  <c r="R39" i="3"/>
  <c r="AK17" i="3"/>
  <c r="Z31" i="3"/>
  <c r="AN39" i="3"/>
  <c r="D47" i="3"/>
  <c r="AJ71" i="3"/>
  <c r="Z41" i="3"/>
  <c r="I25" i="3"/>
  <c r="Y5" i="3"/>
  <c r="Y12" i="3"/>
  <c r="AG93" i="3"/>
  <c r="AB88" i="3"/>
  <c r="AK23" i="3"/>
  <c r="K70" i="3"/>
  <c r="N22" i="3"/>
  <c r="AM25" i="3"/>
  <c r="U41" i="3"/>
  <c r="Q25" i="3"/>
  <c r="AO19" i="3"/>
  <c r="AK72" i="3"/>
  <c r="P9" i="3"/>
  <c r="AP36" i="3"/>
  <c r="AC14" i="3"/>
  <c r="O30" i="3"/>
  <c r="AH35" i="3"/>
  <c r="AO28" i="3"/>
  <c r="AI27" i="3"/>
  <c r="AL13" i="3"/>
  <c r="AL34" i="3"/>
  <c r="N26" i="3"/>
  <c r="AJ34" i="3"/>
  <c r="AJ20" i="3"/>
  <c r="AB66" i="3"/>
  <c r="AE37" i="3"/>
  <c r="AJ72" i="3"/>
  <c r="AP25" i="3"/>
  <c r="L16" i="3"/>
  <c r="AO16" i="3"/>
  <c r="AP32" i="3"/>
  <c r="Z8" i="3"/>
  <c r="Q97" i="3"/>
  <c r="AG64" i="3"/>
  <c r="H47" i="3"/>
  <c r="AL14" i="3"/>
  <c r="C16" i="3"/>
  <c r="AL18" i="3"/>
  <c r="AB73" i="3"/>
  <c r="L39" i="3"/>
  <c r="U38" i="3"/>
  <c r="J50" i="3"/>
  <c r="AP18" i="3"/>
  <c r="Q23" i="3"/>
  <c r="R33" i="3"/>
  <c r="AH40" i="3"/>
  <c r="AH13" i="3"/>
  <c r="AQ31" i="3"/>
  <c r="AJ30" i="3"/>
  <c r="H84" i="3"/>
  <c r="AL31" i="3"/>
  <c r="N33" i="3"/>
  <c r="AG9" i="3"/>
  <c r="M29" i="3"/>
  <c r="X76" i="3"/>
  <c r="P7" i="3"/>
  <c r="Z42" i="3"/>
  <c r="AA23" i="3"/>
  <c r="U31" i="3"/>
  <c r="AG80" i="3"/>
  <c r="C35" i="3"/>
  <c r="T20" i="3"/>
  <c r="AA30" i="3"/>
  <c r="AB31" i="3"/>
  <c r="Y28" i="3"/>
  <c r="H82" i="3"/>
  <c r="AP55" i="3"/>
  <c r="AE23" i="3"/>
  <c r="X18" i="3"/>
  <c r="T16" i="3"/>
  <c r="AP63" i="3"/>
  <c r="W41" i="3"/>
  <c r="AD36" i="3"/>
  <c r="AQ42" i="3"/>
  <c r="AN38" i="3"/>
  <c r="AE26" i="3"/>
  <c r="AH25" i="3"/>
  <c r="S27" i="3"/>
  <c r="C15" i="3"/>
  <c r="AE21" i="3"/>
  <c r="AI16" i="3"/>
  <c r="G33" i="3"/>
  <c r="M18" i="3"/>
  <c r="J65" i="3"/>
  <c r="AK12" i="3"/>
  <c r="N14" i="3"/>
  <c r="H23" i="3"/>
  <c r="AK25" i="3"/>
  <c r="W38" i="3"/>
  <c r="AC39" i="3"/>
  <c r="P68" i="3"/>
  <c r="AH32" i="3"/>
  <c r="AL15" i="3"/>
  <c r="X22" i="3"/>
  <c r="Q13" i="3"/>
  <c r="W57" i="3"/>
  <c r="I92" i="3"/>
  <c r="N69" i="3"/>
  <c r="Z36" i="3"/>
  <c r="AK73" i="3"/>
  <c r="AJ86" i="3"/>
  <c r="AH75" i="3"/>
  <c r="Y89" i="3"/>
  <c r="Y73" i="3"/>
  <c r="AN95" i="3"/>
  <c r="AI81" i="3"/>
  <c r="AQ96" i="3"/>
  <c r="R65" i="3"/>
  <c r="K91" i="3"/>
  <c r="P62" i="3"/>
  <c r="V67" i="3"/>
  <c r="Z81" i="3"/>
  <c r="X27" i="3"/>
  <c r="AB9" i="3"/>
  <c r="I71" i="3"/>
  <c r="P59" i="3"/>
  <c r="AH72" i="3"/>
  <c r="Y55" i="3"/>
  <c r="T72" i="3"/>
  <c r="AL79" i="3"/>
  <c r="Q68" i="3"/>
  <c r="AK76" i="3"/>
  <c r="AO72" i="3"/>
  <c r="AH85" i="3"/>
  <c r="K85" i="3"/>
  <c r="K76" i="3"/>
  <c r="N65" i="3"/>
  <c r="I55" i="3"/>
  <c r="V85" i="3"/>
  <c r="W78" i="3"/>
  <c r="S19" i="3"/>
  <c r="M55" i="3"/>
  <c r="L59" i="3"/>
  <c r="R79" i="3"/>
  <c r="P85" i="3"/>
  <c r="U87" i="3"/>
  <c r="AL83" i="3"/>
  <c r="AO91" i="3"/>
  <c r="C30" i="3"/>
  <c r="E48" i="3"/>
  <c r="R21" i="3"/>
  <c r="N8" i="3"/>
  <c r="AI33" i="3"/>
  <c r="AJ9" i="3"/>
  <c r="AL16" i="3"/>
  <c r="J39" i="3"/>
  <c r="AB78" i="3"/>
  <c r="AI34" i="3"/>
  <c r="I41" i="3"/>
  <c r="Z9" i="3"/>
  <c r="O6" i="3"/>
  <c r="AG84" i="3"/>
  <c r="AE22" i="3"/>
  <c r="AI23" i="3"/>
  <c r="AB42" i="3"/>
  <c r="X28" i="3"/>
  <c r="AO18" i="3"/>
  <c r="C41" i="3"/>
  <c r="R41" i="3"/>
  <c r="AP57" i="3"/>
  <c r="W63" i="3"/>
  <c r="AB16" i="3"/>
  <c r="Q26" i="3"/>
  <c r="U8" i="3"/>
  <c r="AN6" i="3"/>
  <c r="K6" i="3"/>
  <c r="AO32" i="3"/>
  <c r="AG86" i="3"/>
  <c r="S36" i="3"/>
  <c r="T33" i="3"/>
  <c r="AP96" i="3"/>
  <c r="AL11" i="3"/>
  <c r="AL25" i="3"/>
  <c r="N39" i="3"/>
  <c r="AO29" i="3"/>
  <c r="AE10" i="3"/>
  <c r="U63" i="3"/>
  <c r="J12" i="3"/>
  <c r="H70" i="3"/>
  <c r="AA26" i="3"/>
  <c r="AJ32" i="3"/>
  <c r="J8" i="3"/>
  <c r="P20" i="3"/>
  <c r="AN17" i="3"/>
  <c r="P22" i="3"/>
  <c r="AH34" i="3"/>
  <c r="K12" i="3"/>
  <c r="AB11" i="3"/>
  <c r="U96" i="3"/>
  <c r="T11" i="3"/>
  <c r="AB50" i="3"/>
  <c r="AA24" i="3"/>
  <c r="J27" i="3"/>
  <c r="AP95" i="3"/>
  <c r="AK19" i="3"/>
  <c r="J13" i="3"/>
  <c r="O21" i="3"/>
  <c r="AJ24" i="3"/>
  <c r="AO36" i="3"/>
  <c r="AJ93" i="3"/>
  <c r="K95" i="3"/>
  <c r="AH19" i="3"/>
  <c r="C10" i="3"/>
  <c r="AC58" i="3"/>
  <c r="AA39" i="3"/>
  <c r="AL42" i="3"/>
  <c r="H7" i="3"/>
  <c r="AJ35" i="3"/>
  <c r="AB38" i="3"/>
  <c r="Y35" i="3"/>
  <c r="AB70" i="3"/>
  <c r="AB67" i="3"/>
  <c r="Y25" i="3"/>
  <c r="Z26" i="3"/>
  <c r="L42" i="3"/>
  <c r="AG28" i="3"/>
  <c r="V7" i="3"/>
  <c r="X11" i="3"/>
  <c r="AG27" i="3"/>
  <c r="AL37" i="3"/>
  <c r="U60" i="3"/>
  <c r="AJ29" i="3"/>
  <c r="M32" i="3"/>
  <c r="I31" i="3"/>
  <c r="U30" i="3"/>
  <c r="V31" i="3"/>
  <c r="J40" i="3"/>
  <c r="AN14" i="3"/>
  <c r="U24" i="3"/>
  <c r="AJ81" i="3"/>
  <c r="G36" i="3"/>
  <c r="K30" i="3"/>
  <c r="J7" i="3"/>
  <c r="AB57" i="3"/>
  <c r="Y14" i="3"/>
  <c r="S37" i="3"/>
  <c r="T25" i="3"/>
  <c r="AC19" i="3"/>
  <c r="O17" i="3"/>
  <c r="N41" i="3"/>
  <c r="Q36" i="3"/>
  <c r="Z38" i="3"/>
  <c r="AN16" i="3"/>
  <c r="W19" i="3"/>
  <c r="AQ38" i="3"/>
  <c r="X16" i="3"/>
  <c r="AQ14" i="3"/>
  <c r="U57" i="3"/>
  <c r="AQ18" i="3"/>
  <c r="T39" i="3"/>
  <c r="AG81" i="3"/>
  <c r="T10" i="3"/>
  <c r="U6" i="3"/>
  <c r="Q40" i="3"/>
  <c r="U66" i="3"/>
  <c r="M24" i="3"/>
  <c r="AM29" i="3"/>
  <c r="G32" i="3"/>
  <c r="AC15" i="3"/>
  <c r="AG97" i="3"/>
  <c r="AK26" i="3"/>
  <c r="I22" i="3"/>
  <c r="AN35" i="3"/>
  <c r="C23" i="3"/>
  <c r="L30" i="3"/>
  <c r="AP71" i="3"/>
  <c r="AP58" i="3"/>
  <c r="Y23" i="3"/>
  <c r="I20" i="3"/>
  <c r="AK40" i="3"/>
  <c r="Y32" i="3"/>
  <c r="S42" i="3"/>
  <c r="AG19" i="3"/>
  <c r="AQ23" i="3"/>
  <c r="AJ48" i="3"/>
  <c r="Y6" i="3"/>
  <c r="U65" i="3"/>
  <c r="AM10" i="3"/>
  <c r="AA40" i="3"/>
  <c r="I40" i="3"/>
  <c r="AM24" i="3"/>
  <c r="AP47" i="3"/>
  <c r="O41" i="3"/>
  <c r="AA21" i="3"/>
  <c r="W24" i="3"/>
  <c r="N37" i="3"/>
  <c r="R12" i="3"/>
  <c r="Y38" i="3"/>
  <c r="T32" i="3"/>
  <c r="P11" i="3"/>
  <c r="R42" i="3"/>
  <c r="AC8" i="3"/>
  <c r="AL10" i="3"/>
  <c r="AP91" i="3"/>
  <c r="AN32" i="3"/>
  <c r="AA9" i="3"/>
  <c r="AP9" i="3"/>
  <c r="H72" i="3"/>
  <c r="Z28" i="3"/>
  <c r="L29" i="3"/>
  <c r="C25" i="3"/>
  <c r="S5" i="3"/>
  <c r="AA17" i="3"/>
  <c r="P79" i="3"/>
  <c r="AC23" i="3"/>
  <c r="AE34" i="3"/>
  <c r="AC7" i="3"/>
  <c r="O36" i="3"/>
  <c r="U12" i="3"/>
  <c r="AE32" i="3"/>
  <c r="O15" i="3"/>
  <c r="X20" i="3"/>
  <c r="AB14" i="3"/>
  <c r="P42" i="3"/>
  <c r="K25" i="3"/>
  <c r="AP62" i="3"/>
  <c r="N28" i="3"/>
  <c r="R13" i="3"/>
  <c r="AP82" i="3"/>
  <c r="AN15" i="3"/>
  <c r="N15" i="3"/>
  <c r="S41" i="3"/>
  <c r="C40" i="3"/>
  <c r="I15" i="3"/>
  <c r="I35" i="3"/>
  <c r="AL36" i="3"/>
  <c r="O91" i="3"/>
  <c r="U14" i="3"/>
  <c r="AP29" i="3"/>
  <c r="AG56" i="3"/>
  <c r="AA12" i="3"/>
  <c r="AL9" i="3"/>
  <c r="O50" i="3"/>
  <c r="J94" i="3"/>
  <c r="P56" i="3"/>
  <c r="AG92" i="3"/>
  <c r="AB34" i="3"/>
  <c r="J78" i="3"/>
  <c r="P60" i="3"/>
  <c r="AG34" i="3"/>
  <c r="M58" i="3"/>
  <c r="AN82" i="3"/>
  <c r="R77" i="3"/>
  <c r="U91" i="3"/>
  <c r="AH67" i="3"/>
  <c r="L56" i="3"/>
  <c r="T81" i="3"/>
  <c r="T66" i="3"/>
  <c r="N78" i="3"/>
  <c r="AL60" i="3"/>
  <c r="Q49" i="3"/>
  <c r="AI77" i="3"/>
  <c r="S75" i="3"/>
  <c r="Q72" i="3"/>
  <c r="K71" i="3"/>
  <c r="P92" i="3"/>
  <c r="AM97" i="3"/>
  <c r="L58" i="3"/>
  <c r="AO64" i="3"/>
  <c r="Q42" i="3"/>
  <c r="U67" i="3"/>
  <c r="N38" i="3"/>
  <c r="L73" i="3"/>
  <c r="T63" i="3"/>
  <c r="AL84" i="3"/>
  <c r="AA59" i="3"/>
  <c r="AC61" i="3"/>
  <c r="R57" i="3"/>
  <c r="AN8" i="3"/>
  <c r="Y8" i="3"/>
  <c r="AM16" i="3"/>
  <c r="AH93" i="3"/>
  <c r="O37" i="3"/>
  <c r="U72" i="3"/>
  <c r="AH39" i="3"/>
  <c r="N74" i="3"/>
  <c r="AC56" i="3"/>
  <c r="S88" i="3"/>
  <c r="AH91" i="3"/>
  <c r="N88" i="3"/>
  <c r="U71" i="3"/>
  <c r="I62" i="3"/>
  <c r="AN79" i="3"/>
  <c r="H94" i="3"/>
  <c r="K47" i="3"/>
  <c r="AL72" i="3"/>
  <c r="Y97" i="3"/>
  <c r="Q70" i="3"/>
  <c r="Q82" i="3"/>
  <c r="V87" i="3"/>
  <c r="U94" i="3"/>
  <c r="L57" i="3"/>
  <c r="AI58" i="3"/>
  <c r="AN97" i="3"/>
  <c r="AN47" i="3"/>
  <c r="AL63" i="3"/>
  <c r="AQ94" i="3"/>
  <c r="Q81" i="3"/>
  <c r="AL88" i="3"/>
  <c r="R48" i="3"/>
  <c r="T90" i="3"/>
  <c r="T94" i="3"/>
  <c r="N59" i="3"/>
  <c r="AM61" i="3"/>
  <c r="AA50" i="3"/>
  <c r="Z63" i="3"/>
  <c r="T58" i="3"/>
  <c r="AC72" i="3"/>
  <c r="M88" i="3"/>
  <c r="L83" i="3"/>
  <c r="AI89" i="3"/>
  <c r="N85" i="3"/>
  <c r="Z11" i="3"/>
  <c r="AK56" i="3"/>
  <c r="AQ95" i="3"/>
  <c r="I95" i="3"/>
  <c r="AJ84" i="3"/>
  <c r="Q85" i="3"/>
  <c r="U75" i="3"/>
  <c r="O74" i="3"/>
  <c r="J66" i="3"/>
  <c r="Q47" i="3"/>
  <c r="V68" i="3"/>
  <c r="AQ79" i="3"/>
  <c r="Q66" i="3"/>
  <c r="S74" i="3"/>
  <c r="AH69" i="3"/>
  <c r="AA83" i="3"/>
  <c r="AI84" i="3"/>
  <c r="V86" i="3"/>
  <c r="P72" i="3"/>
  <c r="AO75" i="3"/>
  <c r="T29" i="3"/>
  <c r="U48" i="3"/>
  <c r="V50" i="3"/>
  <c r="I69" i="3"/>
  <c r="L92" i="3"/>
  <c r="Z92" i="3"/>
  <c r="AA57" i="3"/>
  <c r="AI70" i="3"/>
  <c r="Z79" i="3"/>
  <c r="Z77" i="3"/>
  <c r="V94" i="3"/>
  <c r="AL92" i="3"/>
  <c r="O38" i="3"/>
  <c r="L62" i="3"/>
  <c r="Z78" i="3"/>
  <c r="I86" i="3"/>
  <c r="I54" i="3"/>
  <c r="S56" i="3"/>
  <c r="J89" i="3"/>
  <c r="AG76" i="3"/>
  <c r="S90" i="3"/>
  <c r="O76" i="3"/>
  <c r="AQ62" i="3"/>
  <c r="AC78" i="3"/>
  <c r="Q90" i="3"/>
  <c r="Y49" i="3"/>
  <c r="AH71" i="3"/>
  <c r="AA90" i="3"/>
  <c r="AI60" i="3"/>
  <c r="AN57" i="3"/>
  <c r="AL82" i="3"/>
  <c r="AI40" i="3"/>
  <c r="T75" i="3"/>
  <c r="L86" i="3"/>
  <c r="W54" i="3"/>
  <c r="Z86" i="3"/>
  <c r="AC66" i="3"/>
  <c r="AM88" i="3"/>
  <c r="AM64" i="3"/>
  <c r="AH56" i="3"/>
  <c r="Q79" i="3"/>
  <c r="N75" i="3"/>
  <c r="L61" i="3"/>
  <c r="Z71" i="3"/>
  <c r="V65" i="3"/>
  <c r="AG95" i="3"/>
  <c r="L88" i="3"/>
  <c r="AI61" i="3"/>
  <c r="AN96" i="3"/>
  <c r="C29" i="3"/>
  <c r="AJ36" i="3"/>
  <c r="W71" i="3"/>
  <c r="J55" i="3"/>
  <c r="AN90" i="3"/>
  <c r="N90" i="3"/>
  <c r="AK75" i="3"/>
  <c r="AC79" i="3"/>
  <c r="AC90" i="3"/>
  <c r="Z66" i="3"/>
  <c r="AJ65" i="3"/>
  <c r="AJ91" i="3"/>
  <c r="AN78" i="3"/>
  <c r="X61" i="3"/>
  <c r="S49" i="3"/>
  <c r="N57" i="3"/>
  <c r="I96" i="3"/>
  <c r="AI69" i="3"/>
  <c r="M80" i="3"/>
  <c r="P15" i="3"/>
  <c r="Q22" i="3"/>
  <c r="P25" i="3"/>
  <c r="Y95" i="3"/>
  <c r="AG74" i="3"/>
  <c r="J57" i="3"/>
  <c r="AB28" i="3"/>
  <c r="AC65" i="3"/>
  <c r="AL48" i="3"/>
  <c r="AC57" i="3"/>
  <c r="T65" i="3"/>
  <c r="AC96" i="3"/>
  <c r="AH68" i="3"/>
  <c r="AI96" i="3"/>
  <c r="W87" i="3"/>
  <c r="X78" i="3"/>
  <c r="N12" i="3"/>
  <c r="AQ68" i="3"/>
  <c r="V54" i="3"/>
  <c r="T85" i="3"/>
  <c r="AG67" i="3"/>
  <c r="Y94" i="3"/>
  <c r="AG96" i="3"/>
  <c r="W73" i="3"/>
  <c r="M95" i="3"/>
  <c r="AA56" i="3"/>
  <c r="AI67" i="3"/>
  <c r="AN83" i="3"/>
  <c r="H58" i="3"/>
  <c r="P74" i="3"/>
  <c r="AM35" i="3"/>
  <c r="W72" i="3"/>
  <c r="AO89" i="3"/>
  <c r="AA84" i="3"/>
  <c r="Q55" i="3"/>
  <c r="AL89" i="3"/>
  <c r="V62" i="3"/>
  <c r="V66" i="3"/>
  <c r="AC82" i="3"/>
  <c r="AM55" i="3"/>
  <c r="AH86" i="3"/>
  <c r="AA55" i="3"/>
  <c r="AI68" i="3"/>
  <c r="AL96" i="3"/>
  <c r="Z20" i="3"/>
  <c r="Z94" i="3"/>
  <c r="AI47" i="3"/>
  <c r="M85" i="3"/>
  <c r="P77" i="3"/>
  <c r="S57" i="3"/>
  <c r="Q58" i="3"/>
  <c r="S81" i="3"/>
  <c r="W69" i="3"/>
  <c r="AL58" i="3"/>
  <c r="AN59" i="3"/>
  <c r="Q86" i="3"/>
  <c r="AM65" i="3"/>
  <c r="M71" i="3"/>
  <c r="Y71" i="3"/>
  <c r="R64" i="3"/>
  <c r="AL61" i="3"/>
  <c r="AI62" i="3"/>
  <c r="X42" i="3"/>
  <c r="X66" i="3"/>
  <c r="AL86" i="3"/>
  <c r="AM62" i="3"/>
  <c r="Q87" i="3"/>
  <c r="S95" i="3"/>
  <c r="J69" i="3"/>
  <c r="S60" i="3"/>
  <c r="O88" i="3"/>
  <c r="AQ89" i="3"/>
  <c r="AC73" i="3"/>
  <c r="Q59" i="3"/>
  <c r="W89" i="3"/>
  <c r="AH60" i="3"/>
  <c r="AP84" i="3"/>
  <c r="AL59" i="3"/>
  <c r="AH57" i="3"/>
  <c r="W48" i="3"/>
  <c r="U32" i="3"/>
  <c r="L91" i="3"/>
  <c r="AN65" i="3"/>
  <c r="AN67" i="3"/>
  <c r="O66" i="3"/>
  <c r="X80" i="3"/>
  <c r="AM81" i="3"/>
  <c r="AM92" i="3"/>
  <c r="AI80" i="3"/>
  <c r="AH73" i="3"/>
  <c r="R86" i="3"/>
  <c r="Q62" i="3"/>
  <c r="W60" i="3"/>
  <c r="AN73" i="3"/>
  <c r="U25" i="3"/>
  <c r="Q61" i="3"/>
  <c r="I83" i="3"/>
  <c r="AO85" i="3"/>
  <c r="W77" i="3"/>
  <c r="AQ48" i="3"/>
  <c r="AM50" i="3"/>
  <c r="T87" i="3"/>
  <c r="AC94" i="3"/>
  <c r="AK59" i="3"/>
  <c r="S72" i="3"/>
  <c r="AK61" i="3"/>
  <c r="AK77" i="3"/>
  <c r="AQ61" i="3"/>
  <c r="Q63" i="3"/>
  <c r="AH96" i="3"/>
  <c r="AA58" i="3"/>
  <c r="AI64" i="3"/>
  <c r="T61" i="3"/>
  <c r="AO97" i="3"/>
  <c r="AM39" i="3"/>
  <c r="Q24" i="3"/>
  <c r="W74" i="3"/>
  <c r="N49" i="3"/>
  <c r="AK62" i="3"/>
  <c r="AC63" i="3"/>
  <c r="AM68" i="3"/>
  <c r="AL56" i="3"/>
  <c r="AQ70" i="3"/>
  <c r="AH47" i="3"/>
  <c r="R59" i="3"/>
  <c r="N92" i="3"/>
  <c r="AA60" i="3"/>
  <c r="O63" i="3"/>
  <c r="L95" i="3"/>
  <c r="I48" i="3"/>
  <c r="AM72" i="3"/>
  <c r="W92" i="3"/>
  <c r="Z76" i="3"/>
  <c r="AI49" i="3"/>
  <c r="L68" i="3"/>
  <c r="Y67" i="3"/>
  <c r="Y57" i="3"/>
  <c r="M57" i="3"/>
  <c r="M70" i="3"/>
  <c r="M87" i="3"/>
  <c r="AH95" i="3"/>
  <c r="P54" i="3"/>
  <c r="X54" i="3"/>
  <c r="X59" i="3"/>
  <c r="X81" i="3"/>
  <c r="J73" i="3"/>
  <c r="J95" i="3"/>
  <c r="J97" i="3"/>
  <c r="R50" i="3"/>
  <c r="AO69" i="3"/>
  <c r="AO54" i="3"/>
  <c r="AO79" i="3"/>
  <c r="O77" i="3"/>
  <c r="O79" i="3"/>
  <c r="AG70" i="3"/>
  <c r="AB29" i="3"/>
  <c r="AC9" i="3"/>
  <c r="L55" i="3"/>
  <c r="Z27" i="3"/>
  <c r="AO56" i="3"/>
  <c r="R70" i="3"/>
  <c r="J92" i="3"/>
  <c r="AM54" i="3"/>
  <c r="AJ64" i="3"/>
  <c r="AK92" i="3"/>
  <c r="AC67" i="3"/>
  <c r="AM58" i="3"/>
  <c r="R49" i="3"/>
  <c r="AI97" i="3"/>
  <c r="AC92" i="3"/>
  <c r="AL95" i="3"/>
  <c r="Y58" i="3"/>
  <c r="AJ77" i="3"/>
  <c r="AJ90" i="3"/>
  <c r="S62" i="3"/>
  <c r="AN66" i="3"/>
  <c r="T88" i="3"/>
  <c r="AL55" i="3"/>
  <c r="Z80" i="3"/>
  <c r="AH89" i="3"/>
  <c r="AL91" i="3"/>
  <c r="W94" i="3"/>
  <c r="T80" i="3"/>
  <c r="AJ33" i="3"/>
  <c r="AG90" i="3"/>
  <c r="I57" i="3"/>
  <c r="AH12" i="3"/>
  <c r="R75" i="3"/>
  <c r="V55" i="3"/>
  <c r="S59" i="3"/>
  <c r="O68" i="3"/>
  <c r="AC47" i="3"/>
  <c r="W66" i="3"/>
  <c r="Q75" i="3"/>
  <c r="Q77" i="3"/>
  <c r="AK55" i="3"/>
  <c r="AN64" i="3"/>
  <c r="R95" i="3"/>
  <c r="AL97" i="3"/>
  <c r="W47" i="3"/>
  <c r="AI54" i="3"/>
  <c r="Z34" i="3"/>
  <c r="S34" i="3"/>
  <c r="N83" i="3"/>
  <c r="K79" i="3"/>
  <c r="M79" i="3"/>
  <c r="O60" i="3"/>
  <c r="AO84" i="3"/>
  <c r="P94" i="3"/>
  <c r="K97" i="3"/>
  <c r="AJ87" i="3"/>
  <c r="T83" i="3"/>
  <c r="AQ64" i="3"/>
  <c r="S73" i="3"/>
  <c r="AQ72" i="3"/>
  <c r="AC59" i="3"/>
  <c r="AQ88" i="3"/>
  <c r="P64" i="3"/>
  <c r="N89" i="3"/>
  <c r="O24" i="3"/>
  <c r="AL64" i="3"/>
  <c r="AH76" i="3"/>
  <c r="AN30" i="3"/>
  <c r="V61" i="3"/>
  <c r="S83" i="3"/>
  <c r="O71" i="3"/>
  <c r="W82" i="3"/>
  <c r="AN93" i="3"/>
  <c r="Q76" i="3"/>
  <c r="AH84" i="3"/>
  <c r="AM48" i="3"/>
  <c r="AM91" i="3"/>
  <c r="O73" i="3"/>
  <c r="AC54" i="3"/>
  <c r="AQ90" i="3"/>
  <c r="AI41" i="3"/>
  <c r="Z48" i="3"/>
  <c r="K64" i="3"/>
  <c r="I56" i="3"/>
  <c r="S85" i="3"/>
  <c r="J58" i="3"/>
  <c r="W97" i="3"/>
  <c r="K75" i="3"/>
  <c r="N84" i="3"/>
  <c r="AO68" i="3"/>
  <c r="AC70" i="3"/>
  <c r="AL70" i="3"/>
  <c r="L89" i="3"/>
  <c r="AL54" i="3"/>
  <c r="S48" i="3"/>
  <c r="AQ93" i="3"/>
  <c r="P75" i="3"/>
  <c r="W67" i="3"/>
  <c r="T57" i="3"/>
  <c r="H15" i="3"/>
  <c r="W35" i="3"/>
  <c r="AB40" i="3"/>
  <c r="M48" i="3"/>
  <c r="R73" i="3"/>
  <c r="AM82" i="3"/>
  <c r="L76" i="3"/>
  <c r="AG82" i="3"/>
  <c r="H54" i="3"/>
  <c r="S63" i="3"/>
  <c r="J77" i="3"/>
  <c r="AC77" i="3"/>
  <c r="AC95" i="3"/>
  <c r="AM80" i="3"/>
  <c r="AQ69" i="3"/>
  <c r="AH55" i="3"/>
  <c r="AA93" i="3"/>
  <c r="AI94" i="3"/>
  <c r="U81" i="3"/>
  <c r="AL73" i="3"/>
  <c r="I58" i="3"/>
  <c r="AA74" i="3"/>
  <c r="I93" i="3"/>
  <c r="AK49" i="3"/>
  <c r="AC89" i="3"/>
  <c r="AM85" i="3"/>
  <c r="J60" i="3"/>
  <c r="R93" i="3"/>
  <c r="I65" i="3"/>
  <c r="L60" i="3"/>
  <c r="Y59" i="3"/>
  <c r="AK88" i="3"/>
  <c r="V93" i="3"/>
  <c r="M68" i="3"/>
  <c r="L75" i="3"/>
  <c r="AI78" i="3"/>
  <c r="Z72" i="3"/>
  <c r="Z84" i="3"/>
  <c r="V72" i="3"/>
  <c r="U78" i="3"/>
  <c r="L93" i="3"/>
  <c r="Y76" i="3"/>
  <c r="Y74" i="3"/>
  <c r="M92" i="3"/>
  <c r="M75" i="3"/>
  <c r="M64" i="3"/>
  <c r="AH82" i="3"/>
  <c r="P71" i="3"/>
  <c r="X64" i="3"/>
  <c r="X63" i="3"/>
  <c r="X84" i="3"/>
  <c r="J49" i="3"/>
  <c r="J76" i="3"/>
  <c r="J59" i="3"/>
  <c r="I88" i="3"/>
  <c r="AO83" i="3"/>
  <c r="AO67" i="3"/>
  <c r="AO60" i="3"/>
  <c r="O81" i="3"/>
  <c r="O86" i="3"/>
  <c r="M86" i="3"/>
  <c r="M84" i="3"/>
  <c r="AH65" i="3"/>
  <c r="AQ75" i="3"/>
  <c r="P50" i="3"/>
  <c r="X50" i="3"/>
  <c r="X86" i="3"/>
  <c r="X83" i="3"/>
  <c r="J83" i="3"/>
  <c r="J54" i="3"/>
  <c r="R78" i="3"/>
  <c r="I79" i="3"/>
  <c r="AO94" i="3"/>
  <c r="AO88" i="3"/>
  <c r="O75" i="3"/>
  <c r="O65" i="3"/>
  <c r="O49" i="3"/>
  <c r="I87" i="3"/>
  <c r="AO49" i="3"/>
  <c r="AO63" i="3"/>
  <c r="AB74" i="3"/>
  <c r="AP97" i="3"/>
  <c r="Z32" i="3"/>
  <c r="J81" i="3"/>
  <c r="AA38" i="3"/>
  <c r="AO93" i="3"/>
  <c r="M73" i="3"/>
  <c r="AQ47" i="3"/>
  <c r="AQ67" i="3"/>
  <c r="AH97" i="3"/>
  <c r="J79" i="3"/>
  <c r="S78" i="3"/>
  <c r="L85" i="3"/>
  <c r="R68" i="3"/>
  <c r="W85" i="3"/>
  <c r="AK16" i="3"/>
  <c r="U89" i="3"/>
  <c r="AH88" i="3"/>
  <c r="T79" i="3"/>
  <c r="AH63" i="3"/>
  <c r="O67" i="3"/>
  <c r="N96" i="3"/>
  <c r="AA81" i="3"/>
  <c r="AJ76" i="3"/>
  <c r="AC97" i="3"/>
  <c r="R66" i="3"/>
  <c r="P93" i="3"/>
  <c r="W79" i="3"/>
  <c r="AN72" i="3"/>
  <c r="AG39" i="3"/>
  <c r="R90" i="3"/>
  <c r="X37" i="3"/>
  <c r="AN92" i="3"/>
  <c r="Y86" i="3"/>
  <c r="Q60" i="3"/>
  <c r="O70" i="3"/>
  <c r="P89" i="3"/>
  <c r="H68" i="3"/>
  <c r="AK64" i="3"/>
  <c r="AK67" i="3"/>
  <c r="AI72" i="3"/>
  <c r="AK81" i="3"/>
  <c r="AA65" i="3"/>
  <c r="AQ55" i="3"/>
  <c r="P61" i="3"/>
  <c r="V79" i="3"/>
  <c r="W86" i="3"/>
  <c r="AG8" i="3"/>
  <c r="Q71" i="3"/>
  <c r="X48" i="3"/>
  <c r="M91" i="3"/>
  <c r="AL85" i="3"/>
  <c r="S50" i="3"/>
  <c r="X77" i="3"/>
  <c r="AA63" i="3"/>
  <c r="Z70" i="3"/>
  <c r="AH54" i="3"/>
  <c r="X92" i="3"/>
  <c r="AA48" i="3"/>
  <c r="Q78" i="3"/>
  <c r="U55" i="3"/>
  <c r="AM49" i="3"/>
  <c r="K78" i="3"/>
  <c r="P47" i="3"/>
  <c r="P86" i="3"/>
  <c r="P10" i="3"/>
  <c r="W91" i="3"/>
  <c r="AJ80" i="3"/>
  <c r="AH61" i="3"/>
  <c r="S86" i="3"/>
  <c r="S91" i="3"/>
  <c r="K59" i="3"/>
  <c r="N80" i="3"/>
  <c r="AO96" i="3"/>
  <c r="AQ76" i="3"/>
  <c r="AL78" i="3"/>
  <c r="S68" i="3"/>
  <c r="AL49" i="3"/>
  <c r="AL81" i="3"/>
  <c r="AA77" i="3"/>
  <c r="AG10" i="3"/>
  <c r="AI59" i="3"/>
  <c r="AI87" i="3"/>
  <c r="M82" i="3"/>
  <c r="W58" i="3"/>
  <c r="K83" i="3"/>
  <c r="Z95" i="3"/>
  <c r="AK68" i="3"/>
  <c r="X97" i="3"/>
  <c r="AK70" i="3"/>
  <c r="T54" i="3"/>
  <c r="AJ68" i="3"/>
  <c r="U62" i="3"/>
  <c r="K86" i="3"/>
  <c r="P90" i="3"/>
  <c r="W55" i="3"/>
  <c r="T60" i="3"/>
  <c r="AA15" i="3"/>
  <c r="Y85" i="3"/>
  <c r="Y78" i="3"/>
  <c r="AH79" i="3"/>
  <c r="R85" i="3"/>
  <c r="AA70" i="3"/>
  <c r="J96" i="3"/>
  <c r="AN60" i="3"/>
  <c r="AH59" i="3"/>
  <c r="O48" i="3"/>
  <c r="K48" i="3"/>
  <c r="AM76" i="3"/>
  <c r="S67" i="3"/>
  <c r="S79" i="3"/>
  <c r="AM71" i="3"/>
  <c r="R91" i="3"/>
  <c r="Q93" i="3"/>
  <c r="W83" i="3"/>
  <c r="AK30" i="3"/>
  <c r="Q84" i="3"/>
  <c r="V71" i="3"/>
  <c r="N50" i="3"/>
  <c r="AC6" i="3"/>
  <c r="AC48" i="3"/>
  <c r="AM67" i="3"/>
  <c r="AQ66" i="3"/>
  <c r="AL93" i="3"/>
  <c r="AQ50" i="3"/>
  <c r="Y75" i="3"/>
  <c r="AK86" i="3"/>
  <c r="T89" i="3"/>
  <c r="AC84" i="3"/>
  <c r="I75" i="3"/>
  <c r="AH62" i="3"/>
  <c r="AA68" i="3"/>
  <c r="AI71" i="3"/>
  <c r="Z57" i="3"/>
  <c r="Z65" i="3"/>
  <c r="AN58" i="3"/>
  <c r="U84" i="3"/>
  <c r="L74" i="3"/>
  <c r="Y63" i="3"/>
  <c r="Y56" i="3"/>
  <c r="Q57" i="3"/>
  <c r="O16" i="3"/>
  <c r="O85" i="3"/>
  <c r="R29" i="3"/>
  <c r="W14" i="3"/>
  <c r="AI42" i="3"/>
  <c r="AM74" i="3"/>
  <c r="AN55" i="3"/>
  <c r="R97" i="3"/>
  <c r="T97" i="3"/>
  <c r="T50" i="3"/>
  <c r="AQ86" i="3"/>
  <c r="R60" i="3"/>
  <c r="Z89" i="3"/>
  <c r="L90" i="3"/>
  <c r="W81" i="3"/>
  <c r="AB48" i="3"/>
  <c r="Z23" i="3"/>
  <c r="AK28" i="3"/>
  <c r="AC74" i="3"/>
  <c r="L82" i="3"/>
  <c r="X67" i="3"/>
  <c r="AM47" i="3"/>
  <c r="S84" i="3"/>
  <c r="L81" i="3"/>
  <c r="AM87" i="3"/>
  <c r="R62" i="3"/>
  <c r="P95" i="3"/>
  <c r="V96" i="3"/>
  <c r="AN80" i="3"/>
  <c r="AB89" i="3"/>
  <c r="AK89" i="3"/>
  <c r="AC41" i="3"/>
  <c r="T84" i="3"/>
  <c r="J62" i="3"/>
  <c r="X74" i="3"/>
  <c r="AA94" i="3"/>
  <c r="AH58" i="3"/>
  <c r="S82" i="3"/>
  <c r="X85" i="3"/>
  <c r="AL75" i="3"/>
  <c r="AG58" i="3"/>
  <c r="Q88" i="3"/>
  <c r="K57" i="3"/>
  <c r="P57" i="3"/>
  <c r="AN62" i="3"/>
  <c r="V80" i="3"/>
  <c r="X69" i="3"/>
  <c r="M33" i="3"/>
  <c r="AA76" i="3"/>
  <c r="P63" i="3"/>
  <c r="AO73" i="3"/>
  <c r="P84" i="3"/>
  <c r="AA91" i="3"/>
  <c r="V74" i="3"/>
  <c r="AQ81" i="3"/>
  <c r="Y88" i="3"/>
  <c r="O61" i="3"/>
  <c r="AO80" i="3"/>
  <c r="AN69" i="3"/>
  <c r="K50" i="3"/>
  <c r="K93" i="3"/>
  <c r="I80" i="3"/>
  <c r="AI73" i="3"/>
  <c r="C12" i="3"/>
  <c r="H86" i="3"/>
  <c r="AH64" i="3"/>
  <c r="T68" i="3"/>
  <c r="O94" i="3"/>
  <c r="S55" i="3"/>
  <c r="P58" i="3"/>
  <c r="Z47" i="3"/>
  <c r="Z55" i="3"/>
  <c r="R47" i="3"/>
  <c r="AA92" i="3"/>
  <c r="AK93" i="3"/>
  <c r="O92" i="3"/>
  <c r="AJ58" i="3"/>
  <c r="V82" i="3"/>
  <c r="I47" i="3"/>
  <c r="S28" i="3"/>
  <c r="N94" i="3"/>
  <c r="X60" i="3"/>
  <c r="I60" i="3"/>
  <c r="S65" i="3"/>
  <c r="K54" i="3"/>
  <c r="Z62" i="3"/>
  <c r="AQ83" i="3"/>
  <c r="AC88" i="3"/>
  <c r="AA61" i="3"/>
  <c r="J86" i="3"/>
  <c r="AI95" i="3"/>
  <c r="S61" i="3"/>
  <c r="R94" i="3"/>
  <c r="I63" i="3"/>
  <c r="N70" i="3"/>
  <c r="I74" i="3"/>
  <c r="V63" i="3"/>
  <c r="V95" i="3"/>
  <c r="C8" i="3"/>
  <c r="U97" i="3"/>
  <c r="T71" i="3"/>
  <c r="Y66" i="3"/>
  <c r="L70" i="3"/>
  <c r="AG87" i="3"/>
  <c r="W90" i="3"/>
  <c r="N63" i="3"/>
  <c r="L65" i="3"/>
  <c r="S64" i="3"/>
  <c r="Q74" i="3"/>
  <c r="J85" i="3"/>
  <c r="AA96" i="3"/>
  <c r="Q65" i="3"/>
  <c r="AC93" i="3"/>
  <c r="AQ82" i="3"/>
  <c r="P69" i="3"/>
  <c r="W76" i="3"/>
  <c r="AB64" i="3"/>
  <c r="Z15" i="3"/>
  <c r="U61" i="3"/>
  <c r="I72" i="3"/>
  <c r="AM86" i="3"/>
  <c r="AA97" i="3"/>
  <c r="H89" i="3"/>
  <c r="AJ55" i="3"/>
  <c r="Y80" i="3"/>
  <c r="AG85" i="3"/>
  <c r="AC87" i="3"/>
  <c r="AC86" i="3"/>
  <c r="AM77" i="3"/>
  <c r="Z61" i="3"/>
  <c r="R63" i="3"/>
  <c r="AL94" i="3"/>
  <c r="AI50" i="3"/>
  <c r="AN71" i="3"/>
  <c r="AN88" i="3"/>
  <c r="AN61" i="3"/>
  <c r="U56" i="3"/>
  <c r="L84" i="3"/>
  <c r="Y90" i="3"/>
  <c r="AK80" i="3"/>
  <c r="M83" i="3"/>
  <c r="M56" i="3"/>
  <c r="AH77" i="3"/>
  <c r="AQ85" i="3"/>
  <c r="P48" i="3"/>
  <c r="X87" i="3"/>
  <c r="X75" i="3"/>
  <c r="J47" i="3"/>
  <c r="J80" i="3"/>
  <c r="J61" i="3"/>
  <c r="R83" i="3"/>
  <c r="O90" i="3"/>
  <c r="I34" i="3"/>
  <c r="AP90" i="3"/>
  <c r="Q21" i="3"/>
  <c r="C38" i="3"/>
  <c r="AG12" i="3"/>
  <c r="AH16" i="3"/>
  <c r="I42" i="3"/>
  <c r="I94" i="3"/>
  <c r="R71" i="3"/>
  <c r="AQ80" i="3"/>
  <c r="Q64" i="3"/>
  <c r="AK94" i="3"/>
  <c r="T77" i="3"/>
  <c r="AM63" i="3"/>
  <c r="AA73" i="3"/>
  <c r="T96" i="3"/>
  <c r="K21" i="3"/>
  <c r="X68" i="3"/>
  <c r="AC62" i="3"/>
  <c r="AL77" i="3"/>
  <c r="S97" i="3"/>
  <c r="AA82" i="3"/>
  <c r="AC50" i="3"/>
  <c r="O59" i="3"/>
  <c r="AK48" i="3"/>
  <c r="AN84" i="3"/>
  <c r="K58" i="3"/>
  <c r="I66" i="3"/>
  <c r="AM96" i="3"/>
  <c r="R82" i="3"/>
  <c r="AI65" i="3"/>
  <c r="X65" i="3"/>
  <c r="U90" i="3"/>
  <c r="AA54" i="3"/>
  <c r="AL66" i="3"/>
  <c r="AO76" i="3"/>
  <c r="AA71" i="3"/>
  <c r="V58" i="3"/>
  <c r="L96" i="3"/>
  <c r="O58" i="3"/>
  <c r="AJ60" i="3"/>
  <c r="AN74" i="3"/>
  <c r="AJ73" i="3"/>
  <c r="K73" i="3"/>
  <c r="I90" i="3"/>
  <c r="T82" i="3"/>
  <c r="Z68" i="3"/>
  <c r="AQ63" i="3"/>
  <c r="AG94" i="3"/>
  <c r="AQ56" i="3"/>
  <c r="R56" i="3"/>
  <c r="R89" i="3"/>
  <c r="AA87" i="3"/>
  <c r="V47" i="3"/>
  <c r="Q54" i="3"/>
  <c r="I50" i="3"/>
  <c r="T95" i="3"/>
  <c r="S76" i="3"/>
  <c r="W62" i="3"/>
  <c r="R58" i="3"/>
  <c r="N56" i="3"/>
  <c r="AM70" i="3"/>
  <c r="N73" i="3"/>
  <c r="I61" i="3"/>
  <c r="V91" i="3"/>
  <c r="AM32" i="3"/>
  <c r="AN87" i="3"/>
  <c r="P67" i="3"/>
  <c r="AI76" i="3"/>
  <c r="S94" i="3"/>
  <c r="K77" i="3"/>
  <c r="AA86" i="3"/>
  <c r="AQ92" i="3"/>
  <c r="AQ77" i="3"/>
  <c r="Y54" i="3"/>
  <c r="AG55" i="3"/>
  <c r="S58" i="3"/>
  <c r="AH83" i="3"/>
  <c r="AK83" i="3"/>
  <c r="AI93" i="3"/>
  <c r="W11" i="3"/>
  <c r="L66" i="3"/>
  <c r="AM90" i="3"/>
  <c r="AJ59" i="3"/>
  <c r="K60" i="3"/>
  <c r="Z56" i="3"/>
  <c r="AQ60" i="3"/>
  <c r="AM60" i="3"/>
  <c r="AM59" i="3"/>
  <c r="V73" i="3"/>
  <c r="AN49" i="3"/>
  <c r="AN75" i="3"/>
  <c r="K62" i="3"/>
  <c r="Y82" i="3"/>
  <c r="L87" i="3"/>
  <c r="N55" i="3"/>
  <c r="I82" i="3"/>
  <c r="V75" i="3"/>
  <c r="Z93" i="3"/>
  <c r="AG42" i="3"/>
  <c r="L67" i="3"/>
  <c r="I76" i="3"/>
  <c r="AQ57" i="3"/>
  <c r="J74" i="3"/>
  <c r="AN54" i="3"/>
  <c r="K68" i="3"/>
  <c r="AK74" i="3"/>
  <c r="AK91" i="3"/>
  <c r="P88" i="3"/>
  <c r="T48" i="3"/>
  <c r="AL71" i="3"/>
  <c r="AO65" i="3"/>
  <c r="X88" i="3"/>
  <c r="K72" i="3"/>
  <c r="P81" i="3"/>
  <c r="W61" i="3"/>
  <c r="AD49" i="3"/>
  <c r="P96" i="3"/>
  <c r="AH48" i="3"/>
  <c r="U83" i="3"/>
  <c r="AB27" i="3"/>
  <c r="T74" i="3"/>
  <c r="AG61" i="3"/>
  <c r="AH90" i="3"/>
  <c r="AH87" i="3"/>
  <c r="L64" i="3"/>
  <c r="AG66" i="3"/>
  <c r="L47" i="3"/>
  <c r="S93" i="3"/>
  <c r="Z88" i="3"/>
  <c r="R74" i="3"/>
  <c r="Q50" i="3"/>
  <c r="W50" i="3"/>
  <c r="AN70" i="3"/>
  <c r="AN85" i="3"/>
  <c r="T70" i="3"/>
  <c r="U64" i="3"/>
  <c r="AA62" i="3"/>
  <c r="Y83" i="3"/>
  <c r="AK85" i="3"/>
  <c r="M93" i="3"/>
  <c r="M97" i="3"/>
  <c r="AH50" i="3"/>
  <c r="AQ84" i="3"/>
  <c r="P66" i="3"/>
  <c r="X70" i="3"/>
  <c r="X62" i="3"/>
  <c r="J70" i="3"/>
  <c r="J90" i="3"/>
  <c r="J93" i="3"/>
  <c r="R92" i="3"/>
  <c r="I59" i="3"/>
  <c r="AO59" i="3"/>
  <c r="AO50" i="3"/>
  <c r="O80" i="3"/>
  <c r="O96" i="3"/>
  <c r="O95" i="3"/>
  <c r="X71" i="3"/>
  <c r="X93" i="3"/>
  <c r="J48" i="3"/>
  <c r="AO74" i="3"/>
  <c r="O89" i="3"/>
  <c r="V64" i="3"/>
  <c r="I97" i="3"/>
  <c r="AI66" i="3"/>
  <c r="M96" i="3"/>
  <c r="AH92" i="3"/>
  <c r="AQ74" i="3"/>
  <c r="J63" i="3"/>
  <c r="AP24" i="3"/>
  <c r="AG41" i="3"/>
  <c r="AQ39" i="3"/>
  <c r="X72" i="3"/>
  <c r="AB25" i="3"/>
  <c r="AC35" i="3"/>
  <c r="M22" i="3"/>
  <c r="AA88" i="3"/>
  <c r="Z97" i="3"/>
  <c r="T49" i="3"/>
  <c r="AO81" i="3"/>
  <c r="AJ96" i="3"/>
  <c r="Q94" i="3"/>
  <c r="R67" i="3"/>
  <c r="AL80" i="3"/>
  <c r="T73" i="3"/>
  <c r="AP13" i="3"/>
  <c r="AQ97" i="3"/>
  <c r="AK97" i="3"/>
  <c r="AO58" i="3"/>
  <c r="Q92" i="3"/>
  <c r="V59" i="3"/>
  <c r="Z67" i="3"/>
  <c r="X82" i="3"/>
  <c r="AC49" i="3"/>
  <c r="AK65" i="3"/>
  <c r="K69" i="3"/>
  <c r="AI88" i="3"/>
  <c r="Z54" i="3"/>
  <c r="P76" i="3"/>
  <c r="V27" i="3"/>
  <c r="P87" i="3"/>
  <c r="AM9" i="3"/>
  <c r="AN86" i="3"/>
  <c r="Q91" i="3"/>
  <c r="R61" i="3"/>
  <c r="V88" i="3"/>
  <c r="Q95" i="3"/>
  <c r="AK84" i="3"/>
  <c r="S70" i="3"/>
  <c r="S96" i="3"/>
  <c r="R76" i="3"/>
  <c r="N77" i="3"/>
  <c r="T69" i="3"/>
  <c r="N82" i="3"/>
  <c r="I91" i="3"/>
  <c r="V78" i="3"/>
  <c r="AN48" i="3"/>
  <c r="Q89" i="3"/>
  <c r="M72" i="3"/>
  <c r="W49" i="3"/>
  <c r="AC85" i="3"/>
  <c r="AA64" i="3"/>
  <c r="V56" i="3"/>
  <c r="Q69" i="3"/>
  <c r="AC83" i="3"/>
  <c r="AO87" i="3"/>
  <c r="AC64" i="3"/>
  <c r="P70" i="3"/>
  <c r="K49" i="3"/>
  <c r="Y60" i="3"/>
  <c r="AK78" i="3"/>
  <c r="H63" i="3"/>
  <c r="L97" i="3"/>
  <c r="AI75" i="3"/>
  <c r="AN91" i="3"/>
  <c r="AE35" i="3"/>
  <c r="AQ54" i="3"/>
  <c r="M90" i="3"/>
  <c r="AQ87" i="3"/>
  <c r="P91" i="3"/>
  <c r="Z73" i="3"/>
  <c r="V89" i="3"/>
  <c r="I70" i="3"/>
  <c r="AM83" i="3"/>
  <c r="T59" i="3"/>
  <c r="W80" i="3"/>
  <c r="AN50" i="3"/>
  <c r="X90" i="3"/>
  <c r="L79" i="3"/>
  <c r="N79" i="3"/>
  <c r="Z75" i="3"/>
  <c r="O23" i="3"/>
  <c r="K80" i="3"/>
  <c r="M61" i="3"/>
  <c r="AM89" i="3"/>
  <c r="Z58" i="3"/>
  <c r="AQ58" i="3"/>
  <c r="AM69" i="3"/>
  <c r="AM66" i="3"/>
  <c r="AN89" i="3"/>
  <c r="Q73" i="3"/>
  <c r="N91" i="3"/>
  <c r="N61" i="3"/>
  <c r="Z90" i="3"/>
  <c r="T78" i="3"/>
  <c r="AG65" i="3"/>
  <c r="L71" i="3"/>
  <c r="AI90" i="3"/>
  <c r="Z69" i="3"/>
  <c r="AN76" i="3"/>
  <c r="M76" i="3"/>
  <c r="AN94" i="3"/>
  <c r="X55" i="3"/>
  <c r="I77" i="3"/>
  <c r="W93" i="3"/>
  <c r="N72" i="3"/>
  <c r="Z64" i="3"/>
  <c r="AC91" i="3"/>
  <c r="AC68" i="3"/>
  <c r="AA66" i="3"/>
  <c r="AG49" i="3"/>
  <c r="AJ83" i="3"/>
  <c r="W84" i="3"/>
  <c r="R69" i="3"/>
  <c r="T93" i="3"/>
  <c r="N68" i="3"/>
  <c r="I49" i="3"/>
  <c r="AM94" i="3"/>
  <c r="N31" i="3"/>
  <c r="AG69" i="3"/>
  <c r="I78" i="3"/>
  <c r="AC76" i="3"/>
  <c r="AA75" i="3"/>
  <c r="H88" i="3"/>
  <c r="AN56" i="3"/>
  <c r="L49" i="3"/>
  <c r="Y68" i="3"/>
  <c r="W65" i="3"/>
  <c r="AM95" i="3"/>
  <c r="AI86" i="3"/>
  <c r="AK82" i="3"/>
  <c r="O69" i="3"/>
  <c r="N95" i="3"/>
  <c r="K96" i="3"/>
  <c r="P65" i="3"/>
  <c r="W70" i="3"/>
  <c r="T67" i="3"/>
  <c r="T86" i="3"/>
  <c r="K63" i="3"/>
  <c r="H79" i="3"/>
  <c r="AA79" i="3"/>
  <c r="Y96" i="3"/>
  <c r="AK90" i="3"/>
  <c r="M67" i="3"/>
  <c r="M50" i="3"/>
  <c r="AH66" i="3"/>
  <c r="AQ91" i="3"/>
  <c r="X47" i="3"/>
  <c r="X95" i="3"/>
  <c r="X94" i="3"/>
  <c r="J87" i="3"/>
  <c r="J56" i="3"/>
  <c r="J68" i="3"/>
  <c r="R54" i="3"/>
  <c r="I84" i="3"/>
  <c r="AO92" i="3"/>
  <c r="AO47" i="3"/>
  <c r="O84" i="3"/>
  <c r="O56" i="3"/>
  <c r="O83" i="3"/>
  <c r="N60" i="3"/>
  <c r="T47" i="3"/>
  <c r="K56" i="3"/>
  <c r="AL57" i="3"/>
  <c r="AL90" i="3"/>
  <c r="AG79" i="3"/>
  <c r="S47" i="3"/>
  <c r="AK63" i="3"/>
  <c r="W56" i="3"/>
  <c r="T55" i="3"/>
  <c r="H50" i="3"/>
  <c r="AI63" i="3"/>
  <c r="Y93" i="3"/>
  <c r="AK87" i="3"/>
  <c r="M78" i="3"/>
  <c r="AQ59" i="3"/>
  <c r="X57" i="3"/>
  <c r="J72" i="3"/>
  <c r="J82" i="3"/>
  <c r="R87" i="3"/>
  <c r="I68" i="3"/>
  <c r="AO48" i="3"/>
  <c r="O57" i="3"/>
  <c r="M94" i="3"/>
  <c r="X56" i="3"/>
  <c r="X58" i="3"/>
  <c r="X49" i="3"/>
  <c r="J88" i="3"/>
  <c r="AO55" i="3"/>
  <c r="AO57" i="3"/>
  <c r="O64" i="3"/>
  <c r="O97" i="3"/>
  <c r="O47" i="3"/>
  <c r="Z7" i="3"/>
  <c r="J31" i="3"/>
  <c r="M77" i="3"/>
  <c r="P97" i="3"/>
  <c r="N66" i="3"/>
  <c r="Z16" i="3"/>
  <c r="AQ17" i="3"/>
  <c r="Y64" i="3"/>
  <c r="AM20" i="3"/>
  <c r="H90" i="3"/>
  <c r="R80" i="3"/>
  <c r="Y69" i="3"/>
  <c r="V48" i="3"/>
  <c r="P82" i="3"/>
  <c r="Z49" i="3"/>
  <c r="AI79" i="3"/>
  <c r="V84" i="3"/>
  <c r="AH78" i="3"/>
  <c r="R72" i="3"/>
  <c r="R81" i="3"/>
  <c r="N93" i="3"/>
  <c r="S87" i="3"/>
  <c r="AA69" i="3"/>
  <c r="AA89" i="3"/>
  <c r="AM73" i="3"/>
  <c r="L50" i="3"/>
  <c r="AI83" i="3"/>
  <c r="AN77" i="3"/>
  <c r="W88" i="3"/>
  <c r="AJ70" i="3"/>
  <c r="Z87" i="3"/>
  <c r="X96" i="3"/>
  <c r="AA27" i="3"/>
  <c r="AO70" i="3"/>
  <c r="Y87" i="3"/>
  <c r="Q80" i="3"/>
  <c r="AJ88" i="3"/>
  <c r="AC80" i="3"/>
  <c r="X89" i="3"/>
  <c r="K61" i="3"/>
  <c r="Y92" i="3"/>
  <c r="AK54" i="3"/>
  <c r="H59" i="3"/>
  <c r="L80" i="3"/>
  <c r="AI57" i="3"/>
  <c r="Z82" i="3"/>
  <c r="AK95" i="3"/>
  <c r="I67" i="3"/>
  <c r="Y72" i="3"/>
  <c r="AM30" i="3"/>
  <c r="K11" i="3"/>
  <c r="V70" i="3"/>
  <c r="Q96" i="3"/>
  <c r="S80" i="3"/>
  <c r="Y61" i="3"/>
  <c r="Y62" i="3"/>
  <c r="AK66" i="3"/>
  <c r="Z85" i="3"/>
  <c r="Z50" i="3"/>
  <c r="T64" i="3"/>
  <c r="AC69" i="3"/>
  <c r="L69" i="3"/>
  <c r="AI85" i="3"/>
  <c r="T91" i="3"/>
  <c r="AJ94" i="3"/>
  <c r="H49" i="3"/>
  <c r="P78" i="3"/>
  <c r="AN13" i="3"/>
  <c r="AA80" i="3"/>
  <c r="AQ78" i="3"/>
  <c r="I64" i="3"/>
  <c r="AL50" i="3"/>
  <c r="S89" i="3"/>
  <c r="AL47" i="3"/>
  <c r="K55" i="3"/>
  <c r="N58" i="3"/>
  <c r="AA72" i="3"/>
  <c r="T62" i="3"/>
  <c r="H56" i="3"/>
  <c r="X79" i="3"/>
  <c r="AK60" i="3"/>
  <c r="N76" i="3"/>
  <c r="AQ73" i="3"/>
  <c r="AH80" i="3"/>
  <c r="V81" i="3"/>
  <c r="AM93" i="3"/>
  <c r="Z60" i="3"/>
  <c r="T56" i="3"/>
  <c r="Z96" i="3"/>
  <c r="S92" i="3"/>
  <c r="Z91" i="3"/>
  <c r="AK69" i="3"/>
  <c r="V57" i="3"/>
  <c r="Q67" i="3"/>
  <c r="AA47" i="3"/>
  <c r="AI56" i="3"/>
  <c r="Z74" i="3"/>
  <c r="T92" i="3"/>
  <c r="V69" i="3"/>
  <c r="U40" i="3"/>
  <c r="W13" i="3"/>
  <c r="H39" i="3"/>
  <c r="K84" i="3"/>
  <c r="AK50" i="3"/>
  <c r="AC71" i="3"/>
  <c r="AM75" i="3"/>
  <c r="AM79" i="3"/>
  <c r="V92" i="3"/>
  <c r="AN81" i="3"/>
  <c r="AH74" i="3"/>
  <c r="K67" i="3"/>
  <c r="Y81" i="3"/>
  <c r="O54" i="3"/>
  <c r="N67" i="3"/>
  <c r="I73" i="3"/>
  <c r="Z59" i="3"/>
  <c r="J37" i="3"/>
  <c r="N86" i="3"/>
  <c r="AJ75" i="3"/>
  <c r="AJ89" i="3"/>
  <c r="AG83" i="3"/>
  <c r="AH81" i="3"/>
  <c r="AK96" i="3"/>
  <c r="K74" i="3"/>
  <c r="P83" i="3"/>
  <c r="W75" i="3"/>
  <c r="AA85" i="3"/>
  <c r="M60" i="3"/>
  <c r="AH70" i="3"/>
  <c r="V60" i="3"/>
  <c r="H95" i="3"/>
  <c r="Y70" i="3"/>
  <c r="AK58" i="3"/>
  <c r="J67" i="3"/>
  <c r="R88" i="3"/>
  <c r="AO62" i="3"/>
  <c r="O87" i="3"/>
  <c r="X91" i="3"/>
  <c r="X73" i="3"/>
  <c r="I81" i="3"/>
  <c r="I89" i="3"/>
  <c r="M66" i="3"/>
  <c r="M59" i="3"/>
  <c r="M89" i="3"/>
  <c r="M49" i="3"/>
  <c r="M54" i="3"/>
  <c r="M47" i="3"/>
  <c r="M74" i="3"/>
  <c r="AQ71" i="3"/>
  <c r="AQ65" i="3"/>
  <c r="AG47" i="3"/>
  <c r="AG57" i="3"/>
  <c r="AG59" i="3"/>
  <c r="AG91" i="3"/>
  <c r="AG78" i="3"/>
  <c r="AG72" i="3"/>
  <c r="AG50" i="3"/>
  <c r="AG89" i="3"/>
  <c r="AG68" i="3"/>
  <c r="AG62" i="3"/>
  <c r="AG71" i="3"/>
  <c r="AG77" i="3"/>
  <c r="AG54" i="3"/>
  <c r="AG88" i="3"/>
  <c r="AC60" i="3"/>
  <c r="AC81" i="3"/>
  <c r="AC75" i="3"/>
  <c r="Q48" i="3"/>
  <c r="AO77" i="3"/>
  <c r="AO95" i="3"/>
  <c r="AO66" i="3"/>
  <c r="AO61" i="3"/>
  <c r="AO82" i="3"/>
  <c r="AO86" i="3"/>
  <c r="AO78" i="3"/>
  <c r="AO90" i="3"/>
  <c r="AJ63" i="3"/>
  <c r="AJ47" i="3"/>
  <c r="AJ78" i="3"/>
  <c r="AJ49" i="3"/>
  <c r="AJ97" i="3"/>
  <c r="AJ62" i="3"/>
  <c r="AJ95" i="3"/>
  <c r="AJ54" i="3"/>
  <c r="AJ85" i="3"/>
  <c r="AJ56" i="3"/>
  <c r="AJ67" i="3"/>
  <c r="AJ79" i="3"/>
  <c r="AJ50" i="3"/>
  <c r="AJ69" i="3"/>
  <c r="AJ74" i="3"/>
  <c r="AJ61" i="3"/>
  <c r="U76" i="3"/>
  <c r="U50" i="3"/>
  <c r="U49" i="3"/>
  <c r="U73" i="3"/>
  <c r="U70" i="3"/>
  <c r="U74" i="3"/>
  <c r="U54" i="3"/>
  <c r="U59" i="3"/>
  <c r="U80" i="3"/>
  <c r="U82" i="3"/>
  <c r="U92" i="3"/>
  <c r="U68" i="3"/>
  <c r="U79" i="3"/>
  <c r="U86" i="3"/>
  <c r="U95" i="3"/>
  <c r="U77" i="3"/>
  <c r="AL69" i="3"/>
  <c r="AL87" i="3"/>
  <c r="AL65" i="3"/>
  <c r="AL76" i="3"/>
  <c r="AL62" i="3"/>
  <c r="AL68" i="3"/>
  <c r="AL74" i="3"/>
  <c r="AM57" i="3"/>
  <c r="AM78" i="3"/>
  <c r="AM56" i="3"/>
  <c r="P49" i="3"/>
  <c r="P55" i="3"/>
  <c r="P73" i="3"/>
  <c r="J71" i="3"/>
  <c r="J91" i="3"/>
  <c r="J64" i="3"/>
  <c r="J84" i="3"/>
  <c r="K90" i="3"/>
  <c r="K88" i="3"/>
  <c r="K94" i="3"/>
  <c r="K66" i="3"/>
  <c r="K89" i="3"/>
  <c r="K81" i="3"/>
  <c r="K87" i="3"/>
  <c r="K82" i="3"/>
  <c r="K92" i="3"/>
  <c r="W96" i="3"/>
  <c r="W64" i="3"/>
  <c r="W68" i="3"/>
  <c r="W59" i="3"/>
  <c r="W95" i="3"/>
  <c r="H61" i="3"/>
  <c r="H76" i="3"/>
  <c r="H77" i="3"/>
  <c r="H55" i="3"/>
  <c r="H78" i="3"/>
  <c r="H83" i="3"/>
  <c r="H92" i="3"/>
  <c r="H57" i="3"/>
  <c r="H69" i="3"/>
  <c r="H65" i="3"/>
  <c r="H96" i="3"/>
  <c r="H74" i="3"/>
  <c r="H75" i="3"/>
  <c r="H62" i="3"/>
  <c r="H67" i="3"/>
  <c r="H85" i="3"/>
  <c r="H66" i="3"/>
  <c r="H48" i="3"/>
  <c r="H80" i="3"/>
  <c r="H91" i="3"/>
  <c r="H81" i="3"/>
  <c r="H71" i="3"/>
  <c r="H73" i="3"/>
  <c r="H60" i="3"/>
  <c r="H64" i="3"/>
  <c r="H87" i="3"/>
  <c r="N71" i="3"/>
  <c r="N62" i="3"/>
  <c r="N54" i="3"/>
  <c r="N97" i="3"/>
  <c r="N81" i="3"/>
  <c r="N47" i="3"/>
  <c r="N87" i="3"/>
  <c r="N64" i="3"/>
  <c r="L78" i="3"/>
  <c r="L54" i="3"/>
  <c r="L72" i="3"/>
  <c r="L94" i="3"/>
  <c r="L48" i="3"/>
  <c r="L77" i="3"/>
  <c r="L63" i="3"/>
  <c r="Y50" i="3"/>
  <c r="Y77" i="3"/>
  <c r="Y48" i="3"/>
  <c r="Y84" i="3"/>
  <c r="Y47" i="3"/>
  <c r="Y91" i="3"/>
  <c r="Y79" i="3"/>
  <c r="S66" i="3"/>
  <c r="S69" i="3"/>
  <c r="S71" i="3"/>
  <c r="S54" i="3"/>
  <c r="KG21" i="4" l="1"/>
  <c r="KC7" i="4"/>
  <c r="CL226" i="1"/>
  <c r="CL224" i="1" s="1"/>
  <c r="CL229" i="1" s="1"/>
  <c r="CL148" i="1"/>
  <c r="R55" i="3"/>
  <c r="AA67" i="3"/>
  <c r="AA78" i="3"/>
  <c r="AI74" i="3"/>
  <c r="AH49" i="3"/>
  <c r="U47" i="3"/>
  <c r="I85" i="3"/>
  <c r="AO71" i="3"/>
  <c r="U69" i="3"/>
  <c r="AM84" i="3"/>
  <c r="S77" i="3"/>
  <c r="AE64" i="3"/>
  <c r="AE77" i="3"/>
  <c r="AE94" i="3"/>
  <c r="AE61" i="3"/>
  <c r="AE87" i="3"/>
  <c r="AE69" i="3"/>
  <c r="AE68" i="3"/>
  <c r="AE70" i="3"/>
  <c r="AE80" i="3"/>
  <c r="AE92" i="3"/>
  <c r="AE78" i="3"/>
  <c r="AE96" i="3"/>
  <c r="AE86" i="3"/>
  <c r="AE93" i="3"/>
  <c r="AE73" i="3"/>
  <c r="AE67" i="3"/>
  <c r="AE60" i="3"/>
  <c r="AE65" i="3"/>
  <c r="AE48" i="3"/>
  <c r="AE47" i="3"/>
  <c r="AE91" i="3"/>
  <c r="AE59" i="3"/>
  <c r="AE66" i="3"/>
  <c r="AE57" i="3"/>
  <c r="AE54" i="3"/>
  <c r="AE56" i="3"/>
  <c r="AE90" i="3"/>
  <c r="AE97" i="3"/>
  <c r="AE58" i="3"/>
  <c r="AE84" i="3"/>
  <c r="AE85" i="3"/>
  <c r="AE89" i="3"/>
  <c r="AE83" i="3"/>
  <c r="AE50" i="3"/>
  <c r="AE74" i="3"/>
  <c r="AE72" i="3"/>
  <c r="AE62" i="3"/>
  <c r="AE82" i="3"/>
  <c r="AE88" i="3"/>
  <c r="AE55" i="3"/>
  <c r="AE49" i="3"/>
  <c r="AE76" i="3"/>
  <c r="AE71" i="3"/>
  <c r="AE75" i="3"/>
  <c r="AE95" i="3"/>
  <c r="AE79" i="3"/>
  <c r="AE81" i="3"/>
  <c r="B127" i="1"/>
  <c r="B85" i="1"/>
  <c r="B87" i="1" s="1"/>
  <c r="R60" i="1"/>
  <c r="R59" i="1"/>
  <c r="CK71" i="1"/>
  <c r="CK21" i="1"/>
  <c r="CM27" i="1"/>
  <c r="CM8" i="1"/>
  <c r="CN5" i="1"/>
  <c r="CM205" i="1"/>
  <c r="CG71" i="1"/>
  <c r="CG212" i="1"/>
  <c r="CG214" i="1" s="1"/>
  <c r="CG85" i="1"/>
  <c r="AL61" i="1"/>
  <c r="AL264" i="1" s="1"/>
  <c r="AL67" i="1"/>
  <c r="AL253" i="1"/>
  <c r="S60" i="1"/>
  <c r="S59" i="1"/>
  <c r="CA61" i="1"/>
  <c r="CA264" i="1" s="1"/>
  <c r="CA67" i="1"/>
  <c r="CA253" i="1"/>
  <c r="CK218" i="1"/>
  <c r="AE65" i="1"/>
  <c r="CH208" i="1"/>
  <c r="CL208" i="1"/>
  <c r="X74" i="1"/>
  <c r="X57" i="1"/>
  <c r="CV6" i="1"/>
  <c r="CI60" i="1"/>
  <c r="CL246" i="1" s="1"/>
  <c r="CI59" i="1"/>
  <c r="H60" i="1"/>
  <c r="H59" i="1"/>
  <c r="CU6" i="1"/>
  <c r="Y57" i="1"/>
  <c r="Y74" i="1"/>
  <c r="D59" i="1"/>
  <c r="D60" i="1"/>
  <c r="D62" i="1" s="1"/>
  <c r="C253" i="1"/>
  <c r="C67" i="1"/>
  <c r="C61" i="1"/>
  <c r="CK63" i="1"/>
  <c r="CJ253" i="1"/>
  <c r="CJ67" i="1"/>
  <c r="CJ61" i="1"/>
  <c r="CJ264" i="1" s="1"/>
  <c r="CC253" i="1"/>
  <c r="CG62" i="1"/>
  <c r="CC61" i="1"/>
  <c r="CC264" i="1" s="1"/>
  <c r="CC67" i="1"/>
  <c r="U253" i="1"/>
  <c r="V62" i="1"/>
  <c r="U61" i="1"/>
  <c r="U264" i="1" s="1"/>
  <c r="U67" i="1"/>
  <c r="BX212" i="1"/>
  <c r="BX214" i="1" s="1"/>
  <c r="BX71" i="1"/>
  <c r="Q61" i="1"/>
  <c r="Q264" i="1" s="1"/>
  <c r="R62" i="1"/>
  <c r="Q253" i="1"/>
  <c r="Q67" i="1"/>
  <c r="Q73" i="1" s="1"/>
  <c r="CG122" i="1"/>
  <c r="CG121" i="1"/>
  <c r="CG123" i="1"/>
  <c r="K61" i="1"/>
  <c r="K264" i="1" s="1"/>
  <c r="L62" i="1"/>
  <c r="K67" i="1"/>
  <c r="K253" i="1"/>
  <c r="CI62" i="1"/>
  <c r="CE67" i="1"/>
  <c r="CE61" i="1"/>
  <c r="CE264" i="1" s="1"/>
  <c r="CE253" i="1"/>
  <c r="CE62" i="1"/>
  <c r="CF60" i="1"/>
  <c r="AA80" i="1" s="1"/>
  <c r="CF59" i="1"/>
  <c r="G67" i="1"/>
  <c r="G61" i="1"/>
  <c r="G264" i="1" s="1"/>
  <c r="G253" i="1"/>
  <c r="H62" i="1"/>
  <c r="AL63" i="1"/>
  <c r="AK67" i="1"/>
  <c r="AK61" i="1"/>
  <c r="AK253" i="1"/>
  <c r="CO202" i="1"/>
  <c r="CN204" i="1"/>
  <c r="E67" i="1"/>
  <c r="E226" i="1" s="1"/>
  <c r="E62" i="1"/>
  <c r="E61" i="1"/>
  <c r="E264" i="1" s="1"/>
  <c r="E253" i="1"/>
  <c r="F62" i="1"/>
  <c r="I253" i="1"/>
  <c r="I67" i="1"/>
  <c r="I61" i="1"/>
  <c r="I264" i="1" s="1"/>
  <c r="I62" i="1"/>
  <c r="Z60" i="1"/>
  <c r="AA62" i="1" s="1"/>
  <c r="Z59" i="1"/>
  <c r="BY59" i="1"/>
  <c r="BY60" i="1"/>
  <c r="CB59" i="1"/>
  <c r="CB60" i="1"/>
  <c r="R61" i="1"/>
  <c r="R264" i="1" s="1"/>
  <c r="S62" i="1"/>
  <c r="R67" i="1"/>
  <c r="R253" i="1"/>
  <c r="Q62" i="1"/>
  <c r="P67" i="1"/>
  <c r="P253" i="1"/>
  <c r="P61" i="1"/>
  <c r="P264" i="1" s="1"/>
  <c r="BL71" i="1"/>
  <c r="BL212" i="1"/>
  <c r="BL214" i="1" s="1"/>
  <c r="CF118" i="1"/>
  <c r="CF126" i="1"/>
  <c r="CF127" i="1"/>
  <c r="W61" i="1"/>
  <c r="W264" i="1" s="1"/>
  <c r="W253" i="1"/>
  <c r="W67" i="1"/>
  <c r="W71" i="1" s="1"/>
  <c r="CH61" i="1"/>
  <c r="CH264" i="1" s="1"/>
  <c r="CJ246" i="1"/>
  <c r="CI63" i="1"/>
  <c r="CH63" i="1"/>
  <c r="CH253" i="1"/>
  <c r="CH67" i="1"/>
  <c r="CH21" i="1" s="1"/>
  <c r="O253" i="1"/>
  <c r="O67" i="1"/>
  <c r="O61" i="1"/>
  <c r="O264" i="1" s="1"/>
  <c r="P62" i="1"/>
  <c r="BZ60" i="1"/>
  <c r="BZ59" i="1"/>
  <c r="CD83" i="1"/>
  <c r="CE84" i="1"/>
  <c r="V253" i="1"/>
  <c r="V67" i="1"/>
  <c r="V61" i="1"/>
  <c r="V264" i="1" s="1"/>
  <c r="W62" i="1"/>
  <c r="CD60" i="1"/>
  <c r="CD59" i="1"/>
  <c r="T253" i="1"/>
  <c r="U62" i="1"/>
  <c r="T61" i="1"/>
  <c r="T264" i="1" s="1"/>
  <c r="T67" i="1"/>
  <c r="O62" i="1"/>
  <c r="N253" i="1"/>
  <c r="N67" i="1"/>
  <c r="N61" i="1"/>
  <c r="N264" i="1" s="1"/>
  <c r="M67" i="1"/>
  <c r="M61" i="1"/>
  <c r="M264" i="1" s="1"/>
  <c r="M253" i="1"/>
  <c r="N62" i="1"/>
  <c r="J62" i="1"/>
  <c r="J61" i="1"/>
  <c r="J264" i="1" s="1"/>
  <c r="J253" i="1"/>
  <c r="J67" i="1"/>
  <c r="J73" i="1" s="1"/>
  <c r="K62" i="1"/>
  <c r="CG113" i="1"/>
  <c r="CG114" i="1"/>
  <c r="CG115" i="1"/>
  <c r="L61" i="1"/>
  <c r="L264" i="1" s="1"/>
  <c r="L253" i="1"/>
  <c r="L67" i="1"/>
  <c r="M62" i="1"/>
  <c r="AJ67" i="1"/>
  <c r="AJ253" i="1"/>
  <c r="AJ61" i="1"/>
  <c r="AK63" i="1"/>
  <c r="AM246" i="1"/>
  <c r="F253" i="1"/>
  <c r="G62" i="1"/>
  <c r="F67" i="1"/>
  <c r="F61" i="1"/>
  <c r="F264" i="1" s="1"/>
  <c r="AM253" i="1"/>
  <c r="AM61" i="1"/>
  <c r="AM264" i="1" s="1"/>
  <c r="AM63" i="1"/>
  <c r="BF92" i="1"/>
  <c r="BS182" i="1"/>
  <c r="BT182" i="1" s="1"/>
  <c r="BS154" i="1"/>
  <c r="BT154" i="1" s="1"/>
  <c r="BC163" i="1"/>
  <c r="BC136" i="1"/>
  <c r="BD136" i="1" s="1"/>
  <c r="BC146" i="1"/>
  <c r="BD146" i="1" s="1"/>
  <c r="BC161" i="1"/>
  <c r="BD161" i="1" s="1"/>
  <c r="BC162" i="1"/>
  <c r="BD162" i="1" s="1"/>
  <c r="BC166" i="1"/>
  <c r="BD166" i="1" s="1"/>
  <c r="BC152" i="1"/>
  <c r="BC171" i="1"/>
  <c r="BD171" i="1" s="1"/>
  <c r="BC174" i="1"/>
  <c r="BD174" i="1" s="1"/>
  <c r="BC93" i="1"/>
  <c r="BC179" i="1"/>
  <c r="BC141" i="1"/>
  <c r="BD141" i="1" s="1"/>
  <c r="BO143" i="1"/>
  <c r="BP143" i="1" s="1"/>
  <c r="BO174" i="1"/>
  <c r="BP174" i="1" s="1"/>
  <c r="BO93" i="1"/>
  <c r="BO141" i="1"/>
  <c r="BP141" i="1" s="1"/>
  <c r="BO165" i="1"/>
  <c r="BP165" i="1" s="1"/>
  <c r="BO150" i="1"/>
  <c r="BO138" i="1"/>
  <c r="BO168" i="1"/>
  <c r="BP168" i="1" s="1"/>
  <c r="BO136" i="1"/>
  <c r="BO92" i="1"/>
  <c r="BO166" i="1"/>
  <c r="BP166" i="1" s="1"/>
  <c r="BO172" i="1"/>
  <c r="BO179" i="1"/>
  <c r="BO161" i="1"/>
  <c r="BO145" i="1"/>
  <c r="BP145" i="1" s="1"/>
  <c r="BO137" i="1"/>
  <c r="BP137" i="1" s="1"/>
  <c r="BO146" i="1"/>
  <c r="BP146" i="1" s="1"/>
  <c r="BO182" i="1"/>
  <c r="BP182" i="1" s="1"/>
  <c r="AO164" i="1"/>
  <c r="AO173" i="1"/>
  <c r="AP173" i="1" s="1"/>
  <c r="AO143" i="1"/>
  <c r="AO182" i="1"/>
  <c r="AP182" i="1" s="1"/>
  <c r="AO92" i="1"/>
  <c r="AO156" i="1"/>
  <c r="AP156" i="1" s="1"/>
  <c r="AO178" i="1"/>
  <c r="AO145" i="1"/>
  <c r="AP145" i="1" s="1"/>
  <c r="AO170" i="1"/>
  <c r="AP170" i="1" s="1"/>
  <c r="AW93" i="1"/>
  <c r="AW143" i="1"/>
  <c r="BG145" i="1"/>
  <c r="BH145" i="1" s="1"/>
  <c r="BG166" i="1"/>
  <c r="BH166" i="1" s="1"/>
  <c r="BG179" i="1"/>
  <c r="BG136" i="1"/>
  <c r="BG150" i="1"/>
  <c r="BG138" i="1"/>
  <c r="BG159" i="1"/>
  <c r="BH159" i="1" s="1"/>
  <c r="AR93" i="1"/>
  <c r="AQ156" i="1"/>
  <c r="AR156" i="1" s="1"/>
  <c r="AQ154" i="1"/>
  <c r="AR154" i="1" s="1"/>
  <c r="AQ144" i="1"/>
  <c r="AR144" i="1" s="1"/>
  <c r="AQ161" i="1"/>
  <c r="AR161" i="1" s="1"/>
  <c r="AQ137" i="1"/>
  <c r="AR137" i="1" s="1"/>
  <c r="AQ138" i="1"/>
  <c r="AQ173" i="1"/>
  <c r="AR173" i="1" s="1"/>
  <c r="AQ182" i="1"/>
  <c r="AR182" i="1" s="1"/>
  <c r="BW164" i="1"/>
  <c r="BW145" i="1"/>
  <c r="BX145" i="1" s="1"/>
  <c r="BW146" i="1"/>
  <c r="BX146" i="1" s="1"/>
  <c r="AX92" i="1"/>
  <c r="AS146" i="1"/>
  <c r="AT146" i="1" s="1"/>
  <c r="AS183" i="1"/>
  <c r="AT183" i="1" s="1"/>
  <c r="AS170" i="1"/>
  <c r="AT170" i="1" s="1"/>
  <c r="AS150" i="1"/>
  <c r="BM183" i="1"/>
  <c r="BN183" i="1" s="1"/>
  <c r="BM169" i="1"/>
  <c r="BN169" i="1" s="1"/>
  <c r="AU144" i="1"/>
  <c r="AV144" i="1" s="1"/>
  <c r="BS152" i="1"/>
  <c r="AY92" i="1"/>
  <c r="AO144" i="1"/>
  <c r="AP144" i="1" s="1"/>
  <c r="BQ179" i="1"/>
  <c r="AQ93" i="1"/>
  <c r="AW154" i="1"/>
  <c r="AX154" i="1" s="1"/>
  <c r="BQ144" i="1"/>
  <c r="BR144" i="1" s="1"/>
  <c r="BA143" i="1"/>
  <c r="BB143" i="1" s="1"/>
  <c r="BS92" i="1"/>
  <c r="AW146" i="1"/>
  <c r="AX146" i="1" s="1"/>
  <c r="BQ169" i="1"/>
  <c r="BR169" i="1" s="1"/>
  <c r="BG169" i="1"/>
  <c r="BH169" i="1" s="1"/>
  <c r="BU159" i="1"/>
  <c r="BV159" i="1" s="1"/>
  <c r="BE92" i="1"/>
  <c r="BC172" i="1"/>
  <c r="AY156" i="1"/>
  <c r="AZ156" i="1" s="1"/>
  <c r="BS171" i="1"/>
  <c r="BT171" i="1" s="1"/>
  <c r="BS144" i="1"/>
  <c r="BT144" i="1" s="1"/>
  <c r="AW144" i="1"/>
  <c r="AX144" i="1" s="1"/>
  <c r="BI154" i="1"/>
  <c r="BJ154" i="1" s="1"/>
  <c r="BW169" i="1"/>
  <c r="BX169" i="1" s="1"/>
  <c r="BQ161" i="1"/>
  <c r="BR161" i="1" s="1"/>
  <c r="BG141" i="1"/>
  <c r="BH141" i="1" s="1"/>
  <c r="BE163" i="1"/>
  <c r="BE164" i="1"/>
  <c r="AQ166" i="1"/>
  <c r="AR166" i="1" s="1"/>
  <c r="AQ163" i="1"/>
  <c r="BU169" i="1"/>
  <c r="BV169" i="1" s="1"/>
  <c r="BM138" i="1"/>
  <c r="AW169" i="1"/>
  <c r="AX169" i="1" s="1"/>
  <c r="BR92" i="1"/>
  <c r="BW154" i="1"/>
  <c r="BX154" i="1" s="1"/>
  <c r="BQ163" i="1"/>
  <c r="BG172" i="1"/>
  <c r="AY162" i="1"/>
  <c r="AZ162" i="1" s="1"/>
  <c r="BO178" i="1"/>
  <c r="BS138" i="1"/>
  <c r="BS159" i="1"/>
  <c r="BT159" i="1" s="1"/>
  <c r="BS178" i="1"/>
  <c r="AW145" i="1"/>
  <c r="AX145" i="1" s="1"/>
  <c r="AW170" i="1"/>
  <c r="AX170" i="1" s="1"/>
  <c r="BI164" i="1"/>
  <c r="BI92" i="1"/>
  <c r="BI182" i="1"/>
  <c r="BJ182" i="1" s="1"/>
  <c r="BI165" i="1"/>
  <c r="BJ165" i="1" s="1"/>
  <c r="BQ146" i="1"/>
  <c r="BR146" i="1" s="1"/>
  <c r="BG154" i="1"/>
  <c r="BH154" i="1" s="1"/>
  <c r="BE141" i="1"/>
  <c r="BF141" i="1" s="1"/>
  <c r="BE174" i="1"/>
  <c r="BF174" i="1" s="1"/>
  <c r="AQ143" i="1"/>
  <c r="BC165" i="1"/>
  <c r="BD165" i="1" s="1"/>
  <c r="AY138" i="1"/>
  <c r="BU178" i="1"/>
  <c r="BO159" i="1"/>
  <c r="BP159" i="1" s="1"/>
  <c r="BM162" i="1"/>
  <c r="BN162" i="1" s="1"/>
  <c r="AU174" i="1"/>
  <c r="AV174" i="1" s="1"/>
  <c r="AW161" i="1"/>
  <c r="BW182" i="1"/>
  <c r="BX182" i="1" s="1"/>
  <c r="BQ164" i="1"/>
  <c r="BG182" i="1"/>
  <c r="BH182" i="1" s="1"/>
  <c r="AY150" i="1"/>
  <c r="BO154" i="1"/>
  <c r="BP154" i="1" s="1"/>
  <c r="BM182" i="1"/>
  <c r="BN182" i="1" s="1"/>
  <c r="BS174" i="1"/>
  <c r="BT174" i="1" s="1"/>
  <c r="BS173" i="1"/>
  <c r="BT173" i="1" s="1"/>
  <c r="BS169" i="1"/>
  <c r="BT169" i="1" s="1"/>
  <c r="AW159" i="1"/>
  <c r="AX159" i="1" s="1"/>
  <c r="BI183" i="1"/>
  <c r="BJ183" i="1" s="1"/>
  <c r="BI161" i="1"/>
  <c r="BW162" i="1"/>
  <c r="BX162" i="1" s="1"/>
  <c r="BQ159" i="1"/>
  <c r="BR159" i="1" s="1"/>
  <c r="BF93" i="1"/>
  <c r="AQ92" i="1"/>
  <c r="BT93" i="1"/>
  <c r="BC143" i="1"/>
  <c r="BD143" i="1" s="1"/>
  <c r="AY182" i="1"/>
  <c r="AZ182" i="1" s="1"/>
  <c r="BU161" i="1"/>
  <c r="BO183" i="1"/>
  <c r="BP183" i="1" s="1"/>
  <c r="AW92" i="1"/>
  <c r="AY165" i="1"/>
  <c r="AZ165" i="1" s="1"/>
  <c r="BW168" i="1"/>
  <c r="BX168" i="1" s="1"/>
  <c r="BG163" i="1"/>
  <c r="AY161" i="1"/>
  <c r="BS163" i="1"/>
  <c r="BI171" i="1"/>
  <c r="BJ171" i="1" s="1"/>
  <c r="BI159" i="1"/>
  <c r="BJ159" i="1" s="1"/>
  <c r="BW143" i="1"/>
  <c r="BX143" i="1" s="1"/>
  <c r="BW172" i="1"/>
  <c r="BG93" i="1"/>
  <c r="BE165" i="1"/>
  <c r="BF165" i="1" s="1"/>
  <c r="BT92" i="1"/>
  <c r="BC178" i="1"/>
  <c r="AY152" i="1"/>
  <c r="BU154" i="1"/>
  <c r="BV154" i="1" s="1"/>
  <c r="BM92" i="1"/>
  <c r="AU138" i="1"/>
  <c r="AW164" i="1"/>
  <c r="BQ152" i="1"/>
  <c r="BG174" i="1"/>
  <c r="BH174" i="1" s="1"/>
  <c r="AY164" i="1"/>
  <c r="AY171" i="1"/>
  <c r="AZ171" i="1" s="1"/>
  <c r="BO163" i="1"/>
  <c r="BS183" i="1"/>
  <c r="BT183" i="1" s="1"/>
  <c r="AW156" i="1"/>
  <c r="AX156" i="1" s="1"/>
  <c r="BI152" i="1"/>
  <c r="BQ168" i="1"/>
  <c r="BR168" i="1" s="1"/>
  <c r="BC170" i="1"/>
  <c r="BD170" i="1" s="1"/>
  <c r="BU183" i="1"/>
  <c r="BV183" i="1" s="1"/>
  <c r="BM166" i="1"/>
  <c r="BN166" i="1" s="1"/>
  <c r="AU146" i="1"/>
  <c r="AV146" i="1" s="1"/>
  <c r="BI93" i="1"/>
  <c r="AY154" i="1"/>
  <c r="AZ154" i="1" s="1"/>
  <c r="AY174" i="1"/>
  <c r="AZ174" i="1" s="1"/>
  <c r="BO152" i="1"/>
  <c r="BS137" i="1"/>
  <c r="BT137" i="1" s="1"/>
  <c r="AO169" i="1"/>
  <c r="AP169" i="1" s="1"/>
  <c r="AW162" i="1"/>
  <c r="AX162" i="1" s="1"/>
  <c r="BI168" i="1"/>
  <c r="BJ168" i="1" s="1"/>
  <c r="BI178" i="1"/>
  <c r="BW152" i="1"/>
  <c r="BQ165" i="1"/>
  <c r="BR165" i="1" s="1"/>
  <c r="BG170" i="1"/>
  <c r="BH170" i="1" s="1"/>
  <c r="BE146" i="1"/>
  <c r="BF146" i="1" s="1"/>
  <c r="AQ136" i="1"/>
  <c r="BC169" i="1"/>
  <c r="BD169" i="1" s="1"/>
  <c r="AY168" i="1"/>
  <c r="BU150" i="1"/>
  <c r="BU182" i="1"/>
  <c r="BV182" i="1" s="1"/>
  <c r="AU170" i="1"/>
  <c r="AV170" i="1" s="1"/>
  <c r="BQ174" i="1"/>
  <c r="BR174" i="1" s="1"/>
  <c r="BE178" i="1"/>
  <c r="AY144" i="1"/>
  <c r="AZ144" i="1" s="1"/>
  <c r="AY145" i="1"/>
  <c r="AZ145" i="1" s="1"/>
  <c r="AY141" i="1"/>
  <c r="AZ141" i="1" s="1"/>
  <c r="AW152" i="1"/>
  <c r="BI137" i="1"/>
  <c r="BJ137" i="1" s="1"/>
  <c r="BW93" i="1"/>
  <c r="BG137" i="1"/>
  <c r="BH137" i="1" s="1"/>
  <c r="BE143" i="1"/>
  <c r="AY172" i="1"/>
  <c r="BU171" i="1"/>
  <c r="BV171" i="1" s="1"/>
  <c r="AY146" i="1"/>
  <c r="AZ146" i="1" s="1"/>
  <c r="BS162" i="1"/>
  <c r="BT162" i="1" s="1"/>
  <c r="BS179" i="1"/>
  <c r="AO93" i="1"/>
  <c r="AW183" i="1"/>
  <c r="AX183" i="1" s="1"/>
  <c r="AW150" i="1"/>
  <c r="BI145" i="1"/>
  <c r="BJ145" i="1" s="1"/>
  <c r="BI150" i="1"/>
  <c r="BI146" i="1"/>
  <c r="BJ146" i="1" s="1"/>
  <c r="BW159" i="1"/>
  <c r="BX159" i="1" s="1"/>
  <c r="BY221" i="1" s="1"/>
  <c r="BW163" i="1"/>
  <c r="BQ173" i="1"/>
  <c r="BR173" i="1" s="1"/>
  <c r="BQ150" i="1"/>
  <c r="BG164" i="1"/>
  <c r="BE150" i="1"/>
  <c r="AY170" i="1"/>
  <c r="AZ170" i="1" s="1"/>
  <c r="BU170" i="1"/>
  <c r="BV170" i="1" s="1"/>
  <c r="BU163" i="1"/>
  <c r="AU150" i="1"/>
  <c r="AW168" i="1"/>
  <c r="AY143" i="1"/>
  <c r="BS168" i="1"/>
  <c r="BT168" i="1" s="1"/>
  <c r="BS170" i="1"/>
  <c r="BT170" i="1" s="1"/>
  <c r="BR93" i="1"/>
  <c r="BI179" i="1"/>
  <c r="AZ93" i="1"/>
  <c r="BS150" i="1"/>
  <c r="BS141" i="1"/>
  <c r="BT141" i="1" s="1"/>
  <c r="AO152" i="1"/>
  <c r="AW178" i="1"/>
  <c r="BI162" i="1"/>
  <c r="BJ162" i="1" s="1"/>
  <c r="BI173" i="1"/>
  <c r="BJ173" i="1" s="1"/>
  <c r="BW179" i="1"/>
  <c r="BW174" i="1"/>
  <c r="BX174" i="1" s="1"/>
  <c r="BQ182" i="1"/>
  <c r="BR182" i="1" s="1"/>
  <c r="BQ156" i="1"/>
  <c r="BR156" i="1" s="1"/>
  <c r="BG144" i="1"/>
  <c r="BH144" i="1" s="1"/>
  <c r="BE172" i="1"/>
  <c r="AR92" i="1"/>
  <c r="BC164" i="1"/>
  <c r="AY163" i="1"/>
  <c r="BU173" i="1"/>
  <c r="BV173" i="1" s="1"/>
  <c r="BM164" i="1"/>
  <c r="AU156" i="1"/>
  <c r="AV156" i="1" s="1"/>
  <c r="AU152" i="1"/>
  <c r="AW174" i="1"/>
  <c r="AX174" i="1" s="1"/>
  <c r="BW170" i="1"/>
  <c r="BX170" i="1" s="1"/>
  <c r="AY178" i="1"/>
  <c r="BS166" i="1"/>
  <c r="BT166" i="1" s="1"/>
  <c r="BS146" i="1"/>
  <c r="BT146" i="1" s="1"/>
  <c r="AO168" i="1"/>
  <c r="BI136" i="1"/>
  <c r="BI144" i="1"/>
  <c r="BJ144" i="1" s="1"/>
  <c r="BW141" i="1"/>
  <c r="BX141" i="1" s="1"/>
  <c r="BQ137" i="1"/>
  <c r="BR137" i="1" s="1"/>
  <c r="BG173" i="1"/>
  <c r="BH173" i="1" s="1"/>
  <c r="BE171" i="1"/>
  <c r="BF171" i="1" s="1"/>
  <c r="AQ150" i="1"/>
  <c r="AQ179" i="1"/>
  <c r="BC145" i="1"/>
  <c r="BD145" i="1" s="1"/>
  <c r="AY173" i="1"/>
  <c r="AZ173" i="1" s="1"/>
  <c r="BU165" i="1"/>
  <c r="BV165" i="1" s="1"/>
  <c r="AW138" i="1"/>
  <c r="AZ92" i="1"/>
  <c r="AY136" i="1"/>
  <c r="AY183" i="1"/>
  <c r="AZ183" i="1" s="1"/>
  <c r="BW178" i="1"/>
  <c r="BS93" i="1"/>
  <c r="AW182" i="1"/>
  <c r="AX182" i="1" s="1"/>
  <c r="AW141" i="1"/>
  <c r="AX141" i="1" s="1"/>
  <c r="BI141" i="1"/>
  <c r="BJ141" i="1" s="1"/>
  <c r="BI172" i="1"/>
  <c r="BI170" i="1"/>
  <c r="BJ170" i="1" s="1"/>
  <c r="BW138" i="1"/>
  <c r="BX138" i="1" s="1"/>
  <c r="BW161" i="1"/>
  <c r="BQ143" i="1"/>
  <c r="BQ93" i="1"/>
  <c r="BG171" i="1"/>
  <c r="BH171" i="1" s="1"/>
  <c r="BG165" i="1"/>
  <c r="BH165" i="1" s="1"/>
  <c r="AQ159" i="1"/>
  <c r="AR159" i="1" s="1"/>
  <c r="BC138" i="1"/>
  <c r="AY93" i="1"/>
  <c r="BU152" i="1"/>
  <c r="BU138" i="1"/>
  <c r="BM171" i="1"/>
  <c r="BN171" i="1" s="1"/>
  <c r="AU141" i="1"/>
  <c r="AV141" i="1" s="1"/>
  <c r="AW173" i="1"/>
  <c r="AX173" i="1" s="1"/>
  <c r="BG152" i="1"/>
  <c r="AY179" i="1"/>
  <c r="AY137" i="1"/>
  <c r="AZ137" i="1" s="1"/>
  <c r="BA171" i="1"/>
  <c r="BB171" i="1" s="1"/>
  <c r="BS164" i="1"/>
  <c r="AW171" i="1"/>
  <c r="AX171" i="1" s="1"/>
  <c r="AW166" i="1"/>
  <c r="AX166" i="1" s="1"/>
  <c r="BI156" i="1"/>
  <c r="BJ156" i="1" s="1"/>
  <c r="BI169" i="1"/>
  <c r="BJ169" i="1" s="1"/>
  <c r="BB93" i="1"/>
  <c r="BQ92" i="1"/>
  <c r="BG178" i="1"/>
  <c r="BG168" i="1"/>
  <c r="AT92" i="1"/>
  <c r="AQ165" i="1"/>
  <c r="AR165" i="1" s="1"/>
  <c r="AQ141" i="1"/>
  <c r="AR141" i="1" s="1"/>
  <c r="AY169" i="1"/>
  <c r="AZ169" i="1" s="1"/>
  <c r="BU172" i="1"/>
  <c r="BA173" i="1"/>
  <c r="BB173" i="1" s="1"/>
  <c r="BM179" i="1"/>
  <c r="BW150" i="1"/>
  <c r="AY166" i="1"/>
  <c r="AZ166" i="1" s="1"/>
  <c r="AS162" i="1"/>
  <c r="AT162" i="1" s="1"/>
  <c r="AV92" i="1"/>
  <c r="AO154" i="1"/>
  <c r="AP154" i="1" s="1"/>
  <c r="BS143" i="1"/>
  <c r="BI27" i="1"/>
  <c r="BC159" i="1"/>
  <c r="BD159" i="1" s="1"/>
  <c r="AQ34" i="1"/>
  <c r="BI163" i="1"/>
  <c r="BS172" i="1"/>
  <c r="BI166" i="1"/>
  <c r="BJ166" i="1" s="1"/>
  <c r="BC156" i="1"/>
  <c r="BD156" i="1" s="1"/>
  <c r="BW171" i="1"/>
  <c r="BX171" i="1" s="1"/>
  <c r="BE173" i="1"/>
  <c r="BF173" i="1" s="1"/>
  <c r="AO159" i="1"/>
  <c r="AP159" i="1" s="1"/>
  <c r="AO141" i="1"/>
  <c r="AP141" i="1" s="1"/>
  <c r="BN33" i="1"/>
  <c r="BI143" i="1"/>
  <c r="BJ143" i="1" s="1"/>
  <c r="BW137" i="1"/>
  <c r="BX137" i="1" s="1"/>
  <c r="AS164" i="1"/>
  <c r="AS173" i="1"/>
  <c r="AT173" i="1" s="1"/>
  <c r="BC154" i="1"/>
  <c r="BD154" i="1" s="1"/>
  <c r="BQ51" i="1"/>
  <c r="BQ213" i="1" s="1"/>
  <c r="BE170" i="1"/>
  <c r="BF170" i="1" s="1"/>
  <c r="AO136" i="1"/>
  <c r="AP136" i="1" s="1"/>
  <c r="AQ162" i="1"/>
  <c r="AR162" i="1" s="1"/>
  <c r="AW163" i="1"/>
  <c r="BA179" i="1"/>
  <c r="AS166" i="1"/>
  <c r="AT166" i="1" s="1"/>
  <c r="AO183" i="1"/>
  <c r="AP183" i="1" s="1"/>
  <c r="BE138" i="1"/>
  <c r="BH51" i="1"/>
  <c r="BH213" i="1" s="1"/>
  <c r="AT93" i="1"/>
  <c r="BU166" i="1"/>
  <c r="BV166" i="1" s="1"/>
  <c r="AZ58" i="1"/>
  <c r="AT33" i="1"/>
  <c r="BG156" i="1"/>
  <c r="BH156" i="1" s="1"/>
  <c r="BC92" i="1"/>
  <c r="BA145" i="1"/>
  <c r="BB145" i="1" s="1"/>
  <c r="BS145" i="1"/>
  <c r="BT145" i="1" s="1"/>
  <c r="AS145" i="1"/>
  <c r="AT145" i="1" s="1"/>
  <c r="BW136" i="1"/>
  <c r="BX136" i="1" s="1"/>
  <c r="BO171" i="1"/>
  <c r="BP171" i="1" s="1"/>
  <c r="AO137" i="1"/>
  <c r="AP137" i="1" s="1"/>
  <c r="AO161" i="1"/>
  <c r="AQ168" i="1"/>
  <c r="AR168" i="1" s="1"/>
  <c r="BS65" i="1"/>
  <c r="BE168" i="1"/>
  <c r="BE161" i="1"/>
  <c r="BF161" i="1" s="1"/>
  <c r="BG146" i="1"/>
  <c r="BH146" i="1" s="1"/>
  <c r="BF39" i="1"/>
  <c r="BW183" i="1"/>
  <c r="BX183" i="1" s="1"/>
  <c r="AO179" i="1"/>
  <c r="BE154" i="1"/>
  <c r="BF154" i="1" s="1"/>
  <c r="BF54" i="1"/>
  <c r="BS161" i="1"/>
  <c r="AO138" i="1"/>
  <c r="AQ178" i="1"/>
  <c r="AN92" i="1"/>
  <c r="AS154" i="1"/>
  <c r="AT154" i="1" s="1"/>
  <c r="AW70" i="1"/>
  <c r="BQ172" i="1"/>
  <c r="BA172" i="1"/>
  <c r="AS138" i="1"/>
  <c r="AO174" i="1"/>
  <c r="AP174" i="1" s="1"/>
  <c r="BS70" i="1"/>
  <c r="BC173" i="1"/>
  <c r="BD173" i="1" s="1"/>
  <c r="AY64" i="1"/>
  <c r="BM145" i="1"/>
  <c r="BN145" i="1" s="1"/>
  <c r="BE166" i="1"/>
  <c r="BF166" i="1" s="1"/>
  <c r="BC65" i="1"/>
  <c r="BS156" i="1"/>
  <c r="BT156" i="1" s="1"/>
  <c r="AW137" i="1"/>
  <c r="AX137" i="1" s="1"/>
  <c r="BQ136" i="1"/>
  <c r="AW165" i="1"/>
  <c r="AX165" i="1" s="1"/>
  <c r="BS136" i="1"/>
  <c r="BQ141" i="1"/>
  <c r="BR141" i="1" s="1"/>
  <c r="BQ145" i="1"/>
  <c r="BR145" i="1" s="1"/>
  <c r="AO163" i="1"/>
  <c r="BO162" i="1"/>
  <c r="BP162" i="1" s="1"/>
  <c r="AU54" i="1"/>
  <c r="BR40" i="1"/>
  <c r="AW172" i="1"/>
  <c r="BU168" i="1"/>
  <c r="BC144" i="1"/>
  <c r="BD144" i="1" s="1"/>
  <c r="BA154" i="1"/>
  <c r="BB154" i="1" s="1"/>
  <c r="BC34" i="1"/>
  <c r="BG162" i="1"/>
  <c r="BH162" i="1" s="1"/>
  <c r="BU136" i="1"/>
  <c r="BK65" i="1"/>
  <c r="BW144" i="1"/>
  <c r="BX144" i="1" s="1"/>
  <c r="AU92" i="1"/>
  <c r="BM156" i="1"/>
  <c r="BN156" i="1" s="1"/>
  <c r="AM70" i="1"/>
  <c r="AI58" i="1"/>
  <c r="AY51" i="1"/>
  <c r="AY213" i="1" s="1"/>
  <c r="BG41" i="1"/>
  <c r="BU174" i="1"/>
  <c r="BV174" i="1" s="1"/>
  <c r="BO169" i="1"/>
  <c r="BP169" i="1" s="1"/>
  <c r="BM64" i="1"/>
  <c r="BM70" i="1"/>
  <c r="BM32" i="1"/>
  <c r="AZ33" i="1"/>
  <c r="BC27" i="1"/>
  <c r="BV42" i="1"/>
  <c r="AI33" i="1"/>
  <c r="AQ28" i="1"/>
  <c r="AS93" i="1"/>
  <c r="BC137" i="1"/>
  <c r="BD137" i="1" s="1"/>
  <c r="BW64" i="1"/>
  <c r="AV32" i="1"/>
  <c r="BF64" i="1"/>
  <c r="AS141" i="1"/>
  <c r="AT141" i="1" s="1"/>
  <c r="BF42" i="1"/>
  <c r="AI42" i="1"/>
  <c r="BW43" i="1"/>
  <c r="BJ92" i="1"/>
  <c r="BG39" i="1"/>
  <c r="BI65" i="1"/>
  <c r="BA33" i="1"/>
  <c r="BP43" i="1"/>
  <c r="BN42" i="1"/>
  <c r="BE51" i="1"/>
  <c r="BE213" i="1" s="1"/>
  <c r="BU41" i="1"/>
  <c r="BP33" i="1"/>
  <c r="AJ93" i="1"/>
  <c r="AN39" i="1"/>
  <c r="BD70" i="1"/>
  <c r="BJ58" i="1"/>
  <c r="BO70" i="1"/>
  <c r="BC51" i="1"/>
  <c r="BC213" i="1" s="1"/>
  <c r="BF34" i="1"/>
  <c r="BQ42" i="1"/>
  <c r="AO70" i="1"/>
  <c r="BA55" i="1"/>
  <c r="BH64" i="1"/>
  <c r="AZ64" i="1"/>
  <c r="BJ54" i="1"/>
  <c r="BQ183" i="1"/>
  <c r="BR183" i="1" s="1"/>
  <c r="AY39" i="1"/>
  <c r="BR39" i="1"/>
  <c r="AO172" i="1"/>
  <c r="BI174" i="1"/>
  <c r="BJ174" i="1" s="1"/>
  <c r="BA138" i="1"/>
  <c r="BB92" i="1"/>
  <c r="BE162" i="1"/>
  <c r="BF162" i="1" s="1"/>
  <c r="BA163" i="1"/>
  <c r="BE137" i="1"/>
  <c r="BF137" i="1" s="1"/>
  <c r="BC183" i="1"/>
  <c r="BD183" i="1" s="1"/>
  <c r="BC168" i="1"/>
  <c r="BD168" i="1" s="1"/>
  <c r="BE183" i="1"/>
  <c r="BF183" i="1" s="1"/>
  <c r="BR41" i="1"/>
  <c r="BA170" i="1"/>
  <c r="BB170" i="1" s="1"/>
  <c r="AP34" i="1"/>
  <c r="BH39" i="1"/>
  <c r="BC182" i="1"/>
  <c r="BD182" i="1" s="1"/>
  <c r="BM55" i="1"/>
  <c r="AP58" i="1"/>
  <c r="BO144" i="1"/>
  <c r="BP144" i="1" s="1"/>
  <c r="AS137" i="1"/>
  <c r="AT137" i="1" s="1"/>
  <c r="AU136" i="1"/>
  <c r="BQ154" i="1"/>
  <c r="BR154" i="1" s="1"/>
  <c r="BA178" i="1"/>
  <c r="BM174" i="1"/>
  <c r="BN174" i="1" s="1"/>
  <c r="AS172" i="1"/>
  <c r="BR70" i="1"/>
  <c r="BV39" i="1"/>
  <c r="AQ64" i="1"/>
  <c r="BW42" i="1"/>
  <c r="AQ171" i="1"/>
  <c r="AR171" i="1" s="1"/>
  <c r="AV28" i="1"/>
  <c r="AI51" i="1"/>
  <c r="AI213" i="1" s="1"/>
  <c r="BD64" i="1"/>
  <c r="AQ169" i="1"/>
  <c r="AR169" i="1" s="1"/>
  <c r="BH55" i="1"/>
  <c r="AS174" i="1"/>
  <c r="AT174" i="1" s="1"/>
  <c r="BK43" i="1"/>
  <c r="AZ65" i="1"/>
  <c r="AS51" i="1"/>
  <c r="AS213" i="1" s="1"/>
  <c r="BC150" i="1"/>
  <c r="BM33" i="1"/>
  <c r="BO40" i="1"/>
  <c r="BB55" i="1"/>
  <c r="AT58" i="1"/>
  <c r="BT32" i="1"/>
  <c r="AQ40" i="1"/>
  <c r="AO165" i="1"/>
  <c r="AP165" i="1" s="1"/>
  <c r="AO146" i="1"/>
  <c r="AP146" i="1" s="1"/>
  <c r="AO162" i="1"/>
  <c r="AP162" i="1" s="1"/>
  <c r="BW166" i="1"/>
  <c r="BX166" i="1" s="1"/>
  <c r="BQ166" i="1"/>
  <c r="BR166" i="1" s="1"/>
  <c r="AQ170" i="1"/>
  <c r="AR170" i="1" s="1"/>
  <c r="BU179" i="1"/>
  <c r="AO150" i="1"/>
  <c r="BA161" i="1"/>
  <c r="BB161" i="1" s="1"/>
  <c r="BC41" i="1"/>
  <c r="BG92" i="1"/>
  <c r="BF55" i="1"/>
  <c r="AS169" i="1"/>
  <c r="AT169" i="1" s="1"/>
  <c r="BD58" i="1"/>
  <c r="BO173" i="1"/>
  <c r="BP173" i="1" s="1"/>
  <c r="BO170" i="1"/>
  <c r="BP170" i="1" s="1"/>
  <c r="BK64" i="1"/>
  <c r="BA162" i="1"/>
  <c r="BB162" i="1" s="1"/>
  <c r="BQ162" i="1"/>
  <c r="BR162" i="1" s="1"/>
  <c r="BH43" i="1"/>
  <c r="BS32" i="1"/>
  <c r="AR33" i="1"/>
  <c r="BB64" i="1"/>
  <c r="AQ145" i="1"/>
  <c r="AR145" i="1" s="1"/>
  <c r="BM168" i="1"/>
  <c r="BN168" i="1" s="1"/>
  <c r="BD92" i="1"/>
  <c r="AI43" i="1"/>
  <c r="BO164" i="1"/>
  <c r="BI58" i="1"/>
  <c r="BT41" i="1"/>
  <c r="AX64" i="1"/>
  <c r="BP42" i="1"/>
  <c r="AW41" i="1"/>
  <c r="AV55" i="1"/>
  <c r="AK92" i="1"/>
  <c r="BP70" i="1"/>
  <c r="BP92" i="1"/>
  <c r="BG143" i="1"/>
  <c r="AX41" i="1"/>
  <c r="AU64" i="1"/>
  <c r="AQ164" i="1"/>
  <c r="AU34" i="1"/>
  <c r="BA27" i="1"/>
  <c r="BA271" i="1" s="1"/>
  <c r="AY32" i="1"/>
  <c r="AN51" i="1"/>
  <c r="AN213" i="1" s="1"/>
  <c r="BS42" i="1"/>
  <c r="BI54" i="1"/>
  <c r="AI92" i="1"/>
  <c r="AS179" i="1"/>
  <c r="AM64" i="1"/>
  <c r="BA51" i="1"/>
  <c r="AI65" i="1"/>
  <c r="BA169" i="1"/>
  <c r="BB169" i="1" s="1"/>
  <c r="AW55" i="1"/>
  <c r="BT51" i="1"/>
  <c r="BQ171" i="1"/>
  <c r="BR171" i="1" s="1"/>
  <c r="BH32" i="1"/>
  <c r="AW179" i="1"/>
  <c r="AO171" i="1"/>
  <c r="AP171" i="1" s="1"/>
  <c r="BW156" i="1"/>
  <c r="BX156" i="1" s="1"/>
  <c r="BQ138" i="1"/>
  <c r="BG183" i="1"/>
  <c r="BH183" i="1" s="1"/>
  <c r="AQ146" i="1"/>
  <c r="AR146" i="1" s="1"/>
  <c r="BI138" i="1"/>
  <c r="AS182" i="1"/>
  <c r="AT182" i="1" s="1"/>
  <c r="BE156" i="1"/>
  <c r="AU93" i="1"/>
  <c r="BC58" i="1"/>
  <c r="BN93" i="1"/>
  <c r="BA159" i="1"/>
  <c r="BB159" i="1" s="1"/>
  <c r="BM150" i="1"/>
  <c r="BU144" i="1"/>
  <c r="BV144" i="1" s="1"/>
  <c r="BM144" i="1"/>
  <c r="BN144" i="1" s="1"/>
  <c r="AO58" i="1"/>
  <c r="AN41" i="1"/>
  <c r="AO51" i="1"/>
  <c r="AV93" i="1"/>
  <c r="BW165" i="1"/>
  <c r="BX165" i="1" s="1"/>
  <c r="BH65" i="1"/>
  <c r="AZ27" i="1"/>
  <c r="AZ250" i="1" s="1"/>
  <c r="BV28" i="1"/>
  <c r="BE179" i="1"/>
  <c r="BU40" i="1"/>
  <c r="AN27" i="1"/>
  <c r="BM178" i="1"/>
  <c r="AZ32" i="1"/>
  <c r="BW32" i="1"/>
  <c r="BE27" i="1"/>
  <c r="AI34" i="1"/>
  <c r="BV54" i="1"/>
  <c r="AX65" i="1"/>
  <c r="BB54" i="1"/>
  <c r="BS28" i="1"/>
  <c r="BQ55" i="1"/>
  <c r="AU178" i="1"/>
  <c r="BR43" i="1"/>
  <c r="BD93" i="1"/>
  <c r="BP51" i="1"/>
  <c r="AI32" i="1"/>
  <c r="BV93" i="1"/>
  <c r="BW34" i="1"/>
  <c r="BS41" i="1"/>
  <c r="BR33" i="1"/>
  <c r="AX58" i="1"/>
  <c r="BW92" i="1"/>
  <c r="AX27" i="1"/>
  <c r="AX250" i="1" s="1"/>
  <c r="AN93" i="1"/>
  <c r="BA70" i="1"/>
  <c r="BU164" i="1"/>
  <c r="BG43" i="1"/>
  <c r="BM173" i="1"/>
  <c r="BN173" i="1" s="1"/>
  <c r="BM163" i="1"/>
  <c r="BG33" i="1"/>
  <c r="BW27" i="1"/>
  <c r="BW250" i="1" s="1"/>
  <c r="BS55" i="1"/>
  <c r="BD51" i="1"/>
  <c r="BD213" i="1" s="1"/>
  <c r="AN54" i="1"/>
  <c r="AV54" i="1"/>
  <c r="AP92" i="1"/>
  <c r="BD43" i="1"/>
  <c r="AP64" i="1"/>
  <c r="BO39" i="1"/>
  <c r="BN40" i="1"/>
  <c r="AO27" i="1"/>
  <c r="BG66" i="1"/>
  <c r="BW66" i="1"/>
  <c r="AY42" i="1"/>
  <c r="AR34" i="1"/>
  <c r="BD54" i="1"/>
  <c r="AT40" i="1"/>
  <c r="BG54" i="1"/>
  <c r="AZ66" i="1"/>
  <c r="BM136" i="1"/>
  <c r="BN136" i="1" s="1"/>
  <c r="BW54" i="1"/>
  <c r="BO27" i="1"/>
  <c r="AT41" i="1"/>
  <c r="AI70" i="1"/>
  <c r="AU32" i="1"/>
  <c r="AZ54" i="1"/>
  <c r="AZ40" i="1"/>
  <c r="BM42" i="1"/>
  <c r="BS27" i="1"/>
  <c r="AP41" i="1"/>
  <c r="AP39" i="1"/>
  <c r="BU137" i="1"/>
  <c r="BV137" i="1" s="1"/>
  <c r="BD55" i="1"/>
  <c r="AU171" i="1"/>
  <c r="AV171" i="1" s="1"/>
  <c r="AN55" i="1"/>
  <c r="AQ183" i="1"/>
  <c r="AR183" i="1" s="1"/>
  <c r="BC64" i="1"/>
  <c r="BP66" i="1"/>
  <c r="AS33" i="1"/>
  <c r="BF65" i="1"/>
  <c r="BA54" i="1"/>
  <c r="AI55" i="1"/>
  <c r="AP28" i="1"/>
  <c r="AO32" i="1"/>
  <c r="AP66" i="1"/>
  <c r="BU162" i="1"/>
  <c r="BV162" i="1" s="1"/>
  <c r="BU145" i="1"/>
  <c r="BV145" i="1" s="1"/>
  <c r="BF70" i="1"/>
  <c r="BW173" i="1"/>
  <c r="BX173" i="1" s="1"/>
  <c r="BE136" i="1"/>
  <c r="BV58" i="1"/>
  <c r="BE93" i="1"/>
  <c r="BE182" i="1"/>
  <c r="BF182" i="1" s="1"/>
  <c r="BQ33" i="1"/>
  <c r="AT43" i="1"/>
  <c r="AZ51" i="1"/>
  <c r="BG55" i="1"/>
  <c r="AU70" i="1"/>
  <c r="AU165" i="1"/>
  <c r="AV165" i="1" s="1"/>
  <c r="BK33" i="1"/>
  <c r="AW65" i="1"/>
  <c r="AI64" i="1"/>
  <c r="AU143" i="1"/>
  <c r="AV143" i="1" s="1"/>
  <c r="AX66" i="1"/>
  <c r="BU55" i="1"/>
  <c r="BW40" i="1"/>
  <c r="AY58" i="1"/>
  <c r="AQ41" i="1"/>
  <c r="BH70" i="1"/>
  <c r="AS159" i="1"/>
  <c r="AT159" i="1" s="1"/>
  <c r="AQ152" i="1"/>
  <c r="AQ174" i="1"/>
  <c r="AR174" i="1" s="1"/>
  <c r="AS152" i="1"/>
  <c r="BM54" i="1"/>
  <c r="BC32" i="1"/>
  <c r="BU42" i="1"/>
  <c r="BA40" i="1"/>
  <c r="AP33" i="1"/>
  <c r="AM65" i="1"/>
  <c r="AR58" i="1"/>
  <c r="AQ42" i="1"/>
  <c r="AX42" i="1"/>
  <c r="AX93" i="1"/>
  <c r="BU70" i="1"/>
  <c r="BE144" i="1"/>
  <c r="BF144" i="1" s="1"/>
  <c r="BU93" i="1"/>
  <c r="AV51" i="1"/>
  <c r="AV213" i="1" s="1"/>
  <c r="BN70" i="1"/>
  <c r="BA41" i="1"/>
  <c r="AN40" i="1"/>
  <c r="BD32" i="1"/>
  <c r="BC42" i="1"/>
  <c r="AZ41" i="1"/>
  <c r="BN28" i="1"/>
  <c r="BA28" i="1"/>
  <c r="BS54" i="1"/>
  <c r="AN66" i="1"/>
  <c r="AV43" i="1"/>
  <c r="BA137" i="1"/>
  <c r="BB137" i="1" s="1"/>
  <c r="BH54" i="1"/>
  <c r="BV66" i="1"/>
  <c r="AY70" i="1"/>
  <c r="BQ54" i="1"/>
  <c r="AS55" i="1"/>
  <c r="BO54" i="1"/>
  <c r="AR42" i="1"/>
  <c r="AQ70" i="1"/>
  <c r="BM40" i="1"/>
  <c r="BF51" i="1"/>
  <c r="BF213" i="1" s="1"/>
  <c r="BV41" i="1"/>
  <c r="BM141" i="1"/>
  <c r="BN141" i="1" s="1"/>
  <c r="AS54" i="1"/>
  <c r="BA146" i="1"/>
  <c r="BB146" i="1" s="1"/>
  <c r="BA144" i="1"/>
  <c r="BB144" i="1" s="1"/>
  <c r="AU173" i="1"/>
  <c r="AV173" i="1" s="1"/>
  <c r="AS163" i="1"/>
  <c r="BM137" i="1"/>
  <c r="BN137" i="1" s="1"/>
  <c r="AX34" i="1"/>
  <c r="AQ39" i="1"/>
  <c r="BA165" i="1"/>
  <c r="BB165" i="1" s="1"/>
  <c r="AS40" i="1"/>
  <c r="AU145" i="1"/>
  <c r="AV145" i="1" s="1"/>
  <c r="BA58" i="1"/>
  <c r="BS43" i="1"/>
  <c r="BA136" i="1"/>
  <c r="AU164" i="1"/>
  <c r="AR41" i="1"/>
  <c r="BT40" i="1"/>
  <c r="AW40" i="1"/>
  <c r="AU162" i="1"/>
  <c r="AV162" i="1" s="1"/>
  <c r="BA152" i="1"/>
  <c r="BA42" i="1"/>
  <c r="BA93" i="1"/>
  <c r="AS143" i="1"/>
  <c r="AT143" i="1" s="1"/>
  <c r="BA164" i="1"/>
  <c r="AU159" i="1"/>
  <c r="AV159" i="1" s="1"/>
  <c r="BT66" i="1"/>
  <c r="AU137" i="1"/>
  <c r="AV137" i="1" s="1"/>
  <c r="AW28" i="1"/>
  <c r="BM154" i="1"/>
  <c r="BN154" i="1" s="1"/>
  <c r="BU146" i="1"/>
  <c r="BV146" i="1" s="1"/>
  <c r="BP58" i="1"/>
  <c r="AP40" i="1"/>
  <c r="AS171" i="1"/>
  <c r="AT171" i="1" s="1"/>
  <c r="BJ70" i="1"/>
  <c r="BB58" i="1"/>
  <c r="BN54" i="1"/>
  <c r="BV55" i="1"/>
  <c r="BW41" i="1"/>
  <c r="BB42" i="1"/>
  <c r="BE145" i="1"/>
  <c r="BF145" i="1" s="1"/>
  <c r="AW33" i="1"/>
  <c r="AS58" i="1"/>
  <c r="BK32" i="1"/>
  <c r="BR54" i="1"/>
  <c r="BA92" i="1"/>
  <c r="BT58" i="1"/>
  <c r="BQ178" i="1"/>
  <c r="BU156" i="1"/>
  <c r="BV156" i="1" s="1"/>
  <c r="AU166" i="1"/>
  <c r="AV166" i="1" s="1"/>
  <c r="BA156" i="1"/>
  <c r="BB156" i="1" s="1"/>
  <c r="BB70" i="1"/>
  <c r="BT70" i="1"/>
  <c r="BA32" i="1"/>
  <c r="BN39" i="1"/>
  <c r="BM161" i="1"/>
  <c r="AU154" i="1"/>
  <c r="AV154" i="1" s="1"/>
  <c r="BU27" i="1"/>
  <c r="BU250" i="1" s="1"/>
  <c r="BD42" i="1"/>
  <c r="AV40" i="1"/>
  <c r="BP39" i="1"/>
  <c r="BU92" i="1"/>
  <c r="AY55" i="1"/>
  <c r="BA141" i="1"/>
  <c r="BB141" i="1" s="1"/>
  <c r="BM143" i="1"/>
  <c r="AO65" i="1"/>
  <c r="AW58" i="1"/>
  <c r="BI42" i="1"/>
  <c r="BB28" i="1"/>
  <c r="BU58" i="1"/>
  <c r="BM165" i="1"/>
  <c r="BN165" i="1" s="1"/>
  <c r="BJ93" i="1"/>
  <c r="AU28" i="1"/>
  <c r="AV33" i="1"/>
  <c r="BI32" i="1"/>
  <c r="BP28" i="1"/>
  <c r="BI55" i="1"/>
  <c r="BC55" i="1"/>
  <c r="AS156" i="1"/>
  <c r="AT156" i="1" s="1"/>
  <c r="BG34" i="1"/>
  <c r="BT33" i="1"/>
  <c r="BG65" i="1"/>
  <c r="BM172" i="1"/>
  <c r="BI28" i="1"/>
  <c r="AY27" i="1"/>
  <c r="BO32" i="1"/>
  <c r="BV70" i="1"/>
  <c r="AW43" i="1"/>
  <c r="BE159" i="1"/>
  <c r="BF159" i="1" s="1"/>
  <c r="BE33" i="1"/>
  <c r="BA174" i="1"/>
  <c r="BB174" i="1" s="1"/>
  <c r="AO39" i="1"/>
  <c r="BA150" i="1"/>
  <c r="BA153" i="1" s="1"/>
  <c r="AS144" i="1"/>
  <c r="AT144" i="1" s="1"/>
  <c r="BA166" i="1"/>
  <c r="BB166" i="1" s="1"/>
  <c r="BA168" i="1"/>
  <c r="BB168" i="1" s="1"/>
  <c r="BO42" i="1"/>
  <c r="BN58" i="1"/>
  <c r="AS165" i="1"/>
  <c r="AT165" i="1" s="1"/>
  <c r="BP93" i="1"/>
  <c r="AP51" i="1"/>
  <c r="AP213" i="1" s="1"/>
  <c r="BE152" i="1"/>
  <c r="BM146" i="1"/>
  <c r="BN146" i="1" s="1"/>
  <c r="BT64" i="1"/>
  <c r="BB43" i="1"/>
  <c r="AU27" i="1"/>
  <c r="BH58" i="1"/>
  <c r="BQ34" i="1"/>
  <c r="BQ39" i="1"/>
  <c r="AQ51" i="1"/>
  <c r="AQ213" i="1" s="1"/>
  <c r="BE54" i="1"/>
  <c r="BG51" i="1"/>
  <c r="BG213" i="1" s="1"/>
  <c r="AP32" i="1"/>
  <c r="AY65" i="1"/>
  <c r="BM66" i="1"/>
  <c r="BB41" i="1"/>
  <c r="BO28" i="1"/>
  <c r="BR65" i="1"/>
  <c r="BU39" i="1"/>
  <c r="AY33" i="1"/>
  <c r="BH66" i="1"/>
  <c r="AP27" i="1"/>
  <c r="AP250" i="1" s="1"/>
  <c r="BO65" i="1"/>
  <c r="AU163" i="1"/>
  <c r="BR51" i="1"/>
  <c r="BK28" i="1"/>
  <c r="BS34" i="1"/>
  <c r="AT70" i="1"/>
  <c r="AN70" i="1"/>
  <c r="BP27" i="1"/>
  <c r="BP250" i="1" s="1"/>
  <c r="AU182" i="1"/>
  <c r="AV182" i="1" s="1"/>
  <c r="BM39" i="1"/>
  <c r="BP32" i="1"/>
  <c r="BN34" i="1"/>
  <c r="BM159" i="1"/>
  <c r="BN159" i="1" s="1"/>
  <c r="AV39" i="1"/>
  <c r="BM65" i="1"/>
  <c r="BR55" i="1"/>
  <c r="BU34" i="1"/>
  <c r="AN32" i="1"/>
  <c r="BE58" i="1"/>
  <c r="BT42" i="1"/>
  <c r="BR28" i="1"/>
  <c r="BQ40" i="1"/>
  <c r="AJ92" i="1"/>
  <c r="AO55" i="1"/>
  <c r="BM93" i="1"/>
  <c r="BQ28" i="1"/>
  <c r="BM28" i="1"/>
  <c r="BI34" i="1"/>
  <c r="BE42" i="1"/>
  <c r="AI39" i="1"/>
  <c r="BN27" i="1"/>
  <c r="BN250" i="1" s="1"/>
  <c r="AR39" i="1"/>
  <c r="BD34" i="1"/>
  <c r="BF58" i="1"/>
  <c r="BV34" i="1"/>
  <c r="AS66" i="1"/>
  <c r="AS34" i="1"/>
  <c r="BM27" i="1"/>
  <c r="BS64" i="1"/>
  <c r="BR34" i="1"/>
  <c r="BU32" i="1"/>
  <c r="BV92" i="1"/>
  <c r="AW39" i="1"/>
  <c r="AT55" i="1"/>
  <c r="AQ32" i="1"/>
  <c r="BU54" i="1"/>
  <c r="BP64" i="1"/>
  <c r="BR27" i="1"/>
  <c r="BR250" i="1" s="1"/>
  <c r="AP54" i="1"/>
  <c r="BU43" i="1"/>
  <c r="AV42" i="1"/>
  <c r="AT39" i="1"/>
  <c r="AP42" i="1"/>
  <c r="AT32" i="1"/>
  <c r="AV58" i="1"/>
  <c r="BR32" i="1"/>
  <c r="BF32" i="1"/>
  <c r="AS168" i="1"/>
  <c r="AU161" i="1"/>
  <c r="AS70" i="1"/>
  <c r="AI28" i="1"/>
  <c r="BE40" i="1"/>
  <c r="BO66" i="1"/>
  <c r="BO41" i="1"/>
  <c r="BB33" i="1"/>
  <c r="BK58" i="1"/>
  <c r="BB32" i="1"/>
  <c r="AP55" i="1"/>
  <c r="AQ58" i="1"/>
  <c r="AS92" i="1"/>
  <c r="BU143" i="1"/>
  <c r="BV143" i="1" s="1"/>
  <c r="BC54" i="1"/>
  <c r="BO64" i="1"/>
  <c r="AZ43" i="1"/>
  <c r="AU168" i="1"/>
  <c r="AV168" i="1" s="1"/>
  <c r="BD41" i="1"/>
  <c r="BT39" i="1"/>
  <c r="AT66" i="1"/>
  <c r="BO43" i="1"/>
  <c r="BF40" i="1"/>
  <c r="BO55" i="1"/>
  <c r="AW32" i="1"/>
  <c r="BN55" i="1"/>
  <c r="BC66" i="1"/>
  <c r="AT64" i="1"/>
  <c r="BW65" i="1"/>
  <c r="BT54" i="1"/>
  <c r="BM51" i="1"/>
  <c r="BM213" i="1" s="1"/>
  <c r="BK51" i="1"/>
  <c r="AU183" i="1"/>
  <c r="AV183" i="1" s="1"/>
  <c r="BH28" i="1"/>
  <c r="BK70" i="1"/>
  <c r="AV66" i="1"/>
  <c r="BK39" i="1"/>
  <c r="BU28" i="1"/>
  <c r="AR54" i="1"/>
  <c r="AN33" i="1"/>
  <c r="AW42" i="1"/>
  <c r="AY41" i="1"/>
  <c r="AN34" i="1"/>
  <c r="AM93" i="1"/>
  <c r="AV65" i="1"/>
  <c r="BO58" i="1"/>
  <c r="AW51" i="1"/>
  <c r="AW213" i="1" s="1"/>
  <c r="BJ55" i="1"/>
  <c r="BJ271" i="1" s="1"/>
  <c r="BW51" i="1"/>
  <c r="BW213" i="1" s="1"/>
  <c r="BK34" i="1"/>
  <c r="BD66" i="1"/>
  <c r="BK27" i="1"/>
  <c r="AI54" i="1"/>
  <c r="AS65" i="1"/>
  <c r="BR64" i="1"/>
  <c r="AQ54" i="1"/>
  <c r="BK66" i="1"/>
  <c r="AX70" i="1"/>
  <c r="BI40" i="1"/>
  <c r="AU66" i="1"/>
  <c r="AR70" i="1"/>
  <c r="BG27" i="1"/>
  <c r="AS32" i="1"/>
  <c r="BK40" i="1"/>
  <c r="BP55" i="1"/>
  <c r="BC43" i="1"/>
  <c r="BT55" i="1"/>
  <c r="AN58" i="1"/>
  <c r="BP54" i="1"/>
  <c r="AY54" i="1"/>
  <c r="AX55" i="1"/>
  <c r="AY28" i="1"/>
  <c r="AY34" i="1"/>
  <c r="BE64" i="1"/>
  <c r="BE34" i="1"/>
  <c r="BI64" i="1"/>
  <c r="BC28" i="1"/>
  <c r="AU179" i="1"/>
  <c r="BT65" i="1"/>
  <c r="BB27" i="1"/>
  <c r="AX39" i="1"/>
  <c r="BV27" i="1"/>
  <c r="BV250" i="1" s="1"/>
  <c r="AU43" i="1"/>
  <c r="AT27" i="1"/>
  <c r="AT250" i="1" s="1"/>
  <c r="AV34" i="1"/>
  <c r="BP34" i="1"/>
  <c r="AT34" i="1"/>
  <c r="BF66" i="1"/>
  <c r="AQ43" i="1"/>
  <c r="BJ28" i="1"/>
  <c r="BJ29" i="1" s="1"/>
  <c r="BJ46" i="1" s="1"/>
  <c r="BQ64" i="1"/>
  <c r="BT28" i="1"/>
  <c r="BQ27" i="1"/>
  <c r="BQ250" i="1" s="1"/>
  <c r="BV51" i="1"/>
  <c r="BV213" i="1" s="1"/>
  <c r="AU42" i="1"/>
  <c r="AZ39" i="1"/>
  <c r="BG42" i="1"/>
  <c r="BI43" i="1"/>
  <c r="BN51" i="1"/>
  <c r="BN41" i="1"/>
  <c r="AU169" i="1"/>
  <c r="AV169" i="1" s="1"/>
  <c r="AV64" i="1"/>
  <c r="BH33" i="1"/>
  <c r="BU33" i="1"/>
  <c r="BH93" i="1"/>
  <c r="AO41" i="1"/>
  <c r="AT51" i="1"/>
  <c r="AT213" i="1" s="1"/>
  <c r="BU66" i="1"/>
  <c r="BP41" i="1"/>
  <c r="BW70" i="1"/>
  <c r="AI40" i="1"/>
  <c r="BC70" i="1"/>
  <c r="AY40" i="1"/>
  <c r="BR42" i="1"/>
  <c r="BB34" i="1"/>
  <c r="BM43" i="1"/>
  <c r="AX40" i="1"/>
  <c r="AO33" i="1"/>
  <c r="AT65" i="1"/>
  <c r="AW27" i="1"/>
  <c r="BE55" i="1"/>
  <c r="BJ51" i="1"/>
  <c r="BD28" i="1"/>
  <c r="BG32" i="1"/>
  <c r="BE28" i="1"/>
  <c r="AP70" i="1"/>
  <c r="AO34" i="1"/>
  <c r="BB65" i="1"/>
  <c r="BG58" i="1"/>
  <c r="AX51" i="1"/>
  <c r="AX213" i="1" s="1"/>
  <c r="AS161" i="1"/>
  <c r="AT161" i="1" s="1"/>
  <c r="BE70" i="1"/>
  <c r="AT28" i="1"/>
  <c r="BF33" i="1"/>
  <c r="BU65" i="1"/>
  <c r="AN43" i="1"/>
  <c r="AN64" i="1"/>
  <c r="AY43" i="1"/>
  <c r="AO66" i="1"/>
  <c r="AZ28" i="1"/>
  <c r="BA43" i="1"/>
  <c r="AZ55" i="1"/>
  <c r="AO40" i="1"/>
  <c r="AZ34" i="1"/>
  <c r="AR27" i="1"/>
  <c r="BQ66" i="1"/>
  <c r="BQ43" i="1"/>
  <c r="AI27" i="1"/>
  <c r="AX43" i="1"/>
  <c r="AW54" i="1"/>
  <c r="BU51" i="1"/>
  <c r="BU213" i="1" s="1"/>
  <c r="BA34" i="1"/>
  <c r="BV33" i="1"/>
  <c r="BQ32" i="1"/>
  <c r="BF41" i="1"/>
  <c r="BM152" i="1"/>
  <c r="AT42" i="1"/>
  <c r="AR55" i="1"/>
  <c r="AR271" i="1" s="1"/>
  <c r="BQ58" i="1"/>
  <c r="BA39" i="1"/>
  <c r="BD27" i="1"/>
  <c r="BD250" i="1" s="1"/>
  <c r="BQ41" i="1"/>
  <c r="AS41" i="1"/>
  <c r="AU51" i="1"/>
  <c r="AU213" i="1" s="1"/>
  <c r="AU33" i="1"/>
  <c r="AQ55" i="1"/>
  <c r="AR66" i="1"/>
  <c r="BA182" i="1"/>
  <c r="BB182" i="1" s="1"/>
  <c r="AQ27" i="1"/>
  <c r="AX33" i="1"/>
  <c r="BS40" i="1"/>
  <c r="AP65" i="1"/>
  <c r="BD65" i="1"/>
  <c r="BV40" i="1"/>
  <c r="BN65" i="1"/>
  <c r="BN32" i="1"/>
  <c r="AN42" i="1"/>
  <c r="BV32" i="1"/>
  <c r="BW55" i="1"/>
  <c r="BU64" i="1"/>
  <c r="AW34" i="1"/>
  <c r="AS178" i="1"/>
  <c r="BT34" i="1"/>
  <c r="AS136" i="1"/>
  <c r="BS51" i="1"/>
  <c r="BS213" i="1" s="1"/>
  <c r="BK55" i="1"/>
  <c r="AR40" i="1"/>
  <c r="AW64" i="1"/>
  <c r="BS39" i="1"/>
  <c r="AX54" i="1"/>
  <c r="AR28" i="1"/>
  <c r="BF28" i="1"/>
  <c r="AI66" i="1"/>
  <c r="AU40" i="1"/>
  <c r="AU58" i="1"/>
  <c r="AV70" i="1"/>
  <c r="AS28" i="1"/>
  <c r="BE41" i="1"/>
  <c r="BG70" i="1"/>
  <c r="BH34" i="1"/>
  <c r="BO51" i="1"/>
  <c r="BO213" i="1" s="1"/>
  <c r="BI39" i="1"/>
  <c r="AI41" i="1"/>
  <c r="BT27" i="1"/>
  <c r="BT250" i="1" s="1"/>
  <c r="AX32" i="1"/>
  <c r="BC39" i="1"/>
  <c r="AP93" i="1"/>
  <c r="BE66" i="1"/>
  <c r="AU65" i="1"/>
  <c r="AS64" i="1"/>
  <c r="BE65" i="1"/>
  <c r="BS66" i="1"/>
  <c r="BG64" i="1"/>
  <c r="BE39" i="1"/>
  <c r="BV65" i="1"/>
  <c r="BE32" i="1"/>
  <c r="AR51" i="1"/>
  <c r="AR213" i="1" s="1"/>
  <c r="AZ70" i="1"/>
  <c r="BM58" i="1"/>
  <c r="BV64" i="1"/>
  <c r="BA65" i="1"/>
  <c r="AO54" i="1"/>
  <c r="AR43" i="1"/>
  <c r="BN43" i="1"/>
  <c r="BW28" i="1"/>
  <c r="BI33" i="1"/>
  <c r="BA64" i="1"/>
  <c r="BH41" i="1"/>
  <c r="AQ33" i="1"/>
  <c r="BW58" i="1"/>
  <c r="AS43" i="1"/>
  <c r="AZ42" i="1"/>
  <c r="AM66" i="1"/>
  <c r="BI51" i="1"/>
  <c r="BI213" i="1" s="1"/>
  <c r="AN28" i="1"/>
  <c r="BI41" i="1"/>
  <c r="BR66" i="1"/>
  <c r="BN66" i="1"/>
  <c r="AX28" i="1"/>
  <c r="BG40" i="1"/>
  <c r="BE43" i="1"/>
  <c r="BB66" i="1"/>
  <c r="AY66" i="1"/>
  <c r="BD33" i="1"/>
  <c r="AV41" i="1"/>
  <c r="AU55" i="1"/>
  <c r="BB39" i="1"/>
  <c r="BS33" i="1"/>
  <c r="BH92" i="1"/>
  <c r="BW39" i="1"/>
  <c r="AU172" i="1"/>
  <c r="BA183" i="1"/>
  <c r="BB183" i="1" s="1"/>
  <c r="BN64" i="1"/>
  <c r="BD40" i="1"/>
  <c r="BG28" i="1"/>
  <c r="BH27" i="1"/>
  <c r="BH250" i="1" s="1"/>
  <c r="AO43" i="1"/>
  <c r="AW66" i="1"/>
  <c r="AU41" i="1"/>
  <c r="BS58" i="1"/>
  <c r="BO34" i="1"/>
  <c r="BW33" i="1"/>
  <c r="AV27" i="1"/>
  <c r="AV250" i="1" s="1"/>
  <c r="AR64" i="1"/>
  <c r="BP65" i="1"/>
  <c r="BI70" i="1"/>
  <c r="BQ65" i="1"/>
  <c r="BC33" i="1"/>
  <c r="BO33" i="1"/>
  <c r="BJ66" i="1"/>
  <c r="BI66" i="1"/>
  <c r="BD39" i="1"/>
  <c r="BB40" i="1"/>
  <c r="BH40" i="1"/>
  <c r="BU141" i="1"/>
  <c r="BV141" i="1" s="1"/>
  <c r="AP43" i="1"/>
  <c r="AR32" i="1"/>
  <c r="BV43" i="1"/>
  <c r="BB51" i="1"/>
  <c r="BB213" i="1" s="1"/>
  <c r="AU39" i="1"/>
  <c r="AO28" i="1"/>
  <c r="BK54" i="1"/>
  <c r="AQ66" i="1"/>
  <c r="BJ65" i="1"/>
  <c r="BH42" i="1"/>
  <c r="AS39" i="1"/>
  <c r="BF43" i="1"/>
  <c r="AR65" i="1"/>
  <c r="AO42" i="1"/>
  <c r="BK41" i="1"/>
  <c r="AS27" i="1"/>
  <c r="BP40" i="1"/>
  <c r="AO64" i="1"/>
  <c r="AN65" i="1"/>
  <c r="BK42" i="1"/>
  <c r="BQ70" i="1"/>
  <c r="AQ65" i="1"/>
  <c r="AT54" i="1"/>
  <c r="AS42" i="1"/>
  <c r="AM92" i="1"/>
  <c r="AK93" i="1"/>
  <c r="BM41" i="1"/>
  <c r="BM34" i="1"/>
  <c r="BF27" i="1"/>
  <c r="BR58" i="1"/>
  <c r="BJ64" i="1"/>
  <c r="BC40" i="1"/>
  <c r="BA66" i="1"/>
  <c r="BT43" i="1"/>
  <c r="G221" i="1"/>
  <c r="F52" i="1"/>
  <c r="F157" i="1"/>
  <c r="F263" i="1" s="1"/>
  <c r="G194" i="1"/>
  <c r="S268" i="1"/>
  <c r="S270" i="1" s="1"/>
  <c r="I176" i="1"/>
  <c r="N194" i="1"/>
  <c r="M52" i="1"/>
  <c r="M157" i="1"/>
  <c r="I157" i="1"/>
  <c r="I52" i="1"/>
  <c r="H216" i="1"/>
  <c r="U157" i="1"/>
  <c r="J52" i="1"/>
  <c r="N268" i="1"/>
  <c r="N270" i="1" s="1"/>
  <c r="N267" i="1"/>
  <c r="CQ84" i="1"/>
  <c r="CR82" i="1"/>
  <c r="CO268" i="1"/>
  <c r="CO225" i="1"/>
  <c r="CQ198" i="1"/>
  <c r="CO200" i="1"/>
  <c r="CN201" i="1"/>
  <c r="CR159" i="1"/>
  <c r="CR221" i="1" s="1"/>
  <c r="CQ143" i="1"/>
  <c r="CP147" i="1"/>
  <c r="CB82" i="1"/>
  <c r="N148" i="1"/>
  <c r="N74" i="1" s="1"/>
  <c r="BM170" i="1"/>
  <c r="AQ172" i="1"/>
  <c r="V157" i="1"/>
  <c r="BQ170" i="1"/>
  <c r="BR170" i="1" s="1"/>
  <c r="N225" i="1"/>
  <c r="M225" i="1"/>
  <c r="D157" i="1"/>
  <c r="D222" i="1" s="1"/>
  <c r="D220" i="1" s="1"/>
  <c r="L157" i="1"/>
  <c r="U148" i="1"/>
  <c r="U74" i="1" s="1"/>
  <c r="W157" i="1"/>
  <c r="X222" i="1" s="1"/>
  <c r="X220" i="1" s="1"/>
  <c r="B157" i="1"/>
  <c r="C222" i="1" s="1"/>
  <c r="C220" i="1" s="1"/>
  <c r="U56" i="1"/>
  <c r="D267" i="1"/>
  <c r="O267" i="1"/>
  <c r="P194" i="1"/>
  <c r="O194" i="1"/>
  <c r="G267" i="1"/>
  <c r="B187" i="1"/>
  <c r="B128" i="1" s="1"/>
  <c r="B129" i="1" s="1"/>
  <c r="B132" i="1" s="1"/>
  <c r="C267" i="1"/>
  <c r="D225" i="1"/>
  <c r="E148" i="1"/>
  <c r="E74" i="1" s="1"/>
  <c r="F267" i="1"/>
  <c r="G148" i="1"/>
  <c r="G74" i="1" s="1"/>
  <c r="G187" i="1"/>
  <c r="G128" i="1" s="1"/>
  <c r="P148" i="1"/>
  <c r="P74" i="1" s="1"/>
  <c r="R157" i="1"/>
  <c r="R265" i="1" s="1"/>
  <c r="M267" i="1"/>
  <c r="J148" i="1"/>
  <c r="J74" i="1" s="1"/>
  <c r="D187" i="1"/>
  <c r="D128" i="1" s="1"/>
  <c r="P225" i="1"/>
  <c r="J194" i="1"/>
  <c r="R148" i="1"/>
  <c r="R74" i="1" s="1"/>
  <c r="L215" i="1"/>
  <c r="J267" i="1"/>
  <c r="K268" i="1"/>
  <c r="K270" i="1" s="1"/>
  <c r="M148" i="1"/>
  <c r="M74" i="1" s="1"/>
  <c r="D194" i="1"/>
  <c r="L194" i="1"/>
  <c r="P56" i="1"/>
  <c r="P268" i="1"/>
  <c r="P270" i="1" s="1"/>
  <c r="D148" i="1"/>
  <c r="D74" i="1" s="1"/>
  <c r="J187" i="1"/>
  <c r="J128" i="1" s="1"/>
  <c r="O268" i="1"/>
  <c r="O270" i="1" s="1"/>
  <c r="N52" i="1"/>
  <c r="S216" i="1"/>
  <c r="R267" i="1"/>
  <c r="M187" i="1"/>
  <c r="M128" i="1" s="1"/>
  <c r="V225" i="1"/>
  <c r="U267" i="1"/>
  <c r="C127" i="1"/>
  <c r="K215" i="1"/>
  <c r="C52" i="1"/>
  <c r="D228" i="1"/>
  <c r="J215" i="1"/>
  <c r="O56" i="1"/>
  <c r="U187" i="1"/>
  <c r="U128" i="1" s="1"/>
  <c r="G56" i="1"/>
  <c r="O228" i="1"/>
  <c r="N265" i="1"/>
  <c r="O148" i="1"/>
  <c r="O74" i="1" s="1"/>
  <c r="K176" i="1"/>
  <c r="J176" i="1"/>
  <c r="J184" i="1" s="1"/>
  <c r="O187" i="1"/>
  <c r="O128" i="1" s="1"/>
  <c r="U194" i="1"/>
  <c r="B73" i="1"/>
  <c r="N263" i="1"/>
  <c r="N187" i="1"/>
  <c r="N128" i="1" s="1"/>
  <c r="R187" i="1"/>
  <c r="R128" i="1" s="1"/>
  <c r="C225" i="1"/>
  <c r="C187" i="1"/>
  <c r="C128" i="1" s="1"/>
  <c r="C129" i="1" s="1"/>
  <c r="C132" i="1" s="1"/>
  <c r="B56" i="1"/>
  <c r="P228" i="1"/>
  <c r="S267" i="1"/>
  <c r="W268" i="1"/>
  <c r="W270" i="1" s="1"/>
  <c r="AN225" i="1"/>
  <c r="R204" i="1"/>
  <c r="R203" i="1" s="1"/>
  <c r="O52" i="1"/>
  <c r="R176" i="1"/>
  <c r="H268" i="1"/>
  <c r="H270" i="1" s="1"/>
  <c r="O225" i="1"/>
  <c r="H225" i="1"/>
  <c r="H187" i="1"/>
  <c r="H128" i="1" s="1"/>
  <c r="P52" i="1"/>
  <c r="H148" i="1"/>
  <c r="H74" i="1" s="1"/>
  <c r="G205" i="1"/>
  <c r="N176" i="1"/>
  <c r="N184" i="1" s="1"/>
  <c r="J268" i="1"/>
  <c r="J270" i="1" s="1"/>
  <c r="H56" i="1"/>
  <c r="T194" i="1"/>
  <c r="G176" i="1"/>
  <c r="F176" i="1"/>
  <c r="H215" i="1"/>
  <c r="U268" i="1"/>
  <c r="U270" i="1" s="1"/>
  <c r="G215" i="1"/>
  <c r="U215" i="1"/>
  <c r="F215" i="1"/>
  <c r="O216" i="1"/>
  <c r="D216" i="1"/>
  <c r="U176" i="1"/>
  <c r="C205" i="1"/>
  <c r="C176" i="1"/>
  <c r="C184" i="1" s="1"/>
  <c r="H204" i="1"/>
  <c r="H203" i="1" s="1"/>
  <c r="T187" i="1"/>
  <c r="T128" i="1" s="1"/>
  <c r="E215" i="1"/>
  <c r="E225" i="1"/>
  <c r="I187" i="1"/>
  <c r="I128" i="1" s="1"/>
  <c r="H267" i="1"/>
  <c r="L176" i="1"/>
  <c r="C148" i="1"/>
  <c r="C74" i="1" s="1"/>
  <c r="E157" i="1"/>
  <c r="U205" i="1"/>
  <c r="T52" i="1"/>
  <c r="B148" i="1"/>
  <c r="B74" i="1" s="1"/>
  <c r="I216" i="1"/>
  <c r="B267" i="1"/>
  <c r="M176" i="1"/>
  <c r="T176" i="1"/>
  <c r="T184" i="1" s="1"/>
  <c r="N216" i="1"/>
  <c r="T205" i="1"/>
  <c r="E176" i="1"/>
  <c r="M216" i="1"/>
  <c r="AN221" i="1"/>
  <c r="B88" i="1"/>
  <c r="B104" i="1" s="1"/>
  <c r="Q267" i="1"/>
  <c r="V216" i="1"/>
  <c r="T216" i="1"/>
  <c r="U216" i="1"/>
  <c r="P216" i="1"/>
  <c r="S157" i="1"/>
  <c r="S265" i="1" s="1"/>
  <c r="V176" i="1"/>
  <c r="C268" i="1"/>
  <c r="C270" i="1" s="1"/>
  <c r="G157" i="1"/>
  <c r="G52" i="1"/>
  <c r="D268" i="1"/>
  <c r="D270" i="1" s="1"/>
  <c r="AN268" i="1"/>
  <c r="S225" i="1"/>
  <c r="V215" i="1"/>
  <c r="T215" i="1"/>
  <c r="F187" i="1"/>
  <c r="F128" i="1" s="1"/>
  <c r="F268" i="1"/>
  <c r="F270" i="1" s="1"/>
  <c r="I215" i="1"/>
  <c r="G225" i="1"/>
  <c r="T225" i="1"/>
  <c r="V201" i="1"/>
  <c r="V205" i="1" s="1"/>
  <c r="V268" i="1"/>
  <c r="V270" i="1" s="1"/>
  <c r="G268" i="1"/>
  <c r="G270" i="1" s="1"/>
  <c r="V187" i="1"/>
  <c r="V128" i="1" s="1"/>
  <c r="F148" i="1"/>
  <c r="F74" i="1" s="1"/>
  <c r="Q187" i="1"/>
  <c r="Q128" i="1" s="1"/>
  <c r="S148" i="1"/>
  <c r="S74" i="1" s="1"/>
  <c r="R215" i="1"/>
  <c r="Q215" i="1"/>
  <c r="S187" i="1"/>
  <c r="S128" i="1" s="1"/>
  <c r="D215" i="1"/>
  <c r="D126" i="1"/>
  <c r="T268" i="1"/>
  <c r="T270" i="1" s="1"/>
  <c r="S56" i="1"/>
  <c r="I56" i="1"/>
  <c r="D127" i="1"/>
  <c r="H201" i="1"/>
  <c r="H200" i="1" s="1"/>
  <c r="L148" i="1"/>
  <c r="L74" i="1" s="1"/>
  <c r="D176" i="1"/>
  <c r="E216" i="1"/>
  <c r="O215" i="1"/>
  <c r="P215" i="1"/>
  <c r="E205" i="1"/>
  <c r="K157" i="1"/>
  <c r="J204" i="1"/>
  <c r="J203" i="1" s="1"/>
  <c r="V267" i="1"/>
  <c r="T267" i="1"/>
  <c r="J265" i="1"/>
  <c r="Q194" i="1"/>
  <c r="I225" i="1"/>
  <c r="J225" i="1"/>
  <c r="R216" i="1"/>
  <c r="Q205" i="1"/>
  <c r="N215" i="1"/>
  <c r="O265" i="1"/>
  <c r="H176" i="1"/>
  <c r="I148" i="1"/>
  <c r="I74" i="1" s="1"/>
  <c r="I268" i="1"/>
  <c r="I270" i="1" s="1"/>
  <c r="Q268" i="1"/>
  <c r="Q270" i="1" s="1"/>
  <c r="T148" i="1"/>
  <c r="T74" i="1" s="1"/>
  <c r="O176" i="1"/>
  <c r="O184" i="1" s="1"/>
  <c r="Q176" i="1"/>
  <c r="R268" i="1"/>
  <c r="R270" i="1" s="1"/>
  <c r="P205" i="1"/>
  <c r="Q216" i="1"/>
  <c r="I204" i="1"/>
  <c r="I203" i="1" s="1"/>
  <c r="Q225" i="1"/>
  <c r="U225" i="1"/>
  <c r="M215" i="1"/>
  <c r="S215" i="1"/>
  <c r="P176" i="1"/>
  <c r="P184" i="1" s="1"/>
  <c r="S176" i="1"/>
  <c r="J216" i="1"/>
  <c r="C216" i="1"/>
  <c r="K216" i="1"/>
  <c r="J263" i="1"/>
  <c r="H52" i="1"/>
  <c r="H157" i="1"/>
  <c r="E56" i="1"/>
  <c r="E187" i="1"/>
  <c r="E128" i="1" s="1"/>
  <c r="F225" i="1"/>
  <c r="T265" i="1"/>
  <c r="I267" i="1"/>
  <c r="I194" i="1"/>
  <c r="K187" i="1"/>
  <c r="K128" i="1" s="1"/>
  <c r="K56" i="1"/>
  <c r="K148" i="1"/>
  <c r="K225" i="1"/>
  <c r="B201" i="1"/>
  <c r="C215" i="1"/>
  <c r="B176" i="1"/>
  <c r="F204" i="1"/>
  <c r="G216" i="1"/>
  <c r="S200" i="1"/>
  <c r="S205" i="1"/>
  <c r="M205" i="1"/>
  <c r="K204" i="1"/>
  <c r="L216" i="1"/>
  <c r="Q56" i="1"/>
  <c r="Q148" i="1"/>
  <c r="Q74" i="1" s="1"/>
  <c r="R225" i="1"/>
  <c r="L268" i="1"/>
  <c r="L270" i="1" s="1"/>
  <c r="L56" i="1"/>
  <c r="L187" i="1"/>
  <c r="L128" i="1" s="1"/>
  <c r="L225" i="1"/>
  <c r="M268" i="1"/>
  <c r="M270" i="1" s="1"/>
  <c r="L228" i="1"/>
  <c r="K267" i="1"/>
  <c r="F216" i="1"/>
  <c r="P263" i="1"/>
  <c r="V194" i="1"/>
  <c r="V148" i="1"/>
  <c r="Q52" i="1"/>
  <c r="Q157" i="1"/>
  <c r="K194" i="1"/>
  <c r="W56" i="1"/>
  <c r="X268" i="1"/>
  <c r="X270" i="1" s="1"/>
  <c r="X225" i="1"/>
  <c r="W225" i="1"/>
  <c r="L267" i="1"/>
  <c r="P265" i="1"/>
  <c r="T263" i="1"/>
  <c r="O263" i="1"/>
  <c r="N205" i="1"/>
  <c r="O200" i="1"/>
  <c r="O205" i="1"/>
  <c r="L200" i="1"/>
  <c r="L205" i="1"/>
  <c r="D200" i="1"/>
  <c r="D205" i="1"/>
  <c r="J200" i="1"/>
  <c r="O222" i="1"/>
  <c r="O220" i="1" s="1"/>
  <c r="P222" i="1"/>
  <c r="P220" i="1" s="1"/>
  <c r="AL67" i="3"/>
  <c r="Q56" i="3"/>
  <c r="V97" i="3"/>
  <c r="AJ82" i="3"/>
  <c r="N48" i="3"/>
  <c r="Y65" i="3"/>
  <c r="H97" i="3"/>
  <c r="AC55" i="3"/>
  <c r="AE63" i="3"/>
  <c r="KC19" i="4" l="1"/>
  <c r="KD8" i="4"/>
  <c r="CL179" i="1"/>
  <c r="CL180" i="1" s="1"/>
  <c r="BO156" i="1"/>
  <c r="BP156" i="1" s="1"/>
  <c r="BK166" i="1"/>
  <c r="BL166" i="1" s="1"/>
  <c r="BK165" i="1"/>
  <c r="BL165" i="1" s="1"/>
  <c r="BK182" i="1"/>
  <c r="BL182" i="1" s="1"/>
  <c r="BK145" i="1"/>
  <c r="BL145" i="1" s="1"/>
  <c r="BK173" i="1"/>
  <c r="BL173" i="1" s="1"/>
  <c r="BK138" i="1"/>
  <c r="BL138" i="1" s="1"/>
  <c r="BK170" i="1"/>
  <c r="BL170" i="1" s="1"/>
  <c r="BK136" i="1"/>
  <c r="BS165" i="1"/>
  <c r="BT165" i="1" s="1"/>
  <c r="BK178" i="1"/>
  <c r="AY159" i="1"/>
  <c r="AZ159" i="1" s="1"/>
  <c r="BK141" i="1"/>
  <c r="BL141" i="1" s="1"/>
  <c r="BK169" i="1"/>
  <c r="BL169" i="1" s="1"/>
  <c r="BK161" i="1"/>
  <c r="BL161" i="1" s="1"/>
  <c r="AQ180" i="1"/>
  <c r="BK137" i="1"/>
  <c r="BL137" i="1" s="1"/>
  <c r="BG161" i="1"/>
  <c r="BH161" i="1" s="1"/>
  <c r="BK152" i="1"/>
  <c r="BN92" i="1"/>
  <c r="AO166" i="1"/>
  <c r="AP166" i="1" s="1"/>
  <c r="BK93" i="1"/>
  <c r="BE272" i="1"/>
  <c r="BK159" i="1"/>
  <c r="BK92" i="1"/>
  <c r="BK163" i="1"/>
  <c r="BK179" i="1"/>
  <c r="BK164" i="1"/>
  <c r="BK171" i="1"/>
  <c r="BL171" i="1" s="1"/>
  <c r="BK174" i="1"/>
  <c r="BL174" i="1" s="1"/>
  <c r="BK168" i="1"/>
  <c r="BL168" i="1" s="1"/>
  <c r="BK154" i="1"/>
  <c r="BL154" i="1" s="1"/>
  <c r="BK156" i="1"/>
  <c r="BL156" i="1" s="1"/>
  <c r="BK146" i="1"/>
  <c r="BL146" i="1" s="1"/>
  <c r="BK172" i="1"/>
  <c r="BK143" i="1"/>
  <c r="BL143" i="1" s="1"/>
  <c r="BK150" i="1"/>
  <c r="BK183" i="1"/>
  <c r="BL183" i="1" s="1"/>
  <c r="BK162" i="1"/>
  <c r="BL162" i="1" s="1"/>
  <c r="G226" i="1"/>
  <c r="AU198" i="1"/>
  <c r="CM10" i="1"/>
  <c r="CM9" i="1"/>
  <c r="BF136" i="1"/>
  <c r="BS250" i="1"/>
  <c r="BI29" i="1"/>
  <c r="BI271" i="1"/>
  <c r="BJ136" i="1"/>
  <c r="S253" i="1"/>
  <c r="S67" i="1"/>
  <c r="S226" i="1" s="1"/>
  <c r="S61" i="1"/>
  <c r="S264" i="1" s="1"/>
  <c r="T62" i="1"/>
  <c r="G73" i="1"/>
  <c r="R73" i="1"/>
  <c r="P226" i="1"/>
  <c r="P73" i="1"/>
  <c r="BH168" i="1"/>
  <c r="AP168" i="1"/>
  <c r="BT143" i="1"/>
  <c r="AZ136" i="1"/>
  <c r="BX161" i="1"/>
  <c r="BR143" i="1"/>
  <c r="BS199" i="1"/>
  <c r="BI250" i="1"/>
  <c r="CN7" i="1"/>
  <c r="AV161" i="1"/>
  <c r="AT168" i="1"/>
  <c r="AW29" i="1"/>
  <c r="BM250" i="1"/>
  <c r="AR250" i="1"/>
  <c r="AO153" i="1"/>
  <c r="AW180" i="1"/>
  <c r="BC221" i="1"/>
  <c r="AQ153" i="1"/>
  <c r="BK221" i="1"/>
  <c r="AO272" i="1"/>
  <c r="BK271" i="1"/>
  <c r="AR29" i="1"/>
  <c r="R226" i="1"/>
  <c r="AL71" i="1"/>
  <c r="AL138" i="1"/>
  <c r="AL139" i="1" s="1"/>
  <c r="AL212" i="1"/>
  <c r="AL214" i="1" s="1"/>
  <c r="BS153" i="1"/>
  <c r="BA139" i="1"/>
  <c r="BQ180" i="1"/>
  <c r="AY272" i="1"/>
  <c r="BS45" i="1"/>
  <c r="AZ271" i="1"/>
  <c r="BW271" i="1"/>
  <c r="AN29" i="1"/>
  <c r="AU271" i="1"/>
  <c r="AU202" i="1"/>
  <c r="BE221" i="1"/>
  <c r="BH143" i="1"/>
  <c r="AZ168" i="1"/>
  <c r="BN161" i="1"/>
  <c r="BT136" i="1"/>
  <c r="AX161" i="1"/>
  <c r="AR143" i="1"/>
  <c r="BJ161" i="1"/>
  <c r="BQ153" i="1"/>
  <c r="AZ161" i="1"/>
  <c r="BF143" i="1"/>
  <c r="AR136" i="1"/>
  <c r="AZ143" i="1"/>
  <c r="BV136" i="1"/>
  <c r="AT136" i="1"/>
  <c r="BR136" i="1"/>
  <c r="BV168" i="1"/>
  <c r="AY153" i="1"/>
  <c r="BN143" i="1"/>
  <c r="BF156" i="1"/>
  <c r="BS180" i="1"/>
  <c r="AX168" i="1"/>
  <c r="AW35" i="1"/>
  <c r="AW36" i="1" s="1"/>
  <c r="BS198" i="1"/>
  <c r="BE250" i="1"/>
  <c r="BE198" i="1"/>
  <c r="AQ250" i="1"/>
  <c r="BI199" i="1"/>
  <c r="BA202" i="1"/>
  <c r="AI198" i="1"/>
  <c r="AI199" i="1"/>
  <c r="AI202" i="1"/>
  <c r="AI204" i="1"/>
  <c r="AI201" i="1"/>
  <c r="BM198" i="1"/>
  <c r="BH271" i="1"/>
  <c r="BR221" i="1"/>
  <c r="O226" i="1"/>
  <c r="AO213" i="1"/>
  <c r="K226" i="1"/>
  <c r="U73" i="1"/>
  <c r="C85" i="1"/>
  <c r="C87" i="1" s="1"/>
  <c r="BD221" i="1"/>
  <c r="BQ271" i="1"/>
  <c r="BK213" i="1"/>
  <c r="AQ221" i="1"/>
  <c r="CA212" i="1"/>
  <c r="CA214" i="1" s="1"/>
  <c r="CA71" i="1"/>
  <c r="BO180" i="1"/>
  <c r="AW153" i="1"/>
  <c r="BG153" i="1"/>
  <c r="BP161" i="1"/>
  <c r="N226" i="1"/>
  <c r="M226" i="1"/>
  <c r="F73" i="1"/>
  <c r="L73" i="1"/>
  <c r="AU153" i="1"/>
  <c r="BJ147" i="1"/>
  <c r="M73" i="1"/>
  <c r="BA180" i="1"/>
  <c r="BC180" i="1"/>
  <c r="AP143" i="1"/>
  <c r="BW167" i="1"/>
  <c r="AZ272" i="1"/>
  <c r="J226" i="1"/>
  <c r="AP271" i="1"/>
  <c r="BV147" i="1"/>
  <c r="BO271" i="1"/>
  <c r="AX271" i="1"/>
  <c r="BA45" i="1"/>
  <c r="F226" i="1"/>
  <c r="N73" i="1"/>
  <c r="C73" i="1"/>
  <c r="U226" i="1"/>
  <c r="T226" i="1"/>
  <c r="BO29" i="1"/>
  <c r="AR272" i="1"/>
  <c r="I226" i="1"/>
  <c r="BT272" i="1"/>
  <c r="AI29" i="1"/>
  <c r="AJ31" i="1" s="1"/>
  <c r="AL117" i="1"/>
  <c r="BN45" i="1"/>
  <c r="BE271" i="1"/>
  <c r="BB221" i="1"/>
  <c r="BL117" i="1"/>
  <c r="BT271" i="1"/>
  <c r="BP213" i="1"/>
  <c r="BR213" i="1"/>
  <c r="BH221" i="1"/>
  <c r="AU272" i="1"/>
  <c r="BK117" i="1"/>
  <c r="AQ29" i="1"/>
  <c r="BT213" i="1"/>
  <c r="BK272" i="1"/>
  <c r="BK250" i="1"/>
  <c r="BM117" i="1"/>
  <c r="BM271" i="1"/>
  <c r="BN221" i="1"/>
  <c r="BF221" i="1"/>
  <c r="AN250" i="1"/>
  <c r="AN117" i="1"/>
  <c r="AU250" i="1"/>
  <c r="BO272" i="1"/>
  <c r="BF117" i="1"/>
  <c r="AR221" i="1"/>
  <c r="BZ117" i="1"/>
  <c r="BN213" i="1"/>
  <c r="BI272" i="1"/>
  <c r="BB250" i="1"/>
  <c r="BB29" i="1"/>
  <c r="AN272" i="1"/>
  <c r="BH272" i="1"/>
  <c r="BB271" i="1"/>
  <c r="BJ272" i="1"/>
  <c r="BJ213" i="1"/>
  <c r="BA272" i="1"/>
  <c r="BA213" i="1"/>
  <c r="AO250" i="1"/>
  <c r="AW271" i="1"/>
  <c r="AI250" i="1"/>
  <c r="C226" i="1"/>
  <c r="V226" i="1"/>
  <c r="T73" i="1"/>
  <c r="I73" i="1"/>
  <c r="V73" i="1"/>
  <c r="L226" i="1"/>
  <c r="K73" i="1"/>
  <c r="BI147" i="1"/>
  <c r="CN205" i="1"/>
  <c r="CW6" i="1"/>
  <c r="X60" i="1"/>
  <c r="X59" i="1"/>
  <c r="CX6" i="1"/>
  <c r="AI45" i="1"/>
  <c r="CI253" i="1"/>
  <c r="CI61" i="1"/>
  <c r="CI264" i="1" s="1"/>
  <c r="CI67" i="1"/>
  <c r="CJ63" i="1"/>
  <c r="CK246" i="1"/>
  <c r="AW136" i="1"/>
  <c r="BK45" i="1"/>
  <c r="BM45" i="1"/>
  <c r="BV45" i="1"/>
  <c r="AO202" i="1"/>
  <c r="AY180" i="1"/>
  <c r="BW180" i="1"/>
  <c r="BQ221" i="1"/>
  <c r="BG139" i="1"/>
  <c r="AO180" i="1"/>
  <c r="C212" i="1"/>
  <c r="C214" i="1" s="1"/>
  <c r="C71" i="1"/>
  <c r="H67" i="1"/>
  <c r="H253" i="1"/>
  <c r="H61" i="1"/>
  <c r="H264" i="1" s="1"/>
  <c r="D253" i="1"/>
  <c r="D61" i="1"/>
  <c r="D67" i="1"/>
  <c r="AN271" i="1"/>
  <c r="Y60" i="1"/>
  <c r="Y59" i="1"/>
  <c r="BF45" i="1"/>
  <c r="AS180" i="1"/>
  <c r="BI117" i="1"/>
  <c r="BP45" i="1"/>
  <c r="BS139" i="1"/>
  <c r="BG180" i="1"/>
  <c r="BO139" i="1"/>
  <c r="AW221" i="1"/>
  <c r="BG272" i="1"/>
  <c r="AZ117" i="1"/>
  <c r="E73" i="1"/>
  <c r="BT221" i="1"/>
  <c r="BE199" i="1"/>
  <c r="BF199" i="1" s="1"/>
  <c r="BB136" i="1"/>
  <c r="BP136" i="1"/>
  <c r="BX221" i="1"/>
  <c r="BE139" i="1"/>
  <c r="BF272" i="1"/>
  <c r="BG45" i="1"/>
  <c r="AW198" i="1"/>
  <c r="BM147" i="1"/>
  <c r="BC117" i="1"/>
  <c r="BH136" i="1"/>
  <c r="BE29" i="1"/>
  <c r="BA167" i="1"/>
  <c r="BA201" i="1" s="1"/>
  <c r="AO198" i="1"/>
  <c r="BI153" i="1"/>
  <c r="BW221" i="1"/>
  <c r="BS221" i="1"/>
  <c r="BG29" i="1"/>
  <c r="AX117" i="1"/>
  <c r="BR272" i="1"/>
  <c r="AP272" i="1"/>
  <c r="AY202" i="1"/>
  <c r="BG202" i="1"/>
  <c r="BH202" i="1" s="1"/>
  <c r="AY147" i="1"/>
  <c r="CJ212" i="1"/>
  <c r="CJ214" i="1" s="1"/>
  <c r="CJ138" i="1"/>
  <c r="CJ139" i="1" s="1"/>
  <c r="CJ85" i="1"/>
  <c r="CJ71" i="1"/>
  <c r="BG250" i="1"/>
  <c r="AO117" i="1"/>
  <c r="AI52" i="1"/>
  <c r="Q226" i="1"/>
  <c r="Q224" i="1" s="1"/>
  <c r="BI139" i="1"/>
  <c r="AQ147" i="1"/>
  <c r="BG271" i="1"/>
  <c r="BR271" i="1"/>
  <c r="BT117" i="1"/>
  <c r="BU147" i="1"/>
  <c r="BQ139" i="1"/>
  <c r="BB45" i="1"/>
  <c r="BU153" i="1"/>
  <c r="BU221" i="1"/>
  <c r="BV221" i="1"/>
  <c r="BI180" i="1"/>
  <c r="BD45" i="1"/>
  <c r="BI198" i="1"/>
  <c r="BS271" i="1"/>
  <c r="CC71" i="1"/>
  <c r="CC212" i="1"/>
  <c r="CC214" i="1" s="1"/>
  <c r="BR29" i="1"/>
  <c r="BR35" i="1" s="1"/>
  <c r="BE169" i="1"/>
  <c r="BF169" i="1" s="1"/>
  <c r="AS45" i="1"/>
  <c r="BE45" i="1"/>
  <c r="AQ271" i="1"/>
  <c r="BD271" i="1"/>
  <c r="AQ199" i="1"/>
  <c r="AW199" i="1"/>
  <c r="AX199" i="1" s="1"/>
  <c r="BG198" i="1"/>
  <c r="BH198" i="1" s="1"/>
  <c r="CF121" i="1"/>
  <c r="CF123" i="1"/>
  <c r="CF122" i="1"/>
  <c r="R212" i="1"/>
  <c r="R214" i="1" s="1"/>
  <c r="R71" i="1"/>
  <c r="Z253" i="1"/>
  <c r="Z61" i="1"/>
  <c r="Z264" i="1" s="1"/>
  <c r="Z80" i="1"/>
  <c r="Z67" i="1"/>
  <c r="BV271" i="1"/>
  <c r="AM67" i="1"/>
  <c r="AM212" i="1" s="1"/>
  <c r="AM214" i="1" s="1"/>
  <c r="BS202" i="1"/>
  <c r="BT202" i="1" s="1"/>
  <c r="E71" i="1"/>
  <c r="E212" i="1"/>
  <c r="E214" i="1" s="1"/>
  <c r="U71" i="1"/>
  <c r="U212" i="1"/>
  <c r="U214" i="1" s="1"/>
  <c r="BM202" i="1"/>
  <c r="AU221" i="1"/>
  <c r="BA198" i="1"/>
  <c r="AY45" i="1"/>
  <c r="BW202" i="1"/>
  <c r="BX202" i="1" s="1"/>
  <c r="BX172" i="1" s="1"/>
  <c r="BX175" i="1" s="1"/>
  <c r="AY139" i="1"/>
  <c r="AS153" i="1"/>
  <c r="T212" i="1"/>
  <c r="T214" i="1" s="1"/>
  <c r="T71" i="1"/>
  <c r="V71" i="1"/>
  <c r="V212" i="1"/>
  <c r="V214" i="1" s="1"/>
  <c r="O71" i="1"/>
  <c r="O212" i="1"/>
  <c r="O214" i="1" s="1"/>
  <c r="O73" i="1"/>
  <c r="CE212" i="1"/>
  <c r="CE214" i="1" s="1"/>
  <c r="CE85" i="1"/>
  <c r="CE71" i="1"/>
  <c r="BS29" i="1"/>
  <c r="BE202" i="1"/>
  <c r="BF202" i="1" s="1"/>
  <c r="BE153" i="1"/>
  <c r="BF153" i="1" s="1"/>
  <c r="BG52" i="1" s="1"/>
  <c r="BX147" i="1"/>
  <c r="BY268" i="1" s="1"/>
  <c r="BY270" i="1" s="1"/>
  <c r="CB67" i="1"/>
  <c r="CE246" i="1"/>
  <c r="CB62" i="1"/>
  <c r="CB63" i="1"/>
  <c r="CD246" i="1"/>
  <c r="CB253" i="1"/>
  <c r="CF62" i="1"/>
  <c r="CB61" i="1"/>
  <c r="CB264" i="1" s="1"/>
  <c r="CC63" i="1"/>
  <c r="I212" i="1"/>
  <c r="I214" i="1" s="1"/>
  <c r="I71" i="1"/>
  <c r="CP202" i="1"/>
  <c r="CO204" i="1"/>
  <c r="Q212" i="1"/>
  <c r="Q214" i="1" s="1"/>
  <c r="Q71" i="1"/>
  <c r="BH45" i="1"/>
  <c r="BI45" i="1"/>
  <c r="BU45" i="1"/>
  <c r="AU29" i="1"/>
  <c r="AP45" i="1"/>
  <c r="BM180" i="1"/>
  <c r="BG199" i="1"/>
  <c r="BH199" i="1" s="1"/>
  <c r="AQ198" i="1"/>
  <c r="BO153" i="1"/>
  <c r="BP52" i="1" s="1"/>
  <c r="CE126" i="1"/>
  <c r="CE127" i="1"/>
  <c r="CE111" i="1"/>
  <c r="CE118" i="1"/>
  <c r="CH212" i="1"/>
  <c r="CH214" i="1" s="1"/>
  <c r="CH218" i="1" s="1"/>
  <c r="CH232" i="1" s="1"/>
  <c r="CH85" i="1"/>
  <c r="CH71" i="1"/>
  <c r="CH138" i="1"/>
  <c r="CH139" i="1" s="1"/>
  <c r="G71" i="1"/>
  <c r="G212" i="1"/>
  <c r="G214" i="1" s="1"/>
  <c r="AP29" i="1"/>
  <c r="AP30" i="1" s="1"/>
  <c r="BR117" i="1"/>
  <c r="AJ138" i="1"/>
  <c r="AJ139" i="1" s="1"/>
  <c r="AJ212" i="1"/>
  <c r="AJ214" i="1" s="1"/>
  <c r="AJ71" i="1"/>
  <c r="M212" i="1"/>
  <c r="M214" i="1" s="1"/>
  <c r="M71" i="1"/>
  <c r="CC83" i="1"/>
  <c r="CD84" i="1"/>
  <c r="P71" i="1"/>
  <c r="P212" i="1"/>
  <c r="P214" i="1" s="1"/>
  <c r="BY63" i="1"/>
  <c r="BZ63" i="1"/>
  <c r="CC62" i="1"/>
  <c r="BY253" i="1"/>
  <c r="BY61" i="1"/>
  <c r="BY264" i="1" s="1"/>
  <c r="BY67" i="1"/>
  <c r="K212" i="1"/>
  <c r="K214" i="1" s="1"/>
  <c r="K71" i="1"/>
  <c r="BF29" i="1"/>
  <c r="BJ30" i="1" s="1"/>
  <c r="AZ45" i="1"/>
  <c r="BB272" i="1"/>
  <c r="BC271" i="1"/>
  <c r="BR45" i="1"/>
  <c r="BU175" i="1"/>
  <c r="BU204" i="1" s="1"/>
  <c r="BE180" i="1"/>
  <c r="AQ139" i="1"/>
  <c r="AO199" i="1"/>
  <c r="F212" i="1"/>
  <c r="F214" i="1" s="1"/>
  <c r="F71" i="1"/>
  <c r="J212" i="1"/>
  <c r="J214" i="1" s="1"/>
  <c r="J71" i="1"/>
  <c r="AK212" i="1"/>
  <c r="AK214" i="1" s="1"/>
  <c r="AK71" i="1"/>
  <c r="CF246" i="1"/>
  <c r="CF253" i="1"/>
  <c r="CF63" i="1"/>
  <c r="CH246" i="1"/>
  <c r="CG63" i="1"/>
  <c r="CF67" i="1"/>
  <c r="CF61" i="1"/>
  <c r="CF264" i="1" s="1"/>
  <c r="CI246" i="1"/>
  <c r="CJ62" i="1"/>
  <c r="AY271" i="1"/>
  <c r="AV271" i="1"/>
  <c r="AN45" i="1"/>
  <c r="BI202" i="1"/>
  <c r="L212" i="1"/>
  <c r="L214" i="1" s="1"/>
  <c r="L71" i="1"/>
  <c r="N71" i="1"/>
  <c r="N212" i="1"/>
  <c r="N214" i="1" s="1"/>
  <c r="CD61" i="1"/>
  <c r="CD264" i="1" s="1"/>
  <c r="CD253" i="1"/>
  <c r="CE63" i="1"/>
  <c r="CD67" i="1"/>
  <c r="CH62" i="1"/>
  <c r="CD63" i="1"/>
  <c r="CG246" i="1"/>
  <c r="BZ253" i="1"/>
  <c r="BZ67" i="1"/>
  <c r="CC246" i="1"/>
  <c r="BZ61" i="1"/>
  <c r="BZ264" i="1" s="1"/>
  <c r="CA63" i="1"/>
  <c r="CD62" i="1"/>
  <c r="AV221" i="1"/>
  <c r="AU139" i="1"/>
  <c r="BB147" i="1"/>
  <c r="AU167" i="1"/>
  <c r="AU201" i="1" s="1"/>
  <c r="AW147" i="1"/>
  <c r="BC153" i="1"/>
  <c r="BD153" i="1" s="1"/>
  <c r="AW167" i="1"/>
  <c r="AW201" i="1" s="1"/>
  <c r="AS147" i="1"/>
  <c r="AU199" i="1"/>
  <c r="AV199" i="1" s="1"/>
  <c r="BW147" i="1"/>
  <c r="AX143" i="1"/>
  <c r="AX147" i="1" s="1"/>
  <c r="BG147" i="1"/>
  <c r="BC29" i="1"/>
  <c r="AY29" i="1"/>
  <c r="AY35" i="1" s="1"/>
  <c r="BX117" i="1"/>
  <c r="BE167" i="1"/>
  <c r="BE201" i="1" s="1"/>
  <c r="AW250" i="1"/>
  <c r="AQ272" i="1"/>
  <c r="BQ272" i="1"/>
  <c r="BP272" i="1"/>
  <c r="AW272" i="1"/>
  <c r="BQ29" i="1"/>
  <c r="BQ35" i="1" s="1"/>
  <c r="AW202" i="1"/>
  <c r="AV136" i="1"/>
  <c r="BU167" i="1"/>
  <c r="BU201" i="1" s="1"/>
  <c r="AT272" i="1"/>
  <c r="AT117" i="1"/>
  <c r="AY198" i="1"/>
  <c r="AZ198" i="1" s="1"/>
  <c r="BC202" i="1"/>
  <c r="BV272" i="1"/>
  <c r="BV117" i="1"/>
  <c r="BC250" i="1"/>
  <c r="BE117" i="1"/>
  <c r="BT45" i="1"/>
  <c r="BW45" i="1"/>
  <c r="BT29" i="1"/>
  <c r="AP117" i="1"/>
  <c r="BY117" i="1"/>
  <c r="AI222" i="1"/>
  <c r="AI220" i="1" s="1"/>
  <c r="AZ29" i="1"/>
  <c r="BA250" i="1"/>
  <c r="BW198" i="1"/>
  <c r="BO202" i="1"/>
  <c r="BP202" i="1" s="1"/>
  <c r="BP147" i="1"/>
  <c r="AR45" i="1"/>
  <c r="AT45" i="1"/>
  <c r="BA199" i="1"/>
  <c r="BB199" i="1" s="1"/>
  <c r="BO45" i="1"/>
  <c r="BU180" i="1"/>
  <c r="AS199" i="1"/>
  <c r="AT199" i="1" s="1"/>
  <c r="BW29" i="1"/>
  <c r="BQ117" i="1"/>
  <c r="BO198" i="1"/>
  <c r="BI221" i="1"/>
  <c r="BB117" i="1"/>
  <c r="AZ213" i="1"/>
  <c r="AW117" i="1"/>
  <c r="AR117" i="1"/>
  <c r="BQ202" i="1"/>
  <c r="BR202" i="1" s="1"/>
  <c r="BO199" i="1"/>
  <c r="BP199" i="1" s="1"/>
  <c r="BQ147" i="1"/>
  <c r="AO29" i="1"/>
  <c r="AO45" i="1"/>
  <c r="AV45" i="1"/>
  <c r="AX45" i="1"/>
  <c r="AQ45" i="1"/>
  <c r="BP271" i="1"/>
  <c r="AW45" i="1"/>
  <c r="BP117" i="1"/>
  <c r="BK29" i="1"/>
  <c r="BM153" i="1"/>
  <c r="BN153" i="1" s="1"/>
  <c r="BN157" i="1" s="1"/>
  <c r="AY199" i="1"/>
  <c r="BQ45" i="1"/>
  <c r="BA117" i="1"/>
  <c r="BC272" i="1"/>
  <c r="AY117" i="1"/>
  <c r="AX272" i="1"/>
  <c r="AO271" i="1"/>
  <c r="AT29" i="1"/>
  <c r="AT35" i="1" s="1"/>
  <c r="BA29" i="1"/>
  <c r="BA35" i="1" s="1"/>
  <c r="BA36" i="1" s="1"/>
  <c r="BQ199" i="1"/>
  <c r="BR199" i="1" s="1"/>
  <c r="AS139" i="1"/>
  <c r="BF168" i="1"/>
  <c r="BA147" i="1"/>
  <c r="BW139" i="1"/>
  <c r="AU45" i="1"/>
  <c r="AT271" i="1"/>
  <c r="BW199" i="1"/>
  <c r="BX199" i="1" s="1"/>
  <c r="BX164" i="1" s="1"/>
  <c r="BP29" i="1"/>
  <c r="BP35" i="1" s="1"/>
  <c r="BP37" i="1" s="1"/>
  <c r="BV29" i="1"/>
  <c r="BC45" i="1"/>
  <c r="AX29" i="1"/>
  <c r="AV272" i="1"/>
  <c r="BN29" i="1"/>
  <c r="AV29" i="1"/>
  <c r="AY250" i="1"/>
  <c r="BW272" i="1"/>
  <c r="BQ198" i="1"/>
  <c r="BC167" i="1"/>
  <c r="BC201" i="1" s="1"/>
  <c r="BX139" i="1"/>
  <c r="BN272" i="1"/>
  <c r="BN271" i="1"/>
  <c r="AU117" i="1"/>
  <c r="BC199" i="1"/>
  <c r="BD199" i="1" s="1"/>
  <c r="BC198" i="1"/>
  <c r="BD198" i="1" s="1"/>
  <c r="BI167" i="1"/>
  <c r="BI201" i="1" s="1"/>
  <c r="AQ117" i="1"/>
  <c r="BO250" i="1"/>
  <c r="BS117" i="1"/>
  <c r="AN52" i="1"/>
  <c r="AU147" i="1"/>
  <c r="AO147" i="1"/>
  <c r="AO225" i="1" s="1"/>
  <c r="BO175" i="1"/>
  <c r="BO204" i="1" s="1"/>
  <c r="BD147" i="1"/>
  <c r="AT221" i="1"/>
  <c r="BC175" i="1"/>
  <c r="BC204" i="1" s="1"/>
  <c r="AO175" i="1"/>
  <c r="AO204" i="1" s="1"/>
  <c r="BU139" i="1"/>
  <c r="BW153" i="1"/>
  <c r="BE147" i="1"/>
  <c r="BG175" i="1"/>
  <c r="BG204" i="1" s="1"/>
  <c r="BC139" i="1"/>
  <c r="BU271" i="1"/>
  <c r="BM139" i="1"/>
  <c r="BM167" i="1"/>
  <c r="BM201" i="1" s="1"/>
  <c r="AU180" i="1"/>
  <c r="AT147" i="1"/>
  <c r="AV147" i="1"/>
  <c r="AS221" i="1"/>
  <c r="BI175" i="1"/>
  <c r="BI204" i="1" s="1"/>
  <c r="BV161" i="1"/>
  <c r="BS175" i="1"/>
  <c r="BS204" i="1" s="1"/>
  <c r="AY167" i="1"/>
  <c r="AY201" i="1" s="1"/>
  <c r="AY175" i="1"/>
  <c r="AY204" i="1" s="1"/>
  <c r="BK144" i="1"/>
  <c r="AS272" i="1"/>
  <c r="BF250" i="1"/>
  <c r="AS117" i="1"/>
  <c r="BH117" i="1"/>
  <c r="BM272" i="1"/>
  <c r="BU117" i="1"/>
  <c r="BO147" i="1"/>
  <c r="BQ167" i="1"/>
  <c r="BQ201" i="1" s="1"/>
  <c r="BJ35" i="1"/>
  <c r="BJ47" i="1" s="1"/>
  <c r="BJ53" i="1" s="1"/>
  <c r="BJ57" i="1" s="1"/>
  <c r="BT161" i="1"/>
  <c r="AS167" i="1"/>
  <c r="AQ175" i="1"/>
  <c r="AQ204" i="1" s="1"/>
  <c r="AX221" i="1"/>
  <c r="BF271" i="1"/>
  <c r="BM199" i="1"/>
  <c r="AI56" i="1"/>
  <c r="AV117" i="1"/>
  <c r="BU272" i="1"/>
  <c r="AS271" i="1"/>
  <c r="F184" i="1"/>
  <c r="F185" i="1" s="1"/>
  <c r="BG117" i="1"/>
  <c r="BU202" i="1"/>
  <c r="AS202" i="1"/>
  <c r="AT202" i="1" s="1"/>
  <c r="BA175" i="1"/>
  <c r="BA204" i="1" s="1"/>
  <c r="BH29" i="1"/>
  <c r="BJ117" i="1"/>
  <c r="BO117" i="1"/>
  <c r="F265" i="1"/>
  <c r="BU199" i="1"/>
  <c r="BV199" i="1" s="1"/>
  <c r="AS198" i="1"/>
  <c r="AT198" i="1" s="1"/>
  <c r="AS29" i="1"/>
  <c r="AS35" i="1" s="1"/>
  <c r="AS36" i="1" s="1"/>
  <c r="BN117" i="1"/>
  <c r="BU198" i="1"/>
  <c r="BV198" i="1" s="1"/>
  <c r="AQ167" i="1"/>
  <c r="BW175" i="1"/>
  <c r="BW204" i="1" s="1"/>
  <c r="BC147" i="1"/>
  <c r="BS147" i="1"/>
  <c r="AU175" i="1"/>
  <c r="AU204" i="1" s="1"/>
  <c r="BM29" i="1"/>
  <c r="BM31" i="1" s="1"/>
  <c r="BS272" i="1"/>
  <c r="BD117" i="1"/>
  <c r="BD29" i="1"/>
  <c r="BD35" i="1" s="1"/>
  <c r="BD36" i="1" s="1"/>
  <c r="AS250" i="1"/>
  <c r="AW175" i="1"/>
  <c r="AW204" i="1" s="1"/>
  <c r="BO167" i="1"/>
  <c r="BO201" i="1" s="1"/>
  <c r="AP161" i="1"/>
  <c r="AO139" i="1"/>
  <c r="BJ221" i="1"/>
  <c r="G222" i="1"/>
  <c r="G220" i="1" s="1"/>
  <c r="BW117" i="1"/>
  <c r="BD272" i="1"/>
  <c r="AS175" i="1"/>
  <c r="AS204" i="1" s="1"/>
  <c r="BU29" i="1"/>
  <c r="BN170" i="1"/>
  <c r="BM175" i="1"/>
  <c r="N185" i="1"/>
  <c r="H217" i="1"/>
  <c r="U184" i="1"/>
  <c r="U185" i="1" s="1"/>
  <c r="E222" i="1"/>
  <c r="E220" i="1" s="1"/>
  <c r="M184" i="1"/>
  <c r="N222" i="1"/>
  <c r="N220" i="1" s="1"/>
  <c r="M265" i="1"/>
  <c r="M263" i="1"/>
  <c r="I263" i="1"/>
  <c r="J222" i="1"/>
  <c r="J220" i="1" s="1"/>
  <c r="I265" i="1"/>
  <c r="I184" i="1"/>
  <c r="I185" i="1" s="1"/>
  <c r="U265" i="1"/>
  <c r="U263" i="1"/>
  <c r="U222" i="1"/>
  <c r="U220" i="1" s="1"/>
  <c r="V184" i="1"/>
  <c r="V185" i="1" s="1"/>
  <c r="I222" i="1"/>
  <c r="I220" i="1" s="1"/>
  <c r="V263" i="1"/>
  <c r="V265" i="1"/>
  <c r="V222" i="1"/>
  <c r="V220" i="1" s="1"/>
  <c r="L265" i="1"/>
  <c r="M222" i="1"/>
  <c r="M220" i="1" s="1"/>
  <c r="AQ202" i="1"/>
  <c r="D184" i="1"/>
  <c r="E263" i="1"/>
  <c r="BQ175" i="1"/>
  <c r="BQ204" i="1" s="1"/>
  <c r="L263" i="1"/>
  <c r="W222" i="1"/>
  <c r="W220" i="1" s="1"/>
  <c r="L184" i="1"/>
  <c r="L185" i="1" s="1"/>
  <c r="L222" i="1"/>
  <c r="L220" i="1" s="1"/>
  <c r="CA82" i="1"/>
  <c r="CR143" i="1"/>
  <c r="CQ147" i="1"/>
  <c r="CR198" i="1"/>
  <c r="CS159" i="1"/>
  <c r="CS82" i="1"/>
  <c r="CR84" i="1"/>
  <c r="CP225" i="1"/>
  <c r="CP268" i="1"/>
  <c r="CP200" i="1"/>
  <c r="CO201" i="1"/>
  <c r="F222" i="1"/>
  <c r="F220" i="1" s="1"/>
  <c r="R263" i="1"/>
  <c r="B184" i="1"/>
  <c r="R184" i="1"/>
  <c r="R185" i="1" s="1"/>
  <c r="BB153" i="1"/>
  <c r="BA157" i="1"/>
  <c r="L217" i="1"/>
  <c r="G217" i="1"/>
  <c r="B130" i="1"/>
  <c r="B133" i="1" s="1"/>
  <c r="U217" i="1"/>
  <c r="P185" i="1"/>
  <c r="D130" i="1"/>
  <c r="D133" i="1" s="1"/>
  <c r="D129" i="1"/>
  <c r="D132" i="1" s="1"/>
  <c r="J217" i="1"/>
  <c r="K217" i="1"/>
  <c r="J185" i="1"/>
  <c r="O217" i="1"/>
  <c r="S217" i="1"/>
  <c r="V208" i="1"/>
  <c r="V209" i="1" s="1"/>
  <c r="V200" i="1"/>
  <c r="E224" i="1"/>
  <c r="K184" i="1"/>
  <c r="K185" i="1" s="1"/>
  <c r="AO52" i="1"/>
  <c r="E184" i="1"/>
  <c r="E185" i="1" s="1"/>
  <c r="U208" i="1"/>
  <c r="U209" i="1" s="1"/>
  <c r="F217" i="1"/>
  <c r="D217" i="1"/>
  <c r="C130" i="1"/>
  <c r="C133" i="1" s="1"/>
  <c r="R205" i="1"/>
  <c r="S208" i="1" s="1"/>
  <c r="S209" i="1" s="1"/>
  <c r="E217" i="1"/>
  <c r="E265" i="1"/>
  <c r="BG221" i="1"/>
  <c r="V217" i="1"/>
  <c r="I205" i="1"/>
  <c r="R217" i="1"/>
  <c r="S222" i="1"/>
  <c r="S220" i="1" s="1"/>
  <c r="S263" i="1"/>
  <c r="I217" i="1"/>
  <c r="N217" i="1"/>
  <c r="P217" i="1"/>
  <c r="T185" i="1"/>
  <c r="T222" i="1"/>
  <c r="T220" i="1" s="1"/>
  <c r="K222" i="1"/>
  <c r="K220" i="1" s="1"/>
  <c r="S184" i="1"/>
  <c r="S185" i="1" s="1"/>
  <c r="B105" i="1"/>
  <c r="C217" i="1"/>
  <c r="T217" i="1"/>
  <c r="AP221" i="1"/>
  <c r="AO221" i="1"/>
  <c r="B106" i="1"/>
  <c r="M217" i="1"/>
  <c r="BO221" i="1"/>
  <c r="BP221" i="1"/>
  <c r="G263" i="1"/>
  <c r="G265" i="1"/>
  <c r="G184" i="1"/>
  <c r="G185" i="1" s="1"/>
  <c r="Q217" i="1"/>
  <c r="J205" i="1"/>
  <c r="H205" i="1"/>
  <c r="Q184" i="1"/>
  <c r="Q185" i="1" s="1"/>
  <c r="K263" i="1"/>
  <c r="K265" i="1"/>
  <c r="Q208" i="1"/>
  <c r="Q209" i="1" s="1"/>
  <c r="N208" i="1"/>
  <c r="N209" i="1" s="1"/>
  <c r="K74" i="1"/>
  <c r="H222" i="1"/>
  <c r="H220" i="1" s="1"/>
  <c r="H265" i="1"/>
  <c r="H263" i="1"/>
  <c r="R222" i="1"/>
  <c r="R220" i="1" s="1"/>
  <c r="B200" i="1"/>
  <c r="B205" i="1"/>
  <c r="C208" i="1" s="1"/>
  <c r="C209" i="1" s="1"/>
  <c r="V74" i="1"/>
  <c r="T208" i="1"/>
  <c r="T209" i="1" s="1"/>
  <c r="H184" i="1"/>
  <c r="H185" i="1" s="1"/>
  <c r="Q265" i="1"/>
  <c r="Q263" i="1"/>
  <c r="K203" i="1"/>
  <c r="K205" i="1"/>
  <c r="L208" i="1" s="1"/>
  <c r="L209" i="1" s="1"/>
  <c r="F203" i="1"/>
  <c r="F205" i="1"/>
  <c r="Q222" i="1"/>
  <c r="Q220" i="1" s="1"/>
  <c r="C263" i="1"/>
  <c r="C185" i="1"/>
  <c r="P208" i="1"/>
  <c r="P209" i="1" s="1"/>
  <c r="O208" i="1"/>
  <c r="O209" i="1" s="1"/>
  <c r="D208" i="1"/>
  <c r="D209" i="1" s="1"/>
  <c r="E208" i="1"/>
  <c r="E209" i="1" s="1"/>
  <c r="M208" i="1"/>
  <c r="M209" i="1" s="1"/>
  <c r="O185" i="1"/>
  <c r="AB147" i="1"/>
  <c r="AB268" i="1" s="1"/>
  <c r="AZ221" i="1" l="1"/>
  <c r="AY221" i="1"/>
  <c r="BK202" i="1"/>
  <c r="KD20" i="4"/>
  <c r="JZ9" i="4"/>
  <c r="CL187" i="1"/>
  <c r="CM55" i="1" s="1"/>
  <c r="CL184" i="1"/>
  <c r="CL185" i="1" s="1"/>
  <c r="CL265" i="1"/>
  <c r="CL267" i="1"/>
  <c r="CL263" i="1"/>
  <c r="BK153" i="1"/>
  <c r="BL153" i="1" s="1"/>
  <c r="BK180" i="1"/>
  <c r="BK198" i="1"/>
  <c r="BL198" i="1" s="1"/>
  <c r="BL163" i="1" s="1"/>
  <c r="BK199" i="1"/>
  <c r="BL199" i="1" s="1"/>
  <c r="BL164" i="1" s="1"/>
  <c r="BK139" i="1"/>
  <c r="BL136" i="1"/>
  <c r="BL139" i="1" s="1"/>
  <c r="BA221" i="1"/>
  <c r="BL159" i="1"/>
  <c r="BM221" i="1" s="1"/>
  <c r="BK175" i="1"/>
  <c r="BK204" i="1" s="1"/>
  <c r="AO167" i="1"/>
  <c r="AO201" i="1" s="1"/>
  <c r="BG167" i="1"/>
  <c r="BG201" i="1" s="1"/>
  <c r="BS167" i="1"/>
  <c r="BS201" i="1" s="1"/>
  <c r="BK167" i="1"/>
  <c r="G224" i="1"/>
  <c r="CL230" i="1"/>
  <c r="BR147" i="1"/>
  <c r="BI46" i="1"/>
  <c r="S73" i="1"/>
  <c r="BI35" i="1"/>
  <c r="S71" i="1"/>
  <c r="S212" i="1"/>
  <c r="S214" i="1" s="1"/>
  <c r="BT199" i="1"/>
  <c r="AV198" i="1"/>
  <c r="BJ31" i="1"/>
  <c r="S224" i="1"/>
  <c r="P224" i="1"/>
  <c r="L224" i="1"/>
  <c r="BT147" i="1"/>
  <c r="AQ148" i="1"/>
  <c r="BN202" i="1"/>
  <c r="BB198" i="1"/>
  <c r="CN8" i="1"/>
  <c r="CN27" i="1"/>
  <c r="R224" i="1"/>
  <c r="AR46" i="1"/>
  <c r="AP153" i="1"/>
  <c r="AP157" i="1" s="1"/>
  <c r="AO157" i="1"/>
  <c r="AO222" i="1" s="1"/>
  <c r="AQ157" i="1"/>
  <c r="AR153" i="1"/>
  <c r="AP52" i="1"/>
  <c r="BE35" i="1"/>
  <c r="BU203" i="1"/>
  <c r="BV203" i="1" s="1"/>
  <c r="BI187" i="1"/>
  <c r="M185" i="1"/>
  <c r="V224" i="1"/>
  <c r="C218" i="1"/>
  <c r="AR35" i="1"/>
  <c r="AR36" i="1" s="1"/>
  <c r="BC203" i="1"/>
  <c r="BD203" i="1" s="1"/>
  <c r="AO203" i="1"/>
  <c r="AP203" i="1" s="1"/>
  <c r="BU148" i="1"/>
  <c r="AY203" i="1"/>
  <c r="AZ203" i="1" s="1"/>
  <c r="BI47" i="1"/>
  <c r="BL221" i="1"/>
  <c r="CO205" i="1"/>
  <c r="R77" i="1"/>
  <c r="AT36" i="1"/>
  <c r="AT47" i="1"/>
  <c r="AY30" i="1"/>
  <c r="AU31" i="1"/>
  <c r="AU35" i="1"/>
  <c r="AU38" i="1" s="1"/>
  <c r="BI30" i="1"/>
  <c r="E218" i="1"/>
  <c r="AY207" i="1"/>
  <c r="BV46" i="1"/>
  <c r="AX244" i="1"/>
  <c r="AT52" i="1"/>
  <c r="V218" i="1"/>
  <c r="AX268" i="1"/>
  <c r="T218" i="1"/>
  <c r="AY36" i="1"/>
  <c r="AL226" i="1"/>
  <c r="AL224" i="1" s="1"/>
  <c r="AL148" i="1"/>
  <c r="AR147" i="1"/>
  <c r="BS200" i="1"/>
  <c r="BT200" i="1" s="1"/>
  <c r="BO35" i="1"/>
  <c r="BO36" i="1" s="1"/>
  <c r="BF147" i="1"/>
  <c r="Y80" i="1"/>
  <c r="AZ147" i="1"/>
  <c r="BH147" i="1"/>
  <c r="BI225" i="1" s="1"/>
  <c r="AO207" i="1"/>
  <c r="AQ46" i="1"/>
  <c r="BK203" i="1"/>
  <c r="BL203" i="1" s="1"/>
  <c r="BR164" i="1"/>
  <c r="BA148" i="1"/>
  <c r="BW201" i="1"/>
  <c r="BG157" i="1"/>
  <c r="BA205" i="1"/>
  <c r="BL207" i="1"/>
  <c r="BN147" i="1"/>
  <c r="BS35" i="1"/>
  <c r="BS37" i="1" s="1"/>
  <c r="BS148" i="1"/>
  <c r="AU157" i="1"/>
  <c r="AV153" i="1"/>
  <c r="BH153" i="1"/>
  <c r="AM30" i="1"/>
  <c r="BK30" i="1"/>
  <c r="BJ268" i="1"/>
  <c r="N77" i="1"/>
  <c r="AZ153" i="1"/>
  <c r="AZ157" i="1" s="1"/>
  <c r="AY157" i="1"/>
  <c r="AX153" i="1"/>
  <c r="AW157" i="1"/>
  <c r="AP35" i="1"/>
  <c r="AP37" i="1" s="1"/>
  <c r="BE157" i="1"/>
  <c r="BM187" i="1"/>
  <c r="BJ153" i="1"/>
  <c r="BI157" i="1"/>
  <c r="BR153" i="1"/>
  <c r="BQ157" i="1"/>
  <c r="BT153" i="1"/>
  <c r="BT157" i="1" s="1"/>
  <c r="BS157" i="1"/>
  <c r="BG148" i="1"/>
  <c r="BG187" i="1"/>
  <c r="BQ187" i="1"/>
  <c r="BW187" i="1"/>
  <c r="AQ187" i="1"/>
  <c r="BI148" i="1"/>
  <c r="AI205" i="1"/>
  <c r="AI200" i="1"/>
  <c r="AJ200" i="1" s="1"/>
  <c r="BB202" i="1"/>
  <c r="AX202" i="1"/>
  <c r="AX172" i="1" s="1"/>
  <c r="AX175" i="1" s="1"/>
  <c r="BN198" i="1"/>
  <c r="AI203" i="1"/>
  <c r="AJ203" i="1" s="1"/>
  <c r="BJ199" i="1"/>
  <c r="BJ164" i="1" s="1"/>
  <c r="BF198" i="1"/>
  <c r="BT198" i="1"/>
  <c r="AP199" i="1"/>
  <c r="AP164" i="1" s="1"/>
  <c r="BD202" i="1"/>
  <c r="AJ198" i="1"/>
  <c r="AJ202" i="1"/>
  <c r="AN164" i="1"/>
  <c r="AN172" i="1"/>
  <c r="AN175" i="1" s="1"/>
  <c r="AN163" i="1"/>
  <c r="AJ199" i="1"/>
  <c r="AJ164" i="1" s="1"/>
  <c r="AV202" i="1"/>
  <c r="AZ35" i="1"/>
  <c r="O224" i="1"/>
  <c r="F224" i="1"/>
  <c r="J224" i="1"/>
  <c r="K224" i="1"/>
  <c r="AL244" i="1"/>
  <c r="BL31" i="1"/>
  <c r="BV52" i="1"/>
  <c r="AW47" i="1"/>
  <c r="BE46" i="1"/>
  <c r="I224" i="1"/>
  <c r="U224" i="1"/>
  <c r="BJ225" i="1"/>
  <c r="BV268" i="1"/>
  <c r="BO46" i="1"/>
  <c r="BL244" i="1"/>
  <c r="C88" i="1"/>
  <c r="C106" i="1" s="1"/>
  <c r="C224" i="1"/>
  <c r="BK46" i="1"/>
  <c r="BK31" i="1"/>
  <c r="BK35" i="1"/>
  <c r="BK36" i="1" s="1"/>
  <c r="BV225" i="1"/>
  <c r="T224" i="1"/>
  <c r="R218" i="1"/>
  <c r="I218" i="1"/>
  <c r="P218" i="1"/>
  <c r="P232" i="1" s="1"/>
  <c r="BK207" i="1"/>
  <c r="AR244" i="1"/>
  <c r="AN46" i="1"/>
  <c r="AU30" i="1"/>
  <c r="AU207" i="1"/>
  <c r="AX46" i="1"/>
  <c r="AQ244" i="1"/>
  <c r="BB35" i="1"/>
  <c r="BN30" i="1"/>
  <c r="AX225" i="1"/>
  <c r="AP207" i="1"/>
  <c r="BB46" i="1"/>
  <c r="AX31" i="1"/>
  <c r="AX35" i="1"/>
  <c r="BB30" i="1"/>
  <c r="AQ35" i="1"/>
  <c r="AQ30" i="1"/>
  <c r="AR31" i="1"/>
  <c r="BD225" i="1"/>
  <c r="AX30" i="1"/>
  <c r="AR207" i="1"/>
  <c r="BC31" i="1"/>
  <c r="BC244" i="1"/>
  <c r="AO30" i="1"/>
  <c r="AO46" i="1"/>
  <c r="CA30" i="1"/>
  <c r="BY244" i="1"/>
  <c r="BZ244" i="1"/>
  <c r="AW31" i="1"/>
  <c r="AN30" i="1"/>
  <c r="AO244" i="1"/>
  <c r="AN35" i="1"/>
  <c r="AN31" i="1"/>
  <c r="AN244" i="1"/>
  <c r="AR30" i="1"/>
  <c r="BC207" i="1"/>
  <c r="BG207" i="1"/>
  <c r="BG46" i="1"/>
  <c r="BG35" i="1"/>
  <c r="BF30" i="1"/>
  <c r="BG30" i="1"/>
  <c r="AN207" i="1"/>
  <c r="AZ52" i="1"/>
  <c r="BH52" i="1"/>
  <c r="BJ48" i="1"/>
  <c r="BJ251" i="1"/>
  <c r="BJ252" i="1" s="1"/>
  <c r="BT52" i="1"/>
  <c r="BF164" i="1"/>
  <c r="AI35" i="1"/>
  <c r="AW139" i="1"/>
  <c r="Z62" i="1"/>
  <c r="AY47" i="1"/>
  <c r="AP147" i="1"/>
  <c r="AQ268" i="1" s="1"/>
  <c r="BT31" i="1"/>
  <c r="BB164" i="1"/>
  <c r="BU187" i="1"/>
  <c r="BW30" i="1"/>
  <c r="AX136" i="1"/>
  <c r="BW148" i="1"/>
  <c r="AU46" i="1"/>
  <c r="BY226" i="1"/>
  <c r="BI203" i="1"/>
  <c r="BJ203" i="1" s="1"/>
  <c r="M224" i="1"/>
  <c r="N224" i="1"/>
  <c r="BY30" i="1"/>
  <c r="BV153" i="1"/>
  <c r="BU157" i="1"/>
  <c r="AW46" i="1"/>
  <c r="AT46" i="1"/>
  <c r="BF157" i="1"/>
  <c r="BX225" i="1"/>
  <c r="AW187" i="1"/>
  <c r="AT153" i="1"/>
  <c r="AT157" i="1" s="1"/>
  <c r="AS157" i="1"/>
  <c r="BP198" i="1"/>
  <c r="AZ202" i="1"/>
  <c r="BJ198" i="1"/>
  <c r="AR198" i="1"/>
  <c r="AR163" i="1" s="1"/>
  <c r="BS203" i="1"/>
  <c r="BT203" i="1" s="1"/>
  <c r="AX198" i="1"/>
  <c r="AX163" i="1" s="1"/>
  <c r="AP202" i="1"/>
  <c r="BR198" i="1"/>
  <c r="AP198" i="1"/>
  <c r="AY205" i="1"/>
  <c r="AZ199" i="1"/>
  <c r="AZ164" i="1" s="1"/>
  <c r="BJ202" i="1"/>
  <c r="AR199" i="1"/>
  <c r="AR164" i="1" s="1"/>
  <c r="BX198" i="1"/>
  <c r="BX163" i="1" s="1"/>
  <c r="L218" i="1"/>
  <c r="G218" i="1"/>
  <c r="G232" i="1" s="1"/>
  <c r="U218" i="1"/>
  <c r="BO30" i="1"/>
  <c r="BC46" i="1"/>
  <c r="AI46" i="1"/>
  <c r="J218" i="1"/>
  <c r="K218" i="1"/>
  <c r="O218" i="1"/>
  <c r="O232" i="1" s="1"/>
  <c r="AT30" i="1"/>
  <c r="BC35" i="1"/>
  <c r="AQ31" i="1"/>
  <c r="BF52" i="1"/>
  <c r="AM226" i="1"/>
  <c r="AM224" i="1" s="1"/>
  <c r="AQ207" i="1"/>
  <c r="AP46" i="1"/>
  <c r="AM71" i="1"/>
  <c r="BW225" i="1"/>
  <c r="F218" i="1"/>
  <c r="BS46" i="1"/>
  <c r="BE31" i="1"/>
  <c r="BF31" i="1"/>
  <c r="AZ46" i="1"/>
  <c r="BD52" i="1"/>
  <c r="BF46" i="1"/>
  <c r="BS30" i="1"/>
  <c r="BW268" i="1"/>
  <c r="CY6" i="1"/>
  <c r="BX268" i="1"/>
  <c r="BY225" i="1"/>
  <c r="BC176" i="1"/>
  <c r="X253" i="1"/>
  <c r="X67" i="1"/>
  <c r="X61" i="1"/>
  <c r="X264" i="1" s="1"/>
  <c r="X62" i="1"/>
  <c r="CI212" i="1"/>
  <c r="CI214" i="1" s="1"/>
  <c r="CI71" i="1"/>
  <c r="CI85" i="1"/>
  <c r="CL88" i="1" s="1"/>
  <c r="AU268" i="1"/>
  <c r="DA6" i="1"/>
  <c r="CZ6" i="1"/>
  <c r="BU205" i="1"/>
  <c r="D71" i="1"/>
  <c r="D212" i="1"/>
  <c r="D214" i="1" s="1"/>
  <c r="D218" i="1" s="1"/>
  <c r="D85" i="1"/>
  <c r="D73" i="1"/>
  <c r="D226" i="1"/>
  <c r="D224" i="1" s="1"/>
  <c r="AY148" i="1"/>
  <c r="Y62" i="1"/>
  <c r="Y61" i="1"/>
  <c r="Y264" i="1" s="1"/>
  <c r="Y67" i="1"/>
  <c r="Y253" i="1"/>
  <c r="H212" i="1"/>
  <c r="H214" i="1" s="1"/>
  <c r="H218" i="1" s="1"/>
  <c r="H71" i="1"/>
  <c r="H226" i="1"/>
  <c r="H224" i="1" s="1"/>
  <c r="H73" i="1"/>
  <c r="N218" i="1"/>
  <c r="BW46" i="1"/>
  <c r="AX164" i="1"/>
  <c r="BQ47" i="1"/>
  <c r="BQ53" i="1" s="1"/>
  <c r="BH164" i="1"/>
  <c r="AY46" i="1"/>
  <c r="AY187" i="1"/>
  <c r="AT31" i="1"/>
  <c r="Q218" i="1"/>
  <c r="BB244" i="1"/>
  <c r="BW31" i="1"/>
  <c r="M218" i="1"/>
  <c r="M232" i="1" s="1"/>
  <c r="BT35" i="1"/>
  <c r="BB207" i="1"/>
  <c r="BF207" i="1"/>
  <c r="BA30" i="1"/>
  <c r="BX207" i="1"/>
  <c r="BA203" i="1"/>
  <c r="BB203" i="1" s="1"/>
  <c r="AW37" i="1"/>
  <c r="AU205" i="1"/>
  <c r="BX30" i="1"/>
  <c r="BQ244" i="1"/>
  <c r="BW207" i="1"/>
  <c r="AY268" i="1"/>
  <c r="CB207" i="1"/>
  <c r="AY225" i="1"/>
  <c r="BF244" i="1"/>
  <c r="BE30" i="1"/>
  <c r="AS244" i="1"/>
  <c r="BQ36" i="1"/>
  <c r="AZ31" i="1"/>
  <c r="AY200" i="1"/>
  <c r="AZ200" i="1" s="1"/>
  <c r="BQ203" i="1"/>
  <c r="BR203" i="1" s="1"/>
  <c r="BW203" i="1"/>
  <c r="BX203" i="1" s="1"/>
  <c r="BG203" i="1"/>
  <c r="BH203" i="1" s="1"/>
  <c r="BH204" i="1" s="1"/>
  <c r="BY207" i="1"/>
  <c r="BT46" i="1"/>
  <c r="BS31" i="1"/>
  <c r="BN46" i="1"/>
  <c r="CA207" i="1"/>
  <c r="AZ244" i="1"/>
  <c r="AZ207" i="1"/>
  <c r="BG31" i="1"/>
  <c r="AU244" i="1"/>
  <c r="BR46" i="1"/>
  <c r="BO157" i="1"/>
  <c r="BO222" i="1" s="1"/>
  <c r="BO220" i="1" s="1"/>
  <c r="T77" i="1"/>
  <c r="AS47" i="1"/>
  <c r="BB31" i="1"/>
  <c r="BH31" i="1"/>
  <c r="BR30" i="1"/>
  <c r="BA244" i="1"/>
  <c r="BI244" i="1"/>
  <c r="BF35" i="1"/>
  <c r="BA31" i="1"/>
  <c r="BJ207" i="1"/>
  <c r="BC30" i="1"/>
  <c r="BP153" i="1"/>
  <c r="BP157" i="1" s="1"/>
  <c r="CK226" i="1"/>
  <c r="CK224" i="1" s="1"/>
  <c r="CJ73" i="1"/>
  <c r="CJ111" i="1"/>
  <c r="CJ226" i="1"/>
  <c r="CJ224" i="1" s="1"/>
  <c r="CJ148" i="1"/>
  <c r="CJ74" i="1" s="1"/>
  <c r="BP36" i="1"/>
  <c r="BC268" i="1"/>
  <c r="BL30" i="1"/>
  <c r="BJ244" i="1"/>
  <c r="BH35" i="1"/>
  <c r="BX31" i="1"/>
  <c r="AS30" i="1"/>
  <c r="BO31" i="1"/>
  <c r="BN35" i="1"/>
  <c r="AS46" i="1"/>
  <c r="AY31" i="1"/>
  <c r="BA46" i="1"/>
  <c r="BM148" i="1"/>
  <c r="BO203" i="1"/>
  <c r="BP203" i="1" s="1"/>
  <c r="BP204" i="1" s="1"/>
  <c r="X77" i="1"/>
  <c r="BQ268" i="1"/>
  <c r="BE200" i="1"/>
  <c r="BF200" i="1" s="1"/>
  <c r="AY244" i="1"/>
  <c r="BE175" i="1"/>
  <c r="BE204" i="1" s="1"/>
  <c r="BE203" i="1" s="1"/>
  <c r="BF203" i="1" s="1"/>
  <c r="BZ212" i="1"/>
  <c r="BZ214" i="1" s="1"/>
  <c r="CC73" i="1"/>
  <c r="BZ71" i="1"/>
  <c r="BZ138" i="1"/>
  <c r="BZ139" i="1" s="1"/>
  <c r="CI226" i="1"/>
  <c r="CI224" i="1" s="1"/>
  <c r="CH111" i="1"/>
  <c r="CH73" i="1"/>
  <c r="CH226" i="1"/>
  <c r="CH224" i="1" s="1"/>
  <c r="CH229" i="1" s="1"/>
  <c r="CH148" i="1"/>
  <c r="CH74" i="1" s="1"/>
  <c r="AT164" i="1"/>
  <c r="AV46" i="1"/>
  <c r="AT225" i="1"/>
  <c r="U77" i="1"/>
  <c r="AK226" i="1"/>
  <c r="AK224" i="1" s="1"/>
  <c r="AJ148" i="1"/>
  <c r="AJ226" i="1"/>
  <c r="AJ224" i="1" s="1"/>
  <c r="CE122" i="1"/>
  <c r="CE123" i="1"/>
  <c r="CE121" i="1"/>
  <c r="CQ202" i="1"/>
  <c r="CP204" i="1"/>
  <c r="BI205" i="1"/>
  <c r="CD71" i="1"/>
  <c r="CD138" i="1"/>
  <c r="CD139" i="1" s="1"/>
  <c r="CD212" i="1"/>
  <c r="CD214" i="1" s="1"/>
  <c r="CG73" i="1"/>
  <c r="CF71" i="1"/>
  <c r="CF212" i="1"/>
  <c r="CF214" i="1" s="1"/>
  <c r="CF138" i="1"/>
  <c r="CF139" i="1" s="1"/>
  <c r="CI73" i="1"/>
  <c r="CF85" i="1"/>
  <c r="BY212" i="1"/>
  <c r="BY214" i="1" s="1"/>
  <c r="BY71" i="1"/>
  <c r="CA73" i="1"/>
  <c r="CD85" i="1"/>
  <c r="CD126" i="1"/>
  <c r="CD127" i="1"/>
  <c r="CD118" i="1"/>
  <c r="CE113" i="1"/>
  <c r="CE115" i="1"/>
  <c r="CE114" i="1"/>
  <c r="CB83" i="1"/>
  <c r="CC84" i="1"/>
  <c r="Z73" i="1"/>
  <c r="Z226" i="1"/>
  <c r="Z224" i="1" s="1"/>
  <c r="Z71" i="1"/>
  <c r="Z212" i="1"/>
  <c r="Z214" i="1" s="1"/>
  <c r="Z218" i="1" s="1"/>
  <c r="Z232" i="1" s="1"/>
  <c r="BD164" i="1"/>
  <c r="CE73" i="1"/>
  <c r="CB138" i="1"/>
  <c r="CB139" i="1" s="1"/>
  <c r="CB71" i="1"/>
  <c r="CB212" i="1"/>
  <c r="CB214" i="1" s="1"/>
  <c r="BQ148" i="1"/>
  <c r="AS203" i="1"/>
  <c r="AT203" i="1" s="1"/>
  <c r="AT204" i="1" s="1"/>
  <c r="AS148" i="1"/>
  <c r="BA187" i="1"/>
  <c r="BB268" i="1"/>
  <c r="BA200" i="1"/>
  <c r="BB200" i="1" s="1"/>
  <c r="AS187" i="1"/>
  <c r="BM157" i="1"/>
  <c r="BN222" i="1" s="1"/>
  <c r="BN220" i="1" s="1"/>
  <c r="BC157" i="1"/>
  <c r="AW176" i="1"/>
  <c r="AU200" i="1"/>
  <c r="AV200" i="1" s="1"/>
  <c r="BI200" i="1"/>
  <c r="BJ200" i="1" s="1"/>
  <c r="BQ225" i="1"/>
  <c r="AY176" i="1"/>
  <c r="BO52" i="1"/>
  <c r="AU187" i="1"/>
  <c r="BC205" i="1"/>
  <c r="AT268" i="1"/>
  <c r="BB225" i="1"/>
  <c r="BQ38" i="1"/>
  <c r="BQ30" i="1"/>
  <c r="V77" i="1"/>
  <c r="BD30" i="1"/>
  <c r="AV31" i="1"/>
  <c r="BP47" i="1"/>
  <c r="BP53" i="1" s="1"/>
  <c r="BP57" i="1" s="1"/>
  <c r="BI207" i="1"/>
  <c r="AO268" i="1"/>
  <c r="BD163" i="1"/>
  <c r="BV202" i="1"/>
  <c r="BU176" i="1"/>
  <c r="AQ176" i="1"/>
  <c r="AV225" i="1"/>
  <c r="BP268" i="1"/>
  <c r="BR244" i="1"/>
  <c r="AO148" i="1"/>
  <c r="BT30" i="1"/>
  <c r="BG244" i="1"/>
  <c r="BE207" i="1"/>
  <c r="BC200" i="1"/>
  <c r="BD200" i="1" s="1"/>
  <c r="BD201" i="1" s="1"/>
  <c r="AO187" i="1"/>
  <c r="BO205" i="1"/>
  <c r="BM200" i="1"/>
  <c r="BN200" i="1" s="1"/>
  <c r="BI31" i="1"/>
  <c r="AZ30" i="1"/>
  <c r="BW35" i="1"/>
  <c r="AT244" i="1"/>
  <c r="AP31" i="1"/>
  <c r="BZ30" i="1"/>
  <c r="BT207" i="1"/>
  <c r="AS31" i="1"/>
  <c r="AU225" i="1"/>
  <c r="AP244" i="1"/>
  <c r="BS207" i="1"/>
  <c r="BP164" i="1"/>
  <c r="AU148" i="1"/>
  <c r="BZ207" i="1"/>
  <c r="AW203" i="1"/>
  <c r="AX203" i="1" s="1"/>
  <c r="BP207" i="1"/>
  <c r="BX148" i="1"/>
  <c r="BA207" i="1"/>
  <c r="BR31" i="1"/>
  <c r="BH30" i="1"/>
  <c r="BP31" i="1"/>
  <c r="BD207" i="1"/>
  <c r="AV244" i="1"/>
  <c r="BT244" i="1"/>
  <c r="AW244" i="1"/>
  <c r="BO148" i="1"/>
  <c r="BV30" i="1"/>
  <c r="BO207" i="1"/>
  <c r="AO35" i="1"/>
  <c r="BD244" i="1"/>
  <c r="BH244" i="1"/>
  <c r="AV207" i="1"/>
  <c r="BD47" i="1"/>
  <c r="BD53" i="1" s="1"/>
  <c r="BD57" i="1" s="1"/>
  <c r="AW268" i="1"/>
  <c r="BK244" i="1"/>
  <c r="BH46" i="1"/>
  <c r="BA37" i="1"/>
  <c r="BH163" i="1"/>
  <c r="AV164" i="1"/>
  <c r="BN52" i="1"/>
  <c r="BQ31" i="1"/>
  <c r="BO187" i="1"/>
  <c r="AV30" i="1"/>
  <c r="AV35" i="1"/>
  <c r="BP30" i="1"/>
  <c r="BH207" i="1"/>
  <c r="AW207" i="1"/>
  <c r="BD31" i="1"/>
  <c r="AO31" i="1"/>
  <c r="BX244" i="1"/>
  <c r="BW244" i="1"/>
  <c r="BE244" i="1"/>
  <c r="BP46" i="1"/>
  <c r="BV35" i="1"/>
  <c r="AW225" i="1"/>
  <c r="AV268" i="1"/>
  <c r="BS244" i="1"/>
  <c r="BQ46" i="1"/>
  <c r="BV164" i="1"/>
  <c r="BO200" i="1"/>
  <c r="BP200" i="1" s="1"/>
  <c r="BE148" i="1"/>
  <c r="BO176" i="1"/>
  <c r="BE268" i="1"/>
  <c r="BE187" i="1"/>
  <c r="BI176" i="1"/>
  <c r="BN199" i="1"/>
  <c r="BN164" i="1" s="1"/>
  <c r="BC187" i="1"/>
  <c r="BE225" i="1"/>
  <c r="AS176" i="1"/>
  <c r="BW157" i="1"/>
  <c r="BX153" i="1"/>
  <c r="AQ201" i="1"/>
  <c r="AQ205" i="1" s="1"/>
  <c r="BC225" i="1"/>
  <c r="BV207" i="1"/>
  <c r="AT207" i="1"/>
  <c r="BA47" i="1"/>
  <c r="BA48" i="1" s="1"/>
  <c r="BV31" i="1"/>
  <c r="BC148" i="1"/>
  <c r="BU207" i="1"/>
  <c r="BU35" i="1"/>
  <c r="BY37" i="1" s="1"/>
  <c r="BU46" i="1"/>
  <c r="BM244" i="1"/>
  <c r="BN244" i="1"/>
  <c r="BM207" i="1"/>
  <c r="AS201" i="1"/>
  <c r="AS200" i="1" s="1"/>
  <c r="AT200" i="1" s="1"/>
  <c r="AT201" i="1" s="1"/>
  <c r="BN31" i="1"/>
  <c r="BP225" i="1"/>
  <c r="AU203" i="1"/>
  <c r="AV203" i="1" s="1"/>
  <c r="AX207" i="1"/>
  <c r="AW205" i="1"/>
  <c r="BA176" i="1"/>
  <c r="BA184" i="1" s="1"/>
  <c r="BW176" i="1"/>
  <c r="BJ36" i="1"/>
  <c r="BM46" i="1"/>
  <c r="BP244" i="1"/>
  <c r="BO244" i="1"/>
  <c r="BD268" i="1"/>
  <c r="BU200" i="1"/>
  <c r="BV200" i="1" s="1"/>
  <c r="BV201" i="1" s="1"/>
  <c r="BQ207" i="1"/>
  <c r="BR207" i="1"/>
  <c r="W77" i="1"/>
  <c r="AW30" i="1"/>
  <c r="BV244" i="1"/>
  <c r="BM30" i="1"/>
  <c r="BU244" i="1"/>
  <c r="BS187" i="1"/>
  <c r="BU30" i="1"/>
  <c r="BM35" i="1"/>
  <c r="BM38" i="1" s="1"/>
  <c r="BN207" i="1"/>
  <c r="BU31" i="1"/>
  <c r="AS207" i="1"/>
  <c r="BD46" i="1"/>
  <c r="S77" i="1"/>
  <c r="AU176" i="1"/>
  <c r="AT38" i="1"/>
  <c r="BL144" i="1"/>
  <c r="BL147" i="1" s="1"/>
  <c r="BK147" i="1"/>
  <c r="BM204" i="1"/>
  <c r="BM176" i="1"/>
  <c r="BD157" i="1"/>
  <c r="BE52" i="1"/>
  <c r="AR202" i="1"/>
  <c r="AR172" i="1" s="1"/>
  <c r="AR175" i="1" s="1"/>
  <c r="AQ203" i="1"/>
  <c r="AR203" i="1" s="1"/>
  <c r="D263" i="1"/>
  <c r="D185" i="1"/>
  <c r="B263" i="1"/>
  <c r="B185" i="1"/>
  <c r="BQ200" i="1"/>
  <c r="BR200" i="1" s="1"/>
  <c r="BQ205" i="1"/>
  <c r="BQ176" i="1"/>
  <c r="AC159" i="1"/>
  <c r="CT159" i="1"/>
  <c r="CR147" i="1"/>
  <c r="CS143" i="1"/>
  <c r="CS198" i="1"/>
  <c r="CQ200" i="1"/>
  <c r="CP201" i="1"/>
  <c r="CT82" i="1"/>
  <c r="CS84" i="1"/>
  <c r="BZ82" i="1"/>
  <c r="CS221" i="1"/>
  <c r="CQ268" i="1"/>
  <c r="CQ225" i="1"/>
  <c r="AW200" i="1"/>
  <c r="AX200" i="1" s="1"/>
  <c r="AT172" i="1"/>
  <c r="AT175" i="1" s="1"/>
  <c r="BB157" i="1"/>
  <c r="BC52" i="1"/>
  <c r="BP172" i="1"/>
  <c r="BP175" i="1" s="1"/>
  <c r="BF172" i="1"/>
  <c r="BF175" i="1" s="1"/>
  <c r="BV163" i="1"/>
  <c r="BH172" i="1"/>
  <c r="BH175" i="1" s="1"/>
  <c r="AZ163" i="1"/>
  <c r="AT163" i="1"/>
  <c r="BR172" i="1"/>
  <c r="BR175" i="1" s="1"/>
  <c r="BT172" i="1"/>
  <c r="BT175" i="1" s="1"/>
  <c r="AN222" i="1"/>
  <c r="AN220" i="1" s="1"/>
  <c r="AM74" i="1"/>
  <c r="I208" i="1"/>
  <c r="I209" i="1" s="1"/>
  <c r="J208" i="1"/>
  <c r="J209" i="1" s="1"/>
  <c r="AM73" i="1"/>
  <c r="R208" i="1"/>
  <c r="R209" i="1" s="1"/>
  <c r="AX52" i="1"/>
  <c r="H208" i="1"/>
  <c r="H209" i="1" s="1"/>
  <c r="BR47" i="1"/>
  <c r="BR38" i="1"/>
  <c r="BR36" i="1"/>
  <c r="AR52" i="1"/>
  <c r="K208" i="1"/>
  <c r="K209" i="1" s="1"/>
  <c r="BR52" i="1"/>
  <c r="BB52" i="1"/>
  <c r="BX52" i="1"/>
  <c r="AV52" i="1"/>
  <c r="BJ52" i="1"/>
  <c r="BJ60" i="1"/>
  <c r="BJ59" i="1"/>
  <c r="F208" i="1"/>
  <c r="F209" i="1" s="1"/>
  <c r="G208" i="1"/>
  <c r="G209" i="1" s="1"/>
  <c r="AB225" i="1"/>
  <c r="BL202" i="1" l="1"/>
  <c r="BG176" i="1"/>
  <c r="BL157" i="1"/>
  <c r="BL167" i="1"/>
  <c r="BG205" i="1"/>
  <c r="BG200" i="1"/>
  <c r="BH200" i="1" s="1"/>
  <c r="BH201" i="1" s="1"/>
  <c r="BM52" i="1"/>
  <c r="JZ21" i="4"/>
  <c r="KH16" i="4"/>
  <c r="AO205" i="1"/>
  <c r="BS268" i="1"/>
  <c r="AO200" i="1"/>
  <c r="AP200" i="1" s="1"/>
  <c r="BK176" i="1"/>
  <c r="BS205" i="1"/>
  <c r="AO176" i="1"/>
  <c r="BS176" i="1"/>
  <c r="BL52" i="1"/>
  <c r="BK157" i="1"/>
  <c r="BK201" i="1"/>
  <c r="BK200" i="1" s="1"/>
  <c r="BL200" i="1" s="1"/>
  <c r="BL201" i="1" s="1"/>
  <c r="BI36" i="1"/>
  <c r="BS225" i="1"/>
  <c r="BT164" i="1"/>
  <c r="BJ38" i="1"/>
  <c r="AS38" i="1"/>
  <c r="AV201" i="1"/>
  <c r="BR268" i="1"/>
  <c r="BR225" i="1"/>
  <c r="S218" i="1"/>
  <c r="S229" i="1" s="1"/>
  <c r="S230" i="1" s="1"/>
  <c r="AV163" i="1"/>
  <c r="CO5" i="1"/>
  <c r="CO7" i="1" s="1"/>
  <c r="CO27" i="1" s="1"/>
  <c r="CN9" i="1"/>
  <c r="AR157" i="1"/>
  <c r="BB201" i="1"/>
  <c r="BT268" i="1"/>
  <c r="BU268" i="1"/>
  <c r="BU225" i="1"/>
  <c r="BT225" i="1"/>
  <c r="BE37" i="1"/>
  <c r="AQ52" i="1"/>
  <c r="AS52" i="1"/>
  <c r="BB163" i="1"/>
  <c r="BN172" i="1"/>
  <c r="BN175" i="1" s="1"/>
  <c r="AO220" i="1"/>
  <c r="C232" i="1"/>
  <c r="AP222" i="1"/>
  <c r="AP220" i="1" s="1"/>
  <c r="BI37" i="1"/>
  <c r="AV37" i="1"/>
  <c r="L232" i="1"/>
  <c r="CO8" i="1"/>
  <c r="AR47" i="1"/>
  <c r="AR48" i="1" s="1"/>
  <c r="BE47" i="1"/>
  <c r="BE38" i="1"/>
  <c r="BC184" i="1"/>
  <c r="AQ184" i="1"/>
  <c r="AQ185" i="1" s="1"/>
  <c r="BN268" i="1"/>
  <c r="BG225" i="1"/>
  <c r="AZ225" i="1"/>
  <c r="BJ269" i="1"/>
  <c r="AS225" i="1"/>
  <c r="BA225" i="1"/>
  <c r="E229" i="1"/>
  <c r="E230" i="1" s="1"/>
  <c r="V232" i="1"/>
  <c r="BH157" i="1"/>
  <c r="BH222" i="1" s="1"/>
  <c r="BH220" i="1" s="1"/>
  <c r="BI52" i="1"/>
  <c r="BQ184" i="1"/>
  <c r="BT222" i="1"/>
  <c r="BT220" i="1" s="1"/>
  <c r="AT48" i="1"/>
  <c r="AT53" i="1"/>
  <c r="AT57" i="1" s="1"/>
  <c r="V229" i="1"/>
  <c r="V230" i="1" s="1"/>
  <c r="E232" i="1"/>
  <c r="AT251" i="1"/>
  <c r="AT252" i="1" s="1"/>
  <c r="BI48" i="1"/>
  <c r="BI251" i="1"/>
  <c r="BI252" i="1" s="1"/>
  <c r="BI53" i="1"/>
  <c r="BI57" i="1" s="1"/>
  <c r="BJ50" i="1"/>
  <c r="T232" i="1"/>
  <c r="AZ222" i="1"/>
  <c r="AZ220" i="1" s="1"/>
  <c r="BE36" i="1"/>
  <c r="BV204" i="1"/>
  <c r="BO47" i="1"/>
  <c r="BO251" i="1" s="1"/>
  <c r="BO252" i="1" s="1"/>
  <c r="BX167" i="1"/>
  <c r="BX176" i="1" s="1"/>
  <c r="G229" i="1"/>
  <c r="G230" i="1" s="1"/>
  <c r="AU47" i="1"/>
  <c r="AU50" i="1" s="1"/>
  <c r="AY37" i="1"/>
  <c r="AU36" i="1"/>
  <c r="BT38" i="1"/>
  <c r="BH268" i="1"/>
  <c r="BN225" i="1"/>
  <c r="AS268" i="1"/>
  <c r="AR268" i="1"/>
  <c r="BS36" i="1"/>
  <c r="BW37" i="1"/>
  <c r="V78" i="1"/>
  <c r="BP38" i="1"/>
  <c r="BA185" i="1"/>
  <c r="BA52" i="1"/>
  <c r="BL204" i="1"/>
  <c r="BJ157" i="1"/>
  <c r="BK52" i="1"/>
  <c r="BR157" i="1"/>
  <c r="BS222" i="1" s="1"/>
  <c r="BS220" i="1" s="1"/>
  <c r="BS52" i="1"/>
  <c r="AY52" i="1"/>
  <c r="AX157" i="1"/>
  <c r="AY222" i="1" s="1"/>
  <c r="AY220" i="1" s="1"/>
  <c r="AZ47" i="1"/>
  <c r="BA268" i="1"/>
  <c r="BG268" i="1"/>
  <c r="BH225" i="1"/>
  <c r="AZ268" i="1"/>
  <c r="CJ88" i="1"/>
  <c r="CK88" i="1"/>
  <c r="BS47" i="1"/>
  <c r="BN163" i="1"/>
  <c r="BI268" i="1"/>
  <c r="BW200" i="1"/>
  <c r="BX200" i="1" s="1"/>
  <c r="AO38" i="1"/>
  <c r="BO268" i="1"/>
  <c r="BW38" i="1"/>
  <c r="BF268" i="1"/>
  <c r="BG184" i="1"/>
  <c r="BG185" i="1" s="1"/>
  <c r="BJ172" i="1"/>
  <c r="BJ175" i="1" s="1"/>
  <c r="BR163" i="1"/>
  <c r="BR167" i="1" s="1"/>
  <c r="AU184" i="1"/>
  <c r="AO184" i="1"/>
  <c r="BU222" i="1"/>
  <c r="BU220" i="1" s="1"/>
  <c r="AS222" i="1"/>
  <c r="AS220" i="1" s="1"/>
  <c r="N229" i="1"/>
  <c r="N230" i="1" s="1"/>
  <c r="BV157" i="1"/>
  <c r="BV222" i="1" s="1"/>
  <c r="BV220" i="1" s="1"/>
  <c r="BW52" i="1"/>
  <c r="AV157" i="1"/>
  <c r="AW52" i="1"/>
  <c r="BE222" i="1"/>
  <c r="BE220" i="1" s="1"/>
  <c r="AP36" i="1"/>
  <c r="AP47" i="1"/>
  <c r="BD204" i="1"/>
  <c r="R78" i="1"/>
  <c r="BU52" i="1"/>
  <c r="AX201" i="1"/>
  <c r="AJ201" i="1"/>
  <c r="AV172" i="1"/>
  <c r="AV175" i="1" s="1"/>
  <c r="AP201" i="1"/>
  <c r="AZ172" i="1"/>
  <c r="AZ175" i="1" s="1"/>
  <c r="AJ163" i="1"/>
  <c r="AJ167" i="1" s="1"/>
  <c r="BD172" i="1"/>
  <c r="BD175" i="1" s="1"/>
  <c r="BT201" i="1"/>
  <c r="AX204" i="1"/>
  <c r="AN167" i="1"/>
  <c r="AN176" i="1" s="1"/>
  <c r="AJ204" i="1"/>
  <c r="BT163" i="1"/>
  <c r="BL172" i="1"/>
  <c r="BL175" i="1" s="1"/>
  <c r="AJ172" i="1"/>
  <c r="AJ175" i="1" s="1"/>
  <c r="AJ216" i="1" s="1"/>
  <c r="BB172" i="1"/>
  <c r="BB175" i="1" s="1"/>
  <c r="I229" i="1"/>
  <c r="I230" i="1" s="1"/>
  <c r="O229" i="1"/>
  <c r="O230" i="1" s="1"/>
  <c r="AU37" i="1"/>
  <c r="BG36" i="1"/>
  <c r="BG47" i="1"/>
  <c r="AN47" i="1"/>
  <c r="AN37" i="1"/>
  <c r="AR37" i="1"/>
  <c r="AN38" i="1"/>
  <c r="AN36" i="1"/>
  <c r="BW47" i="1"/>
  <c r="AY48" i="1"/>
  <c r="AY251" i="1"/>
  <c r="AY252" i="1" s="1"/>
  <c r="AY53" i="1"/>
  <c r="AY57" i="1" s="1"/>
  <c r="BG222" i="1"/>
  <c r="BG220" i="1" s="1"/>
  <c r="BF222" i="1"/>
  <c r="BF220" i="1" s="1"/>
  <c r="BP60" i="1"/>
  <c r="BP59" i="1"/>
  <c r="AR225" i="1"/>
  <c r="AW148" i="1"/>
  <c r="BC37" i="1"/>
  <c r="BB204" i="1"/>
  <c r="BF163" i="1"/>
  <c r="BO225" i="1"/>
  <c r="AP268" i="1"/>
  <c r="AY184" i="1"/>
  <c r="AY185" i="1" s="1"/>
  <c r="BF225" i="1"/>
  <c r="AT37" i="1"/>
  <c r="AP225" i="1"/>
  <c r="BP201" i="1"/>
  <c r="BW205" i="1"/>
  <c r="BI184" i="1"/>
  <c r="BI185" i="1" s="1"/>
  <c r="AS184" i="1"/>
  <c r="AV204" i="1"/>
  <c r="J232" i="1"/>
  <c r="U232" i="1"/>
  <c r="AR167" i="1"/>
  <c r="S78" i="1"/>
  <c r="AP38" i="1"/>
  <c r="F232" i="1"/>
  <c r="BD37" i="1"/>
  <c r="AZ38" i="1"/>
  <c r="AZ36" i="1"/>
  <c r="BA38" i="1"/>
  <c r="I232" i="1"/>
  <c r="C229" i="1"/>
  <c r="C230" i="1" s="1"/>
  <c r="U229" i="1"/>
  <c r="U230" i="1" s="1"/>
  <c r="J229" i="1"/>
  <c r="J230" i="1" s="1"/>
  <c r="BK47" i="1"/>
  <c r="BL245" i="1" s="1"/>
  <c r="AW48" i="1"/>
  <c r="K229" i="1"/>
  <c r="K230" i="1" s="1"/>
  <c r="BL38" i="1"/>
  <c r="AW251" i="1"/>
  <c r="AW252" i="1" s="1"/>
  <c r="AW53" i="1"/>
  <c r="AW57" i="1" s="1"/>
  <c r="BK38" i="1"/>
  <c r="B108" i="1"/>
  <c r="BS38" i="1"/>
  <c r="BO37" i="1"/>
  <c r="P229" i="1"/>
  <c r="P230" i="1" s="1"/>
  <c r="C105" i="1"/>
  <c r="C89" i="1"/>
  <c r="C104" i="1"/>
  <c r="R229" i="1"/>
  <c r="R230" i="1" s="1"/>
  <c r="T229" i="1"/>
  <c r="T230" i="1" s="1"/>
  <c r="AQ38" i="1"/>
  <c r="BB37" i="1"/>
  <c r="AX38" i="1"/>
  <c r="AX36" i="1"/>
  <c r="AX37" i="1"/>
  <c r="AX47" i="1"/>
  <c r="BG37" i="1"/>
  <c r="BK37" i="1"/>
  <c r="AT222" i="1"/>
  <c r="AT220" i="1" s="1"/>
  <c r="AY38" i="1"/>
  <c r="AQ47" i="1"/>
  <c r="AQ37" i="1"/>
  <c r="AQ36" i="1"/>
  <c r="AR38" i="1"/>
  <c r="BB36" i="1"/>
  <c r="BB47" i="1"/>
  <c r="BB38" i="1"/>
  <c r="R232" i="1"/>
  <c r="N78" i="1"/>
  <c r="AI47" i="1"/>
  <c r="AM37" i="1"/>
  <c r="AI36" i="1"/>
  <c r="AJ38" i="1"/>
  <c r="AQ225" i="1"/>
  <c r="BD167" i="1"/>
  <c r="BU184" i="1"/>
  <c r="BU185" i="1" s="1"/>
  <c r="BE176" i="1"/>
  <c r="BE184" i="1" s="1"/>
  <c r="BH167" i="1"/>
  <c r="AZ204" i="1"/>
  <c r="AS48" i="1"/>
  <c r="BR201" i="1"/>
  <c r="AS205" i="1"/>
  <c r="BD48" i="1"/>
  <c r="BJ204" i="1"/>
  <c r="AP204" i="1"/>
  <c r="AW184" i="1"/>
  <c r="BF204" i="1"/>
  <c r="AU52" i="1"/>
  <c r="L229" i="1"/>
  <c r="L230" i="1" s="1"/>
  <c r="BS184" i="1"/>
  <c r="BS185" i="1" s="1"/>
  <c r="BY224" i="1"/>
  <c r="T78" i="1"/>
  <c r="AX167" i="1"/>
  <c r="AX176" i="1" s="1"/>
  <c r="AP163" i="1"/>
  <c r="AP167" i="1" s="1"/>
  <c r="AP172" i="1"/>
  <c r="AP175" i="1" s="1"/>
  <c r="BJ201" i="1"/>
  <c r="AZ201" i="1"/>
  <c r="BR204" i="1"/>
  <c r="BT204" i="1"/>
  <c r="BD251" i="1"/>
  <c r="BD252" i="1" s="1"/>
  <c r="BX204" i="1"/>
  <c r="BJ163" i="1"/>
  <c r="BJ167" i="1" s="1"/>
  <c r="BP163" i="1"/>
  <c r="BF201" i="1"/>
  <c r="AZ167" i="1"/>
  <c r="AT167" i="1"/>
  <c r="BC38" i="1"/>
  <c r="BC36" i="1"/>
  <c r="BC47" i="1"/>
  <c r="F229" i="1"/>
  <c r="F230" i="1" s="1"/>
  <c r="M229" i="1"/>
  <c r="M230" i="1" s="1"/>
  <c r="BD38" i="1"/>
  <c r="BA251" i="1"/>
  <c r="BA252" i="1" s="1"/>
  <c r="BA53" i="1"/>
  <c r="BA57" i="1" s="1"/>
  <c r="BA49" i="1"/>
  <c r="BQ251" i="1"/>
  <c r="BQ252" i="1" s="1"/>
  <c r="BQ48" i="1"/>
  <c r="BQ57" i="1"/>
  <c r="BF47" i="1"/>
  <c r="BF38" i="1"/>
  <c r="BJ37" i="1"/>
  <c r="BF36" i="1"/>
  <c r="K232" i="1"/>
  <c r="N232" i="1"/>
  <c r="BH47" i="1"/>
  <c r="BH36" i="1"/>
  <c r="BL37" i="1"/>
  <c r="BH37" i="1"/>
  <c r="BN37" i="1"/>
  <c r="BR37" i="1"/>
  <c r="BN47" i="1"/>
  <c r="BN36" i="1"/>
  <c r="BO38" i="1"/>
  <c r="BG38" i="1"/>
  <c r="BH38" i="1"/>
  <c r="AV47" i="1"/>
  <c r="AV36" i="1"/>
  <c r="BT37" i="1"/>
  <c r="Q232" i="1"/>
  <c r="BI38" i="1"/>
  <c r="AO37" i="1"/>
  <c r="BF37" i="1"/>
  <c r="Q229" i="1"/>
  <c r="Q230" i="1" s="1"/>
  <c r="CL104" i="1"/>
  <c r="CL105" i="1"/>
  <c r="CL106" i="1"/>
  <c r="X73" i="1"/>
  <c r="X212" i="1"/>
  <c r="X214" i="1" s="1"/>
  <c r="X71" i="1"/>
  <c r="H232" i="1"/>
  <c r="H229" i="1"/>
  <c r="H230" i="1" s="1"/>
  <c r="D232" i="1"/>
  <c r="D229" i="1"/>
  <c r="D230" i="1" s="1"/>
  <c r="Y71" i="1"/>
  <c r="Y226" i="1"/>
  <c r="Y224" i="1" s="1"/>
  <c r="Y73" i="1"/>
  <c r="Y212" i="1"/>
  <c r="Y214" i="1" s="1"/>
  <c r="Y218" i="1" s="1"/>
  <c r="Y232" i="1" s="1"/>
  <c r="D87" i="1"/>
  <c r="D88" i="1"/>
  <c r="AW38" i="1"/>
  <c r="BQ269" i="1"/>
  <c r="BQ270" i="1" s="1"/>
  <c r="Z229" i="1"/>
  <c r="Z230" i="1" s="1"/>
  <c r="BP222" i="1"/>
  <c r="BP220" i="1" s="1"/>
  <c r="BX37" i="1"/>
  <c r="BP251" i="1"/>
  <c r="BP252" i="1" s="1"/>
  <c r="BT47" i="1"/>
  <c r="BT36" i="1"/>
  <c r="CP205" i="1"/>
  <c r="BO184" i="1"/>
  <c r="AZ37" i="1"/>
  <c r="AV38" i="1"/>
  <c r="BP49" i="1"/>
  <c r="CJ114" i="1"/>
  <c r="CJ115" i="1"/>
  <c r="CJ113" i="1"/>
  <c r="X78" i="1"/>
  <c r="AS53" i="1"/>
  <c r="AS57" i="1" s="1"/>
  <c r="AS60" i="1" s="1"/>
  <c r="AS251" i="1"/>
  <c r="AS252" i="1" s="1"/>
  <c r="AT50" i="1"/>
  <c r="BX38" i="1"/>
  <c r="BV36" i="1"/>
  <c r="CA37" i="1"/>
  <c r="AT269" i="1"/>
  <c r="AT270" i="1" s="1"/>
  <c r="BZ37" i="1"/>
  <c r="AW49" i="1"/>
  <c r="AO36" i="1"/>
  <c r="BV47" i="1"/>
  <c r="BQ52" i="1"/>
  <c r="AS37" i="1"/>
  <c r="AO47" i="1"/>
  <c r="BC222" i="1"/>
  <c r="BC220" i="1" s="1"/>
  <c r="BE205" i="1"/>
  <c r="CI88" i="1"/>
  <c r="CI105" i="1" s="1"/>
  <c r="CH88" i="1"/>
  <c r="CL89" i="1" s="1"/>
  <c r="CG88" i="1"/>
  <c r="CD122" i="1"/>
  <c r="CD121" i="1"/>
  <c r="CD123" i="1"/>
  <c r="CH113" i="1"/>
  <c r="CH115" i="1"/>
  <c r="CH114" i="1"/>
  <c r="CG226" i="1"/>
  <c r="CG224" i="1" s="1"/>
  <c r="CF111" i="1"/>
  <c r="CF226" i="1"/>
  <c r="CF224" i="1" s="1"/>
  <c r="CF148" i="1"/>
  <c r="CF74" i="1" s="1"/>
  <c r="CF73" i="1"/>
  <c r="CB148" i="1"/>
  <c r="CB74" i="1" s="1"/>
  <c r="CB73" i="1"/>
  <c r="CB226" i="1"/>
  <c r="CB224" i="1" s="1"/>
  <c r="CC226" i="1"/>
  <c r="CC224" i="1" s="1"/>
  <c r="CR202" i="1"/>
  <c r="CQ204" i="1"/>
  <c r="BZ148" i="1"/>
  <c r="BZ226" i="1"/>
  <c r="BZ224" i="1" s="1"/>
  <c r="CA226" i="1"/>
  <c r="CA224" i="1" s="1"/>
  <c r="CC85" i="1"/>
  <c r="CF88" i="1" s="1"/>
  <c r="CC126" i="1"/>
  <c r="CC118" i="1"/>
  <c r="CC111" i="1"/>
  <c r="CC127" i="1"/>
  <c r="CA83" i="1"/>
  <c r="CB84" i="1"/>
  <c r="CE226" i="1"/>
  <c r="CE224" i="1" s="1"/>
  <c r="CD148" i="1"/>
  <c r="CD74" i="1" s="1"/>
  <c r="CD73" i="1"/>
  <c r="CD111" i="1"/>
  <c r="CD226" i="1"/>
  <c r="CD224" i="1" s="1"/>
  <c r="CH179" i="1"/>
  <c r="CH180" i="1" s="1"/>
  <c r="CH230" i="1" s="1"/>
  <c r="AT205" i="1"/>
  <c r="BM184" i="1"/>
  <c r="BM185" i="1" s="1"/>
  <c r="AQ200" i="1"/>
  <c r="AR200" i="1" s="1"/>
  <c r="AR201" i="1" s="1"/>
  <c r="BV167" i="1"/>
  <c r="BV172" i="1"/>
  <c r="BV175" i="1" s="1"/>
  <c r="U78" i="1"/>
  <c r="BV37" i="1"/>
  <c r="BM37" i="1"/>
  <c r="BQ37" i="1"/>
  <c r="BM36" i="1"/>
  <c r="BW184" i="1"/>
  <c r="BW185" i="1" s="1"/>
  <c r="BW36" i="1"/>
  <c r="BP48" i="1"/>
  <c r="BN201" i="1"/>
  <c r="BQ50" i="1"/>
  <c r="BV38" i="1"/>
  <c r="BY52" i="1"/>
  <c r="BX157" i="1"/>
  <c r="BU47" i="1"/>
  <c r="BU53" i="1" s="1"/>
  <c r="BU57" i="1" s="1"/>
  <c r="BU36" i="1"/>
  <c r="BK268" i="1"/>
  <c r="BK225" i="1"/>
  <c r="BK187" i="1"/>
  <c r="BK148" i="1"/>
  <c r="BM47" i="1"/>
  <c r="BU37" i="1"/>
  <c r="BL225" i="1"/>
  <c r="BM268" i="1"/>
  <c r="BM225" i="1"/>
  <c r="BL268" i="1"/>
  <c r="BL148" i="1"/>
  <c r="BU38" i="1"/>
  <c r="W78" i="1"/>
  <c r="BN38" i="1"/>
  <c r="AR204" i="1"/>
  <c r="BM205" i="1"/>
  <c r="BM203" i="1"/>
  <c r="BN203" i="1" s="1"/>
  <c r="BN204" i="1" s="1"/>
  <c r="BH205" i="1"/>
  <c r="BL222" i="1"/>
  <c r="BL220" i="1" s="1"/>
  <c r="BY82" i="1"/>
  <c r="CU159" i="1"/>
  <c r="CV159" i="1" s="1"/>
  <c r="CT84" i="1"/>
  <c r="CU82" i="1"/>
  <c r="AC143" i="1"/>
  <c r="CT143" i="1"/>
  <c r="CS147" i="1"/>
  <c r="AC221" i="1"/>
  <c r="CR200" i="1"/>
  <c r="CQ201" i="1"/>
  <c r="CT198" i="1"/>
  <c r="CR268" i="1"/>
  <c r="CR225" i="1"/>
  <c r="CT221" i="1"/>
  <c r="BD222" i="1"/>
  <c r="BD220" i="1" s="1"/>
  <c r="BR269" i="1"/>
  <c r="BR270" i="1" s="1"/>
  <c r="BR48" i="1"/>
  <c r="BR50" i="1"/>
  <c r="BR251" i="1"/>
  <c r="BR252" i="1" s="1"/>
  <c r="BR53" i="1"/>
  <c r="AR222" i="1"/>
  <c r="AR220" i="1" s="1"/>
  <c r="AQ222" i="1"/>
  <c r="AQ220" i="1" s="1"/>
  <c r="BB222" i="1"/>
  <c r="BB220" i="1" s="1"/>
  <c r="BA222" i="1"/>
  <c r="BA220" i="1" s="1"/>
  <c r="BQ222" i="1"/>
  <c r="BQ220" i="1" s="1"/>
  <c r="AU222" i="1"/>
  <c r="AU220" i="1" s="1"/>
  <c r="BJ253" i="1"/>
  <c r="BJ61" i="1"/>
  <c r="BJ264" i="1" s="1"/>
  <c r="BJ67" i="1"/>
  <c r="BJ138" i="1" s="1"/>
  <c r="BJ139" i="1" s="1"/>
  <c r="BD59" i="1"/>
  <c r="BD60" i="1"/>
  <c r="BM222" i="1" l="1"/>
  <c r="BM220" i="1" s="1"/>
  <c r="AV167" i="1"/>
  <c r="BK205" i="1"/>
  <c r="S232" i="1"/>
  <c r="KH21" i="4"/>
  <c r="JQ9" i="4"/>
  <c r="JR9" i="4" s="1"/>
  <c r="KC16" i="4" s="1"/>
  <c r="BK184" i="1"/>
  <c r="CP5" i="1"/>
  <c r="AB8" i="1"/>
  <c r="AS269" i="1"/>
  <c r="BB167" i="1"/>
  <c r="BE50" i="1"/>
  <c r="BE53" i="1"/>
  <c r="BE57" i="1" s="1"/>
  <c r="BE48" i="1"/>
  <c r="BE251" i="1"/>
  <c r="BE252" i="1" s="1"/>
  <c r="BE269" i="1"/>
  <c r="BQ185" i="1"/>
  <c r="BE49" i="1"/>
  <c r="BI59" i="1"/>
  <c r="AT60" i="1"/>
  <c r="BI222" i="1"/>
  <c r="BI220" i="1" s="1"/>
  <c r="BI60" i="1"/>
  <c r="AT59" i="1"/>
  <c r="BC185" i="1"/>
  <c r="BS245" i="1"/>
  <c r="BI49" i="1"/>
  <c r="CP7" i="1"/>
  <c r="CP27" i="1" s="1"/>
  <c r="AW59" i="1"/>
  <c r="AW60" i="1"/>
  <c r="AR251" i="1"/>
  <c r="AR252" i="1" s="1"/>
  <c r="AR53" i="1"/>
  <c r="AR57" i="1" s="1"/>
  <c r="BO48" i="1"/>
  <c r="BT269" i="1"/>
  <c r="BJ270" i="1"/>
  <c r="AS50" i="1"/>
  <c r="BS49" i="1"/>
  <c r="BO53" i="1"/>
  <c r="BO57" i="1" s="1"/>
  <c r="BA269" i="1"/>
  <c r="BA270" i="1" s="1"/>
  <c r="BA50" i="1"/>
  <c r="BD49" i="1"/>
  <c r="BP269" i="1"/>
  <c r="BP270" i="1" s="1"/>
  <c r="BP50" i="1"/>
  <c r="BV205" i="1"/>
  <c r="BZ208" i="1" s="1"/>
  <c r="BJ222" i="1"/>
  <c r="BJ220" i="1" s="1"/>
  <c r="BR131" i="1"/>
  <c r="AW185" i="1"/>
  <c r="V79" i="1"/>
  <c r="BS53" i="1"/>
  <c r="CK106" i="1"/>
  <c r="CK104" i="1"/>
  <c r="CK105" i="1"/>
  <c r="AS270" i="1"/>
  <c r="CJ106" i="1"/>
  <c r="CJ104" i="1"/>
  <c r="CJ105" i="1"/>
  <c r="BL205" i="1"/>
  <c r="BR176" i="1"/>
  <c r="BB205" i="1"/>
  <c r="BH176" i="1"/>
  <c r="AU131" i="1"/>
  <c r="AU245" i="1"/>
  <c r="AU48" i="1"/>
  <c r="BK53" i="1"/>
  <c r="BK57" i="1" s="1"/>
  <c r="AU251" i="1"/>
  <c r="AU252" i="1" s="1"/>
  <c r="BK251" i="1"/>
  <c r="BK252" i="1" s="1"/>
  <c r="AY49" i="1"/>
  <c r="AU269" i="1"/>
  <c r="AU270" i="1" s="1"/>
  <c r="AU53" i="1"/>
  <c r="AU57" i="1" s="1"/>
  <c r="AU60" i="1" s="1"/>
  <c r="AX222" i="1"/>
  <c r="AX220" i="1" s="1"/>
  <c r="BR245" i="1"/>
  <c r="BR222" i="1"/>
  <c r="BR220" i="1" s="1"/>
  <c r="AN245" i="1"/>
  <c r="AR49" i="1"/>
  <c r="AN131" i="1"/>
  <c r="AN49" i="1"/>
  <c r="AX269" i="1"/>
  <c r="AX270" i="1" s="1"/>
  <c r="BW251" i="1"/>
  <c r="BW252" i="1" s="1"/>
  <c r="BX50" i="1"/>
  <c r="BW48" i="1"/>
  <c r="BZ131" i="1"/>
  <c r="BZ245" i="1"/>
  <c r="BW53" i="1"/>
  <c r="CA49" i="1"/>
  <c r="BX269" i="1"/>
  <c r="BX270" i="1" s="1"/>
  <c r="AY59" i="1"/>
  <c r="AY60" i="1"/>
  <c r="BP61" i="1"/>
  <c r="BP264" i="1" s="1"/>
  <c r="BP253" i="1"/>
  <c r="BP62" i="1"/>
  <c r="BP67" i="1"/>
  <c r="BP138" i="1" s="1"/>
  <c r="BP139" i="1" s="1"/>
  <c r="AZ269" i="1"/>
  <c r="AZ50" i="1"/>
  <c r="BK222" i="1"/>
  <c r="BK220" i="1" s="1"/>
  <c r="BT167" i="1"/>
  <c r="BF167" i="1"/>
  <c r="AS185" i="1"/>
  <c r="CK89" i="1"/>
  <c r="AO185" i="1"/>
  <c r="AR176" i="1"/>
  <c r="BS50" i="1"/>
  <c r="AT49" i="1"/>
  <c r="AU185" i="1"/>
  <c r="BE185" i="1"/>
  <c r="BD205" i="1"/>
  <c r="BJ205" i="1"/>
  <c r="AP48" i="1"/>
  <c r="AP49" i="1"/>
  <c r="AP251" i="1"/>
  <c r="AP252" i="1" s="1"/>
  <c r="AP53" i="1"/>
  <c r="AP57" i="1" s="1"/>
  <c r="AZ205" i="1"/>
  <c r="BR205" i="1"/>
  <c r="BD176" i="1"/>
  <c r="AP205" i="1"/>
  <c r="AV205" i="1"/>
  <c r="BP205" i="1"/>
  <c r="AX205" i="1"/>
  <c r="BW222" i="1"/>
  <c r="BW220" i="1" s="1"/>
  <c r="BL269" i="1"/>
  <c r="BL50" i="1"/>
  <c r="BO49" i="1"/>
  <c r="BK269" i="1"/>
  <c r="BK48" i="1"/>
  <c r="BS269" i="1"/>
  <c r="BS270" i="1" s="1"/>
  <c r="BL131" i="1"/>
  <c r="BK49" i="1"/>
  <c r="BS131" i="1"/>
  <c r="AW222" i="1"/>
  <c r="AW220" i="1" s="1"/>
  <c r="AV222" i="1"/>
  <c r="AV220" i="1" s="1"/>
  <c r="BX201" i="1"/>
  <c r="BN167" i="1"/>
  <c r="BN176" i="1" s="1"/>
  <c r="AZ48" i="1"/>
  <c r="AZ251" i="1"/>
  <c r="AZ252" i="1" s="1"/>
  <c r="AZ53" i="1"/>
  <c r="AZ57" i="1" s="1"/>
  <c r="AS131" i="1"/>
  <c r="BS48" i="1"/>
  <c r="BS251" i="1"/>
  <c r="BS252" i="1" s="1"/>
  <c r="AV176" i="1"/>
  <c r="BL176" i="1"/>
  <c r="AP50" i="1"/>
  <c r="BJ176" i="1"/>
  <c r="BF205" i="1"/>
  <c r="AT176" i="1"/>
  <c r="BC49" i="1"/>
  <c r="BC251" i="1"/>
  <c r="BC252" i="1" s="1"/>
  <c r="BK50" i="1"/>
  <c r="X79" i="1"/>
  <c r="AJ205" i="1"/>
  <c r="AJ176" i="1"/>
  <c r="AJ215" i="1"/>
  <c r="AJ217" i="1" s="1"/>
  <c r="AJ218" i="1" s="1"/>
  <c r="BV48" i="1"/>
  <c r="AU49" i="1"/>
  <c r="AQ269" i="1"/>
  <c r="AQ270" i="1" s="1"/>
  <c r="AQ50" i="1"/>
  <c r="AS245" i="1"/>
  <c r="BF50" i="1"/>
  <c r="BF269" i="1"/>
  <c r="BF270" i="1" s="1"/>
  <c r="BF251" i="1"/>
  <c r="BF252" i="1" s="1"/>
  <c r="BJ49" i="1"/>
  <c r="BF53" i="1"/>
  <c r="BF57" i="1" s="1"/>
  <c r="AO53" i="1"/>
  <c r="AO57" i="1" s="1"/>
  <c r="AO59" i="1" s="1"/>
  <c r="AO49" i="1"/>
  <c r="AO48" i="1"/>
  <c r="BA131" i="1"/>
  <c r="BG48" i="1"/>
  <c r="BG53" i="1"/>
  <c r="BG251" i="1"/>
  <c r="BG252" i="1" s="1"/>
  <c r="BW49" i="1"/>
  <c r="AN269" i="1"/>
  <c r="AN270" i="1" s="1"/>
  <c r="AN53" i="1"/>
  <c r="AO245" i="1"/>
  <c r="AN50" i="1"/>
  <c r="AN48" i="1"/>
  <c r="AN251" i="1"/>
  <c r="AN252" i="1" s="1"/>
  <c r="AO131" i="1"/>
  <c r="AO50" i="1"/>
  <c r="BW50" i="1"/>
  <c r="BY131" i="1"/>
  <c r="BY245" i="1"/>
  <c r="AO251" i="1"/>
  <c r="AO252" i="1" s="1"/>
  <c r="AO269" i="1"/>
  <c r="AO270" i="1" s="1"/>
  <c r="AS49" i="1"/>
  <c r="BN269" i="1"/>
  <c r="BN270" i="1" s="1"/>
  <c r="S79" i="1"/>
  <c r="AS59" i="1"/>
  <c r="BT205" i="1"/>
  <c r="AP176" i="1"/>
  <c r="BA245" i="1"/>
  <c r="R79" i="1"/>
  <c r="T79" i="1"/>
  <c r="BD50" i="1"/>
  <c r="BV176" i="1"/>
  <c r="BK131" i="1"/>
  <c r="AZ176" i="1"/>
  <c r="BT245" i="1"/>
  <c r="BC53" i="1"/>
  <c r="BC57" i="1" s="1"/>
  <c r="BC59" i="1" s="1"/>
  <c r="AV50" i="1"/>
  <c r="AW131" i="1"/>
  <c r="AV269" i="1"/>
  <c r="AV270" i="1" s="1"/>
  <c r="BF48" i="1"/>
  <c r="AX245" i="1"/>
  <c r="AX131" i="1"/>
  <c r="AY131" i="1"/>
  <c r="AY245" i="1"/>
  <c r="AY50" i="1"/>
  <c r="AY269" i="1"/>
  <c r="AY270" i="1" s="1"/>
  <c r="AZ131" i="1"/>
  <c r="BT131" i="1"/>
  <c r="BT50" i="1"/>
  <c r="BK245" i="1"/>
  <c r="AV131" i="1"/>
  <c r="BD245" i="1"/>
  <c r="BC131" i="1"/>
  <c r="BC245" i="1"/>
  <c r="BB245" i="1"/>
  <c r="AV53" i="1"/>
  <c r="AZ49" i="1"/>
  <c r="AV48" i="1"/>
  <c r="AV251" i="1"/>
  <c r="AV252" i="1" s="1"/>
  <c r="AW269" i="1"/>
  <c r="AW270" i="1" s="1"/>
  <c r="AW50" i="1"/>
  <c r="BH245" i="1"/>
  <c r="BG131" i="1"/>
  <c r="BJ131" i="1"/>
  <c r="BG269" i="1"/>
  <c r="BG270" i="1" s="1"/>
  <c r="BI245" i="1"/>
  <c r="BI131" i="1"/>
  <c r="BH131" i="1"/>
  <c r="BJ245" i="1"/>
  <c r="BH50" i="1"/>
  <c r="BG245" i="1"/>
  <c r="BG50" i="1"/>
  <c r="BL49" i="1"/>
  <c r="BH48" i="1"/>
  <c r="BH53" i="1"/>
  <c r="BH57" i="1" s="1"/>
  <c r="BH251" i="1"/>
  <c r="BH252" i="1" s="1"/>
  <c r="BH269" i="1"/>
  <c r="BH270" i="1" s="1"/>
  <c r="BH49" i="1"/>
  <c r="BI269" i="1"/>
  <c r="BI270" i="1" s="1"/>
  <c r="BI50" i="1"/>
  <c r="BN53" i="1"/>
  <c r="BR49" i="1"/>
  <c r="BQ131" i="1"/>
  <c r="BN48" i="1"/>
  <c r="BO50" i="1"/>
  <c r="BN251" i="1"/>
  <c r="BN252" i="1" s="1"/>
  <c r="BO269" i="1"/>
  <c r="BO270" i="1" s="1"/>
  <c r="BN49" i="1"/>
  <c r="BP131" i="1"/>
  <c r="BQ245" i="1"/>
  <c r="AX251" i="1"/>
  <c r="AX252" i="1" s="1"/>
  <c r="AX49" i="1"/>
  <c r="BB49" i="1"/>
  <c r="AZ245" i="1"/>
  <c r="AX53" i="1"/>
  <c r="AX50" i="1"/>
  <c r="AX48" i="1"/>
  <c r="BB53" i="1"/>
  <c r="BF49" i="1"/>
  <c r="BB251" i="1"/>
  <c r="BB252" i="1" s="1"/>
  <c r="BB131" i="1"/>
  <c r="BD131" i="1"/>
  <c r="BB48" i="1"/>
  <c r="BB269" i="1"/>
  <c r="BB270" i="1" s="1"/>
  <c r="BB50" i="1"/>
  <c r="BW269" i="1"/>
  <c r="BW270" i="1" s="1"/>
  <c r="BC269" i="1"/>
  <c r="BC270" i="1" s="1"/>
  <c r="BE245" i="1"/>
  <c r="BE131" i="1"/>
  <c r="AQ48" i="1"/>
  <c r="AT245" i="1"/>
  <c r="AQ251" i="1"/>
  <c r="AQ252" i="1" s="1"/>
  <c r="AQ53" i="1"/>
  <c r="AQ49" i="1"/>
  <c r="AR50" i="1"/>
  <c r="AR269" i="1"/>
  <c r="AR270" i="1" s="1"/>
  <c r="AT131" i="1"/>
  <c r="AR131" i="1"/>
  <c r="BT53" i="1"/>
  <c r="BT48" i="1"/>
  <c r="BX49" i="1"/>
  <c r="BU50" i="1"/>
  <c r="BT251" i="1"/>
  <c r="BT252" i="1" s="1"/>
  <c r="BT49" i="1"/>
  <c r="AV49" i="1"/>
  <c r="BQ59" i="1"/>
  <c r="BQ60" i="1"/>
  <c r="BA60" i="1"/>
  <c r="BA59" i="1"/>
  <c r="AL131" i="1"/>
  <c r="AJ50" i="1"/>
  <c r="AI251" i="1"/>
  <c r="AI252" i="1" s="1"/>
  <c r="AL245" i="1"/>
  <c r="N79" i="1"/>
  <c r="AI53" i="1"/>
  <c r="AM49" i="1"/>
  <c r="AI48" i="1"/>
  <c r="BP167" i="1"/>
  <c r="BP176" i="1" s="1"/>
  <c r="BO185" i="1"/>
  <c r="AV245" i="1"/>
  <c r="AW245" i="1"/>
  <c r="BC48" i="1"/>
  <c r="BC50" i="1"/>
  <c r="BG49" i="1"/>
  <c r="BD269" i="1"/>
  <c r="BD270" i="1" s="1"/>
  <c r="BF245" i="1"/>
  <c r="BV53" i="1"/>
  <c r="BV57" i="1" s="1"/>
  <c r="BV60" i="1" s="1"/>
  <c r="BX245" i="1"/>
  <c r="BV49" i="1"/>
  <c r="BZ49" i="1"/>
  <c r="BV251" i="1"/>
  <c r="BV252" i="1" s="1"/>
  <c r="BF131" i="1"/>
  <c r="AQ245" i="1"/>
  <c r="AQ131" i="1"/>
  <c r="AR245" i="1"/>
  <c r="AP245" i="1"/>
  <c r="AP269" i="1"/>
  <c r="AP270" i="1" s="1"/>
  <c r="AP131" i="1"/>
  <c r="Y229" i="1"/>
  <c r="Y230" i="1" s="1"/>
  <c r="D104" i="1"/>
  <c r="C108" i="1"/>
  <c r="D106" i="1"/>
  <c r="D105" i="1"/>
  <c r="D89" i="1"/>
  <c r="BW245" i="1"/>
  <c r="CQ205" i="1"/>
  <c r="BU131" i="1"/>
  <c r="CI106" i="1"/>
  <c r="BW131" i="1"/>
  <c r="BV50" i="1"/>
  <c r="CI104" i="1"/>
  <c r="BM131" i="1"/>
  <c r="CG105" i="1"/>
  <c r="CG106" i="1"/>
  <c r="CG104" i="1"/>
  <c r="CH105" i="1"/>
  <c r="CH104" i="1"/>
  <c r="CH106" i="1"/>
  <c r="AR205" i="1"/>
  <c r="AR208" i="1" s="1"/>
  <c r="BN205" i="1"/>
  <c r="CB111" i="1"/>
  <c r="CB126" i="1"/>
  <c r="CB127" i="1"/>
  <c r="CB85" i="1"/>
  <c r="CE88" i="1" s="1"/>
  <c r="CB118" i="1"/>
  <c r="BZ83" i="1"/>
  <c r="CA84" i="1"/>
  <c r="CH184" i="1"/>
  <c r="CH185" i="1" s="1"/>
  <c r="CH267" i="1"/>
  <c r="CH263" i="1"/>
  <c r="CH265" i="1"/>
  <c r="CH187" i="1"/>
  <c r="CI228" i="1"/>
  <c r="CC115" i="1"/>
  <c r="CC114" i="1"/>
  <c r="CC113" i="1"/>
  <c r="CR204" i="1"/>
  <c r="CS202" i="1"/>
  <c r="CD113" i="1"/>
  <c r="CD115" i="1"/>
  <c r="CD114" i="1"/>
  <c r="CC121" i="1"/>
  <c r="CC122" i="1"/>
  <c r="CC123" i="1"/>
  <c r="CF113" i="1"/>
  <c r="CF115" i="1"/>
  <c r="CF114" i="1"/>
  <c r="CF106" i="1"/>
  <c r="CF105" i="1"/>
  <c r="CJ89" i="1"/>
  <c r="CF104" i="1"/>
  <c r="BU60" i="1"/>
  <c r="BU67" i="1" s="1"/>
  <c r="BU59" i="1"/>
  <c r="BV131" i="1"/>
  <c r="BU269" i="1"/>
  <c r="BU270" i="1" s="1"/>
  <c r="BO245" i="1"/>
  <c r="BP245" i="1"/>
  <c r="BM245" i="1"/>
  <c r="BO131" i="1"/>
  <c r="BV245" i="1"/>
  <c r="BX131" i="1"/>
  <c r="BU49" i="1"/>
  <c r="BU48" i="1"/>
  <c r="BU251" i="1"/>
  <c r="BU252" i="1" s="1"/>
  <c r="BY222" i="1"/>
  <c r="BY220" i="1" s="1"/>
  <c r="BX222" i="1"/>
  <c r="BX220" i="1" s="1"/>
  <c r="BV269" i="1"/>
  <c r="BV270" i="1" s="1"/>
  <c r="BY49" i="1"/>
  <c r="W79" i="1"/>
  <c r="BM269" i="1"/>
  <c r="BM270" i="1" s="1"/>
  <c r="BM49" i="1"/>
  <c r="BQ49" i="1"/>
  <c r="BM50" i="1"/>
  <c r="BM48" i="1"/>
  <c r="BM53" i="1"/>
  <c r="BM57" i="1" s="1"/>
  <c r="BM251" i="1"/>
  <c r="BM252" i="1" s="1"/>
  <c r="U79" i="1"/>
  <c r="BN245" i="1"/>
  <c r="BN50" i="1"/>
  <c r="BN131" i="1"/>
  <c r="AS67" i="1"/>
  <c r="AS253" i="1"/>
  <c r="AS61" i="1"/>
  <c r="AS264" i="1" s="1"/>
  <c r="CV82" i="1"/>
  <c r="CU84" i="1"/>
  <c r="CV221" i="1"/>
  <c r="CW159" i="1"/>
  <c r="CS200" i="1"/>
  <c r="CR201" i="1"/>
  <c r="CU221" i="1"/>
  <c r="CS268" i="1"/>
  <c r="CS225" i="1"/>
  <c r="CU198" i="1"/>
  <c r="CT147" i="1"/>
  <c r="CU143" i="1"/>
  <c r="BX82" i="1"/>
  <c r="BJ148" i="1"/>
  <c r="BR57" i="1"/>
  <c r="BJ71" i="1"/>
  <c r="BJ212" i="1"/>
  <c r="BJ214" i="1" s="1"/>
  <c r="BP212" i="1"/>
  <c r="BP214" i="1" s="1"/>
  <c r="BP71" i="1"/>
  <c r="BD67" i="1"/>
  <c r="BD138" i="1" s="1"/>
  <c r="BD139" i="1" s="1"/>
  <c r="BD253" i="1"/>
  <c r="BD61" i="1"/>
  <c r="BD264" i="1" s="1"/>
  <c r="BK185" i="1" l="1"/>
  <c r="AC5" i="1"/>
  <c r="AB11" i="1"/>
  <c r="BE270" i="1"/>
  <c r="BE60" i="1"/>
  <c r="BE59" i="1"/>
  <c r="BB176" i="1"/>
  <c r="AR60" i="1"/>
  <c r="AR59" i="1"/>
  <c r="BL74" i="1"/>
  <c r="BI61" i="1"/>
  <c r="BI264" i="1" s="1"/>
  <c r="BJ63" i="1"/>
  <c r="BI253" i="1"/>
  <c r="BI67" i="1"/>
  <c r="AT67" i="1"/>
  <c r="AT253" i="1"/>
  <c r="AT61" i="1"/>
  <c r="AT264" i="1" s="1"/>
  <c r="AT63" i="1"/>
  <c r="AU63" i="1"/>
  <c r="AW67" i="1"/>
  <c r="AW253" i="1"/>
  <c r="AW61" i="1"/>
  <c r="AW264" i="1" s="1"/>
  <c r="AW62" i="1"/>
  <c r="BO60" i="1"/>
  <c r="BO59" i="1"/>
  <c r="BT270" i="1"/>
  <c r="CK109" i="1"/>
  <c r="BL208" i="1"/>
  <c r="CL109" i="1"/>
  <c r="AU61" i="1"/>
  <c r="AU264" i="1" s="1"/>
  <c r="AU253" i="1"/>
  <c r="AU67" i="1"/>
  <c r="CP8" i="1"/>
  <c r="CQ5" i="1" s="1"/>
  <c r="BF176" i="1"/>
  <c r="BS57" i="1"/>
  <c r="BH208" i="1"/>
  <c r="AX208" i="1"/>
  <c r="BK60" i="1"/>
  <c r="BK63" i="1" s="1"/>
  <c r="BK59" i="1"/>
  <c r="AY62" i="1"/>
  <c r="AY253" i="1"/>
  <c r="AU59" i="1"/>
  <c r="BZ74" i="1"/>
  <c r="BW57" i="1"/>
  <c r="AY67" i="1"/>
  <c r="AY61" i="1"/>
  <c r="AY264" i="1" s="1"/>
  <c r="BP148" i="1"/>
  <c r="AX57" i="1"/>
  <c r="BB57" i="1"/>
  <c r="BA62" i="1"/>
  <c r="AZ270" i="1"/>
  <c r="BT176" i="1"/>
  <c r="BD208" i="1"/>
  <c r="BL270" i="1"/>
  <c r="BA253" i="1"/>
  <c r="BA61" i="1"/>
  <c r="BA264" i="1" s="1"/>
  <c r="BA67" i="1"/>
  <c r="BX205" i="1"/>
  <c r="CB208" i="1" s="1"/>
  <c r="BK270" i="1"/>
  <c r="AP59" i="1"/>
  <c r="AP60" i="1"/>
  <c r="AP67" i="1" s="1"/>
  <c r="AP138" i="1" s="1"/>
  <c r="AP139" i="1" s="1"/>
  <c r="BJ208" i="1"/>
  <c r="AZ208" i="1"/>
  <c r="BP208" i="1"/>
  <c r="AT208" i="1"/>
  <c r="AP208" i="1"/>
  <c r="BB208" i="1"/>
  <c r="BF208" i="1"/>
  <c r="BV208" i="1"/>
  <c r="BN57" i="1"/>
  <c r="BH60" i="1"/>
  <c r="BI63" i="1" s="1"/>
  <c r="BH59" i="1"/>
  <c r="BT57" i="1"/>
  <c r="BQ63" i="1"/>
  <c r="BQ61" i="1"/>
  <c r="BQ264" i="1" s="1"/>
  <c r="BQ67" i="1"/>
  <c r="BQ253" i="1"/>
  <c r="AZ59" i="1"/>
  <c r="AZ60" i="1"/>
  <c r="BJ74" i="1"/>
  <c r="AJ232" i="1"/>
  <c r="AJ229" i="1"/>
  <c r="BF59" i="1"/>
  <c r="BF60" i="1"/>
  <c r="AO60" i="1"/>
  <c r="AQ57" i="1"/>
  <c r="AS74" i="1"/>
  <c r="AN57" i="1"/>
  <c r="BG57" i="1"/>
  <c r="BE74" i="1"/>
  <c r="BT208" i="1"/>
  <c r="BC60" i="1"/>
  <c r="BC62" i="1" s="1"/>
  <c r="AV57" i="1"/>
  <c r="AI57" i="1"/>
  <c r="AL74" i="1"/>
  <c r="BR208" i="1"/>
  <c r="BN208" i="1"/>
  <c r="BU253" i="1"/>
  <c r="BV61" i="1"/>
  <c r="BV264" i="1" s="1"/>
  <c r="BU61" i="1"/>
  <c r="BU264" i="1" s="1"/>
  <c r="BV59" i="1"/>
  <c r="BV67" i="1"/>
  <c r="BV138" i="1" s="1"/>
  <c r="BV139" i="1" s="1"/>
  <c r="BV253" i="1"/>
  <c r="BZ62" i="1"/>
  <c r="BX74" i="1"/>
  <c r="BY74" i="1"/>
  <c r="BU62" i="1"/>
  <c r="CJ109" i="1"/>
  <c r="AV208" i="1"/>
  <c r="CI109" i="1"/>
  <c r="CR205" i="1"/>
  <c r="BY62" i="1"/>
  <c r="BV63" i="1"/>
  <c r="CA127" i="1"/>
  <c r="CA118" i="1"/>
  <c r="CA111" i="1"/>
  <c r="CA85" i="1"/>
  <c r="CD88" i="1" s="1"/>
  <c r="CA126" i="1"/>
  <c r="BY83" i="1"/>
  <c r="BZ84" i="1"/>
  <c r="CB122" i="1"/>
  <c r="CB123" i="1"/>
  <c r="CB121" i="1"/>
  <c r="CH128" i="1"/>
  <c r="CI56" i="1"/>
  <c r="CI89" i="1"/>
  <c r="CE104" i="1"/>
  <c r="CE106" i="1"/>
  <c r="CE105" i="1"/>
  <c r="CH109" i="1" s="1"/>
  <c r="CT202" i="1"/>
  <c r="CS204" i="1"/>
  <c r="CB113" i="1"/>
  <c r="CB114" i="1"/>
  <c r="CB115" i="1"/>
  <c r="BM60" i="1"/>
  <c r="BM59" i="1"/>
  <c r="AS71" i="1"/>
  <c r="AS212" i="1"/>
  <c r="AS214" i="1" s="1"/>
  <c r="CV143" i="1"/>
  <c r="CU147" i="1"/>
  <c r="CT268" i="1"/>
  <c r="CT225" i="1"/>
  <c r="AD159" i="1"/>
  <c r="AD221" i="1" s="1"/>
  <c r="CX159" i="1"/>
  <c r="CV84" i="1"/>
  <c r="CW82" i="1"/>
  <c r="CW221" i="1"/>
  <c r="BW82" i="1"/>
  <c r="CV198" i="1"/>
  <c r="CT200" i="1"/>
  <c r="CS201" i="1"/>
  <c r="BD148" i="1"/>
  <c r="BD74" i="1" s="1"/>
  <c r="BR60" i="1"/>
  <c r="BR59" i="1"/>
  <c r="BU212" i="1"/>
  <c r="BU214" i="1" s="1"/>
  <c r="BU71" i="1"/>
  <c r="BD226" i="1"/>
  <c r="BD224" i="1" s="1"/>
  <c r="BD71" i="1"/>
  <c r="BD212" i="1"/>
  <c r="BD214" i="1" s="1"/>
  <c r="AC147" i="1"/>
  <c r="AC268" i="1" s="1"/>
  <c r="BE63" i="1" l="1"/>
  <c r="BE62" i="1"/>
  <c r="AU246" i="1"/>
  <c r="BE253" i="1"/>
  <c r="BE67" i="1"/>
  <c r="BE61" i="1"/>
  <c r="BE264" i="1" s="1"/>
  <c r="AS63" i="1"/>
  <c r="AR61" i="1"/>
  <c r="AR264" i="1" s="1"/>
  <c r="AR67" i="1"/>
  <c r="AR138" i="1" s="1"/>
  <c r="AR139" i="1" s="1"/>
  <c r="AR253" i="1"/>
  <c r="BI62" i="1"/>
  <c r="AT138" i="1"/>
  <c r="AT139" i="1" s="1"/>
  <c r="AT226" i="1" s="1"/>
  <c r="AT224" i="1" s="1"/>
  <c r="AT212" i="1"/>
  <c r="AT214" i="1" s="1"/>
  <c r="AW212" i="1"/>
  <c r="AW214" i="1" s="1"/>
  <c r="BI212" i="1"/>
  <c r="BI214" i="1" s="1"/>
  <c r="AT71" i="1"/>
  <c r="BI71" i="1"/>
  <c r="AW71" i="1"/>
  <c r="BO67" i="1"/>
  <c r="BP63" i="1"/>
  <c r="BO253" i="1"/>
  <c r="BO61" i="1"/>
  <c r="BO264" i="1" s="1"/>
  <c r="AU71" i="1"/>
  <c r="AU212" i="1"/>
  <c r="AU214" i="1" s="1"/>
  <c r="CQ7" i="1"/>
  <c r="CQ27" i="1" s="1"/>
  <c r="BS59" i="1"/>
  <c r="BS60" i="1"/>
  <c r="BS62" i="1" s="1"/>
  <c r="BK67" i="1"/>
  <c r="BK71" i="1" s="1"/>
  <c r="BO62" i="1"/>
  <c r="BK253" i="1"/>
  <c r="BL63" i="1"/>
  <c r="BK61" i="1"/>
  <c r="BK264" i="1" s="1"/>
  <c r="BL246" i="1"/>
  <c r="BM246" i="1"/>
  <c r="BP74" i="1"/>
  <c r="BW60" i="1"/>
  <c r="X80" i="1" s="1"/>
  <c r="BW59" i="1"/>
  <c r="AX60" i="1"/>
  <c r="AY212" i="1"/>
  <c r="AY214" i="1" s="1"/>
  <c r="AY71" i="1"/>
  <c r="BX208" i="1"/>
  <c r="BA212" i="1"/>
  <c r="BA214" i="1" s="1"/>
  <c r="AX59" i="1"/>
  <c r="BB60" i="1"/>
  <c r="BB59" i="1"/>
  <c r="BA71" i="1"/>
  <c r="AP253" i="1"/>
  <c r="AS62" i="1"/>
  <c r="AO61" i="1"/>
  <c r="AO264" i="1" s="1"/>
  <c r="AO253" i="1"/>
  <c r="AP212" i="1"/>
  <c r="AP214" i="1" s="1"/>
  <c r="AP71" i="1"/>
  <c r="AP63" i="1"/>
  <c r="AT62" i="1"/>
  <c r="AP62" i="1"/>
  <c r="AP61" i="1"/>
  <c r="AP264" i="1" s="1"/>
  <c r="BH253" i="1"/>
  <c r="BH61" i="1"/>
  <c r="BH264" i="1" s="1"/>
  <c r="BQ212" i="1"/>
  <c r="BQ214" i="1" s="1"/>
  <c r="AJ179" i="1"/>
  <c r="AJ180" i="1" s="1"/>
  <c r="AJ230" i="1" s="1"/>
  <c r="AP148" i="1"/>
  <c r="AP74" i="1" s="1"/>
  <c r="BK246" i="1"/>
  <c r="AO62" i="1"/>
  <c r="BH62" i="1"/>
  <c r="BN60" i="1"/>
  <c r="V80" i="1" s="1"/>
  <c r="BN59" i="1"/>
  <c r="BT60" i="1"/>
  <c r="BT59" i="1"/>
  <c r="BH67" i="1"/>
  <c r="BH138" i="1" s="1"/>
  <c r="BH139" i="1" s="1"/>
  <c r="BL62" i="1"/>
  <c r="BQ71" i="1"/>
  <c r="BA63" i="1"/>
  <c r="AZ63" i="1"/>
  <c r="BD62" i="1"/>
  <c r="AZ61" i="1"/>
  <c r="AZ264" i="1" s="1"/>
  <c r="AZ67" i="1"/>
  <c r="AZ253" i="1"/>
  <c r="AO67" i="1"/>
  <c r="AO212" i="1" s="1"/>
  <c r="AO214" i="1" s="1"/>
  <c r="BF67" i="1"/>
  <c r="BF138" i="1" s="1"/>
  <c r="BF139" i="1" s="1"/>
  <c r="BF253" i="1"/>
  <c r="BF63" i="1"/>
  <c r="BF61" i="1"/>
  <c r="BF264" i="1" s="1"/>
  <c r="BJ62" i="1"/>
  <c r="AQ60" i="1"/>
  <c r="AQ59" i="1"/>
  <c r="AN60" i="1"/>
  <c r="AN59" i="1"/>
  <c r="BG59" i="1"/>
  <c r="BG60" i="1"/>
  <c r="T80" i="1" s="1"/>
  <c r="BC61" i="1"/>
  <c r="BC264" i="1" s="1"/>
  <c r="BC253" i="1"/>
  <c r="BC67" i="1"/>
  <c r="BD63" i="1"/>
  <c r="BV226" i="1"/>
  <c r="BV224" i="1" s="1"/>
  <c r="BF246" i="1"/>
  <c r="AV59" i="1"/>
  <c r="AV60" i="1"/>
  <c r="BV212" i="1"/>
  <c r="BV214" i="1" s="1"/>
  <c r="BV71" i="1"/>
  <c r="AI59" i="1"/>
  <c r="AI60" i="1"/>
  <c r="BV148" i="1"/>
  <c r="BV74" i="1" s="1"/>
  <c r="CS205" i="1"/>
  <c r="BZ126" i="1"/>
  <c r="BZ127" i="1"/>
  <c r="BZ85" i="1"/>
  <c r="CC88" i="1" s="1"/>
  <c r="BZ111" i="1"/>
  <c r="BZ118" i="1"/>
  <c r="BX83" i="1"/>
  <c r="BY84" i="1"/>
  <c r="CH89" i="1"/>
  <c r="BZ108" i="1"/>
  <c r="CD104" i="1"/>
  <c r="CD106" i="1"/>
  <c r="CD105" i="1"/>
  <c r="CG109" i="1" s="1"/>
  <c r="CH129" i="1"/>
  <c r="CH132" i="1" s="1"/>
  <c r="CH130" i="1"/>
  <c r="CH133" i="1" s="1"/>
  <c r="CA113" i="1"/>
  <c r="CA114" i="1"/>
  <c r="CA115" i="1"/>
  <c r="CA123" i="1"/>
  <c r="CA121" i="1"/>
  <c r="CA122" i="1"/>
  <c r="CT204" i="1"/>
  <c r="CU202" i="1"/>
  <c r="BM253" i="1"/>
  <c r="BM61" i="1"/>
  <c r="BM264" i="1" s="1"/>
  <c r="BM67" i="1"/>
  <c r="BM226" i="1" s="1"/>
  <c r="BM224" i="1" s="1"/>
  <c r="BM62" i="1"/>
  <c r="BQ62" i="1"/>
  <c r="BM63" i="1"/>
  <c r="U80" i="1"/>
  <c r="CY159" i="1"/>
  <c r="CY221" i="1" s="1"/>
  <c r="CW198" i="1"/>
  <c r="CW84" i="1"/>
  <c r="CX82" i="1"/>
  <c r="CU268" i="1"/>
  <c r="CU225" i="1"/>
  <c r="CU200" i="1"/>
  <c r="CT201" i="1"/>
  <c r="CW143" i="1"/>
  <c r="CV147" i="1"/>
  <c r="BV82" i="1"/>
  <c r="CX221" i="1"/>
  <c r="BR61" i="1"/>
  <c r="BR264" i="1" s="1"/>
  <c r="BR253" i="1"/>
  <c r="BR67" i="1"/>
  <c r="BR138" i="1" s="1"/>
  <c r="BR139" i="1" s="1"/>
  <c r="BR226" i="1" s="1"/>
  <c r="BR224" i="1" s="1"/>
  <c r="BV62" i="1"/>
  <c r="BR63" i="1"/>
  <c r="BR246" i="1"/>
  <c r="BU74" i="1"/>
  <c r="BK74" i="1"/>
  <c r="BL226" i="1"/>
  <c r="BL224" i="1" s="1"/>
  <c r="AY74" i="1"/>
  <c r="AU74" i="1"/>
  <c r="BC74" i="1"/>
  <c r="BJ226" i="1"/>
  <c r="BJ224" i="1" s="1"/>
  <c r="BI74" i="1"/>
  <c r="AP226" i="1"/>
  <c r="AP224" i="1" s="1"/>
  <c r="AO74" i="1"/>
  <c r="BQ226" i="1"/>
  <c r="BQ224" i="1" s="1"/>
  <c r="BQ74" i="1"/>
  <c r="BM74" i="1"/>
  <c r="AW74" i="1"/>
  <c r="BA74" i="1"/>
  <c r="BO74" i="1"/>
  <c r="BP226" i="1"/>
  <c r="BP224" i="1" s="1"/>
  <c r="AC225" i="1"/>
  <c r="CA245" i="1"/>
  <c r="CB245" i="1"/>
  <c r="BU245" i="1"/>
  <c r="BE71" i="1" l="1"/>
  <c r="BE212" i="1"/>
  <c r="BE214" i="1" s="1"/>
  <c r="BE226" i="1"/>
  <c r="BE224" i="1" s="1"/>
  <c r="AR148" i="1"/>
  <c r="AR74" i="1" s="1"/>
  <c r="AS226" i="1"/>
  <c r="AS224" i="1" s="1"/>
  <c r="AR71" i="1"/>
  <c r="AR212" i="1"/>
  <c r="AR214" i="1" s="1"/>
  <c r="AT148" i="1"/>
  <c r="AT74" i="1" s="1"/>
  <c r="AU73" i="1"/>
  <c r="AU226" i="1"/>
  <c r="AU224" i="1" s="1"/>
  <c r="BO212" i="1"/>
  <c r="BO214" i="1" s="1"/>
  <c r="BO71" i="1"/>
  <c r="R80" i="1"/>
  <c r="BG62" i="1"/>
  <c r="BG246" i="1"/>
  <c r="CQ8" i="1"/>
  <c r="CR5" i="1" s="1"/>
  <c r="BG61" i="1"/>
  <c r="BG264" i="1" s="1"/>
  <c r="BH63" i="1"/>
  <c r="BS253" i="1"/>
  <c r="BS61" i="1"/>
  <c r="BS264" i="1" s="1"/>
  <c r="BS67" i="1"/>
  <c r="AZ246" i="1"/>
  <c r="AX61" i="1"/>
  <c r="AX264" i="1" s="1"/>
  <c r="AX62" i="1"/>
  <c r="BL73" i="1"/>
  <c r="BK212" i="1"/>
  <c r="BK214" i="1" s="1"/>
  <c r="AX63" i="1"/>
  <c r="BW62" i="1"/>
  <c r="AX67" i="1"/>
  <c r="AX253" i="1"/>
  <c r="AY63" i="1"/>
  <c r="BA246" i="1"/>
  <c r="BG253" i="1"/>
  <c r="BJ246" i="1"/>
  <c r="BG63" i="1"/>
  <c r="BI246" i="1"/>
  <c r="BX246" i="1"/>
  <c r="BK226" i="1"/>
  <c r="BK224" i="1" s="1"/>
  <c r="BS246" i="1"/>
  <c r="BS63" i="1"/>
  <c r="BW253" i="1"/>
  <c r="BW63" i="1"/>
  <c r="BX63" i="1"/>
  <c r="BW67" i="1"/>
  <c r="BY246" i="1"/>
  <c r="CA62" i="1"/>
  <c r="BW61" i="1"/>
  <c r="BW264" i="1" s="1"/>
  <c r="BZ246" i="1"/>
  <c r="S80" i="1"/>
  <c r="BB246" i="1"/>
  <c r="BB63" i="1"/>
  <c r="BC246" i="1"/>
  <c r="BE246" i="1"/>
  <c r="BB62" i="1"/>
  <c r="BB61" i="1"/>
  <c r="BB264" i="1" s="1"/>
  <c r="BF62" i="1"/>
  <c r="BB253" i="1"/>
  <c r="BB67" i="1"/>
  <c r="BC63" i="1"/>
  <c r="BD246" i="1"/>
  <c r="AO71" i="1"/>
  <c r="BF148" i="1"/>
  <c r="BF74" i="1" s="1"/>
  <c r="BF212" i="1"/>
  <c r="BF214" i="1" s="1"/>
  <c r="BF71" i="1"/>
  <c r="W80" i="1"/>
  <c r="AJ187" i="1"/>
  <c r="AK56" i="1" s="1"/>
  <c r="AJ184" i="1"/>
  <c r="AJ185" i="1" s="1"/>
  <c r="AK228" i="1"/>
  <c r="BH148" i="1"/>
  <c r="BH74" i="1" s="1"/>
  <c r="BX62" i="1"/>
  <c r="BT61" i="1"/>
  <c r="BT264" i="1" s="1"/>
  <c r="BT253" i="1"/>
  <c r="BT67" i="1"/>
  <c r="BT138" i="1" s="1"/>
  <c r="BT139" i="1" s="1"/>
  <c r="BU63" i="1"/>
  <c r="BT62" i="1"/>
  <c r="BW246" i="1"/>
  <c r="BV246" i="1"/>
  <c r="AX246" i="1"/>
  <c r="AV246" i="1"/>
  <c r="BN253" i="1"/>
  <c r="BR62" i="1"/>
  <c r="BN67" i="1"/>
  <c r="BN62" i="1"/>
  <c r="BN61" i="1"/>
  <c r="BN264" i="1" s="1"/>
  <c r="BO63" i="1"/>
  <c r="BN246" i="1"/>
  <c r="BQ246" i="1"/>
  <c r="BN63" i="1"/>
  <c r="BO246" i="1"/>
  <c r="BP246" i="1"/>
  <c r="BK73" i="1"/>
  <c r="BH71" i="1"/>
  <c r="BH212" i="1"/>
  <c r="BH214" i="1" s="1"/>
  <c r="BT246" i="1"/>
  <c r="BT63" i="1"/>
  <c r="BK62" i="1"/>
  <c r="BG67" i="1"/>
  <c r="BI73" i="1" s="1"/>
  <c r="BH246" i="1"/>
  <c r="BI226" i="1"/>
  <c r="BI224" i="1" s="1"/>
  <c r="AZ212" i="1"/>
  <c r="AZ214" i="1" s="1"/>
  <c r="AZ71" i="1"/>
  <c r="AZ138" i="1"/>
  <c r="AZ139" i="1" s="1"/>
  <c r="BF226" i="1"/>
  <c r="BF224" i="1" s="1"/>
  <c r="AN61" i="1"/>
  <c r="AN264" i="1" s="1"/>
  <c r="AQ246" i="1"/>
  <c r="AO63" i="1"/>
  <c r="AN246" i="1"/>
  <c r="AN62" i="1"/>
  <c r="AP246" i="1"/>
  <c r="AR62" i="1"/>
  <c r="AO246" i="1"/>
  <c r="AN67" i="1"/>
  <c r="AN63" i="1"/>
  <c r="AN253" i="1"/>
  <c r="AR63" i="1"/>
  <c r="AQ62" i="1"/>
  <c r="AQ253" i="1"/>
  <c r="AQ67" i="1"/>
  <c r="AQ61" i="1"/>
  <c r="AQ264" i="1" s="1"/>
  <c r="AQ63" i="1"/>
  <c r="AU62" i="1"/>
  <c r="AT246" i="1"/>
  <c r="AS246" i="1"/>
  <c r="AR246" i="1"/>
  <c r="BC71" i="1"/>
  <c r="BC212" i="1"/>
  <c r="BC214" i="1" s="1"/>
  <c r="BF73" i="1"/>
  <c r="AW63" i="1"/>
  <c r="AV62" i="1"/>
  <c r="AV63" i="1"/>
  <c r="AZ62" i="1"/>
  <c r="AV61" i="1"/>
  <c r="AV264" i="1" s="1"/>
  <c r="AV253" i="1"/>
  <c r="AV67" i="1"/>
  <c r="AY246" i="1"/>
  <c r="AW246" i="1"/>
  <c r="AI67" i="1"/>
  <c r="AJ63" i="1"/>
  <c r="AI253" i="1"/>
  <c r="AL246" i="1"/>
  <c r="AI61" i="1"/>
  <c r="AM62" i="1"/>
  <c r="BM73" i="1"/>
  <c r="BY111" i="1"/>
  <c r="BY127" i="1"/>
  <c r="BY126" i="1"/>
  <c r="BY118" i="1"/>
  <c r="BY85" i="1"/>
  <c r="CB88" i="1" s="1"/>
  <c r="CU204" i="1"/>
  <c r="CV202" i="1"/>
  <c r="BW83" i="1"/>
  <c r="BX84" i="1"/>
  <c r="BZ123" i="1"/>
  <c r="BZ122" i="1"/>
  <c r="BZ121" i="1"/>
  <c r="BZ115" i="1"/>
  <c r="BZ114" i="1"/>
  <c r="BZ113" i="1"/>
  <c r="CC105" i="1"/>
  <c r="CF109" i="1" s="1"/>
  <c r="CC104" i="1"/>
  <c r="CG89" i="1"/>
  <c r="BY108" i="1"/>
  <c r="CC106" i="1"/>
  <c r="CT205" i="1"/>
  <c r="BM212" i="1"/>
  <c r="BM214" i="1" s="1"/>
  <c r="BM71" i="1"/>
  <c r="CX198" i="1"/>
  <c r="BU82" i="1"/>
  <c r="CV268" i="1"/>
  <c r="CV225" i="1"/>
  <c r="CV200" i="1"/>
  <c r="CU201" i="1"/>
  <c r="CY82" i="1"/>
  <c r="CX84" i="1"/>
  <c r="AD143" i="1"/>
  <c r="CW147" i="1"/>
  <c r="CX143" i="1"/>
  <c r="CZ159" i="1"/>
  <c r="CZ221" i="1" s="1"/>
  <c r="BR148" i="1"/>
  <c r="BR74" i="1" s="1"/>
  <c r="BR71" i="1"/>
  <c r="BR212" i="1"/>
  <c r="BR214" i="1" s="1"/>
  <c r="BR73" i="1"/>
  <c r="BS74" i="1"/>
  <c r="CR7" i="1" l="1"/>
  <c r="CR27" i="1" s="1"/>
  <c r="BS212" i="1"/>
  <c r="BS214" i="1" s="1"/>
  <c r="BS71" i="1"/>
  <c r="BA73" i="1"/>
  <c r="AX138" i="1"/>
  <c r="AX139" i="1" s="1"/>
  <c r="BX73" i="1"/>
  <c r="BY73" i="1"/>
  <c r="BW212" i="1"/>
  <c r="BW214" i="1" s="1"/>
  <c r="BW71" i="1"/>
  <c r="BZ73" i="1"/>
  <c r="BT212" i="1"/>
  <c r="BT214" i="1" s="1"/>
  <c r="BT71" i="1"/>
  <c r="AX71" i="1"/>
  <c r="AX212" i="1"/>
  <c r="AX214" i="1" s="1"/>
  <c r="BT226" i="1"/>
  <c r="BT224" i="1" s="1"/>
  <c r="BS226" i="1"/>
  <c r="BS224" i="1" s="1"/>
  <c r="BS73" i="1"/>
  <c r="BC73" i="1"/>
  <c r="BB138" i="1"/>
  <c r="BB139" i="1" s="1"/>
  <c r="BB71" i="1"/>
  <c r="BB212" i="1"/>
  <c r="BB214" i="1" s="1"/>
  <c r="BD73" i="1"/>
  <c r="BE73" i="1"/>
  <c r="BN71" i="1"/>
  <c r="AS73" i="1"/>
  <c r="BJ73" i="1"/>
  <c r="BG212" i="1"/>
  <c r="BG214" i="1" s="1"/>
  <c r="AN212" i="1"/>
  <c r="AN214" i="1" s="1"/>
  <c r="BU73" i="1"/>
  <c r="BN212" i="1"/>
  <c r="BN214" i="1" s="1"/>
  <c r="BP73" i="1"/>
  <c r="AR73" i="1"/>
  <c r="BH73" i="1"/>
  <c r="AN71" i="1"/>
  <c r="BT73" i="1"/>
  <c r="BV73" i="1"/>
  <c r="BG71" i="1"/>
  <c r="AP73" i="1"/>
  <c r="AQ212" i="1"/>
  <c r="AQ214" i="1" s="1"/>
  <c r="AQ71" i="1"/>
  <c r="AT73" i="1"/>
  <c r="BQ73" i="1"/>
  <c r="BN138" i="1"/>
  <c r="BN139" i="1" s="1"/>
  <c r="BN226" i="1" s="1"/>
  <c r="BN224" i="1" s="1"/>
  <c r="BT148" i="1"/>
  <c r="BT74" i="1" s="1"/>
  <c r="AO73" i="1"/>
  <c r="AN138" i="1"/>
  <c r="AN139" i="1" s="1"/>
  <c r="AN226" i="1" s="1"/>
  <c r="AN224" i="1" s="1"/>
  <c r="BU226" i="1"/>
  <c r="BU224" i="1" s="1"/>
  <c r="BO73" i="1"/>
  <c r="BA226" i="1"/>
  <c r="BA224" i="1" s="1"/>
  <c r="AZ226" i="1"/>
  <c r="AZ224" i="1" s="1"/>
  <c r="AZ148" i="1"/>
  <c r="AZ74" i="1" s="1"/>
  <c r="AZ73" i="1"/>
  <c r="AY73" i="1"/>
  <c r="AV138" i="1"/>
  <c r="AV139" i="1" s="1"/>
  <c r="AV226" i="1" s="1"/>
  <c r="AV224" i="1" s="1"/>
  <c r="AW73" i="1"/>
  <c r="AV212" i="1"/>
  <c r="AV214" i="1" s="1"/>
  <c r="AV71" i="1"/>
  <c r="AI212" i="1"/>
  <c r="AI214" i="1" s="1"/>
  <c r="AI218" i="1" s="1"/>
  <c r="AI232" i="1" s="1"/>
  <c r="AI226" i="1"/>
  <c r="AI224" i="1" s="1"/>
  <c r="AL73" i="1"/>
  <c r="N80" i="1"/>
  <c r="AI71" i="1"/>
  <c r="CU205" i="1"/>
  <c r="BV83" i="1"/>
  <c r="BW84" i="1"/>
  <c r="CW202" i="1"/>
  <c r="CV204" i="1"/>
  <c r="BX108" i="1"/>
  <c r="CB105" i="1"/>
  <c r="CE109" i="1" s="1"/>
  <c r="CF89" i="1"/>
  <c r="CB106" i="1"/>
  <c r="CB104" i="1"/>
  <c r="BY123" i="1"/>
  <c r="BY121" i="1"/>
  <c r="BY122" i="1"/>
  <c r="BX127" i="1"/>
  <c r="BX126" i="1"/>
  <c r="BX85" i="1"/>
  <c r="CA88" i="1" s="1"/>
  <c r="BX118" i="1"/>
  <c r="BX111" i="1"/>
  <c r="BY113" i="1"/>
  <c r="BY114" i="1"/>
  <c r="BY115" i="1"/>
  <c r="CX147" i="1"/>
  <c r="CY143" i="1"/>
  <c r="CY84" i="1"/>
  <c r="CZ82" i="1"/>
  <c r="DA159" i="1"/>
  <c r="AE159" i="1" s="1"/>
  <c r="AE221" i="1" s="1"/>
  <c r="CW268" i="1"/>
  <c r="CW225" i="1"/>
  <c r="CY198" i="1"/>
  <c r="CW200" i="1"/>
  <c r="CV201" i="1"/>
  <c r="BT82" i="1"/>
  <c r="BG226" i="1"/>
  <c r="BG224" i="1" s="1"/>
  <c r="BG74" i="1"/>
  <c r="BG73" i="1"/>
  <c r="BH226" i="1"/>
  <c r="BH224" i="1" s="1"/>
  <c r="AQ74" i="1"/>
  <c r="AQ226" i="1"/>
  <c r="AQ224" i="1" s="1"/>
  <c r="AR226" i="1"/>
  <c r="AR224" i="1" s="1"/>
  <c r="AQ73" i="1"/>
  <c r="BW226" i="1"/>
  <c r="BW224" i="1" s="1"/>
  <c r="BX226" i="1"/>
  <c r="BX224" i="1" s="1"/>
  <c r="BW74" i="1"/>
  <c r="BW73" i="1"/>
  <c r="CR8" i="1" l="1"/>
  <c r="CS5" i="1" s="1"/>
  <c r="AX73" i="1"/>
  <c r="AX226" i="1"/>
  <c r="AX224" i="1" s="1"/>
  <c r="BC226" i="1"/>
  <c r="BC224" i="1" s="1"/>
  <c r="AX148" i="1"/>
  <c r="AX74" i="1" s="1"/>
  <c r="AY226" i="1"/>
  <c r="AY224" i="1" s="1"/>
  <c r="BB73" i="1"/>
  <c r="BB226" i="1"/>
  <c r="BB224" i="1" s="1"/>
  <c r="BB148" i="1"/>
  <c r="BB74" i="1" s="1"/>
  <c r="BO226" i="1"/>
  <c r="BO224" i="1" s="1"/>
  <c r="BN73" i="1"/>
  <c r="AN148" i="1"/>
  <c r="AN74" i="1" s="1"/>
  <c r="AO226" i="1"/>
  <c r="AO224" i="1" s="1"/>
  <c r="AN73" i="1"/>
  <c r="BN148" i="1"/>
  <c r="BN74" i="1" s="1"/>
  <c r="BW111" i="1"/>
  <c r="AV73" i="1"/>
  <c r="AV148" i="1"/>
  <c r="AV74" i="1" s="1"/>
  <c r="AW226" i="1"/>
  <c r="AW224" i="1" s="1"/>
  <c r="CV205" i="1"/>
  <c r="AI229" i="1"/>
  <c r="AI230" i="1" s="1"/>
  <c r="BX122" i="1"/>
  <c r="BX123" i="1"/>
  <c r="BX121" i="1"/>
  <c r="CA105" i="1"/>
  <c r="CD109" i="1" s="1"/>
  <c r="CA106" i="1"/>
  <c r="CA104" i="1"/>
  <c r="BW108" i="1"/>
  <c r="CE89" i="1"/>
  <c r="CW204" i="1"/>
  <c r="CX202" i="1"/>
  <c r="BW118" i="1"/>
  <c r="BW126" i="1"/>
  <c r="BW85" i="1"/>
  <c r="BZ88" i="1" s="1"/>
  <c r="BV108" i="1" s="1"/>
  <c r="BW127" i="1"/>
  <c r="BX114" i="1"/>
  <c r="BX115" i="1"/>
  <c r="BX113" i="1"/>
  <c r="BU83" i="1"/>
  <c r="BV84" i="1"/>
  <c r="DA221" i="1"/>
  <c r="CZ84" i="1"/>
  <c r="DA82" i="1"/>
  <c r="DA84" i="1" s="1"/>
  <c r="BS82" i="1"/>
  <c r="CZ143" i="1"/>
  <c r="CY147" i="1"/>
  <c r="CX200" i="1"/>
  <c r="CW201" i="1"/>
  <c r="CZ198" i="1"/>
  <c r="CX225" i="1"/>
  <c r="CX268" i="1"/>
  <c r="AD147" i="1"/>
  <c r="AD268" i="1" s="1"/>
  <c r="CS7" i="1" l="1"/>
  <c r="CS27" i="1" s="1"/>
  <c r="CS8" i="1"/>
  <c r="BW113" i="1"/>
  <c r="BW115" i="1"/>
  <c r="BW114" i="1"/>
  <c r="CW205" i="1"/>
  <c r="BZ104" i="1"/>
  <c r="CD89" i="1"/>
  <c r="BV118" i="1"/>
  <c r="BV126" i="1"/>
  <c r="BV127" i="1"/>
  <c r="BV111" i="1"/>
  <c r="BV85" i="1"/>
  <c r="BY88" i="1" s="1"/>
  <c r="BW123" i="1"/>
  <c r="BW121" i="1"/>
  <c r="BW122" i="1"/>
  <c r="BT83" i="1"/>
  <c r="BU84" i="1"/>
  <c r="CX204" i="1"/>
  <c r="CY202" i="1"/>
  <c r="BZ105" i="1"/>
  <c r="CC109" i="1" s="1"/>
  <c r="BZ106" i="1"/>
  <c r="DA198" i="1"/>
  <c r="CY268" i="1"/>
  <c r="CY225" i="1"/>
  <c r="CY200" i="1"/>
  <c r="CX201" i="1"/>
  <c r="CZ147" i="1"/>
  <c r="DA143" i="1"/>
  <c r="BR82" i="1"/>
  <c r="AD225" i="1"/>
  <c r="CA246" i="1"/>
  <c r="CB246" i="1"/>
  <c r="W212" i="1"/>
  <c r="W214" i="1" s="1"/>
  <c r="BU246" i="1"/>
  <c r="CT5" i="1" l="1"/>
  <c r="AC8" i="1"/>
  <c r="CT7" i="1"/>
  <c r="CT27" i="1" s="1"/>
  <c r="CX205" i="1"/>
  <c r="CC89" i="1"/>
  <c r="BY106" i="1"/>
  <c r="BU108" i="1"/>
  <c r="BY105" i="1"/>
  <c r="CB109" i="1" s="1"/>
  <c r="BY104" i="1"/>
  <c r="CY204" i="1"/>
  <c r="CZ202" i="1"/>
  <c r="BV113" i="1"/>
  <c r="BV115" i="1"/>
  <c r="BV114" i="1"/>
  <c r="BU111" i="1"/>
  <c r="BU127" i="1"/>
  <c r="BU126" i="1"/>
  <c r="BU118" i="1"/>
  <c r="BU85" i="1"/>
  <c r="BX88" i="1" s="1"/>
  <c r="BS83" i="1"/>
  <c r="BT84" i="1"/>
  <c r="BV121" i="1"/>
  <c r="BV122" i="1"/>
  <c r="BV123" i="1"/>
  <c r="DA147" i="1"/>
  <c r="AE143" i="1"/>
  <c r="CZ225" i="1"/>
  <c r="CZ268" i="1"/>
  <c r="BQ82" i="1"/>
  <c r="CZ200" i="1"/>
  <c r="CY201" i="1"/>
  <c r="CA108" i="1"/>
  <c r="AD5" i="1" l="1"/>
  <c r="AC11" i="1"/>
  <c r="CT8" i="1"/>
  <c r="CU5" i="1" s="1"/>
  <c r="CY205" i="1"/>
  <c r="BR83" i="1"/>
  <c r="BS84" i="1"/>
  <c r="BX104" i="1"/>
  <c r="BX106" i="1"/>
  <c r="BT108" i="1"/>
  <c r="BX105" i="1"/>
  <c r="CA109" i="1" s="1"/>
  <c r="CB89" i="1"/>
  <c r="CZ204" i="1"/>
  <c r="DA202" i="1"/>
  <c r="DA204" i="1" s="1"/>
  <c r="BU123" i="1"/>
  <c r="BU121" i="1"/>
  <c r="BU122" i="1"/>
  <c r="BU114" i="1"/>
  <c r="BU113" i="1"/>
  <c r="BU115" i="1"/>
  <c r="BT85" i="1"/>
  <c r="BW88" i="1" s="1"/>
  <c r="BT118" i="1"/>
  <c r="BT111" i="1"/>
  <c r="BT127" i="1"/>
  <c r="BT126" i="1"/>
  <c r="BP82" i="1"/>
  <c r="DA200" i="1"/>
  <c r="DA201" i="1" s="1"/>
  <c r="CZ201" i="1"/>
  <c r="DA268" i="1"/>
  <c r="DA225" i="1"/>
  <c r="CF108" i="1"/>
  <c r="CU7" i="1" l="1"/>
  <c r="CU27" i="1" s="1"/>
  <c r="CU8" i="1"/>
  <c r="CV5" i="1" s="1"/>
  <c r="DA205" i="1"/>
  <c r="CZ205" i="1"/>
  <c r="BT114" i="1"/>
  <c r="BT115" i="1"/>
  <c r="BT113" i="1"/>
  <c r="BS127" i="1"/>
  <c r="BS126" i="1"/>
  <c r="BS118" i="1"/>
  <c r="BS111" i="1"/>
  <c r="BS85" i="1"/>
  <c r="BV88" i="1" s="1"/>
  <c r="CA89" i="1"/>
  <c r="BW104" i="1"/>
  <c r="BS108" i="1"/>
  <c r="BW106" i="1"/>
  <c r="BW105" i="1"/>
  <c r="BZ109" i="1" s="1"/>
  <c r="BT122" i="1"/>
  <c r="BT121" i="1"/>
  <c r="BT123" i="1"/>
  <c r="BQ83" i="1"/>
  <c r="BR84" i="1"/>
  <c r="BO82" i="1"/>
  <c r="AE147" i="1"/>
  <c r="AE268" i="1" s="1"/>
  <c r="CV7" i="1" l="1"/>
  <c r="CV27" i="1" s="1"/>
  <c r="BS113" i="1"/>
  <c r="BS114" i="1"/>
  <c r="BS115" i="1"/>
  <c r="BS122" i="1"/>
  <c r="BS123" i="1"/>
  <c r="BS121" i="1"/>
  <c r="BR118" i="1"/>
  <c r="BR126" i="1"/>
  <c r="BR111" i="1"/>
  <c r="BR85" i="1"/>
  <c r="BU88" i="1" s="1"/>
  <c r="BR127" i="1"/>
  <c r="BP83" i="1"/>
  <c r="BQ84" i="1"/>
  <c r="BR108" i="1"/>
  <c r="BV105" i="1"/>
  <c r="BY109" i="1" s="1"/>
  <c r="BV106" i="1"/>
  <c r="BV104" i="1"/>
  <c r="BZ89" i="1"/>
  <c r="BN82" i="1"/>
  <c r="AE225" i="1"/>
  <c r="W139" i="1"/>
  <c r="CV8" i="1" l="1"/>
  <c r="CW5" i="1" s="1"/>
  <c r="CW7" i="1"/>
  <c r="CW27" i="1" s="1"/>
  <c r="BR121" i="1"/>
  <c r="BR123" i="1"/>
  <c r="BR122" i="1"/>
  <c r="BQ118" i="1"/>
  <c r="BQ111" i="1"/>
  <c r="BQ127" i="1"/>
  <c r="BQ126" i="1"/>
  <c r="BQ85" i="1"/>
  <c r="BT88" i="1" s="1"/>
  <c r="BO83" i="1"/>
  <c r="BP84" i="1"/>
  <c r="BY89" i="1"/>
  <c r="BU105" i="1"/>
  <c r="BX109" i="1" s="1"/>
  <c r="BU106" i="1"/>
  <c r="BU104" i="1"/>
  <c r="BQ108" i="1"/>
  <c r="BR114" i="1"/>
  <c r="BR113" i="1"/>
  <c r="BR115" i="1"/>
  <c r="BM82" i="1"/>
  <c r="W73" i="1"/>
  <c r="X226" i="1"/>
  <c r="X224" i="1" s="1"/>
  <c r="W226" i="1"/>
  <c r="W224" i="1" s="1"/>
  <c r="W148" i="1"/>
  <c r="W74" i="1" s="1"/>
  <c r="W194" i="1"/>
  <c r="CW8" i="1" l="1"/>
  <c r="BT104" i="1"/>
  <c r="BT106" i="1"/>
  <c r="BX89" i="1"/>
  <c r="BT105" i="1"/>
  <c r="BW109" i="1" s="1"/>
  <c r="BP108" i="1"/>
  <c r="BQ114" i="1"/>
  <c r="BQ115" i="1"/>
  <c r="BQ113" i="1"/>
  <c r="BQ121" i="1"/>
  <c r="BQ123" i="1"/>
  <c r="BQ122" i="1"/>
  <c r="BP126" i="1"/>
  <c r="BP118" i="1"/>
  <c r="BP85" i="1"/>
  <c r="BS88" i="1" s="1"/>
  <c r="BP127" i="1"/>
  <c r="BP111" i="1"/>
  <c r="BN83" i="1"/>
  <c r="BO84" i="1"/>
  <c r="BL82" i="1"/>
  <c r="CX5" i="1" l="1"/>
  <c r="AD8" i="1"/>
  <c r="CX7" i="1"/>
  <c r="CX27" i="1" s="1"/>
  <c r="BS106" i="1"/>
  <c r="BS104" i="1"/>
  <c r="BS105" i="1"/>
  <c r="BV109" i="1" s="1"/>
  <c r="BW89" i="1"/>
  <c r="BO108" i="1"/>
  <c r="BP123" i="1"/>
  <c r="BP121" i="1"/>
  <c r="BP122" i="1"/>
  <c r="BO85" i="1"/>
  <c r="BR88" i="1" s="1"/>
  <c r="BO111" i="1"/>
  <c r="BO126" i="1"/>
  <c r="BO127" i="1"/>
  <c r="BO118" i="1"/>
  <c r="BP115" i="1"/>
  <c r="BP114" i="1"/>
  <c r="BP113" i="1"/>
  <c r="BM83" i="1"/>
  <c r="BN84" i="1"/>
  <c r="BK82" i="1"/>
  <c r="CX8" i="1" l="1"/>
  <c r="CY5" i="1" s="1"/>
  <c r="AE5" i="1"/>
  <c r="AD11" i="1"/>
  <c r="BO121" i="1"/>
  <c r="BO122" i="1"/>
  <c r="BO123" i="1"/>
  <c r="BN111" i="1"/>
  <c r="BN118" i="1"/>
  <c r="BN85" i="1"/>
  <c r="BQ88" i="1" s="1"/>
  <c r="BN126" i="1"/>
  <c r="BN127" i="1"/>
  <c r="BO113" i="1"/>
  <c r="BO115" i="1"/>
  <c r="BO114" i="1"/>
  <c r="BL83" i="1"/>
  <c r="BM84" i="1"/>
  <c r="BR106" i="1"/>
  <c r="BR105" i="1"/>
  <c r="BU109" i="1" s="1"/>
  <c r="BN108" i="1"/>
  <c r="BR104" i="1"/>
  <c r="BV89" i="1"/>
  <c r="BJ82" i="1"/>
  <c r="CY7" i="1" l="1"/>
  <c r="CY27" i="1" s="1"/>
  <c r="CY8" i="1"/>
  <c r="CZ5" i="1" s="1"/>
  <c r="BU89" i="1"/>
  <c r="BQ106" i="1"/>
  <c r="BQ105" i="1"/>
  <c r="BT109" i="1" s="1"/>
  <c r="BQ104" i="1"/>
  <c r="BM108" i="1"/>
  <c r="BN121" i="1"/>
  <c r="BN122" i="1"/>
  <c r="BN123" i="1"/>
  <c r="BK83" i="1"/>
  <c r="BL84" i="1"/>
  <c r="BN114" i="1"/>
  <c r="BN113" i="1"/>
  <c r="BN115" i="1"/>
  <c r="BM127" i="1"/>
  <c r="BM111" i="1"/>
  <c r="BM126" i="1"/>
  <c r="BM85" i="1"/>
  <c r="BP88" i="1" s="1"/>
  <c r="BM118" i="1"/>
  <c r="BI82" i="1"/>
  <c r="CN106" i="1"/>
  <c r="CN105" i="1"/>
  <c r="CZ7" i="1" l="1"/>
  <c r="CZ27" i="1" s="1"/>
  <c r="BM123" i="1"/>
  <c r="BM121" i="1"/>
  <c r="BM122" i="1"/>
  <c r="BL85" i="1"/>
  <c r="BO88" i="1" s="1"/>
  <c r="BL118" i="1"/>
  <c r="BL127" i="1"/>
  <c r="BL126" i="1"/>
  <c r="BL111" i="1"/>
  <c r="BM113" i="1"/>
  <c r="BM114" i="1"/>
  <c r="BM115" i="1"/>
  <c r="BL108" i="1"/>
  <c r="BT89" i="1"/>
  <c r="BP106" i="1"/>
  <c r="BP104" i="1"/>
  <c r="BP105" i="1"/>
  <c r="BS109" i="1" s="1"/>
  <c r="BJ83" i="1"/>
  <c r="BK84" i="1"/>
  <c r="BH82" i="1"/>
  <c r="CO105" i="1"/>
  <c r="CO106" i="1"/>
  <c r="CZ8" i="1" l="1"/>
  <c r="DA5" i="1" s="1"/>
  <c r="BL115" i="1"/>
  <c r="BL114" i="1"/>
  <c r="BL113" i="1"/>
  <c r="BS89" i="1"/>
  <c r="BO104" i="1"/>
  <c r="BO105" i="1"/>
  <c r="BR109" i="1" s="1"/>
  <c r="BK108" i="1"/>
  <c r="BO106" i="1"/>
  <c r="BL122" i="1"/>
  <c r="BL121" i="1"/>
  <c r="BL123" i="1"/>
  <c r="BK85" i="1"/>
  <c r="BN88" i="1" s="1"/>
  <c r="BK118" i="1"/>
  <c r="BK126" i="1"/>
  <c r="BK111" i="1"/>
  <c r="BK127" i="1"/>
  <c r="BI83" i="1"/>
  <c r="BJ84" i="1"/>
  <c r="BG82" i="1"/>
  <c r="CP105" i="1"/>
  <c r="CP106" i="1"/>
  <c r="W199" i="1"/>
  <c r="DA7" i="1" l="1"/>
  <c r="DA27" i="1" s="1"/>
  <c r="DA8" i="1"/>
  <c r="AE8" i="1" s="1"/>
  <c r="BK122" i="1"/>
  <c r="BK121" i="1"/>
  <c r="BK123" i="1"/>
  <c r="BK113" i="1"/>
  <c r="BK114" i="1"/>
  <c r="BK115" i="1"/>
  <c r="BN104" i="1"/>
  <c r="BR89" i="1"/>
  <c r="BN105" i="1"/>
  <c r="BQ109" i="1" s="1"/>
  <c r="BJ108" i="1"/>
  <c r="BN106" i="1"/>
  <c r="BJ111" i="1"/>
  <c r="BJ127" i="1"/>
  <c r="BJ85" i="1"/>
  <c r="BM88" i="1" s="1"/>
  <c r="BJ126" i="1"/>
  <c r="BJ118" i="1"/>
  <c r="BH83" i="1"/>
  <c r="BI84" i="1"/>
  <c r="BF82" i="1"/>
  <c r="CQ105" i="1"/>
  <c r="CQ106" i="1"/>
  <c r="W202" i="1"/>
  <c r="W175" i="1"/>
  <c r="X216" i="1" s="1"/>
  <c r="AE11" i="1" l="1"/>
  <c r="BJ121" i="1"/>
  <c r="BJ123" i="1"/>
  <c r="BJ122" i="1"/>
  <c r="BJ113" i="1"/>
  <c r="BJ115" i="1"/>
  <c r="BJ114" i="1"/>
  <c r="BQ89" i="1"/>
  <c r="BM105" i="1"/>
  <c r="BP109" i="1" s="1"/>
  <c r="BM106" i="1"/>
  <c r="BM104" i="1"/>
  <c r="BI108" i="1"/>
  <c r="BI126" i="1"/>
  <c r="BI111" i="1"/>
  <c r="BI118" i="1"/>
  <c r="BI127" i="1"/>
  <c r="BI85" i="1"/>
  <c r="BL88" i="1" s="1"/>
  <c r="BG83" i="1"/>
  <c r="BH84" i="1"/>
  <c r="BE82" i="1"/>
  <c r="CR106" i="1"/>
  <c r="CR105" i="1"/>
  <c r="W204" i="1"/>
  <c r="W203" i="1" s="1"/>
  <c r="W216" i="1"/>
  <c r="W167" i="1"/>
  <c r="X215" i="1" s="1"/>
  <c r="X217" i="1" s="1"/>
  <c r="X218" i="1" s="1"/>
  <c r="X232" i="1" s="1"/>
  <c r="W198" i="1"/>
  <c r="BL106" i="1" l="1"/>
  <c r="BL105" i="1"/>
  <c r="BO109" i="1" s="1"/>
  <c r="BH108" i="1"/>
  <c r="BL104" i="1"/>
  <c r="BP89" i="1"/>
  <c r="BI121" i="1"/>
  <c r="BI123" i="1"/>
  <c r="BI122" i="1"/>
  <c r="BI113" i="1"/>
  <c r="BI115" i="1"/>
  <c r="BI114" i="1"/>
  <c r="BH111" i="1"/>
  <c r="BH127" i="1"/>
  <c r="BH118" i="1"/>
  <c r="BH126" i="1"/>
  <c r="BH85" i="1"/>
  <c r="BK88" i="1" s="1"/>
  <c r="BF83" i="1"/>
  <c r="BG84" i="1"/>
  <c r="BD82" i="1"/>
  <c r="CS105" i="1"/>
  <c r="CS106" i="1"/>
  <c r="W201" i="1"/>
  <c r="W176" i="1"/>
  <c r="W215" i="1"/>
  <c r="W217" i="1" s="1"/>
  <c r="W218" i="1" s="1"/>
  <c r="BG108" i="1" l="1"/>
  <c r="BO89" i="1"/>
  <c r="BK105" i="1"/>
  <c r="BN109" i="1" s="1"/>
  <c r="BK106" i="1"/>
  <c r="BK104" i="1"/>
  <c r="BH114" i="1"/>
  <c r="BH113" i="1"/>
  <c r="BH115" i="1"/>
  <c r="BG126" i="1"/>
  <c r="BG111" i="1"/>
  <c r="BG127" i="1"/>
  <c r="BG118" i="1"/>
  <c r="BG85" i="1"/>
  <c r="BJ88" i="1" s="1"/>
  <c r="BH121" i="1"/>
  <c r="BH122" i="1"/>
  <c r="BH123" i="1"/>
  <c r="BE83" i="1"/>
  <c r="BF84" i="1"/>
  <c r="BC82" i="1"/>
  <c r="CT106" i="1"/>
  <c r="CT105" i="1"/>
  <c r="W200" i="1"/>
  <c r="W205" i="1"/>
  <c r="W229" i="1"/>
  <c r="W232" i="1"/>
  <c r="BG122" i="1" l="1"/>
  <c r="BG123" i="1"/>
  <c r="BG121" i="1"/>
  <c r="BJ105" i="1"/>
  <c r="BM109" i="1" s="1"/>
  <c r="BJ106" i="1"/>
  <c r="BJ104" i="1"/>
  <c r="BN89" i="1"/>
  <c r="BF108" i="1"/>
  <c r="BF126" i="1"/>
  <c r="BF111" i="1"/>
  <c r="BF118" i="1"/>
  <c r="BF85" i="1"/>
  <c r="BI88" i="1" s="1"/>
  <c r="BF127" i="1"/>
  <c r="BG113" i="1"/>
  <c r="BG114" i="1"/>
  <c r="BG115" i="1"/>
  <c r="BD83" i="1"/>
  <c r="BE84" i="1"/>
  <c r="BB82" i="1"/>
  <c r="CU105" i="1"/>
  <c r="CU106" i="1"/>
  <c r="W208" i="1"/>
  <c r="W209" i="1" s="1"/>
  <c r="X208" i="1"/>
  <c r="X209" i="1" s="1"/>
  <c r="BI105" i="1" l="1"/>
  <c r="BL109" i="1" s="1"/>
  <c r="BI104" i="1"/>
  <c r="BI106" i="1"/>
  <c r="BE108" i="1"/>
  <c r="BM89" i="1"/>
  <c r="BE127" i="1"/>
  <c r="BE118" i="1"/>
  <c r="BE85" i="1"/>
  <c r="BH88" i="1" s="1"/>
  <c r="BE126" i="1"/>
  <c r="BE111" i="1"/>
  <c r="BF115" i="1"/>
  <c r="BF113" i="1"/>
  <c r="BF114" i="1"/>
  <c r="BF123" i="1"/>
  <c r="BF121" i="1"/>
  <c r="BF122" i="1"/>
  <c r="BC83" i="1"/>
  <c r="BD84" i="1"/>
  <c r="BA82" i="1"/>
  <c r="CV105" i="1"/>
  <c r="CV106" i="1"/>
  <c r="W180" i="1"/>
  <c r="BH106" i="1" l="1"/>
  <c r="BL89" i="1"/>
  <c r="BH105" i="1"/>
  <c r="BK109" i="1" s="1"/>
  <c r="BH104" i="1"/>
  <c r="BD108" i="1"/>
  <c r="BE121" i="1"/>
  <c r="BE123" i="1"/>
  <c r="BE122" i="1"/>
  <c r="BD85" i="1"/>
  <c r="BG88" i="1" s="1"/>
  <c r="BD127" i="1"/>
  <c r="BD111" i="1"/>
  <c r="BD126" i="1"/>
  <c r="BD118" i="1"/>
  <c r="BE113" i="1"/>
  <c r="BE115" i="1"/>
  <c r="BE114" i="1"/>
  <c r="BB83" i="1"/>
  <c r="BC84" i="1"/>
  <c r="AZ82" i="1"/>
  <c r="X228" i="1"/>
  <c r="X229" i="1" s="1"/>
  <c r="X230" i="1" s="1"/>
  <c r="W265" i="1"/>
  <c r="W267" i="1"/>
  <c r="W263" i="1"/>
  <c r="CW106" i="1"/>
  <c r="CW105" i="1"/>
  <c r="W187" i="1"/>
  <c r="W128" i="1" s="1"/>
  <c r="W184" i="1"/>
  <c r="W230" i="1"/>
  <c r="BD121" i="1" l="1"/>
  <c r="BD123" i="1"/>
  <c r="BD122" i="1"/>
  <c r="BC111" i="1"/>
  <c r="BC127" i="1"/>
  <c r="BC118" i="1"/>
  <c r="BC85" i="1"/>
  <c r="BF88" i="1" s="1"/>
  <c r="BC126" i="1"/>
  <c r="BD114" i="1"/>
  <c r="BD115" i="1"/>
  <c r="BD113" i="1"/>
  <c r="BA83" i="1"/>
  <c r="BB84" i="1"/>
  <c r="BG106" i="1"/>
  <c r="BG105" i="1"/>
  <c r="BJ109" i="1" s="1"/>
  <c r="BG104" i="1"/>
  <c r="BC108" i="1"/>
  <c r="BK89" i="1"/>
  <c r="AY82" i="1"/>
  <c r="CX106" i="1"/>
  <c r="CX105" i="1"/>
  <c r="W185" i="1"/>
  <c r="BF104" i="1" l="1"/>
  <c r="BF106" i="1"/>
  <c r="BJ89" i="1"/>
  <c r="BF105" i="1"/>
  <c r="BI109" i="1" s="1"/>
  <c r="BB108" i="1"/>
  <c r="BC123" i="1"/>
  <c r="BC121" i="1"/>
  <c r="BC122" i="1"/>
  <c r="AZ83" i="1"/>
  <c r="BA84" i="1"/>
  <c r="BC115" i="1"/>
  <c r="BC113" i="1"/>
  <c r="BC114" i="1"/>
  <c r="BB111" i="1"/>
  <c r="BB126" i="1"/>
  <c r="BB85" i="1"/>
  <c r="BE88" i="1" s="1"/>
  <c r="BB118" i="1"/>
  <c r="BB127" i="1"/>
  <c r="AX82" i="1"/>
  <c r="CY106" i="1"/>
  <c r="CY105" i="1"/>
  <c r="C113" i="2"/>
  <c r="C112" i="2"/>
  <c r="C111" i="2"/>
  <c r="BE104" i="1" l="1"/>
  <c r="BE105" i="1"/>
  <c r="BH109" i="1" s="1"/>
  <c r="BE106" i="1"/>
  <c r="BI89" i="1"/>
  <c r="BA108" i="1"/>
  <c r="BB114" i="1"/>
  <c r="BB115" i="1"/>
  <c r="BB113" i="1"/>
  <c r="BA126" i="1"/>
  <c r="BA85" i="1"/>
  <c r="BD88" i="1" s="1"/>
  <c r="BA118" i="1"/>
  <c r="BA127" i="1"/>
  <c r="BA111" i="1"/>
  <c r="BB122" i="1"/>
  <c r="BB121" i="1"/>
  <c r="BB123" i="1"/>
  <c r="AY83" i="1"/>
  <c r="AZ84" i="1"/>
  <c r="AW82" i="1"/>
  <c r="CZ105" i="1"/>
  <c r="CZ106" i="1"/>
  <c r="B92" i="1"/>
  <c r="B93" i="1"/>
  <c r="BA113" i="1" l="1"/>
  <c r="BA115" i="1"/>
  <c r="BA114" i="1"/>
  <c r="BA123" i="1"/>
  <c r="BA121" i="1"/>
  <c r="BA122" i="1"/>
  <c r="AZ127" i="1"/>
  <c r="AZ118" i="1"/>
  <c r="AZ126" i="1"/>
  <c r="AZ111" i="1"/>
  <c r="AZ85" i="1"/>
  <c r="BC88" i="1" s="1"/>
  <c r="BD105" i="1"/>
  <c r="BG109" i="1" s="1"/>
  <c r="BD104" i="1"/>
  <c r="BD106" i="1"/>
  <c r="BH89" i="1"/>
  <c r="AZ108" i="1"/>
  <c r="AX83" i="1"/>
  <c r="AY84" i="1"/>
  <c r="AV82" i="1"/>
  <c r="DA106" i="1"/>
  <c r="DA105" i="1"/>
  <c r="AZ121" i="1" l="1"/>
  <c r="AZ123" i="1"/>
  <c r="AZ122" i="1"/>
  <c r="AY108" i="1"/>
  <c r="BC104" i="1"/>
  <c r="BG89" i="1"/>
  <c r="BC105" i="1"/>
  <c r="BF109" i="1" s="1"/>
  <c r="BC106" i="1"/>
  <c r="AY127" i="1"/>
  <c r="AY126" i="1"/>
  <c r="AY118" i="1"/>
  <c r="AY111" i="1"/>
  <c r="AY85" i="1"/>
  <c r="BB88" i="1" s="1"/>
  <c r="AZ113" i="1"/>
  <c r="AZ114" i="1"/>
  <c r="AZ115" i="1"/>
  <c r="AW83" i="1"/>
  <c r="AX84" i="1"/>
  <c r="AU82" i="1"/>
  <c r="AL215" i="1"/>
  <c r="AK215" i="1"/>
  <c r="AY114" i="1" l="1"/>
  <c r="AY115" i="1"/>
  <c r="AY113" i="1"/>
  <c r="BB106" i="1"/>
  <c r="BB105" i="1"/>
  <c r="BE109" i="1" s="1"/>
  <c r="BF89" i="1"/>
  <c r="BB104" i="1"/>
  <c r="AX108" i="1"/>
  <c r="AX126" i="1"/>
  <c r="AX111" i="1"/>
  <c r="AX118" i="1"/>
  <c r="AX127" i="1"/>
  <c r="AX85" i="1"/>
  <c r="BA88" i="1" s="1"/>
  <c r="AY123" i="1"/>
  <c r="AY121" i="1"/>
  <c r="AY122" i="1"/>
  <c r="AV83" i="1"/>
  <c r="AW84" i="1"/>
  <c r="AT82" i="1"/>
  <c r="AN215" i="1"/>
  <c r="AM215" i="1"/>
  <c r="AW108" i="1" l="1"/>
  <c r="BA105" i="1"/>
  <c r="BD109" i="1" s="1"/>
  <c r="BA104" i="1"/>
  <c r="BE89" i="1"/>
  <c r="BA106" i="1"/>
  <c r="AW111" i="1"/>
  <c r="AW126" i="1"/>
  <c r="AW118" i="1"/>
  <c r="AW85" i="1"/>
  <c r="AZ88" i="1" s="1"/>
  <c r="AW127" i="1"/>
  <c r="AX114" i="1"/>
  <c r="AX113" i="1"/>
  <c r="AX115" i="1"/>
  <c r="AX121" i="1"/>
  <c r="AX123" i="1"/>
  <c r="AX122" i="1"/>
  <c r="AU83" i="1"/>
  <c r="AV84" i="1"/>
  <c r="AS82" i="1"/>
  <c r="AP215" i="1"/>
  <c r="AO215" i="1"/>
  <c r="AW122" i="1" l="1"/>
  <c r="AW121" i="1"/>
  <c r="AW123" i="1"/>
  <c r="AW114" i="1"/>
  <c r="AW115" i="1"/>
  <c r="AW113" i="1"/>
  <c r="AV85" i="1"/>
  <c r="AY88" i="1" s="1"/>
  <c r="AV111" i="1"/>
  <c r="AV127" i="1"/>
  <c r="AV126" i="1"/>
  <c r="AV118" i="1"/>
  <c r="AT83" i="1"/>
  <c r="AU84" i="1"/>
  <c r="AZ105" i="1"/>
  <c r="BC109" i="1" s="1"/>
  <c r="AV108" i="1"/>
  <c r="AZ104" i="1"/>
  <c r="AZ106" i="1"/>
  <c r="BD89" i="1"/>
  <c r="AR82" i="1"/>
  <c r="AR215" i="1"/>
  <c r="AQ215" i="1"/>
  <c r="AV115" i="1" l="1"/>
  <c r="AV114" i="1"/>
  <c r="AV113" i="1"/>
  <c r="AY104" i="1"/>
  <c r="AY106" i="1"/>
  <c r="AY105" i="1"/>
  <c r="BB109" i="1" s="1"/>
  <c r="AU108" i="1"/>
  <c r="BC89" i="1"/>
  <c r="AU111" i="1"/>
  <c r="AU118" i="1"/>
  <c r="AU126" i="1"/>
  <c r="AU85" i="1"/>
  <c r="AX88" i="1" s="1"/>
  <c r="AU127" i="1"/>
  <c r="AS83" i="1"/>
  <c r="AT84" i="1"/>
  <c r="AV122" i="1"/>
  <c r="AV123" i="1"/>
  <c r="AV121" i="1"/>
  <c r="AQ82" i="1"/>
  <c r="AT215" i="1"/>
  <c r="AS215" i="1"/>
  <c r="AR83" i="1" l="1"/>
  <c r="AS84" i="1"/>
  <c r="AU121" i="1"/>
  <c r="AU122" i="1"/>
  <c r="AU123" i="1"/>
  <c r="AT118" i="1"/>
  <c r="AT85" i="1"/>
  <c r="AW88" i="1" s="1"/>
  <c r="AT127" i="1"/>
  <c r="AT126" i="1"/>
  <c r="AT111" i="1"/>
  <c r="AX106" i="1"/>
  <c r="BB89" i="1"/>
  <c r="AX104" i="1"/>
  <c r="AT108" i="1"/>
  <c r="AX105" i="1"/>
  <c r="BA109" i="1" s="1"/>
  <c r="AU115" i="1"/>
  <c r="AU113" i="1"/>
  <c r="AU114" i="1"/>
  <c r="AP82" i="1"/>
  <c r="AV215" i="1"/>
  <c r="AU215" i="1"/>
  <c r="AW105" i="1" l="1"/>
  <c r="AZ109" i="1" s="1"/>
  <c r="AW106" i="1"/>
  <c r="AS108" i="1"/>
  <c r="BA89" i="1"/>
  <c r="AW104" i="1"/>
  <c r="AT122" i="1"/>
  <c r="AT123" i="1"/>
  <c r="AT121" i="1"/>
  <c r="AT114" i="1"/>
  <c r="AT113" i="1"/>
  <c r="AT115" i="1"/>
  <c r="AS85" i="1"/>
  <c r="AV88" i="1" s="1"/>
  <c r="AS126" i="1"/>
  <c r="AS127" i="1"/>
  <c r="AS118" i="1"/>
  <c r="AS111" i="1"/>
  <c r="AQ83" i="1"/>
  <c r="AR84" i="1"/>
  <c r="AO82" i="1"/>
  <c r="AX215" i="1"/>
  <c r="AW215" i="1"/>
  <c r="AS123" i="1" l="1"/>
  <c r="AS121" i="1"/>
  <c r="AS122" i="1"/>
  <c r="AV104" i="1"/>
  <c r="AR108" i="1"/>
  <c r="AZ89" i="1"/>
  <c r="AV105" i="1"/>
  <c r="AY109" i="1" s="1"/>
  <c r="AV106" i="1"/>
  <c r="AR127" i="1"/>
  <c r="AR118" i="1"/>
  <c r="AR111" i="1"/>
  <c r="AR126" i="1"/>
  <c r="AR85" i="1"/>
  <c r="AU88" i="1" s="1"/>
  <c r="AS113" i="1"/>
  <c r="AS115" i="1"/>
  <c r="AS114" i="1"/>
  <c r="AP83" i="1"/>
  <c r="AQ84" i="1"/>
  <c r="AN82" i="1"/>
  <c r="AZ215" i="1"/>
  <c r="AY215" i="1"/>
  <c r="AY89" i="1" l="1"/>
  <c r="AU105" i="1"/>
  <c r="AX109" i="1" s="1"/>
  <c r="AQ108" i="1"/>
  <c r="AU104" i="1"/>
  <c r="AU106" i="1"/>
  <c r="AQ111" i="1"/>
  <c r="AQ126" i="1"/>
  <c r="AQ85" i="1"/>
  <c r="AT88" i="1" s="1"/>
  <c r="AQ118" i="1"/>
  <c r="AQ127" i="1"/>
  <c r="AR122" i="1"/>
  <c r="AR123" i="1"/>
  <c r="AR121" i="1"/>
  <c r="AR113" i="1"/>
  <c r="AR115" i="1"/>
  <c r="AR114" i="1"/>
  <c r="AO83" i="1"/>
  <c r="AP84" i="1"/>
  <c r="AM82" i="1"/>
  <c r="BB215" i="1"/>
  <c r="BA215" i="1"/>
  <c r="AT106" i="1" l="1"/>
  <c r="AT104" i="1"/>
  <c r="AT105" i="1"/>
  <c r="AW109" i="1" s="1"/>
  <c r="AX89" i="1"/>
  <c r="AP108" i="1"/>
  <c r="AQ115" i="1"/>
  <c r="AQ114" i="1"/>
  <c r="AQ113" i="1"/>
  <c r="AP111" i="1"/>
  <c r="AP85" i="1"/>
  <c r="AS88" i="1" s="1"/>
  <c r="AP127" i="1"/>
  <c r="AP126" i="1"/>
  <c r="AP118" i="1"/>
  <c r="AN83" i="1"/>
  <c r="AO84" i="1"/>
  <c r="AQ123" i="1"/>
  <c r="AQ122" i="1"/>
  <c r="AQ121" i="1"/>
  <c r="AL82" i="1"/>
  <c r="BD215" i="1"/>
  <c r="BC215" i="1"/>
  <c r="AM83" i="1" l="1"/>
  <c r="AN84" i="1"/>
  <c r="AO111" i="1"/>
  <c r="AO126" i="1"/>
  <c r="AO118" i="1"/>
  <c r="AO85" i="1"/>
  <c r="AR88" i="1" s="1"/>
  <c r="AO127" i="1"/>
  <c r="AO108" i="1"/>
  <c r="AS105" i="1"/>
  <c r="AV109" i="1" s="1"/>
  <c r="AW89" i="1"/>
  <c r="AS104" i="1"/>
  <c r="AS106" i="1"/>
  <c r="AP121" i="1"/>
  <c r="AP122" i="1"/>
  <c r="AP123" i="1"/>
  <c r="AP113" i="1"/>
  <c r="AP115" i="1"/>
  <c r="AP114" i="1"/>
  <c r="AK82" i="1"/>
  <c r="BF215" i="1"/>
  <c r="BE215" i="1"/>
  <c r="AR106" i="1" l="1"/>
  <c r="AN108" i="1"/>
  <c r="AR105" i="1"/>
  <c r="AU109" i="1" s="1"/>
  <c r="AR104" i="1"/>
  <c r="AV89" i="1"/>
  <c r="AO121" i="1"/>
  <c r="AO122" i="1"/>
  <c r="AO123" i="1"/>
  <c r="AO113" i="1"/>
  <c r="AO114" i="1"/>
  <c r="AO115" i="1"/>
  <c r="AN126" i="1"/>
  <c r="AN127" i="1"/>
  <c r="AN118" i="1"/>
  <c r="AN111" i="1"/>
  <c r="AN85" i="1"/>
  <c r="AQ88" i="1" s="1"/>
  <c r="AL83" i="1"/>
  <c r="AM84" i="1"/>
  <c r="AJ82" i="1"/>
  <c r="BH215" i="1"/>
  <c r="BG215" i="1"/>
  <c r="AQ104" i="1" l="1"/>
  <c r="AM108" i="1"/>
  <c r="AQ105" i="1"/>
  <c r="AT109" i="1" s="1"/>
  <c r="AU89" i="1"/>
  <c r="AQ106" i="1"/>
  <c r="AN114" i="1"/>
  <c r="AN115" i="1"/>
  <c r="AN113" i="1"/>
  <c r="AN121" i="1"/>
  <c r="AN122" i="1"/>
  <c r="AN123" i="1"/>
  <c r="AM126" i="1"/>
  <c r="AM127" i="1"/>
  <c r="AM85" i="1"/>
  <c r="AP88" i="1" s="1"/>
  <c r="AM118" i="1"/>
  <c r="AM111" i="1"/>
  <c r="AK83" i="1"/>
  <c r="AL84" i="1"/>
  <c r="AI82" i="1"/>
  <c r="BJ215" i="1"/>
  <c r="BI215" i="1"/>
  <c r="AP104" i="1" l="1"/>
  <c r="AP106" i="1"/>
  <c r="AP105" i="1"/>
  <c r="AS109" i="1" s="1"/>
  <c r="AT89" i="1"/>
  <c r="AL108" i="1"/>
  <c r="AL111" i="1"/>
  <c r="AL126" i="1"/>
  <c r="AL118" i="1"/>
  <c r="AL85" i="1"/>
  <c r="AO88" i="1" s="1"/>
  <c r="AL127" i="1"/>
  <c r="AM114" i="1"/>
  <c r="AM115" i="1"/>
  <c r="AM113" i="1"/>
  <c r="AM121" i="1"/>
  <c r="AM122" i="1"/>
  <c r="AM123" i="1"/>
  <c r="AJ83" i="1"/>
  <c r="AK84" i="1"/>
  <c r="AK85" i="1" s="1"/>
  <c r="BL215" i="1"/>
  <c r="BK215" i="1"/>
  <c r="AN88" i="1" l="1"/>
  <c r="AN106" i="1" s="1"/>
  <c r="AL121" i="1"/>
  <c r="AL123" i="1"/>
  <c r="AL122" i="1"/>
  <c r="AL115" i="1"/>
  <c r="AL114" i="1"/>
  <c r="AL113" i="1"/>
  <c r="AI83" i="1"/>
  <c r="AI84" i="1" s="1"/>
  <c r="AI85" i="1" s="1"/>
  <c r="AJ84" i="1"/>
  <c r="AJ85" i="1" s="1"/>
  <c r="AM88" i="1" s="1"/>
  <c r="AS89" i="1"/>
  <c r="AO105" i="1"/>
  <c r="AR109" i="1" s="1"/>
  <c r="AO104" i="1"/>
  <c r="AO106" i="1"/>
  <c r="BN215" i="1"/>
  <c r="BM215" i="1"/>
  <c r="AR89" i="1" l="1"/>
  <c r="AN105" i="1"/>
  <c r="AN104" i="1"/>
  <c r="AL88" i="1"/>
  <c r="AL104" i="1" s="1"/>
  <c r="AM104" i="1"/>
  <c r="AQ89" i="1"/>
  <c r="AM106" i="1"/>
  <c r="AM105" i="1"/>
  <c r="BP215" i="1"/>
  <c r="BO215" i="1"/>
  <c r="AQ109" i="1" l="1"/>
  <c r="AP109" i="1"/>
  <c r="AL106" i="1"/>
  <c r="AL105" i="1"/>
  <c r="AO109" i="1" s="1"/>
  <c r="AP89" i="1"/>
  <c r="BR215" i="1"/>
  <c r="BQ215" i="1"/>
  <c r="BT215" i="1" l="1"/>
  <c r="BS215" i="1"/>
  <c r="BV215" i="1" l="1"/>
  <c r="BU215" i="1"/>
  <c r="BX215" i="1" l="1"/>
  <c r="BW215" i="1"/>
  <c r="BZ215" i="1" l="1"/>
  <c r="BY215" i="1"/>
  <c r="AL216" i="1" l="1"/>
  <c r="AL217" i="1" s="1"/>
  <c r="AL218" i="1" s="1"/>
  <c r="AL232" i="1" s="1"/>
  <c r="AK216" i="1"/>
  <c r="AK217" i="1" s="1"/>
  <c r="AK218" i="1" s="1"/>
  <c r="AK232" i="1" l="1"/>
  <c r="AK229" i="1"/>
  <c r="AN216" i="1"/>
  <c r="AN217" i="1" s="1"/>
  <c r="AN218" i="1" s="1"/>
  <c r="AN232" i="1" s="1"/>
  <c r="AM216" i="1"/>
  <c r="AM217" i="1" s="1"/>
  <c r="AM218" i="1" s="1"/>
  <c r="AN208" i="1"/>
  <c r="AP216" i="1" l="1"/>
  <c r="AP217" i="1" s="1"/>
  <c r="AP218" i="1" s="1"/>
  <c r="AP232" i="1" s="1"/>
  <c r="AO216" i="1"/>
  <c r="AO217" i="1" s="1"/>
  <c r="AO218" i="1" s="1"/>
  <c r="AM232" i="1"/>
  <c r="AL228" i="1" l="1"/>
  <c r="AL229" i="1" s="1"/>
  <c r="AK230" i="1"/>
  <c r="AO208" i="1"/>
  <c r="AO232" i="1"/>
  <c r="AL56" i="1"/>
  <c r="AL179" i="1" l="1"/>
  <c r="AL180" i="1" s="1"/>
  <c r="AN228" i="1"/>
  <c r="AN229" i="1" s="1"/>
  <c r="AM267" i="1"/>
  <c r="AM265" i="1"/>
  <c r="AM263" i="1"/>
  <c r="AR216" i="1"/>
  <c r="AR217" i="1" s="1"/>
  <c r="AR218" i="1" s="1"/>
  <c r="AR232" i="1" s="1"/>
  <c r="AQ216" i="1"/>
  <c r="AQ217" i="1" s="1"/>
  <c r="AQ218" i="1" s="1"/>
  <c r="AL184" i="1" l="1"/>
  <c r="AL185" i="1" s="1"/>
  <c r="AL187" i="1"/>
  <c r="AM228" i="1"/>
  <c r="AM229" i="1" s="1"/>
  <c r="AM230" i="1" s="1"/>
  <c r="AL267" i="1"/>
  <c r="AL265" i="1"/>
  <c r="AL263" i="1"/>
  <c r="AL230" i="1"/>
  <c r="AN179" i="1"/>
  <c r="AN180" i="1" s="1"/>
  <c r="AO265" i="1"/>
  <c r="AO267" i="1"/>
  <c r="AO263" i="1"/>
  <c r="AM128" i="1"/>
  <c r="AM129" i="1" s="1"/>
  <c r="AM132" i="1" s="1"/>
  <c r="AN56" i="1"/>
  <c r="AQ208" i="1"/>
  <c r="AQ232" i="1"/>
  <c r="AP228" i="1"/>
  <c r="AP229" i="1" s="1"/>
  <c r="AM56" i="1" l="1"/>
  <c r="AL128" i="1"/>
  <c r="AP179" i="1"/>
  <c r="AP180" i="1" s="1"/>
  <c r="AN184" i="1"/>
  <c r="AN185" i="1" s="1"/>
  <c r="AN187" i="1"/>
  <c r="AO228" i="1"/>
  <c r="AO229" i="1" s="1"/>
  <c r="AO230" i="1" s="1"/>
  <c r="AN267" i="1"/>
  <c r="AN265" i="1"/>
  <c r="AN263" i="1"/>
  <c r="AN230" i="1"/>
  <c r="AM130" i="1"/>
  <c r="AM133" i="1" s="1"/>
  <c r="AO128" i="1"/>
  <c r="AO130" i="1" s="1"/>
  <c r="AO133" i="1" s="1"/>
  <c r="AP56" i="1"/>
  <c r="AT216" i="1"/>
  <c r="AT217" i="1" s="1"/>
  <c r="AT218" i="1" s="1"/>
  <c r="AT232" i="1" s="1"/>
  <c r="AS216" i="1"/>
  <c r="AS217" i="1" s="1"/>
  <c r="AS218" i="1" s="1"/>
  <c r="AL129" i="1" l="1"/>
  <c r="AL132" i="1" s="1"/>
  <c r="AL130" i="1"/>
  <c r="AL133" i="1" s="1"/>
  <c r="AP184" i="1"/>
  <c r="AP185" i="1" s="1"/>
  <c r="AP187" i="1"/>
  <c r="AQ228" i="1"/>
  <c r="AQ229" i="1" s="1"/>
  <c r="AQ230" i="1" s="1"/>
  <c r="AP265" i="1"/>
  <c r="AP267" i="1"/>
  <c r="AP263" i="1"/>
  <c r="AO56" i="1"/>
  <c r="AN128" i="1"/>
  <c r="AP230" i="1"/>
  <c r="AQ265" i="1"/>
  <c r="AQ267" i="1"/>
  <c r="AQ263" i="1"/>
  <c r="AO129" i="1"/>
  <c r="AO132" i="1" s="1"/>
  <c r="AS208" i="1"/>
  <c r="AS232" i="1"/>
  <c r="AR228" i="1"/>
  <c r="AR229" i="1" s="1"/>
  <c r="AP128" i="1" l="1"/>
  <c r="AQ56" i="1"/>
  <c r="AN129" i="1"/>
  <c r="AN132" i="1" s="1"/>
  <c r="AN130" i="1"/>
  <c r="AN133" i="1" s="1"/>
  <c r="AR179" i="1"/>
  <c r="AR180" i="1" s="1"/>
  <c r="AQ128" i="1"/>
  <c r="AQ129" i="1" s="1"/>
  <c r="AQ132" i="1" s="1"/>
  <c r="AR56" i="1"/>
  <c r="AV216" i="1"/>
  <c r="AV217" i="1" s="1"/>
  <c r="AV218" i="1" s="1"/>
  <c r="AV232" i="1" s="1"/>
  <c r="AU216" i="1"/>
  <c r="AU217" i="1" s="1"/>
  <c r="AU218" i="1" s="1"/>
  <c r="AP130" i="1" l="1"/>
  <c r="AP133" i="1" s="1"/>
  <c r="AP129" i="1"/>
  <c r="AP132" i="1" s="1"/>
  <c r="AR187" i="1"/>
  <c r="AR184" i="1"/>
  <c r="AR185" i="1" s="1"/>
  <c r="AS228" i="1"/>
  <c r="AS229" i="1" s="1"/>
  <c r="AS230" i="1" s="1"/>
  <c r="AR267" i="1"/>
  <c r="AR263" i="1"/>
  <c r="AR265" i="1"/>
  <c r="AR230" i="1"/>
  <c r="AS267" i="1"/>
  <c r="AS265" i="1"/>
  <c r="AS263" i="1"/>
  <c r="AQ130" i="1"/>
  <c r="AQ133" i="1" s="1"/>
  <c r="AU208" i="1"/>
  <c r="AU232" i="1"/>
  <c r="AT228" i="1"/>
  <c r="AT229" i="1" s="1"/>
  <c r="AT179" i="1" l="1"/>
  <c r="AT180" i="1" s="1"/>
  <c r="AS56" i="1"/>
  <c r="AR128" i="1"/>
  <c r="AS128" i="1"/>
  <c r="AS129" i="1" s="1"/>
  <c r="AS132" i="1" s="1"/>
  <c r="AT56" i="1"/>
  <c r="AW208" i="1"/>
  <c r="AX216" i="1"/>
  <c r="AX217" i="1" s="1"/>
  <c r="AX218" i="1" s="1"/>
  <c r="AX232" i="1" s="1"/>
  <c r="AW216" i="1"/>
  <c r="AW217" i="1" s="1"/>
  <c r="AW218" i="1" s="1"/>
  <c r="AR130" i="1" l="1"/>
  <c r="AR133" i="1" s="1"/>
  <c r="AR129" i="1"/>
  <c r="AR132" i="1" s="1"/>
  <c r="AT184" i="1"/>
  <c r="AT185" i="1" s="1"/>
  <c r="AT187" i="1"/>
  <c r="AU228" i="1"/>
  <c r="AU229" i="1" s="1"/>
  <c r="AU230" i="1" s="1"/>
  <c r="AT267" i="1"/>
  <c r="AT265" i="1"/>
  <c r="AT263" i="1"/>
  <c r="AT230" i="1"/>
  <c r="AU267" i="1"/>
  <c r="AU265" i="1"/>
  <c r="AU263" i="1"/>
  <c r="AS130" i="1"/>
  <c r="AS133" i="1" s="1"/>
  <c r="AW232" i="1"/>
  <c r="AV228" i="1"/>
  <c r="AV229" i="1" s="1"/>
  <c r="AU56" i="1" l="1"/>
  <c r="AT128" i="1"/>
  <c r="AV179" i="1"/>
  <c r="AV180" i="1" s="1"/>
  <c r="AU128" i="1"/>
  <c r="AU130" i="1" s="1"/>
  <c r="AU133" i="1" s="1"/>
  <c r="AV56" i="1"/>
  <c r="AZ216" i="1"/>
  <c r="AZ217" i="1" s="1"/>
  <c r="AZ218" i="1" s="1"/>
  <c r="AZ232" i="1" s="1"/>
  <c r="AY216" i="1"/>
  <c r="AY217" i="1" s="1"/>
  <c r="AY218" i="1" s="1"/>
  <c r="AT130" i="1" l="1"/>
  <c r="AT133" i="1" s="1"/>
  <c r="AT129" i="1"/>
  <c r="AT132" i="1" s="1"/>
  <c r="AV187" i="1"/>
  <c r="AV184" i="1"/>
  <c r="AV185" i="1" s="1"/>
  <c r="AW228" i="1"/>
  <c r="AW229" i="1" s="1"/>
  <c r="AW230" i="1" s="1"/>
  <c r="AV263" i="1"/>
  <c r="AV267" i="1"/>
  <c r="AV265" i="1"/>
  <c r="AV230" i="1"/>
  <c r="AW265" i="1"/>
  <c r="AW267" i="1"/>
  <c r="AW263" i="1"/>
  <c r="AU129" i="1"/>
  <c r="AU132" i="1" s="1"/>
  <c r="AY208" i="1"/>
  <c r="AY232" i="1"/>
  <c r="AX228" i="1"/>
  <c r="AX229" i="1" s="1"/>
  <c r="AX179" i="1" l="1"/>
  <c r="AX180" i="1" s="1"/>
  <c r="AV128" i="1"/>
  <c r="AW56" i="1"/>
  <c r="AW128" i="1"/>
  <c r="AW130" i="1" s="1"/>
  <c r="AW133" i="1" s="1"/>
  <c r="AX56" i="1"/>
  <c r="BB216" i="1"/>
  <c r="BB217" i="1" s="1"/>
  <c r="BB218" i="1" s="1"/>
  <c r="BB232" i="1" s="1"/>
  <c r="BA216" i="1"/>
  <c r="BA217" i="1" s="1"/>
  <c r="BA218" i="1" s="1"/>
  <c r="AX184" i="1" l="1"/>
  <c r="AX185" i="1" s="1"/>
  <c r="AX187" i="1"/>
  <c r="AY228" i="1"/>
  <c r="AY229" i="1" s="1"/>
  <c r="AY230" i="1" s="1"/>
  <c r="AX267" i="1"/>
  <c r="AX263" i="1"/>
  <c r="AX265" i="1"/>
  <c r="AV129" i="1"/>
  <c r="AV132" i="1" s="1"/>
  <c r="AV130" i="1"/>
  <c r="AV133" i="1" s="1"/>
  <c r="AX230" i="1"/>
  <c r="AY265" i="1"/>
  <c r="AY267" i="1"/>
  <c r="AY263" i="1"/>
  <c r="AW129" i="1"/>
  <c r="AW132" i="1" s="1"/>
  <c r="BA208" i="1"/>
  <c r="BA232" i="1"/>
  <c r="AZ228" i="1"/>
  <c r="AZ229" i="1" s="1"/>
  <c r="AY56" i="1" l="1"/>
  <c r="AX128" i="1"/>
  <c r="AZ179" i="1"/>
  <c r="AZ180" i="1" s="1"/>
  <c r="AY128" i="1"/>
  <c r="AY130" i="1" s="1"/>
  <c r="AY133" i="1" s="1"/>
  <c r="AZ56" i="1"/>
  <c r="BD216" i="1"/>
  <c r="BD217" i="1" s="1"/>
  <c r="BD218" i="1" s="1"/>
  <c r="BD232" i="1" s="1"/>
  <c r="BC216" i="1"/>
  <c r="BC217" i="1" s="1"/>
  <c r="BC218" i="1" s="1"/>
  <c r="AX130" i="1" l="1"/>
  <c r="AX133" i="1" s="1"/>
  <c r="AX129" i="1"/>
  <c r="AX132" i="1" s="1"/>
  <c r="AZ187" i="1"/>
  <c r="AZ184" i="1"/>
  <c r="AZ185" i="1" s="1"/>
  <c r="BA228" i="1"/>
  <c r="BA229" i="1" s="1"/>
  <c r="BA230" i="1" s="1"/>
  <c r="AZ263" i="1"/>
  <c r="AZ267" i="1"/>
  <c r="AZ265" i="1"/>
  <c r="AZ230" i="1"/>
  <c r="BA267" i="1"/>
  <c r="BA265" i="1"/>
  <c r="BA263" i="1"/>
  <c r="AY129" i="1"/>
  <c r="AY132" i="1" s="1"/>
  <c r="BC208" i="1"/>
  <c r="BC232" i="1"/>
  <c r="BB228" i="1"/>
  <c r="BB229" i="1" s="1"/>
  <c r="BB179" i="1" l="1"/>
  <c r="BB180" i="1" s="1"/>
  <c r="AZ128" i="1"/>
  <c r="BA56" i="1"/>
  <c r="BA128" i="1"/>
  <c r="BA129" i="1" s="1"/>
  <c r="BA132" i="1" s="1"/>
  <c r="BB56" i="1"/>
  <c r="BF216" i="1"/>
  <c r="BF217" i="1" s="1"/>
  <c r="BF218" i="1" s="1"/>
  <c r="BF232" i="1" s="1"/>
  <c r="BE216" i="1"/>
  <c r="BE217" i="1" s="1"/>
  <c r="BE218" i="1" s="1"/>
  <c r="BB184" i="1" l="1"/>
  <c r="BB185" i="1" s="1"/>
  <c r="BB187" i="1"/>
  <c r="BC228" i="1"/>
  <c r="BC229" i="1" s="1"/>
  <c r="BC230" i="1" s="1"/>
  <c r="BB263" i="1"/>
  <c r="BB267" i="1"/>
  <c r="BB265" i="1"/>
  <c r="AZ129" i="1"/>
  <c r="AZ132" i="1" s="1"/>
  <c r="AZ130" i="1"/>
  <c r="AZ133" i="1" s="1"/>
  <c r="BB230" i="1"/>
  <c r="BC267" i="1"/>
  <c r="BC265" i="1"/>
  <c r="BC263" i="1"/>
  <c r="BA130" i="1"/>
  <c r="BA133" i="1" s="1"/>
  <c r="BE208" i="1"/>
  <c r="BE232" i="1"/>
  <c r="BD228" i="1"/>
  <c r="BD229" i="1" s="1"/>
  <c r="BB128" i="1" l="1"/>
  <c r="BC56" i="1"/>
  <c r="BD179" i="1"/>
  <c r="BD180" i="1" s="1"/>
  <c r="BC128" i="1"/>
  <c r="BC129" i="1" s="1"/>
  <c r="BC132" i="1" s="1"/>
  <c r="BD56" i="1"/>
  <c r="BG208" i="1"/>
  <c r="BH216" i="1"/>
  <c r="BH217" i="1" s="1"/>
  <c r="BH218" i="1" s="1"/>
  <c r="BH232" i="1" s="1"/>
  <c r="BG216" i="1"/>
  <c r="BG217" i="1" s="1"/>
  <c r="BG218" i="1" s="1"/>
  <c r="BB130" i="1" l="1"/>
  <c r="BB133" i="1" s="1"/>
  <c r="BB129" i="1"/>
  <c r="BB132" i="1" s="1"/>
  <c r="BD187" i="1"/>
  <c r="BD184" i="1"/>
  <c r="BD185" i="1" s="1"/>
  <c r="BE228" i="1"/>
  <c r="BE229" i="1" s="1"/>
  <c r="BE230" i="1" s="1"/>
  <c r="BD267" i="1"/>
  <c r="BD265" i="1"/>
  <c r="BD263" i="1"/>
  <c r="BD230" i="1"/>
  <c r="BE265" i="1"/>
  <c r="BE267" i="1"/>
  <c r="BE263" i="1"/>
  <c r="BC130" i="1"/>
  <c r="BC133" i="1" s="1"/>
  <c r="BG232" i="1"/>
  <c r="BF228" i="1"/>
  <c r="BF229" i="1" s="1"/>
  <c r="BF179" i="1" l="1"/>
  <c r="BF180" i="1" s="1"/>
  <c r="BD128" i="1"/>
  <c r="BE56" i="1"/>
  <c r="BE128" i="1"/>
  <c r="BE129" i="1" s="1"/>
  <c r="BE132" i="1" s="1"/>
  <c r="BF56" i="1"/>
  <c r="BJ216" i="1"/>
  <c r="BJ217" i="1" s="1"/>
  <c r="BJ218" i="1" s="1"/>
  <c r="BJ232" i="1" s="1"/>
  <c r="BI216" i="1"/>
  <c r="BI217" i="1" s="1"/>
  <c r="BI218" i="1" s="1"/>
  <c r="BD130" i="1" l="1"/>
  <c r="BD133" i="1" s="1"/>
  <c r="BD129" i="1"/>
  <c r="BD132" i="1" s="1"/>
  <c r="BF184" i="1"/>
  <c r="BF185" i="1" s="1"/>
  <c r="BF187" i="1"/>
  <c r="BG228" i="1"/>
  <c r="BG229" i="1" s="1"/>
  <c r="BG230" i="1" s="1"/>
  <c r="BF267" i="1"/>
  <c r="BF265" i="1"/>
  <c r="BF263" i="1"/>
  <c r="BF230" i="1"/>
  <c r="BG265" i="1"/>
  <c r="BG267" i="1"/>
  <c r="BG263" i="1"/>
  <c r="BE130" i="1"/>
  <c r="BE133" i="1" s="1"/>
  <c r="BI208" i="1"/>
  <c r="BI232" i="1"/>
  <c r="BH228" i="1"/>
  <c r="BH229" i="1" s="1"/>
  <c r="BG56" i="1" l="1"/>
  <c r="BF128" i="1"/>
  <c r="BH179" i="1"/>
  <c r="BH180" i="1" s="1"/>
  <c r="BG128" i="1"/>
  <c r="BG129" i="1" s="1"/>
  <c r="BG132" i="1" s="1"/>
  <c r="BH56" i="1"/>
  <c r="BL216" i="1"/>
  <c r="BL217" i="1" s="1"/>
  <c r="BL218" i="1" s="1"/>
  <c r="BL232" i="1" s="1"/>
  <c r="BK216" i="1"/>
  <c r="BK217" i="1" s="1"/>
  <c r="BK218" i="1" s="1"/>
  <c r="BF129" i="1" l="1"/>
  <c r="BF132" i="1" s="1"/>
  <c r="BF130" i="1"/>
  <c r="BF133" i="1" s="1"/>
  <c r="BH187" i="1"/>
  <c r="BH184" i="1"/>
  <c r="BH185" i="1" s="1"/>
  <c r="BH267" i="1"/>
  <c r="BI228" i="1"/>
  <c r="BI229" i="1" s="1"/>
  <c r="BI230" i="1" s="1"/>
  <c r="BH265" i="1"/>
  <c r="BH263" i="1"/>
  <c r="BH230" i="1"/>
  <c r="BI267" i="1"/>
  <c r="BI265" i="1"/>
  <c r="BI263" i="1"/>
  <c r="BG130" i="1"/>
  <c r="BG133" i="1" s="1"/>
  <c r="BK208" i="1"/>
  <c r="BK232" i="1"/>
  <c r="BJ228" i="1"/>
  <c r="BJ229" i="1" s="1"/>
  <c r="BJ179" i="1" l="1"/>
  <c r="BJ180" i="1" s="1"/>
  <c r="BH128" i="1"/>
  <c r="BI56" i="1"/>
  <c r="BI128" i="1"/>
  <c r="BI130" i="1" s="1"/>
  <c r="BI133" i="1" s="1"/>
  <c r="BJ56" i="1"/>
  <c r="BN216" i="1"/>
  <c r="BN217" i="1" s="1"/>
  <c r="BN218" i="1" s="1"/>
  <c r="BN232" i="1" s="1"/>
  <c r="BM216" i="1"/>
  <c r="BM217" i="1" s="1"/>
  <c r="BM218" i="1" s="1"/>
  <c r="BH129" i="1" l="1"/>
  <c r="BH132" i="1" s="1"/>
  <c r="BH130" i="1"/>
  <c r="BH133" i="1" s="1"/>
  <c r="BJ184" i="1"/>
  <c r="BJ185" i="1" s="1"/>
  <c r="BJ187" i="1"/>
  <c r="BK228" i="1"/>
  <c r="BK229" i="1" s="1"/>
  <c r="BK230" i="1" s="1"/>
  <c r="BJ265" i="1"/>
  <c r="BJ267" i="1"/>
  <c r="BJ263" i="1"/>
  <c r="BJ230" i="1"/>
  <c r="BK267" i="1"/>
  <c r="BK265" i="1"/>
  <c r="BK263" i="1"/>
  <c r="BI129" i="1"/>
  <c r="BI132" i="1" s="1"/>
  <c r="BM208" i="1"/>
  <c r="BM232" i="1"/>
  <c r="BL228" i="1"/>
  <c r="BL229" i="1" s="1"/>
  <c r="BJ128" i="1" l="1"/>
  <c r="BK56" i="1"/>
  <c r="BL179" i="1"/>
  <c r="BL180" i="1" s="1"/>
  <c r="BK128" i="1"/>
  <c r="BK130" i="1" s="1"/>
  <c r="BK133" i="1" s="1"/>
  <c r="BL56" i="1"/>
  <c r="BP216" i="1"/>
  <c r="BP217" i="1" s="1"/>
  <c r="BP218" i="1" s="1"/>
  <c r="BP232" i="1" s="1"/>
  <c r="BO216" i="1"/>
  <c r="BO217" i="1" s="1"/>
  <c r="BO218" i="1" s="1"/>
  <c r="BJ130" i="1" l="1"/>
  <c r="BJ133" i="1" s="1"/>
  <c r="BJ129" i="1"/>
  <c r="BJ132" i="1" s="1"/>
  <c r="BL187" i="1"/>
  <c r="BL184" i="1"/>
  <c r="BL185" i="1" s="1"/>
  <c r="BM228" i="1"/>
  <c r="BM229" i="1" s="1"/>
  <c r="BM230" i="1" s="1"/>
  <c r="BL265" i="1"/>
  <c r="BL267" i="1"/>
  <c r="BL263" i="1"/>
  <c r="BL230" i="1"/>
  <c r="BM265" i="1"/>
  <c r="BM267" i="1"/>
  <c r="BM263" i="1"/>
  <c r="BK129" i="1"/>
  <c r="BK132" i="1" s="1"/>
  <c r="BO208" i="1"/>
  <c r="BO232" i="1"/>
  <c r="BN228" i="1"/>
  <c r="BN229" i="1" s="1"/>
  <c r="BN179" i="1" l="1"/>
  <c r="BN180" i="1" s="1"/>
  <c r="BL128" i="1"/>
  <c r="BM56" i="1"/>
  <c r="BM128" i="1"/>
  <c r="BM129" i="1" s="1"/>
  <c r="BM132" i="1" s="1"/>
  <c r="BN56" i="1"/>
  <c r="BR216" i="1"/>
  <c r="BR217" i="1" s="1"/>
  <c r="BR218" i="1" s="1"/>
  <c r="BR232" i="1" s="1"/>
  <c r="BQ216" i="1"/>
  <c r="BQ217" i="1" s="1"/>
  <c r="BQ218" i="1" s="1"/>
  <c r="BN184" i="1" l="1"/>
  <c r="BN185" i="1" s="1"/>
  <c r="BN187" i="1"/>
  <c r="BO228" i="1"/>
  <c r="BO229" i="1" s="1"/>
  <c r="BO230" i="1" s="1"/>
  <c r="BN263" i="1"/>
  <c r="BN267" i="1"/>
  <c r="BN265" i="1"/>
  <c r="BL129" i="1"/>
  <c r="BL132" i="1" s="1"/>
  <c r="BL130" i="1"/>
  <c r="BL133" i="1" s="1"/>
  <c r="BN230" i="1"/>
  <c r="BO265" i="1"/>
  <c r="BO267" i="1"/>
  <c r="BO263" i="1"/>
  <c r="BM130" i="1"/>
  <c r="BM133" i="1" s="1"/>
  <c r="BQ208" i="1"/>
  <c r="BQ232" i="1"/>
  <c r="BP228" i="1"/>
  <c r="BP229" i="1" s="1"/>
  <c r="BN128" i="1" l="1"/>
  <c r="BO56" i="1"/>
  <c r="BP179" i="1"/>
  <c r="BP180" i="1" s="1"/>
  <c r="BO128" i="1"/>
  <c r="BO129" i="1" s="1"/>
  <c r="BO132" i="1" s="1"/>
  <c r="BP56" i="1"/>
  <c r="BT216" i="1"/>
  <c r="BT217" i="1" s="1"/>
  <c r="BT218" i="1" s="1"/>
  <c r="BT232" i="1" s="1"/>
  <c r="BS216" i="1"/>
  <c r="BS217" i="1" s="1"/>
  <c r="BS218" i="1" s="1"/>
  <c r="BN130" i="1" l="1"/>
  <c r="BN133" i="1" s="1"/>
  <c r="BN129" i="1"/>
  <c r="BN132" i="1" s="1"/>
  <c r="BP184" i="1"/>
  <c r="BP185" i="1" s="1"/>
  <c r="BP187" i="1"/>
  <c r="BQ228" i="1"/>
  <c r="BQ229" i="1" s="1"/>
  <c r="BQ230" i="1" s="1"/>
  <c r="BP267" i="1"/>
  <c r="BP265" i="1"/>
  <c r="BP263" i="1"/>
  <c r="BP230" i="1"/>
  <c r="BQ267" i="1"/>
  <c r="BQ265" i="1"/>
  <c r="BQ263" i="1"/>
  <c r="BO130" i="1"/>
  <c r="BO133" i="1" s="1"/>
  <c r="BS208" i="1"/>
  <c r="BS232" i="1"/>
  <c r="BR228" i="1"/>
  <c r="BR229" i="1" s="1"/>
  <c r="BR179" i="1" l="1"/>
  <c r="BR180" i="1" s="1"/>
  <c r="BP128" i="1"/>
  <c r="BQ56" i="1"/>
  <c r="BQ128" i="1"/>
  <c r="BQ129" i="1" s="1"/>
  <c r="BQ132" i="1" s="1"/>
  <c r="BR56" i="1"/>
  <c r="BV216" i="1"/>
  <c r="BV217" i="1" s="1"/>
  <c r="BV218" i="1" s="1"/>
  <c r="BV232" i="1" s="1"/>
  <c r="BU216" i="1"/>
  <c r="BU217" i="1" s="1"/>
  <c r="BU218" i="1" s="1"/>
  <c r="BR184" i="1" l="1"/>
  <c r="BR185" i="1" s="1"/>
  <c r="BR187" i="1"/>
  <c r="BS228" i="1"/>
  <c r="BS229" i="1" s="1"/>
  <c r="BS230" i="1" s="1"/>
  <c r="BR263" i="1"/>
  <c r="BR265" i="1"/>
  <c r="BR267" i="1"/>
  <c r="BP130" i="1"/>
  <c r="BP133" i="1" s="1"/>
  <c r="BP129" i="1"/>
  <c r="BP132" i="1" s="1"/>
  <c r="BR230" i="1"/>
  <c r="BS267" i="1"/>
  <c r="BS265" i="1"/>
  <c r="BS263" i="1"/>
  <c r="BQ130" i="1"/>
  <c r="BQ133" i="1" s="1"/>
  <c r="BU208" i="1"/>
  <c r="BU232" i="1"/>
  <c r="BT228" i="1"/>
  <c r="BT229" i="1" s="1"/>
  <c r="BS56" i="1" l="1"/>
  <c r="BR128" i="1"/>
  <c r="BT179" i="1"/>
  <c r="BT180" i="1" s="1"/>
  <c r="BS128" i="1"/>
  <c r="BS130" i="1" s="1"/>
  <c r="BS133" i="1" s="1"/>
  <c r="BT56" i="1"/>
  <c r="BX216" i="1"/>
  <c r="BX217" i="1" s="1"/>
  <c r="BX218" i="1" s="1"/>
  <c r="BX232" i="1" s="1"/>
  <c r="BW216" i="1"/>
  <c r="BW217" i="1" s="1"/>
  <c r="BW218" i="1" s="1"/>
  <c r="BR130" i="1" l="1"/>
  <c r="BR133" i="1" s="1"/>
  <c r="BR129" i="1"/>
  <c r="BR132" i="1" s="1"/>
  <c r="BT184" i="1"/>
  <c r="BT185" i="1" s="1"/>
  <c r="BT187" i="1"/>
  <c r="BU228" i="1"/>
  <c r="BU229" i="1" s="1"/>
  <c r="BU230" i="1" s="1"/>
  <c r="BT265" i="1"/>
  <c r="BT267" i="1"/>
  <c r="BT263" i="1"/>
  <c r="BT230" i="1"/>
  <c r="BU265" i="1"/>
  <c r="BU267" i="1"/>
  <c r="BU263" i="1"/>
  <c r="BS129" i="1"/>
  <c r="BS132" i="1" s="1"/>
  <c r="BW208" i="1"/>
  <c r="BW232" i="1"/>
  <c r="BV228" i="1"/>
  <c r="BV229" i="1" s="1"/>
  <c r="BV179" i="1" l="1"/>
  <c r="BV180" i="1" s="1"/>
  <c r="BU56" i="1"/>
  <c r="BT128" i="1"/>
  <c r="BU128" i="1"/>
  <c r="BU130" i="1" s="1"/>
  <c r="BU133" i="1" s="1"/>
  <c r="BV56" i="1"/>
  <c r="BZ216" i="1"/>
  <c r="BZ217" i="1" s="1"/>
  <c r="BZ218" i="1" s="1"/>
  <c r="BZ232" i="1" s="1"/>
  <c r="BY216" i="1"/>
  <c r="BY217" i="1" s="1"/>
  <c r="BY218" i="1" s="1"/>
  <c r="BT129" i="1" l="1"/>
  <c r="BT132" i="1" s="1"/>
  <c r="BT130" i="1"/>
  <c r="BT133" i="1" s="1"/>
  <c r="BV184" i="1"/>
  <c r="BV185" i="1" s="1"/>
  <c r="BV187" i="1"/>
  <c r="BW228" i="1"/>
  <c r="BW229" i="1" s="1"/>
  <c r="BW230" i="1" s="1"/>
  <c r="BV267" i="1"/>
  <c r="BV263" i="1"/>
  <c r="BV265" i="1"/>
  <c r="BV230" i="1"/>
  <c r="BW265" i="1"/>
  <c r="BW267" i="1"/>
  <c r="BW263" i="1"/>
  <c r="BU129" i="1"/>
  <c r="BU132" i="1" s="1"/>
  <c r="BY208" i="1"/>
  <c r="BY232" i="1"/>
  <c r="BX228" i="1"/>
  <c r="BX229" i="1" s="1"/>
  <c r="BV128" i="1" l="1"/>
  <c r="BW56" i="1"/>
  <c r="BX179" i="1"/>
  <c r="BX180" i="1" s="1"/>
  <c r="BW128" i="1"/>
  <c r="BW130" i="1" s="1"/>
  <c r="BW133" i="1" s="1"/>
  <c r="BX56" i="1"/>
  <c r="BV129" i="1" l="1"/>
  <c r="BV132" i="1" s="1"/>
  <c r="BV130" i="1"/>
  <c r="BV133" i="1" s="1"/>
  <c r="BX184" i="1"/>
  <c r="BX185" i="1" s="1"/>
  <c r="BX187" i="1"/>
  <c r="BY228" i="1"/>
  <c r="BY229" i="1" s="1"/>
  <c r="BY230" i="1" s="1"/>
  <c r="BX265" i="1"/>
  <c r="BX267" i="1"/>
  <c r="BX263" i="1"/>
  <c r="BX230" i="1"/>
  <c r="BY267" i="1"/>
  <c r="BY265" i="1"/>
  <c r="BY263" i="1"/>
  <c r="BW129" i="1"/>
  <c r="BW132" i="1" s="1"/>
  <c r="BZ228" i="1"/>
  <c r="BZ229" i="1" s="1"/>
  <c r="BY56" i="1" l="1"/>
  <c r="BX128" i="1"/>
  <c r="BZ179" i="1"/>
  <c r="BZ180" i="1" s="1"/>
  <c r="BZ230" i="1" s="1"/>
  <c r="BY128" i="1"/>
  <c r="BY129" i="1" s="1"/>
  <c r="BY132" i="1" s="1"/>
  <c r="BZ56" i="1"/>
  <c r="BX129" i="1" l="1"/>
  <c r="BX132" i="1" s="1"/>
  <c r="BX130" i="1"/>
  <c r="BX133" i="1" s="1"/>
  <c r="BZ187" i="1"/>
  <c r="BZ184" i="1"/>
  <c r="BZ185" i="1" s="1"/>
  <c r="BZ267" i="1"/>
  <c r="CA228" i="1"/>
  <c r="BZ265" i="1"/>
  <c r="BZ263" i="1"/>
  <c r="BY130" i="1"/>
  <c r="BY133" i="1" s="1"/>
  <c r="CB216" i="1"/>
  <c r="CA216" i="1"/>
  <c r="BZ128" i="1" l="1"/>
  <c r="CA56" i="1"/>
  <c r="CA215" i="1"/>
  <c r="CA217" i="1" s="1"/>
  <c r="CA218" i="1" s="1"/>
  <c r="CA232" i="1" s="1"/>
  <c r="CB215" i="1"/>
  <c r="CB217" i="1" s="1"/>
  <c r="CB218" i="1" s="1"/>
  <c r="CB232" i="1" s="1"/>
  <c r="BZ130" i="1" l="1"/>
  <c r="BZ133" i="1" s="1"/>
  <c r="BZ129" i="1"/>
  <c r="BZ132" i="1" s="1"/>
  <c r="CA208" i="1"/>
  <c r="CA229" i="1"/>
  <c r="CA267" i="1" l="1"/>
  <c r="CA265" i="1"/>
  <c r="CA263" i="1"/>
  <c r="CB228" i="1"/>
  <c r="CB229" i="1" s="1"/>
  <c r="CA230" i="1"/>
  <c r="CB179" i="1" l="1"/>
  <c r="CB180" i="1" s="1"/>
  <c r="CA128" i="1"/>
  <c r="CA129" i="1" s="1"/>
  <c r="CA132" i="1" s="1"/>
  <c r="CB56" i="1"/>
  <c r="CB187" i="1" l="1"/>
  <c r="CB184" i="1"/>
  <c r="CB185" i="1" s="1"/>
  <c r="CC228" i="1"/>
  <c r="CB267" i="1"/>
  <c r="CB265" i="1"/>
  <c r="CB263" i="1"/>
  <c r="CB230" i="1"/>
  <c r="CA130" i="1"/>
  <c r="CA133" i="1" s="1"/>
  <c r="CB128" i="1" l="1"/>
  <c r="CC56" i="1"/>
  <c r="CE108" i="1"/>
  <c r="CD108" i="1"/>
  <c r="CC108" i="1"/>
  <c r="CB108" i="1"/>
  <c r="CB129" i="1" l="1"/>
  <c r="CB132" i="1" s="1"/>
  <c r="CB130" i="1"/>
  <c r="CB133" i="1" s="1"/>
  <c r="CJ216" i="1" l="1"/>
  <c r="CI216" i="1"/>
  <c r="CJ215" i="1" l="1"/>
  <c r="CJ217" i="1" s="1"/>
  <c r="CJ218" i="1" s="1"/>
  <c r="CI215" i="1"/>
  <c r="CI217" i="1" s="1"/>
  <c r="CI218" i="1" s="1"/>
  <c r="CI232" i="1" s="1"/>
  <c r="CI229" i="1" l="1"/>
  <c r="CI267" i="1" l="1"/>
  <c r="CI265" i="1"/>
  <c r="CI263" i="1"/>
  <c r="CI230" i="1"/>
  <c r="CJ228" i="1"/>
  <c r="CI128" i="1" l="1"/>
  <c r="CI130" i="1" s="1"/>
  <c r="CI133" i="1" s="1"/>
  <c r="CJ56" i="1"/>
  <c r="CI129" i="1" l="1"/>
  <c r="CI132" i="1" s="1"/>
  <c r="AA7" i="1" l="1"/>
  <c r="CN29" i="1"/>
  <c r="CM29" i="1"/>
  <c r="CN250" i="1"/>
  <c r="CM250" i="1"/>
  <c r="CM117" i="1"/>
  <c r="CM118" i="1" s="1"/>
  <c r="CM121" i="1" s="1"/>
  <c r="CN117" i="1"/>
  <c r="CN118" i="1" s="1"/>
  <c r="CN121" i="1" s="1"/>
  <c r="CN41" i="1" l="1"/>
  <c r="CN45" i="1" s="1"/>
  <c r="CN46" i="1" s="1"/>
  <c r="CN30" i="1"/>
  <c r="CM41" i="1"/>
  <c r="CM45" i="1" s="1"/>
  <c r="CM46" i="1" s="1"/>
  <c r="CM30" i="1"/>
  <c r="AA6" i="1"/>
  <c r="AA13" i="1"/>
  <c r="CM165" i="1"/>
  <c r="CN164" i="1"/>
  <c r="CN35" i="1"/>
  <c r="CN163" i="1"/>
  <c r="CN172" i="1"/>
  <c r="CM172" i="1"/>
  <c r="CN31" i="1"/>
  <c r="CN171" i="1"/>
  <c r="CN165" i="1"/>
  <c r="CM164" i="1"/>
  <c r="CM31" i="1"/>
  <c r="CM35" i="1"/>
  <c r="CM171" i="1"/>
  <c r="CM163" i="1"/>
  <c r="CM244" i="1"/>
  <c r="CN244" i="1"/>
  <c r="AA23" i="1" l="1"/>
  <c r="AA12" i="1"/>
  <c r="CN47" i="1"/>
  <c r="CN48" i="1" s="1"/>
  <c r="CM47" i="1"/>
  <c r="CM48" i="1" s="1"/>
  <c r="CN34" i="1"/>
  <c r="CM34" i="1"/>
  <c r="CM175" i="1"/>
  <c r="CN37" i="1"/>
  <c r="CO29" i="1"/>
  <c r="AB27" i="1"/>
  <c r="AB7" i="1" s="1"/>
  <c r="CN167" i="1"/>
  <c r="CM167" i="1"/>
  <c r="CN175" i="1"/>
  <c r="CR29" i="1"/>
  <c r="CM37" i="1"/>
  <c r="CR250" i="1"/>
  <c r="CQ29" i="1"/>
  <c r="CQ250" i="1"/>
  <c r="CR117" i="1"/>
  <c r="CR118" i="1" s="1"/>
  <c r="CR121" i="1" s="1"/>
  <c r="CN38" i="1"/>
  <c r="CO117" i="1"/>
  <c r="CO118" i="1" s="1"/>
  <c r="CO121" i="1" s="1"/>
  <c r="CO250" i="1"/>
  <c r="CM38" i="1"/>
  <c r="CP250" i="1"/>
  <c r="CP29" i="1"/>
  <c r="CQ117" i="1"/>
  <c r="CQ118" i="1" s="1"/>
  <c r="CQ121" i="1" s="1"/>
  <c r="CP117" i="1"/>
  <c r="CP118" i="1" s="1"/>
  <c r="CN49" i="1" l="1"/>
  <c r="CN50" i="1"/>
  <c r="AB6" i="1"/>
  <c r="AB12" i="1" s="1"/>
  <c r="AB13" i="1"/>
  <c r="CM49" i="1"/>
  <c r="CP121" i="1"/>
  <c r="CP119" i="1"/>
  <c r="CM50" i="1"/>
  <c r="CO41" i="1"/>
  <c r="CO45" i="1" s="1"/>
  <c r="CO46" i="1" s="1"/>
  <c r="CO30" i="1"/>
  <c r="CR41" i="1"/>
  <c r="CR45" i="1" s="1"/>
  <c r="CR46" i="1" s="1"/>
  <c r="CR30" i="1"/>
  <c r="CQ41" i="1"/>
  <c r="CQ45" i="1" s="1"/>
  <c r="CQ46" i="1" s="1"/>
  <c r="CQ30" i="1"/>
  <c r="CP41" i="1"/>
  <c r="CP45" i="1" s="1"/>
  <c r="CP46" i="1" s="1"/>
  <c r="CP30" i="1"/>
  <c r="CM176" i="1"/>
  <c r="CO163" i="1"/>
  <c r="AB163" i="1" s="1"/>
  <c r="CR164" i="1"/>
  <c r="CO35" i="1"/>
  <c r="CO171" i="1"/>
  <c r="CO172" i="1"/>
  <c r="AB172" i="1" s="1"/>
  <c r="CO244" i="1"/>
  <c r="CO164" i="1"/>
  <c r="AB164" i="1" s="1"/>
  <c r="CO165" i="1"/>
  <c r="CS117" i="1"/>
  <c r="CS118" i="1" s="1"/>
  <c r="CS121" i="1" s="1"/>
  <c r="CO31" i="1"/>
  <c r="CN176" i="1"/>
  <c r="CN216" i="1"/>
  <c r="CN215" i="1"/>
  <c r="CR163" i="1"/>
  <c r="CR165" i="1"/>
  <c r="CR35" i="1"/>
  <c r="CR172" i="1"/>
  <c r="CR31" i="1"/>
  <c r="CR171" i="1"/>
  <c r="CQ31" i="1"/>
  <c r="CQ165" i="1"/>
  <c r="CQ164" i="1"/>
  <c r="CQ171" i="1"/>
  <c r="CQ172" i="1"/>
  <c r="CQ163" i="1"/>
  <c r="CM251" i="1"/>
  <c r="CM252" i="1" s="1"/>
  <c r="CQ35" i="1"/>
  <c r="CM269" i="1"/>
  <c r="CM270" i="1" s="1"/>
  <c r="CR244" i="1"/>
  <c r="CP244" i="1"/>
  <c r="AB29" i="1"/>
  <c r="AB77" i="1" s="1"/>
  <c r="CM131" i="1"/>
  <c r="AA20" i="1"/>
  <c r="CM216" i="1"/>
  <c r="CP164" i="1"/>
  <c r="CP163" i="1"/>
  <c r="CP171" i="1"/>
  <c r="CP35" i="1"/>
  <c r="CP172" i="1"/>
  <c r="CP165" i="1"/>
  <c r="CP31" i="1"/>
  <c r="CU29" i="1"/>
  <c r="CU250" i="1"/>
  <c r="CM215" i="1"/>
  <c r="CQ244" i="1"/>
  <c r="CM245" i="1"/>
  <c r="CO47" i="1" l="1"/>
  <c r="CO48" i="1" s="1"/>
  <c r="CR47" i="1"/>
  <c r="CR48" i="1" s="1"/>
  <c r="CQ47" i="1"/>
  <c r="CQ48" i="1" s="1"/>
  <c r="CP47" i="1"/>
  <c r="CP48" i="1" s="1"/>
  <c r="CU30" i="1"/>
  <c r="CU41" i="1"/>
  <c r="CU45" i="1" s="1"/>
  <c r="CU46" i="1" s="1"/>
  <c r="AB41" i="1"/>
  <c r="CQ34" i="1"/>
  <c r="CP34" i="1"/>
  <c r="CN217" i="1"/>
  <c r="AB165" i="1"/>
  <c r="CO167" i="1"/>
  <c r="CO215" i="1" s="1"/>
  <c r="AB199" i="1"/>
  <c r="AB202" i="1"/>
  <c r="CO37" i="1"/>
  <c r="CO38" i="1"/>
  <c r="CO34" i="1"/>
  <c r="AB34" i="1" s="1"/>
  <c r="AB35" i="1" s="1"/>
  <c r="AB78" i="1" s="1"/>
  <c r="AB171" i="1"/>
  <c r="AB175" i="1" s="1"/>
  <c r="CO175" i="1"/>
  <c r="AC27" i="1"/>
  <c r="AC7" i="1" s="1"/>
  <c r="CS29" i="1"/>
  <c r="CS250" i="1"/>
  <c r="CR38" i="1"/>
  <c r="CR175" i="1"/>
  <c r="CR34" i="1"/>
  <c r="CR167" i="1"/>
  <c r="CR37" i="1"/>
  <c r="CV29" i="1"/>
  <c r="CQ37" i="1"/>
  <c r="CV250" i="1"/>
  <c r="CQ175" i="1"/>
  <c r="CQ167" i="1"/>
  <c r="AB117" i="1"/>
  <c r="AB207" i="1"/>
  <c r="CQ38" i="1"/>
  <c r="CM217" i="1"/>
  <c r="CV117" i="1"/>
  <c r="CV118" i="1" s="1"/>
  <c r="CV121" i="1" s="1"/>
  <c r="AB30" i="1"/>
  <c r="CP167" i="1"/>
  <c r="CT117" i="1"/>
  <c r="CT118" i="1" s="1"/>
  <c r="CT121" i="1" s="1"/>
  <c r="CU163" i="1"/>
  <c r="CU35" i="1"/>
  <c r="CU171" i="1"/>
  <c r="CU164" i="1"/>
  <c r="CU172" i="1"/>
  <c r="CU165" i="1"/>
  <c r="CP37" i="1"/>
  <c r="CP38" i="1"/>
  <c r="CT250" i="1"/>
  <c r="CT29" i="1"/>
  <c r="CP175" i="1"/>
  <c r="CU117" i="1"/>
  <c r="CU118" i="1" s="1"/>
  <c r="CU121" i="1" s="1"/>
  <c r="AC6" i="1" l="1"/>
  <c r="AC12" i="1" s="1"/>
  <c r="AC13" i="1"/>
  <c r="CP49" i="1"/>
  <c r="CQ50" i="1"/>
  <c r="CO50" i="1"/>
  <c r="CO49" i="1"/>
  <c r="CP50" i="1"/>
  <c r="CR49" i="1"/>
  <c r="CQ49" i="1"/>
  <c r="CR50" i="1"/>
  <c r="CU47" i="1"/>
  <c r="CU48" i="1" s="1"/>
  <c r="CS41" i="1"/>
  <c r="CS45" i="1" s="1"/>
  <c r="CS46" i="1" s="1"/>
  <c r="CS30" i="1"/>
  <c r="CV41" i="1"/>
  <c r="CV45" i="1" s="1"/>
  <c r="CV46" i="1" s="1"/>
  <c r="CV30" i="1"/>
  <c r="CT41" i="1"/>
  <c r="CT45" i="1" s="1"/>
  <c r="CT46" i="1" s="1"/>
  <c r="CT30" i="1"/>
  <c r="AB45" i="1"/>
  <c r="AB46" i="1" s="1"/>
  <c r="CU34" i="1"/>
  <c r="CU31" i="1"/>
  <c r="CV35" i="1"/>
  <c r="CV165" i="1"/>
  <c r="CO176" i="1"/>
  <c r="CO216" i="1"/>
  <c r="CO217" i="1" s="1"/>
  <c r="CS244" i="1"/>
  <c r="CS163" i="1"/>
  <c r="CS35" i="1"/>
  <c r="CS171" i="1"/>
  <c r="CW117" i="1"/>
  <c r="CW118" i="1" s="1"/>
  <c r="CW121" i="1" s="1"/>
  <c r="CS31" i="1"/>
  <c r="CS164" i="1"/>
  <c r="AC164" i="1" s="1"/>
  <c r="CS172" i="1"/>
  <c r="AC172" i="1" s="1"/>
  <c r="CS165" i="1"/>
  <c r="AC165" i="1" s="1"/>
  <c r="CR216" i="1"/>
  <c r="CR215" i="1"/>
  <c r="CV172" i="1"/>
  <c r="CV163" i="1"/>
  <c r="CV31" i="1"/>
  <c r="CR176" i="1"/>
  <c r="CQ216" i="1"/>
  <c r="CQ176" i="1"/>
  <c r="CV171" i="1"/>
  <c r="CV164" i="1"/>
  <c r="AB37" i="1"/>
  <c r="CV244" i="1"/>
  <c r="CP216" i="1"/>
  <c r="CT244" i="1"/>
  <c r="CU244" i="1"/>
  <c r="AC29" i="1"/>
  <c r="AC77" i="1" s="1"/>
  <c r="CU175" i="1"/>
  <c r="CU37" i="1"/>
  <c r="CT163" i="1"/>
  <c r="CT172" i="1"/>
  <c r="CT35" i="1"/>
  <c r="CT164" i="1"/>
  <c r="CT171" i="1"/>
  <c r="CT31" i="1"/>
  <c r="CT165" i="1"/>
  <c r="AB36" i="1"/>
  <c r="CU167" i="1"/>
  <c r="CQ215" i="1"/>
  <c r="CP176" i="1"/>
  <c r="CP215" i="1"/>
  <c r="CY29" i="1"/>
  <c r="CY250" i="1"/>
  <c r="AB204" i="1"/>
  <c r="AB203" i="1" s="1"/>
  <c r="AB216" i="1"/>
  <c r="AB167" i="1"/>
  <c r="AB198" i="1"/>
  <c r="CV47" i="1" l="1"/>
  <c r="CV48" i="1" s="1"/>
  <c r="CU49" i="1"/>
  <c r="CT47" i="1"/>
  <c r="CT48" i="1" s="1"/>
  <c r="CS47" i="1"/>
  <c r="CS48" i="1" s="1"/>
  <c r="CY41" i="1"/>
  <c r="CY45" i="1" s="1"/>
  <c r="CY46" i="1" s="1"/>
  <c r="CY30" i="1"/>
  <c r="AB47" i="1"/>
  <c r="AC41" i="1"/>
  <c r="CT34" i="1"/>
  <c r="CR217" i="1"/>
  <c r="CV34" i="1"/>
  <c r="CV37" i="1"/>
  <c r="CV38" i="1"/>
  <c r="AC163" i="1"/>
  <c r="CS167" i="1"/>
  <c r="CS34" i="1"/>
  <c r="AC34" i="1" s="1"/>
  <c r="AC35" i="1" s="1"/>
  <c r="AC78" i="1" s="1"/>
  <c r="CS37" i="1"/>
  <c r="CS38" i="1"/>
  <c r="AC171" i="1"/>
  <c r="AC175" i="1" s="1"/>
  <c r="CS175" i="1"/>
  <c r="CS216" i="1" s="1"/>
  <c r="AD27" i="1"/>
  <c r="AD7" i="1" s="1"/>
  <c r="CW29" i="1"/>
  <c r="CW250" i="1"/>
  <c r="CZ250" i="1"/>
  <c r="CZ29" i="1"/>
  <c r="AC202" i="1"/>
  <c r="AC199" i="1"/>
  <c r="CV167" i="1"/>
  <c r="CQ217" i="1"/>
  <c r="CV175" i="1"/>
  <c r="CV216" i="1" s="1"/>
  <c r="CX117" i="1"/>
  <c r="CX118" i="1" s="1"/>
  <c r="CX121" i="1" s="1"/>
  <c r="CP217" i="1"/>
  <c r="AC117" i="1"/>
  <c r="AC207" i="1"/>
  <c r="CT167" i="1"/>
  <c r="CY117" i="1"/>
  <c r="CY118" i="1" s="1"/>
  <c r="CY121" i="1" s="1"/>
  <c r="AB176" i="1"/>
  <c r="AB201" i="1"/>
  <c r="AB215" i="1"/>
  <c r="AB217" i="1" s="1"/>
  <c r="CT175" i="1"/>
  <c r="CT38" i="1"/>
  <c r="CT37" i="1"/>
  <c r="AC30" i="1"/>
  <c r="CX250" i="1"/>
  <c r="CX29" i="1"/>
  <c r="CZ117" i="1"/>
  <c r="CZ118" i="1" s="1"/>
  <c r="CZ121" i="1" s="1"/>
  <c r="CY164" i="1"/>
  <c r="CY35" i="1"/>
  <c r="CY172" i="1"/>
  <c r="CY165" i="1"/>
  <c r="CY171" i="1"/>
  <c r="CY163" i="1"/>
  <c r="CU176" i="1"/>
  <c r="CU38" i="1"/>
  <c r="AD6" i="1" l="1"/>
  <c r="AD12" i="1" s="1"/>
  <c r="AD13" i="1"/>
  <c r="CV49" i="1"/>
  <c r="CV50" i="1"/>
  <c r="CS50" i="1"/>
  <c r="CS49" i="1"/>
  <c r="CT50" i="1"/>
  <c r="CT49" i="1"/>
  <c r="CU50" i="1"/>
  <c r="CY47" i="1"/>
  <c r="CY48" i="1" s="1"/>
  <c r="CW41" i="1"/>
  <c r="CW45" i="1" s="1"/>
  <c r="CW46" i="1" s="1"/>
  <c r="CW30" i="1"/>
  <c r="CZ41" i="1"/>
  <c r="CZ45" i="1" s="1"/>
  <c r="CZ46" i="1" s="1"/>
  <c r="CZ30" i="1"/>
  <c r="CX41" i="1"/>
  <c r="CX45" i="1" s="1"/>
  <c r="CX46" i="1" s="1"/>
  <c r="CX30" i="1"/>
  <c r="AB49" i="1"/>
  <c r="AB269" i="1"/>
  <c r="AB270" i="1" s="1"/>
  <c r="AB131" i="1"/>
  <c r="AB48" i="1"/>
  <c r="AC45" i="1"/>
  <c r="AC46" i="1" s="1"/>
  <c r="CY34" i="1"/>
  <c r="CT215" i="1"/>
  <c r="CZ244" i="1"/>
  <c r="CS176" i="1"/>
  <c r="CS215" i="1"/>
  <c r="CS217" i="1" s="1"/>
  <c r="CW244" i="1"/>
  <c r="CW35" i="1"/>
  <c r="CW171" i="1"/>
  <c r="CW163" i="1"/>
  <c r="CW31" i="1"/>
  <c r="CW165" i="1"/>
  <c r="AD165" i="1" s="1"/>
  <c r="CW164" i="1"/>
  <c r="AD164" i="1" s="1"/>
  <c r="CW172" i="1"/>
  <c r="AD172" i="1" s="1"/>
  <c r="DA117" i="1"/>
  <c r="DA118" i="1" s="1"/>
  <c r="DA121" i="1" s="1"/>
  <c r="CZ172" i="1"/>
  <c r="CZ163" i="1"/>
  <c r="CZ31" i="1"/>
  <c r="CZ165" i="1"/>
  <c r="CZ171" i="1"/>
  <c r="CZ164" i="1"/>
  <c r="CZ35" i="1"/>
  <c r="CV176" i="1"/>
  <c r="CV215" i="1"/>
  <c r="CV217" i="1" s="1"/>
  <c r="AC37" i="1"/>
  <c r="CX244" i="1"/>
  <c r="CY244" i="1"/>
  <c r="CY31" i="1"/>
  <c r="CU216" i="1"/>
  <c r="CT216" i="1"/>
  <c r="AC36" i="1"/>
  <c r="AC198" i="1"/>
  <c r="AC167" i="1"/>
  <c r="CT176" i="1"/>
  <c r="CU215" i="1"/>
  <c r="CY167" i="1"/>
  <c r="CY175" i="1"/>
  <c r="CX163" i="1"/>
  <c r="CX164" i="1"/>
  <c r="CX35" i="1"/>
  <c r="CX172" i="1"/>
  <c r="CX171" i="1"/>
  <c r="CX31" i="1"/>
  <c r="CX165" i="1"/>
  <c r="CY37" i="1"/>
  <c r="AD29" i="1"/>
  <c r="AD77" i="1" s="1"/>
  <c r="AC204" i="1"/>
  <c r="AC203" i="1" s="1"/>
  <c r="AC216" i="1"/>
  <c r="AB200" i="1"/>
  <c r="AB205" i="1"/>
  <c r="AB208" i="1" s="1"/>
  <c r="AB209" i="1" s="1"/>
  <c r="CW47" i="1" l="1"/>
  <c r="CW48" i="1" s="1"/>
  <c r="CY49" i="1"/>
  <c r="CX47" i="1"/>
  <c r="CX48" i="1" s="1"/>
  <c r="CZ47" i="1"/>
  <c r="CZ48" i="1" s="1"/>
  <c r="AC47" i="1"/>
  <c r="CW38" i="1"/>
  <c r="AD41" i="1"/>
  <c r="CY38" i="1"/>
  <c r="CZ175" i="1"/>
  <c r="CZ216" i="1" s="1"/>
  <c r="CZ167" i="1"/>
  <c r="CT217" i="1"/>
  <c r="CZ34" i="1"/>
  <c r="CZ37" i="1"/>
  <c r="CZ38" i="1"/>
  <c r="AD199" i="1"/>
  <c r="AD202" i="1"/>
  <c r="AD171" i="1"/>
  <c r="AD175" i="1" s="1"/>
  <c r="CW175" i="1"/>
  <c r="CW216" i="1" s="1"/>
  <c r="AD163" i="1"/>
  <c r="CW167" i="1"/>
  <c r="AE27" i="1"/>
  <c r="AE7" i="1" s="1"/>
  <c r="DA250" i="1"/>
  <c r="DA29" i="1"/>
  <c r="CW34" i="1"/>
  <c r="AD34" i="1" s="1"/>
  <c r="CW37" i="1"/>
  <c r="AD117" i="1"/>
  <c r="AD207" i="1"/>
  <c r="CU217" i="1"/>
  <c r="CX175" i="1"/>
  <c r="CY176" i="1"/>
  <c r="CX38" i="1"/>
  <c r="CX37" i="1"/>
  <c r="AC201" i="1"/>
  <c r="AC176" i="1"/>
  <c r="AC215" i="1"/>
  <c r="AC217" i="1" s="1"/>
  <c r="CX167" i="1"/>
  <c r="AD30" i="1"/>
  <c r="CX34" i="1"/>
  <c r="AE6" i="1" l="1"/>
  <c r="AE12" i="1" s="1"/>
  <c r="AE13" i="1"/>
  <c r="CW49" i="1"/>
  <c r="CW50" i="1"/>
  <c r="CX50" i="1"/>
  <c r="CZ49" i="1"/>
  <c r="CX49" i="1"/>
  <c r="CY50" i="1"/>
  <c r="CZ50" i="1"/>
  <c r="DA41" i="1"/>
  <c r="DA45" i="1" s="1"/>
  <c r="DA46" i="1" s="1"/>
  <c r="DA30" i="1"/>
  <c r="AC269" i="1"/>
  <c r="AC270" i="1" s="1"/>
  <c r="AC49" i="1"/>
  <c r="AC48" i="1"/>
  <c r="AC131" i="1"/>
  <c r="AD45" i="1"/>
  <c r="AD46" i="1" s="1"/>
  <c r="CZ215" i="1"/>
  <c r="CZ217" i="1" s="1"/>
  <c r="CZ176" i="1"/>
  <c r="CW215" i="1"/>
  <c r="CW217" i="1" s="1"/>
  <c r="CW176" i="1"/>
  <c r="DA244" i="1"/>
  <c r="DA171" i="1"/>
  <c r="DA172" i="1"/>
  <c r="AE172" i="1" s="1"/>
  <c r="AE202" i="1" s="1"/>
  <c r="DA164" i="1"/>
  <c r="AE164" i="1" s="1"/>
  <c r="AE199" i="1" s="1"/>
  <c r="DA35" i="1"/>
  <c r="DA163" i="1"/>
  <c r="DA31" i="1"/>
  <c r="DA165" i="1"/>
  <c r="AE165" i="1" s="1"/>
  <c r="AD35" i="1"/>
  <c r="AD37" i="1" s="1"/>
  <c r="CY215" i="1"/>
  <c r="CX176" i="1"/>
  <c r="CY216" i="1"/>
  <c r="CX216" i="1"/>
  <c r="AD204" i="1"/>
  <c r="AD203" i="1" s="1"/>
  <c r="AD216" i="1"/>
  <c r="CX215" i="1"/>
  <c r="AD198" i="1"/>
  <c r="AD167" i="1"/>
  <c r="AC200" i="1"/>
  <c r="AC205" i="1"/>
  <c r="AC208" i="1" s="1"/>
  <c r="AC209" i="1" s="1"/>
  <c r="AE29" i="1"/>
  <c r="AE77" i="1" s="1"/>
  <c r="DA47" i="1" l="1"/>
  <c r="DA48" i="1" s="1"/>
  <c r="AE41" i="1"/>
  <c r="AE171" i="1"/>
  <c r="AE175" i="1" s="1"/>
  <c r="DA175" i="1"/>
  <c r="DA37" i="1"/>
  <c r="DA38" i="1"/>
  <c r="DA34" i="1"/>
  <c r="AE34" i="1" s="1"/>
  <c r="AE35" i="1" s="1"/>
  <c r="AE163" i="1"/>
  <c r="DA167" i="1"/>
  <c r="DA215" i="1" s="1"/>
  <c r="AD78" i="1"/>
  <c r="AD47" i="1"/>
  <c r="AD36" i="1"/>
  <c r="AE117" i="1"/>
  <c r="AE207" i="1"/>
  <c r="CX217" i="1"/>
  <c r="CY217" i="1"/>
  <c r="AD176" i="1"/>
  <c r="AD201" i="1"/>
  <c r="AD215" i="1"/>
  <c r="AD217" i="1" s="1"/>
  <c r="AE30" i="1"/>
  <c r="DA50" i="1" l="1"/>
  <c r="DA49" i="1"/>
  <c r="AE45" i="1"/>
  <c r="AE46" i="1" s="1"/>
  <c r="AD49" i="1"/>
  <c r="DA176" i="1"/>
  <c r="DA216" i="1"/>
  <c r="DA217" i="1" s="1"/>
  <c r="AD269" i="1"/>
  <c r="AD270" i="1" s="1"/>
  <c r="AD48" i="1"/>
  <c r="AD131" i="1"/>
  <c r="AE37" i="1"/>
  <c r="AE78" i="1"/>
  <c r="AE36" i="1"/>
  <c r="AD205" i="1"/>
  <c r="AD208" i="1" s="1"/>
  <c r="AD209" i="1" s="1"/>
  <c r="AD200" i="1"/>
  <c r="AE167" i="1"/>
  <c r="AE198" i="1"/>
  <c r="AE204" i="1"/>
  <c r="AE203" i="1" s="1"/>
  <c r="AE216" i="1"/>
  <c r="AE47" i="1" l="1"/>
  <c r="AE176" i="1"/>
  <c r="AE201" i="1"/>
  <c r="AE215" i="1"/>
  <c r="AE217" i="1" s="1"/>
  <c r="AE49" i="1" l="1"/>
  <c r="AE269" i="1"/>
  <c r="AE270" i="1" s="1"/>
  <c r="AE131" i="1"/>
  <c r="AE48" i="1"/>
  <c r="AE205" i="1"/>
  <c r="AE208" i="1" s="1"/>
  <c r="AE209" i="1" s="1"/>
  <c r="AE200" i="1"/>
  <c r="CG267" i="1" l="1"/>
  <c r="CE216" i="1"/>
  <c r="CF56" i="1"/>
  <c r="CE128" i="1"/>
  <c r="CE129" i="1" s="1"/>
  <c r="CE132" i="1" s="1"/>
  <c r="CE202" i="1"/>
  <c r="CE204" i="1"/>
  <c r="CE263" i="1"/>
  <c r="CE267" i="1"/>
  <c r="CE265" i="1"/>
  <c r="CE201" i="1"/>
  <c r="CE199" i="1"/>
  <c r="CE198" i="1"/>
  <c r="CE215" i="1"/>
  <c r="CF228" i="1"/>
  <c r="CE205" i="1" l="1"/>
  <c r="CE203" i="1"/>
  <c r="CF203" i="1" s="1"/>
  <c r="CF199" i="1"/>
  <c r="CF164" i="1" s="1"/>
  <c r="CE217" i="1"/>
  <c r="CE218" i="1" s="1"/>
  <c r="CE232" i="1" s="1"/>
  <c r="CF202" i="1"/>
  <c r="CF198" i="1"/>
  <c r="CE130" i="1"/>
  <c r="CE133" i="1" s="1"/>
  <c r="CE200" i="1"/>
  <c r="CF200" i="1" s="1"/>
  <c r="CF204" i="1" l="1"/>
  <c r="CI208" i="1"/>
  <c r="CE208" i="1"/>
  <c r="CF172" i="1"/>
  <c r="CF175" i="1" s="1"/>
  <c r="CF201" i="1"/>
  <c r="CF163" i="1"/>
  <c r="CF167" i="1" s="1"/>
  <c r="CF205" i="1" l="1"/>
  <c r="CF216" i="1"/>
  <c r="CG216" i="1"/>
  <c r="CF215" i="1"/>
  <c r="CF176" i="1"/>
  <c r="CG215" i="1"/>
  <c r="CF217" i="1" l="1"/>
  <c r="CF218" i="1" s="1"/>
  <c r="CF232" i="1" s="1"/>
  <c r="CF208" i="1"/>
  <c r="CJ208" i="1"/>
  <c r="CG217" i="1"/>
  <c r="CG218" i="1" s="1"/>
  <c r="CG232" i="1" s="1"/>
  <c r="CF229" i="1" l="1"/>
  <c r="CF179" i="1" s="1"/>
  <c r="CF180" i="1" s="1"/>
  <c r="CF184" i="1" l="1"/>
  <c r="CF185" i="1" s="1"/>
  <c r="CF265" i="1"/>
  <c r="CF267" i="1"/>
  <c r="CG228" i="1"/>
  <c r="CG229" i="1" s="1"/>
  <c r="CG230" i="1" s="1"/>
  <c r="CF187" i="1"/>
  <c r="CF263" i="1"/>
  <c r="CF230" i="1"/>
  <c r="CF128" i="1" l="1"/>
  <c r="CG56" i="1"/>
  <c r="CF130" i="1" l="1"/>
  <c r="CF133" i="1" s="1"/>
  <c r="CF129" i="1"/>
  <c r="CF132" i="1" s="1"/>
  <c r="CD56" i="1"/>
  <c r="CD228" i="1"/>
  <c r="CC208" i="1"/>
  <c r="CG208" i="1"/>
  <c r="CD215" i="1"/>
  <c r="CD216" i="1"/>
  <c r="CC216" i="1"/>
  <c r="CC128" i="1"/>
  <c r="CC129" i="1" s="1"/>
  <c r="CC132" i="1" s="1"/>
  <c r="CC267" i="1"/>
  <c r="CC263" i="1"/>
  <c r="CC215" i="1"/>
  <c r="CC265" i="1"/>
  <c r="CD217" i="1" l="1"/>
  <c r="CD218" i="1" s="1"/>
  <c r="CC217" i="1"/>
  <c r="CC218" i="1" s="1"/>
  <c r="CC130" i="1"/>
  <c r="CC133" i="1" s="1"/>
  <c r="CD232" i="1" l="1"/>
  <c r="CD229" i="1"/>
  <c r="CD179" i="1" s="1"/>
  <c r="CD180" i="1" s="1"/>
  <c r="CD230" i="1" s="1"/>
  <c r="CC232" i="1"/>
  <c r="CC229" i="1"/>
  <c r="CC230" i="1" s="1"/>
  <c r="CD184" i="1" l="1"/>
  <c r="CD185" i="1" s="1"/>
  <c r="CD187" i="1"/>
  <c r="CE228" i="1"/>
  <c r="CE229" i="1" s="1"/>
  <c r="CE230" i="1" s="1"/>
  <c r="CD263" i="1"/>
  <c r="CD267" i="1"/>
  <c r="CD265" i="1"/>
  <c r="CD128" i="1" l="1"/>
  <c r="CE56" i="1"/>
  <c r="CD129" i="1" l="1"/>
  <c r="CD132" i="1" s="1"/>
  <c r="CD130" i="1"/>
  <c r="CD133" i="1" s="1"/>
  <c r="CJ157" i="1" l="1"/>
  <c r="CK222" i="1" s="1"/>
  <c r="CK220" i="1" s="1"/>
  <c r="CK232" i="1" s="1"/>
  <c r="CJ222" i="1" l="1"/>
  <c r="CJ220" i="1" s="1"/>
  <c r="CJ229" i="1" l="1"/>
  <c r="CJ232" i="1"/>
  <c r="CJ179" i="1" l="1"/>
  <c r="CJ180" i="1" s="1"/>
  <c r="CK228" i="1" s="1"/>
  <c r="CK229" i="1" s="1"/>
  <c r="CK230" i="1" s="1"/>
  <c r="CJ184" i="1" l="1"/>
  <c r="CJ185" i="1" s="1"/>
  <c r="CJ267" i="1"/>
  <c r="CJ187" i="1"/>
  <c r="CK56" i="1" s="1"/>
  <c r="CJ263" i="1"/>
  <c r="CJ265" i="1"/>
  <c r="CJ230" i="1"/>
  <c r="CJ128" i="1" l="1"/>
  <c r="CJ129" i="1" l="1"/>
  <c r="CJ132" i="1" s="1"/>
  <c r="CJ130" i="1"/>
  <c r="CJ133" i="1" s="1"/>
  <c r="CG108" i="1" l="1"/>
  <c r="CK73" i="1" l="1"/>
  <c r="CK111" i="1"/>
  <c r="CK74" i="1"/>
  <c r="CZ157" i="1"/>
  <c r="CY157" i="1"/>
  <c r="DA51" i="1"/>
  <c r="CX157" i="1"/>
  <c r="CZ51" i="1"/>
  <c r="CW157" i="1"/>
  <c r="CY51" i="1"/>
  <c r="CX51" i="1"/>
  <c r="CV157" i="1"/>
  <c r="CU157" i="1"/>
  <c r="CW51" i="1"/>
  <c r="CT157" i="1"/>
  <c r="CV51" i="1"/>
  <c r="CS157" i="1"/>
  <c r="CU51" i="1"/>
  <c r="CR157" i="1"/>
  <c r="CT51" i="1"/>
  <c r="CQ157" i="1"/>
  <c r="CS51" i="1"/>
  <c r="CP157" i="1"/>
  <c r="CR51" i="1"/>
  <c r="CR213" i="1" s="1"/>
  <c r="DA157" i="1"/>
  <c r="CO157" i="1"/>
  <c r="CQ51" i="1"/>
  <c r="CN157" i="1"/>
  <c r="CP51" i="1"/>
  <c r="CM157" i="1"/>
  <c r="CO51" i="1"/>
  <c r="CN51" i="1"/>
  <c r="CM51" i="1"/>
  <c r="CM213" i="1" s="1"/>
  <c r="CK114" i="1" l="1"/>
  <c r="CK113" i="1"/>
  <c r="CK115" i="1"/>
  <c r="CU222" i="1"/>
  <c r="CU220" i="1" s="1"/>
  <c r="CZ213" i="1"/>
  <c r="AC51" i="1"/>
  <c r="CZ222" i="1"/>
  <c r="CZ220" i="1" s="1"/>
  <c r="CQ272" i="1"/>
  <c r="CM222" i="1"/>
  <c r="CM220" i="1" s="1"/>
  <c r="AD51" i="1"/>
  <c r="CM272" i="1"/>
  <c r="CN272" i="1"/>
  <c r="AE51" i="1"/>
  <c r="AB51" i="1"/>
  <c r="CQ213" i="1"/>
  <c r="CT213" i="1"/>
  <c r="CT222" i="1"/>
  <c r="CT220" i="1" s="1"/>
  <c r="CS222" i="1"/>
  <c r="CS220" i="1" s="1"/>
  <c r="CN222" i="1"/>
  <c r="CN220" i="1" s="1"/>
  <c r="CR272" i="1"/>
  <c r="CR222" i="1"/>
  <c r="CR220" i="1" s="1"/>
  <c r="CV272" i="1"/>
  <c r="CV222" i="1"/>
  <c r="CV220" i="1" s="1"/>
  <c r="DA222" i="1"/>
  <c r="DA220" i="1" s="1"/>
  <c r="CW222" i="1"/>
  <c r="CW220" i="1" s="1"/>
  <c r="CY272" i="1"/>
  <c r="CY222" i="1"/>
  <c r="CY220" i="1" s="1"/>
  <c r="CO213" i="1"/>
  <c r="CP222" i="1"/>
  <c r="CP220" i="1" s="1"/>
  <c r="CQ222" i="1"/>
  <c r="CQ220" i="1" s="1"/>
  <c r="CV213" i="1"/>
  <c r="CW213" i="1"/>
  <c r="CX272" i="1"/>
  <c r="CX222" i="1"/>
  <c r="CX220" i="1" s="1"/>
  <c r="CO272" i="1"/>
  <c r="CP213" i="1"/>
  <c r="CP272" i="1"/>
  <c r="CO222" i="1"/>
  <c r="CO220" i="1" s="1"/>
  <c r="CM151" i="1"/>
  <c r="CM53" i="1"/>
  <c r="CN213" i="1"/>
  <c r="CS213" i="1"/>
  <c r="CT272" i="1"/>
  <c r="CY213" i="1"/>
  <c r="DA272" i="1"/>
  <c r="CS272" i="1"/>
  <c r="CU272" i="1"/>
  <c r="CW272" i="1"/>
  <c r="CX213" i="1"/>
  <c r="CZ272" i="1"/>
  <c r="DA213" i="1"/>
  <c r="CU213" i="1"/>
  <c r="CN151" i="1" l="1"/>
  <c r="CM150" i="1"/>
  <c r="AB53" i="1"/>
  <c r="AB272" i="1"/>
  <c r="AB213" i="1"/>
  <c r="AD53" i="1"/>
  <c r="AD272" i="1"/>
  <c r="AD213" i="1"/>
  <c r="AE53" i="1"/>
  <c r="AE213" i="1"/>
  <c r="AE272" i="1"/>
  <c r="AC53" i="1"/>
  <c r="AC213" i="1"/>
  <c r="AC272" i="1"/>
  <c r="CN150" i="1" l="1"/>
  <c r="CO151" i="1"/>
  <c r="AB151" i="1" s="1"/>
  <c r="CK128" i="1" l="1"/>
  <c r="CO150" i="1"/>
  <c r="AB150" i="1" s="1"/>
  <c r="CP151" i="1"/>
  <c r="CK130" i="1" l="1"/>
  <c r="CK133" i="1" s="1"/>
  <c r="CK129" i="1"/>
  <c r="CK132" i="1" s="1"/>
  <c r="CP150" i="1"/>
  <c r="CQ151" i="1"/>
  <c r="CQ150" i="1" l="1"/>
  <c r="CR151" i="1"/>
  <c r="AB153" i="1"/>
  <c r="AB157" i="1" l="1"/>
  <c r="AB52" i="1"/>
  <c r="CR150" i="1"/>
  <c r="CS151" i="1"/>
  <c r="AC151" i="1" s="1"/>
  <c r="AB222" i="1" l="1"/>
  <c r="AB220" i="1" s="1"/>
  <c r="CS150" i="1"/>
  <c r="AC150" i="1" s="1"/>
  <c r="CT151" i="1"/>
  <c r="AA21" i="1"/>
  <c r="CT150" i="1" l="1"/>
  <c r="AC153" i="1" s="1"/>
  <c r="CU151" i="1"/>
  <c r="CL73" i="1" l="1"/>
  <c r="CL111" i="1"/>
  <c r="CU150" i="1"/>
  <c r="CV151" i="1"/>
  <c r="CH108" i="1"/>
  <c r="CL74" i="1"/>
  <c r="AC157" i="1"/>
  <c r="AC52" i="1"/>
  <c r="CL115" i="1" l="1"/>
  <c r="CM115" i="1" s="1"/>
  <c r="CN115" i="1" s="1"/>
  <c r="CO115" i="1" s="1"/>
  <c r="CP115" i="1" s="1"/>
  <c r="CQ115" i="1" s="1"/>
  <c r="CR115" i="1" s="1"/>
  <c r="CS115" i="1" s="1"/>
  <c r="CT115" i="1" s="1"/>
  <c r="CU115" i="1" s="1"/>
  <c r="CV115" i="1" s="1"/>
  <c r="CW115" i="1" s="1"/>
  <c r="CX115" i="1" s="1"/>
  <c r="CY115" i="1" s="1"/>
  <c r="CZ115" i="1" s="1"/>
  <c r="DA115" i="1" s="1"/>
  <c r="CL113" i="1"/>
  <c r="CL114" i="1"/>
  <c r="CM114" i="1" s="1"/>
  <c r="CN114" i="1" s="1"/>
  <c r="CO114" i="1" s="1"/>
  <c r="CP114" i="1" s="1"/>
  <c r="CQ114" i="1" s="1"/>
  <c r="CR114" i="1" s="1"/>
  <c r="CS114" i="1" s="1"/>
  <c r="CT114" i="1" s="1"/>
  <c r="CU114" i="1" s="1"/>
  <c r="CV114" i="1" s="1"/>
  <c r="CW114" i="1" s="1"/>
  <c r="CX114" i="1" s="1"/>
  <c r="CY114" i="1" s="1"/>
  <c r="CZ114" i="1" s="1"/>
  <c r="DA114" i="1" s="1"/>
  <c r="CV150" i="1"/>
  <c r="CW151" i="1"/>
  <c r="AD151" i="1" s="1"/>
  <c r="AC222" i="1"/>
  <c r="AC220" i="1" s="1"/>
  <c r="CW150" i="1" l="1"/>
  <c r="AD150" i="1" s="1"/>
  <c r="CX151" i="1"/>
  <c r="AB228" i="1" l="1"/>
  <c r="CX150" i="1"/>
  <c r="CY151" i="1"/>
  <c r="CM228" i="1"/>
  <c r="CL128" i="1"/>
  <c r="CL130" i="1" l="1"/>
  <c r="CL133" i="1" s="1"/>
  <c r="CL129" i="1"/>
  <c r="CL132" i="1" s="1"/>
  <c r="CY150" i="1"/>
  <c r="CZ151" i="1"/>
  <c r="AD153" i="1"/>
  <c r="CM271" i="1" l="1"/>
  <c r="CM57" i="1"/>
  <c r="AD157" i="1"/>
  <c r="AD52" i="1"/>
  <c r="CZ150" i="1"/>
  <c r="DA151" i="1"/>
  <c r="AE151" i="1" s="1"/>
  <c r="AD222" i="1" l="1"/>
  <c r="AD220" i="1" s="1"/>
  <c r="CM58" i="1"/>
  <c r="DA150" i="1"/>
  <c r="AE150" i="1" s="1"/>
  <c r="CM60" i="1" l="1"/>
  <c r="CM246" i="1" s="1"/>
  <c r="CM67" i="1" l="1"/>
  <c r="CM212" i="1" s="1"/>
  <c r="CM214" i="1" s="1"/>
  <c r="CM218" i="1" s="1"/>
  <c r="CM232" i="1" s="1"/>
  <c r="CM62" i="1"/>
  <c r="CM61" i="1"/>
  <c r="CM264" i="1" s="1"/>
  <c r="CM63" i="1"/>
  <c r="CM253" i="1"/>
  <c r="AE153" i="1"/>
  <c r="CM85" i="1" l="1"/>
  <c r="CM88" i="1" s="1"/>
  <c r="CM138" i="1"/>
  <c r="CM139" i="1" s="1"/>
  <c r="AE157" i="1"/>
  <c r="AE222" i="1" s="1"/>
  <c r="AE220" i="1" s="1"/>
  <c r="AE52" i="1"/>
  <c r="CM98" i="1" l="1"/>
  <c r="CI108" i="1"/>
  <c r="CM97" i="1"/>
  <c r="CM89" i="1"/>
  <c r="CM104" i="1"/>
  <c r="CM111" i="1"/>
  <c r="CM113" i="1" s="1"/>
  <c r="CM226" i="1"/>
  <c r="CM224" i="1" s="1"/>
  <c r="CM229" i="1" s="1"/>
  <c r="CM148" i="1"/>
  <c r="CM74" i="1" s="1"/>
  <c r="CM73" i="1"/>
  <c r="CM179" i="1" l="1"/>
  <c r="CM180" i="1" s="1"/>
  <c r="CM230" i="1" s="1"/>
  <c r="CM126" i="1"/>
  <c r="CM100" i="1"/>
  <c r="CM127" i="1"/>
  <c r="CM101" i="1"/>
  <c r="CM265" i="1" l="1"/>
  <c r="CM184" i="1"/>
  <c r="CM185" i="1" s="1"/>
  <c r="CN228" i="1"/>
  <c r="CM187" i="1"/>
  <c r="CN55" i="1" s="1"/>
  <c r="CM263" i="1"/>
  <c r="CM267" i="1"/>
  <c r="CM128" i="1" l="1"/>
  <c r="CN271" i="1" l="1"/>
  <c r="CM129" i="1"/>
  <c r="CM132" i="1" s="1"/>
  <c r="CM130" i="1"/>
  <c r="CM133" i="1" s="1"/>
  <c r="DA53" i="1"/>
  <c r="CZ53" i="1"/>
  <c r="CX53" i="1"/>
  <c r="CW53" i="1"/>
  <c r="CY53" i="1"/>
  <c r="CT53" i="1"/>
  <c r="CV53" i="1"/>
  <c r="CS53" i="1"/>
  <c r="CR251" i="1"/>
  <c r="CR252" i="1" s="1"/>
  <c r="CN251" i="1"/>
  <c r="CN252" i="1" s="1"/>
  <c r="CN269" i="1" l="1"/>
  <c r="CN270" i="1" s="1"/>
  <c r="CO131" i="1"/>
  <c r="AB79" i="1"/>
  <c r="CN131" i="1"/>
  <c r="CZ131" i="1"/>
  <c r="CQ269" i="1"/>
  <c r="CQ270" i="1" s="1"/>
  <c r="CS251" i="1"/>
  <c r="CS252" i="1" s="1"/>
  <c r="DA251" i="1"/>
  <c r="DA252" i="1" s="1"/>
  <c r="CP251" i="1"/>
  <c r="CP252" i="1" s="1"/>
  <c r="CX251" i="1"/>
  <c r="CX252" i="1" s="1"/>
  <c r="DA269" i="1"/>
  <c r="DA270" i="1" s="1"/>
  <c r="CP269" i="1"/>
  <c r="CP270" i="1" s="1"/>
  <c r="CO53" i="1"/>
  <c r="CP131" i="1"/>
  <c r="CO269" i="1"/>
  <c r="CO270" i="1" s="1"/>
  <c r="CU131" i="1"/>
  <c r="CX245" i="1"/>
  <c r="CW251" i="1"/>
  <c r="CW252" i="1" s="1"/>
  <c r="CY245" i="1"/>
  <c r="CZ245" i="1"/>
  <c r="CY251" i="1"/>
  <c r="CY252" i="1" s="1"/>
  <c r="CR131" i="1"/>
  <c r="CT245" i="1"/>
  <c r="CQ251" i="1"/>
  <c r="CQ252" i="1" s="1"/>
  <c r="CQ245" i="1"/>
  <c r="CQ131" i="1"/>
  <c r="CR245" i="1"/>
  <c r="CU251" i="1"/>
  <c r="CU252" i="1" s="1"/>
  <c r="CX131" i="1"/>
  <c r="CT269" i="1"/>
  <c r="CT270" i="1" s="1"/>
  <c r="CN53" i="1"/>
  <c r="CU53" i="1"/>
  <c r="CV251" i="1"/>
  <c r="CV252" i="1" s="1"/>
  <c r="CY131" i="1"/>
  <c r="CW245" i="1"/>
  <c r="CQ53" i="1"/>
  <c r="CW131" i="1"/>
  <c r="CZ269" i="1"/>
  <c r="CZ270" i="1" s="1"/>
  <c r="CP245" i="1"/>
  <c r="CT131" i="1"/>
  <c r="CS131" i="1"/>
  <c r="CV131" i="1"/>
  <c r="AD79" i="1"/>
  <c r="CW269" i="1"/>
  <c r="CW270" i="1" s="1"/>
  <c r="DA245" i="1"/>
  <c r="CP53" i="1"/>
  <c r="CO245" i="1"/>
  <c r="CO251" i="1"/>
  <c r="CO252" i="1" s="1"/>
  <c r="CS245" i="1"/>
  <c r="CU269" i="1"/>
  <c r="CU270" i="1" s="1"/>
  <c r="CV245" i="1"/>
  <c r="CT251" i="1"/>
  <c r="CT252" i="1" s="1"/>
  <c r="CY269" i="1"/>
  <c r="CY270" i="1" s="1"/>
  <c r="CX269" i="1"/>
  <c r="CX270" i="1" s="1"/>
  <c r="DA131" i="1"/>
  <c r="AC79" i="1"/>
  <c r="CU245" i="1"/>
  <c r="AE79" i="1"/>
  <c r="CR53" i="1"/>
  <c r="CN245" i="1"/>
  <c r="CR269" i="1"/>
  <c r="CR270" i="1" s="1"/>
  <c r="CS269" i="1"/>
  <c r="CS270" i="1" s="1"/>
  <c r="CV269" i="1"/>
  <c r="CV270" i="1" s="1"/>
  <c r="CZ251" i="1"/>
  <c r="CZ252" i="1" s="1"/>
  <c r="CN57" i="1" l="1"/>
  <c r="CN58" i="1" l="1"/>
  <c r="CN60" i="1" s="1"/>
  <c r="CN67" i="1" l="1"/>
  <c r="CN246" i="1"/>
  <c r="CN253" i="1"/>
  <c r="CN61" i="1"/>
  <c r="CN264" i="1" s="1"/>
  <c r="CN62" i="1"/>
  <c r="CN63" i="1"/>
  <c r="CN85" i="1" l="1"/>
  <c r="CN212" i="1"/>
  <c r="CN214" i="1" s="1"/>
  <c r="CN218" i="1" s="1"/>
  <c r="CN232" i="1" s="1"/>
  <c r="CN138" i="1"/>
  <c r="CN139" i="1" l="1"/>
  <c r="CN88" i="1"/>
  <c r="CN89" i="1" l="1"/>
  <c r="CN98" i="1"/>
  <c r="CJ108" i="1"/>
  <c r="CN97" i="1"/>
  <c r="CN104" i="1"/>
  <c r="CN148" i="1"/>
  <c r="CN74" i="1" s="1"/>
  <c r="CN226" i="1"/>
  <c r="CN224" i="1" s="1"/>
  <c r="CN229" i="1" s="1"/>
  <c r="CN111" i="1"/>
  <c r="CN113" i="1" s="1"/>
  <c r="CN73" i="1"/>
  <c r="CN101" i="1" l="1"/>
  <c r="CN127" i="1"/>
  <c r="CN179" i="1"/>
  <c r="CN180" i="1" s="1"/>
  <c r="CN126" i="1"/>
  <c r="CN100" i="1"/>
  <c r="CN187" i="1" l="1"/>
  <c r="CO55" i="1" s="1"/>
  <c r="CN263" i="1"/>
  <c r="CN265" i="1"/>
  <c r="CN184" i="1"/>
  <c r="CN185" i="1" s="1"/>
  <c r="CN267" i="1"/>
  <c r="CO228" i="1"/>
  <c r="CN230" i="1"/>
  <c r="CN128" i="1" l="1"/>
  <c r="AB55" i="1" l="1"/>
  <c r="CO271" i="1"/>
  <c r="CO57" i="1"/>
  <c r="CN129" i="1"/>
  <c r="CN132" i="1" s="1"/>
  <c r="CN130" i="1"/>
  <c r="CN133" i="1" s="1"/>
  <c r="CO58" i="1" l="1"/>
  <c r="AB58" i="1" s="1"/>
  <c r="AB271" i="1"/>
  <c r="AB57" i="1"/>
  <c r="AB56" i="1"/>
  <c r="AB60" i="1" l="1"/>
  <c r="CO60" i="1"/>
  <c r="AB59" i="1"/>
  <c r="CO246" i="1" l="1"/>
  <c r="AB62" i="1"/>
  <c r="AB80" i="1"/>
  <c r="AB67" i="1"/>
  <c r="AB61" i="1"/>
  <c r="AB264" i="1" s="1"/>
  <c r="CO253" i="1"/>
  <c r="CO63" i="1"/>
  <c r="CO67" i="1"/>
  <c r="CO61" i="1"/>
  <c r="CO264" i="1" s="1"/>
  <c r="CO62" i="1"/>
  <c r="CO85" i="1" l="1"/>
  <c r="CO212" i="1"/>
  <c r="CO214" i="1" s="1"/>
  <c r="CO218" i="1" s="1"/>
  <c r="CO232" i="1" s="1"/>
  <c r="CO138" i="1"/>
  <c r="AB70" i="1"/>
  <c r="AB71" i="1" s="1"/>
  <c r="AB212" i="1"/>
  <c r="AB214" i="1" s="1"/>
  <c r="AB218" i="1" s="1"/>
  <c r="AB232" i="1" s="1"/>
  <c r="CO88" i="1" l="1"/>
  <c r="AB138" i="1"/>
  <c r="AB139" i="1" s="1"/>
  <c r="CO139" i="1"/>
  <c r="CO73" i="1" l="1"/>
  <c r="CO226" i="1"/>
  <c r="CO224" i="1" s="1"/>
  <c r="CO229" i="1" s="1"/>
  <c r="CO148" i="1"/>
  <c r="CO74" i="1" s="1"/>
  <c r="CO111" i="1"/>
  <c r="CO113" i="1" s="1"/>
  <c r="CK108" i="1"/>
  <c r="CO97" i="1"/>
  <c r="CO98" i="1"/>
  <c r="CO89" i="1"/>
  <c r="CO104" i="1"/>
  <c r="AB194" i="1"/>
  <c r="AB226" i="1"/>
  <c r="AB224" i="1" s="1"/>
  <c r="AB229" i="1" s="1"/>
  <c r="AB148" i="1"/>
  <c r="AB74" i="1" s="1"/>
  <c r="AB73" i="1"/>
  <c r="CO179" i="1" l="1"/>
  <c r="AB98" i="1"/>
  <c r="CO127" i="1"/>
  <c r="CO101" i="1"/>
  <c r="CO126" i="1"/>
  <c r="CO100" i="1"/>
  <c r="AB97" i="1"/>
  <c r="AB101" i="1" l="1"/>
  <c r="AB179" i="1"/>
  <c r="AB180" i="1" s="1"/>
  <c r="CO180" i="1"/>
  <c r="AB100" i="1"/>
  <c r="AB265" i="1" l="1"/>
  <c r="AB230" i="1"/>
  <c r="AB184" i="1"/>
  <c r="AB185" i="1" s="1"/>
  <c r="AB187" i="1"/>
  <c r="AB128" i="1" s="1"/>
  <c r="CO184" i="1"/>
  <c r="CO185" i="1" s="1"/>
  <c r="CO267" i="1"/>
  <c r="CO230" i="1"/>
  <c r="AC228" i="1"/>
  <c r="AB267" i="1"/>
  <c r="AB263" i="1"/>
  <c r="CP228" i="1"/>
  <c r="CO187" i="1"/>
  <c r="CP55" i="1" s="1"/>
  <c r="CO265" i="1"/>
  <c r="CO263" i="1"/>
  <c r="CO128" i="1" l="1"/>
  <c r="CP271" i="1"/>
  <c r="CP57" i="1"/>
  <c r="CO130" i="1" l="1"/>
  <c r="CO133" i="1" s="1"/>
  <c r="CO129" i="1"/>
  <c r="CO132" i="1" s="1"/>
  <c r="CP58" i="1"/>
  <c r="CP60" i="1" s="1"/>
  <c r="CP61" i="1" l="1"/>
  <c r="CP264" i="1" s="1"/>
  <c r="CP67" i="1"/>
  <c r="CP62" i="1"/>
  <c r="CP253" i="1"/>
  <c r="CP63" i="1"/>
  <c r="CP246" i="1"/>
  <c r="CP85" i="1" l="1"/>
  <c r="CP212" i="1"/>
  <c r="CP214" i="1" s="1"/>
  <c r="CP218" i="1" s="1"/>
  <c r="CP232" i="1" s="1"/>
  <c r="CP138" i="1"/>
  <c r="CP139" i="1" l="1"/>
  <c r="CP88" i="1"/>
  <c r="CP97" i="1" l="1"/>
  <c r="CL108" i="1"/>
  <c r="CP104" i="1"/>
  <c r="CP98" i="1"/>
  <c r="CP89" i="1"/>
  <c r="CP148" i="1"/>
  <c r="CP74" i="1" s="1"/>
  <c r="CP111" i="1"/>
  <c r="CP113" i="1" s="1"/>
  <c r="CP226" i="1"/>
  <c r="CP224" i="1" s="1"/>
  <c r="CP229" i="1" s="1"/>
  <c r="CP73" i="1"/>
  <c r="CP101" i="1" l="1"/>
  <c r="CP127" i="1"/>
  <c r="CP179" i="1"/>
  <c r="CP180" i="1" s="1"/>
  <c r="CP230" i="1" s="1"/>
  <c r="CP100" i="1"/>
  <c r="CP126" i="1"/>
  <c r="CP187" i="1" l="1"/>
  <c r="CQ55" i="1" s="1"/>
  <c r="CP267" i="1"/>
  <c r="CP265" i="1"/>
  <c r="CQ228" i="1"/>
  <c r="CP184" i="1"/>
  <c r="CP185" i="1" s="1"/>
  <c r="CP263" i="1"/>
  <c r="CP128" i="1" l="1"/>
  <c r="CP129" i="1" l="1"/>
  <c r="CP132" i="1" s="1"/>
  <c r="CP130" i="1"/>
  <c r="CP133" i="1" s="1"/>
  <c r="CQ271" i="1"/>
  <c r="CQ57" i="1"/>
  <c r="CQ58" i="1" l="1"/>
  <c r="CQ60" i="1" l="1"/>
  <c r="CQ67" i="1" l="1"/>
  <c r="CQ61" i="1"/>
  <c r="CQ264" i="1" s="1"/>
  <c r="CQ62" i="1"/>
  <c r="CQ253" i="1"/>
  <c r="CQ63" i="1"/>
  <c r="CQ246" i="1"/>
  <c r="CQ85" i="1" l="1"/>
  <c r="CQ212" i="1"/>
  <c r="CQ214" i="1" s="1"/>
  <c r="CQ218" i="1" s="1"/>
  <c r="CQ232" i="1" s="1"/>
  <c r="CQ138" i="1"/>
  <c r="CQ139" i="1" l="1"/>
  <c r="CQ88" i="1"/>
  <c r="CQ97" i="1" l="1"/>
  <c r="CQ98" i="1"/>
  <c r="CQ89" i="1"/>
  <c r="CQ104" i="1"/>
  <c r="CQ111" i="1"/>
  <c r="CQ113" i="1" s="1"/>
  <c r="CQ226" i="1"/>
  <c r="CQ224" i="1" s="1"/>
  <c r="CQ229" i="1" s="1"/>
  <c r="CQ148" i="1"/>
  <c r="CQ74" i="1" s="1"/>
  <c r="CQ73" i="1"/>
  <c r="CQ179" i="1" l="1"/>
  <c r="CQ180" i="1" s="1"/>
  <c r="CQ230" i="1" s="1"/>
  <c r="CQ127" i="1"/>
  <c r="CQ101" i="1"/>
  <c r="CQ100" i="1"/>
  <c r="CQ126" i="1"/>
  <c r="CR228" i="1" l="1"/>
  <c r="CQ265" i="1"/>
  <c r="CQ187" i="1"/>
  <c r="CR55" i="1" s="1"/>
  <c r="CQ184" i="1"/>
  <c r="CQ185" i="1" s="1"/>
  <c r="CQ267" i="1"/>
  <c r="CQ263" i="1"/>
  <c r="CQ128" i="1" l="1"/>
  <c r="CQ129" i="1" l="1"/>
  <c r="CQ132" i="1" s="1"/>
  <c r="CQ130" i="1"/>
  <c r="CQ133" i="1" s="1"/>
  <c r="CR271" i="1"/>
  <c r="CR57" i="1"/>
  <c r="CR58" i="1" l="1"/>
  <c r="CR60" i="1" s="1"/>
  <c r="CR63" i="1" l="1"/>
  <c r="CR62" i="1"/>
  <c r="CR253" i="1"/>
  <c r="CR67" i="1"/>
  <c r="CR61" i="1"/>
  <c r="CR264" i="1" s="1"/>
  <c r="CR246" i="1"/>
  <c r="CR212" i="1" l="1"/>
  <c r="CR214" i="1" s="1"/>
  <c r="CR218" i="1" s="1"/>
  <c r="CR232" i="1" s="1"/>
  <c r="CR85" i="1"/>
  <c r="CR138" i="1"/>
  <c r="CR139" i="1" l="1"/>
  <c r="CR88" i="1"/>
  <c r="CR104" i="1" l="1"/>
  <c r="CR98" i="1"/>
  <c r="CR97" i="1"/>
  <c r="CR89" i="1"/>
  <c r="CR226" i="1"/>
  <c r="CR224" i="1" s="1"/>
  <c r="CR229" i="1" s="1"/>
  <c r="CR111" i="1"/>
  <c r="CR113" i="1" s="1"/>
  <c r="CR148" i="1"/>
  <c r="CR74" i="1" s="1"/>
  <c r="CR73" i="1"/>
  <c r="CR179" i="1" l="1"/>
  <c r="CR180" i="1" s="1"/>
  <c r="CR126" i="1"/>
  <c r="CR100" i="1"/>
  <c r="CR101" i="1"/>
  <c r="CR127" i="1"/>
  <c r="CS228" i="1" l="1"/>
  <c r="CR263" i="1"/>
  <c r="CR184" i="1"/>
  <c r="CR185" i="1" s="1"/>
  <c r="CR265" i="1"/>
  <c r="CR187" i="1"/>
  <c r="CS55" i="1" s="1"/>
  <c r="CR267" i="1"/>
  <c r="CR230" i="1"/>
  <c r="CR128" i="1" l="1"/>
  <c r="CR129" i="1" l="1"/>
  <c r="CR132" i="1" s="1"/>
  <c r="CR130" i="1"/>
  <c r="CR133" i="1" s="1"/>
  <c r="CS271" i="1"/>
  <c r="CS57" i="1"/>
  <c r="AC55" i="1"/>
  <c r="CS58" i="1" l="1"/>
  <c r="AC58" i="1" s="1"/>
  <c r="AC271" i="1"/>
  <c r="AC56" i="1"/>
  <c r="AC57" i="1"/>
  <c r="AC60" i="1" l="1"/>
  <c r="AC59" i="1"/>
  <c r="CS60" i="1"/>
  <c r="AC61" i="1" l="1"/>
  <c r="AC264" i="1" s="1"/>
  <c r="AC67" i="1"/>
  <c r="AC62" i="1"/>
  <c r="CS67" i="1"/>
  <c r="CS63" i="1"/>
  <c r="CS62" i="1"/>
  <c r="CS253" i="1"/>
  <c r="CS61" i="1"/>
  <c r="CS264" i="1" s="1"/>
  <c r="CS246" i="1"/>
  <c r="AC80" i="1"/>
  <c r="AC212" i="1" l="1"/>
  <c r="AC214" i="1" s="1"/>
  <c r="AC218" i="1" s="1"/>
  <c r="AC232" i="1" s="1"/>
  <c r="AC70" i="1"/>
  <c r="AC71" i="1" s="1"/>
  <c r="CS212" i="1"/>
  <c r="CS214" i="1" s="1"/>
  <c r="CS218" i="1" s="1"/>
  <c r="CS232" i="1" s="1"/>
  <c r="CS85" i="1"/>
  <c r="CS138" i="1"/>
  <c r="CS88" i="1" l="1"/>
  <c r="AC138" i="1"/>
  <c r="AC139" i="1" s="1"/>
  <c r="CS139" i="1"/>
  <c r="CS148" i="1" l="1"/>
  <c r="CS74" i="1" s="1"/>
  <c r="CS226" i="1"/>
  <c r="CS224" i="1" s="1"/>
  <c r="CS229" i="1" s="1"/>
  <c r="CS111" i="1"/>
  <c r="CS113" i="1" s="1"/>
  <c r="CS73" i="1"/>
  <c r="AC148" i="1"/>
  <c r="AC74" i="1" s="1"/>
  <c r="AC226" i="1"/>
  <c r="AC224" i="1" s="1"/>
  <c r="AC229" i="1" s="1"/>
  <c r="AC194" i="1"/>
  <c r="AC73" i="1"/>
  <c r="CS97" i="1"/>
  <c r="CS104" i="1"/>
  <c r="CS98" i="1"/>
  <c r="CS89" i="1"/>
  <c r="CS127" i="1" l="1"/>
  <c r="CS101" i="1"/>
  <c r="AC98" i="1"/>
  <c r="CS126" i="1"/>
  <c r="CS100" i="1"/>
  <c r="AC97" i="1"/>
  <c r="CS179" i="1"/>
  <c r="AC179" i="1" l="1"/>
  <c r="AC180" i="1" s="1"/>
  <c r="CS180" i="1"/>
  <c r="AC101" i="1"/>
  <c r="AC100" i="1"/>
  <c r="CS263" i="1" l="1"/>
  <c r="CT228" i="1"/>
  <c r="CS187" i="1"/>
  <c r="CT55" i="1" s="1"/>
  <c r="CS267" i="1"/>
  <c r="CS265" i="1"/>
  <c r="CS184" i="1"/>
  <c r="CS185" i="1" s="1"/>
  <c r="CS230" i="1"/>
  <c r="AC267" i="1"/>
  <c r="AC187" i="1"/>
  <c r="AC128" i="1" s="1"/>
  <c r="AD228" i="1"/>
  <c r="AC263" i="1"/>
  <c r="AC265" i="1"/>
  <c r="AC184" i="1"/>
  <c r="AC185" i="1" s="1"/>
  <c r="AC230" i="1"/>
  <c r="CS128" i="1" l="1"/>
  <c r="CS129" i="1" l="1"/>
  <c r="CS132" i="1" s="1"/>
  <c r="CS130" i="1"/>
  <c r="CS133" i="1" s="1"/>
  <c r="CT271" i="1"/>
  <c r="CT57" i="1"/>
  <c r="CT58" i="1" l="1"/>
  <c r="CT60" i="1" s="1"/>
  <c r="CT253" i="1" l="1"/>
  <c r="CT67" i="1"/>
  <c r="CT63" i="1"/>
  <c r="CT61" i="1"/>
  <c r="CT264" i="1" s="1"/>
  <c r="CT62" i="1"/>
  <c r="CT246" i="1"/>
  <c r="CT212" i="1" l="1"/>
  <c r="CT214" i="1" s="1"/>
  <c r="CT218" i="1" s="1"/>
  <c r="CT232" i="1" s="1"/>
  <c r="CT85" i="1"/>
  <c r="CT138" i="1"/>
  <c r="CT88" i="1" l="1"/>
  <c r="CT139" i="1"/>
  <c r="CT104" i="1" l="1"/>
  <c r="CT98" i="1"/>
  <c r="CT97" i="1"/>
  <c r="CT89" i="1"/>
  <c r="CT148" i="1"/>
  <c r="CT74" i="1" s="1"/>
  <c r="CT226" i="1"/>
  <c r="CT224" i="1" s="1"/>
  <c r="CT229" i="1" s="1"/>
  <c r="CT111" i="1"/>
  <c r="CT113" i="1" s="1"/>
  <c r="CT73" i="1"/>
  <c r="CT179" i="1" l="1"/>
  <c r="CT180" i="1" s="1"/>
  <c r="CT127" i="1"/>
  <c r="CT101" i="1"/>
  <c r="CT126" i="1"/>
  <c r="CT100" i="1"/>
  <c r="CU228" i="1" l="1"/>
  <c r="CT187" i="1"/>
  <c r="CU55" i="1" s="1"/>
  <c r="CT263" i="1"/>
  <c r="CT267" i="1"/>
  <c r="CT184" i="1"/>
  <c r="CT185" i="1" s="1"/>
  <c r="CT265" i="1"/>
  <c r="CT230" i="1"/>
  <c r="CT128" i="1" l="1"/>
  <c r="CT129" i="1" l="1"/>
  <c r="CT132" i="1" s="1"/>
  <c r="CT130" i="1"/>
  <c r="CT133" i="1" s="1"/>
  <c r="CU271" i="1"/>
  <c r="CU57" i="1"/>
  <c r="CU58" i="1" l="1"/>
  <c r="CU60" i="1" s="1"/>
  <c r="CU61" i="1" l="1"/>
  <c r="CU264" i="1" s="1"/>
  <c r="CU67" i="1"/>
  <c r="CU63" i="1"/>
  <c r="CU62" i="1"/>
  <c r="CU253" i="1"/>
  <c r="CU246" i="1"/>
  <c r="CU85" i="1" l="1"/>
  <c r="CU212" i="1"/>
  <c r="CU214" i="1" s="1"/>
  <c r="CU218" i="1" s="1"/>
  <c r="CU232" i="1" s="1"/>
  <c r="CU138" i="1"/>
  <c r="CU139" i="1" l="1"/>
  <c r="CU88" i="1"/>
  <c r="CU104" i="1" l="1"/>
  <c r="CU97" i="1"/>
  <c r="CU98" i="1"/>
  <c r="CU89" i="1"/>
  <c r="CU111" i="1"/>
  <c r="CU113" i="1" s="1"/>
  <c r="CU226" i="1"/>
  <c r="CU224" i="1" s="1"/>
  <c r="CU229" i="1" s="1"/>
  <c r="CU148" i="1"/>
  <c r="CU74" i="1" s="1"/>
  <c r="CU73" i="1"/>
  <c r="CU100" i="1" l="1"/>
  <c r="CU126" i="1"/>
  <c r="CU179" i="1"/>
  <c r="CU180" i="1" s="1"/>
  <c r="CU127" i="1"/>
  <c r="CU101" i="1"/>
  <c r="CU184" i="1" l="1"/>
  <c r="CU185" i="1" s="1"/>
  <c r="CV228" i="1"/>
  <c r="CU265" i="1"/>
  <c r="CU187" i="1"/>
  <c r="CV55" i="1" s="1"/>
  <c r="CU267" i="1"/>
  <c r="CU263" i="1"/>
  <c r="CU230" i="1"/>
  <c r="CU128" i="1" l="1"/>
  <c r="CU130" i="1" l="1"/>
  <c r="CU133" i="1" s="1"/>
  <c r="CU129" i="1"/>
  <c r="CU132" i="1" s="1"/>
  <c r="CV271" i="1"/>
  <c r="CV57" i="1"/>
  <c r="CV58" i="1" l="1"/>
  <c r="CV60" i="1" l="1"/>
  <c r="CV61" i="1" l="1"/>
  <c r="CV264" i="1" s="1"/>
  <c r="CV253" i="1"/>
  <c r="CV62" i="1"/>
  <c r="CV63" i="1"/>
  <c r="CV67" i="1"/>
  <c r="CV246" i="1"/>
  <c r="CV85" i="1" l="1"/>
  <c r="CV212" i="1"/>
  <c r="CV214" i="1" s="1"/>
  <c r="CV218" i="1" s="1"/>
  <c r="CV232" i="1" s="1"/>
  <c r="CV138" i="1"/>
  <c r="CV139" i="1" l="1"/>
  <c r="CV88" i="1"/>
  <c r="CV104" i="1" l="1"/>
  <c r="CV98" i="1"/>
  <c r="CV97" i="1"/>
  <c r="CV89" i="1"/>
  <c r="CV148" i="1"/>
  <c r="CV74" i="1" s="1"/>
  <c r="CV226" i="1"/>
  <c r="CV224" i="1" s="1"/>
  <c r="CV229" i="1" s="1"/>
  <c r="CV111" i="1"/>
  <c r="CV113" i="1" s="1"/>
  <c r="CV73" i="1"/>
  <c r="CV127" i="1" l="1"/>
  <c r="CV101" i="1"/>
  <c r="CV179" i="1"/>
  <c r="CV180" i="1" s="1"/>
  <c r="CV100" i="1"/>
  <c r="CV126" i="1"/>
  <c r="CV187" i="1" l="1"/>
  <c r="CW55" i="1" s="1"/>
  <c r="CV267" i="1"/>
  <c r="CW228" i="1"/>
  <c r="CV265" i="1"/>
  <c r="CV184" i="1"/>
  <c r="CV185" i="1" s="1"/>
  <c r="CV263" i="1"/>
  <c r="CV230" i="1"/>
  <c r="CV128" i="1" l="1"/>
  <c r="CV130" i="1" l="1"/>
  <c r="CV133" i="1" s="1"/>
  <c r="CV129" i="1"/>
  <c r="CV132" i="1" s="1"/>
  <c r="CW271" i="1"/>
  <c r="CW57" i="1"/>
  <c r="AD55" i="1"/>
  <c r="AD56" i="1" l="1"/>
  <c r="AD271" i="1"/>
  <c r="AD57" i="1"/>
  <c r="CW58" i="1"/>
  <c r="AD58" i="1" s="1"/>
  <c r="AD59" i="1" l="1"/>
  <c r="CW60" i="1"/>
  <c r="CW63" i="1" s="1"/>
  <c r="AD60" i="1"/>
  <c r="CW246" i="1" l="1"/>
  <c r="CW61" i="1"/>
  <c r="CW264" i="1" s="1"/>
  <c r="CW253" i="1"/>
  <c r="CW67" i="1"/>
  <c r="CW212" i="1" s="1"/>
  <c r="CW214" i="1" s="1"/>
  <c r="CW218" i="1" s="1"/>
  <c r="CW232" i="1" s="1"/>
  <c r="CW62" i="1"/>
  <c r="AD80" i="1"/>
  <c r="AD67" i="1"/>
  <c r="AD61" i="1"/>
  <c r="AD264" i="1" s="1"/>
  <c r="AD62" i="1"/>
  <c r="CW85" i="1" l="1"/>
  <c r="CW138" i="1"/>
  <c r="AD138" i="1" s="1"/>
  <c r="AD139" i="1" s="1"/>
  <c r="AD73" i="1" s="1"/>
  <c r="AD70" i="1"/>
  <c r="AD71" i="1" s="1"/>
  <c r="AD212" i="1"/>
  <c r="AD214" i="1" s="1"/>
  <c r="AD218" i="1" s="1"/>
  <c r="AD232" i="1" s="1"/>
  <c r="CW139" i="1" l="1"/>
  <c r="CW88" i="1"/>
  <c r="AD226" i="1"/>
  <c r="AD224" i="1" s="1"/>
  <c r="AD229" i="1" s="1"/>
  <c r="AD148" i="1"/>
  <c r="AD74" i="1" s="1"/>
  <c r="AD194" i="1"/>
  <c r="CW111" i="1" l="1"/>
  <c r="CW113" i="1" s="1"/>
  <c r="CW226" i="1"/>
  <c r="CW224" i="1" s="1"/>
  <c r="CW229" i="1" s="1"/>
  <c r="CW148" i="1"/>
  <c r="CW74" i="1" s="1"/>
  <c r="CW73" i="1"/>
  <c r="CW98" i="1"/>
  <c r="CW104" i="1"/>
  <c r="CW97" i="1"/>
  <c r="CW89" i="1"/>
  <c r="AD97" i="1" l="1"/>
  <c r="CW100" i="1"/>
  <c r="CW179" i="1"/>
  <c r="CW101" i="1"/>
  <c r="CW127" i="1"/>
  <c r="AD98" i="1"/>
  <c r="CW126" i="1"/>
  <c r="AD100" i="1" l="1"/>
  <c r="AD179" i="1"/>
  <c r="AD180" i="1" s="1"/>
  <c r="CW180" i="1"/>
  <c r="AD101" i="1"/>
  <c r="CW263" i="1" l="1"/>
  <c r="AD263" i="1"/>
  <c r="CW184" i="1"/>
  <c r="CW185" i="1" s="1"/>
  <c r="AD187" i="1"/>
  <c r="AD128" i="1" s="1"/>
  <c r="CW230" i="1"/>
  <c r="AD184" i="1"/>
  <c r="AD185" i="1" s="1"/>
  <c r="AE228" i="1"/>
  <c r="AD267" i="1"/>
  <c r="AD265" i="1"/>
  <c r="AD230" i="1"/>
  <c r="CW267" i="1"/>
  <c r="CW187" i="1"/>
  <c r="CX55" i="1" s="1"/>
  <c r="CW265" i="1"/>
  <c r="CX228" i="1"/>
  <c r="CW128" i="1" l="1"/>
  <c r="CX271" i="1"/>
  <c r="CX57" i="1"/>
  <c r="CW129" i="1" l="1"/>
  <c r="CW132" i="1" s="1"/>
  <c r="CW130" i="1"/>
  <c r="CW133" i="1" s="1"/>
  <c r="CX58" i="1"/>
  <c r="CX60" i="1" s="1"/>
  <c r="CX61" i="1" l="1"/>
  <c r="CX264" i="1" s="1"/>
  <c r="CX62" i="1"/>
  <c r="CX253" i="1"/>
  <c r="CX67" i="1"/>
  <c r="CX63" i="1"/>
  <c r="CX246" i="1"/>
  <c r="CX212" i="1" l="1"/>
  <c r="CX214" i="1" s="1"/>
  <c r="CX218" i="1" s="1"/>
  <c r="CX232" i="1" s="1"/>
  <c r="CX85" i="1"/>
  <c r="CX138" i="1"/>
  <c r="CX139" i="1" l="1"/>
  <c r="CX88" i="1"/>
  <c r="CX98" i="1" l="1"/>
  <c r="CX104" i="1"/>
  <c r="CX97" i="1"/>
  <c r="CX89" i="1"/>
  <c r="CX226" i="1"/>
  <c r="CX224" i="1" s="1"/>
  <c r="CX229" i="1" s="1"/>
  <c r="CX148" i="1"/>
  <c r="CX74" i="1" s="1"/>
  <c r="CX111" i="1"/>
  <c r="CX113" i="1" s="1"/>
  <c r="CX73" i="1"/>
  <c r="CX179" i="1" l="1"/>
  <c r="CX180" i="1" s="1"/>
  <c r="CX230" i="1" s="1"/>
  <c r="CX100" i="1"/>
  <c r="CX126" i="1"/>
  <c r="CX127" i="1"/>
  <c r="CX101" i="1"/>
  <c r="CX267" i="1" l="1"/>
  <c r="CX265" i="1"/>
  <c r="CY228" i="1"/>
  <c r="CX187" i="1"/>
  <c r="CY55" i="1" s="1"/>
  <c r="CX263" i="1"/>
  <c r="CX184" i="1"/>
  <c r="CX185" i="1" s="1"/>
  <c r="CX128" i="1" l="1"/>
  <c r="CY271" i="1" l="1"/>
  <c r="CY57" i="1"/>
  <c r="CX130" i="1"/>
  <c r="CX133" i="1" s="1"/>
  <c r="CX129" i="1"/>
  <c r="CX132" i="1" s="1"/>
  <c r="CY58" i="1" l="1"/>
  <c r="CY60" i="1" s="1"/>
  <c r="CY61" i="1" l="1"/>
  <c r="CY264" i="1" s="1"/>
  <c r="CY67" i="1"/>
  <c r="CY62" i="1"/>
  <c r="CY253" i="1"/>
  <c r="CY63" i="1"/>
  <c r="CY246" i="1"/>
  <c r="CY85" i="1" l="1"/>
  <c r="CY212" i="1"/>
  <c r="CY214" i="1" s="1"/>
  <c r="CY218" i="1" s="1"/>
  <c r="CY232" i="1" s="1"/>
  <c r="CY138" i="1"/>
  <c r="CY139" i="1" l="1"/>
  <c r="CY88" i="1"/>
  <c r="CY98" i="1" l="1"/>
  <c r="CY104" i="1"/>
  <c r="CY97" i="1"/>
  <c r="CY89" i="1"/>
  <c r="CY111" i="1"/>
  <c r="CY113" i="1" s="1"/>
  <c r="CY148" i="1"/>
  <c r="CY74" i="1" s="1"/>
  <c r="CY226" i="1"/>
  <c r="CY224" i="1" s="1"/>
  <c r="CY229" i="1" s="1"/>
  <c r="CY73" i="1"/>
  <c r="CY179" i="1" l="1"/>
  <c r="CY180" i="1" s="1"/>
  <c r="CY230" i="1" s="1"/>
  <c r="CY100" i="1"/>
  <c r="CY126" i="1"/>
  <c r="CY127" i="1"/>
  <c r="CY101" i="1"/>
  <c r="CZ228" i="1" l="1"/>
  <c r="CY187" i="1"/>
  <c r="CZ55" i="1" s="1"/>
  <c r="CY184" i="1"/>
  <c r="CY185" i="1" s="1"/>
  <c r="CY267" i="1"/>
  <c r="CY263" i="1"/>
  <c r="CY265" i="1"/>
  <c r="CY128" i="1" l="1"/>
  <c r="CY130" i="1" l="1"/>
  <c r="CY133" i="1" s="1"/>
  <c r="CY129" i="1"/>
  <c r="CY132" i="1" s="1"/>
  <c r="CZ271" i="1"/>
  <c r="CZ57" i="1"/>
  <c r="CZ58" i="1" l="1"/>
  <c r="CZ60" i="1" s="1"/>
  <c r="CZ63" i="1" l="1"/>
  <c r="CZ62" i="1"/>
  <c r="CZ253" i="1"/>
  <c r="CZ67" i="1"/>
  <c r="CZ61" i="1"/>
  <c r="CZ264" i="1" s="1"/>
  <c r="CZ246" i="1"/>
  <c r="CZ85" i="1" l="1"/>
  <c r="CZ212" i="1"/>
  <c r="CZ214" i="1" s="1"/>
  <c r="CZ218" i="1" s="1"/>
  <c r="CZ232" i="1" s="1"/>
  <c r="CZ138" i="1"/>
  <c r="CZ139" i="1" l="1"/>
  <c r="CZ88" i="1"/>
  <c r="CZ104" i="1" l="1"/>
  <c r="CZ97" i="1"/>
  <c r="CZ98" i="1"/>
  <c r="CZ89" i="1"/>
  <c r="CZ226" i="1"/>
  <c r="CZ224" i="1" s="1"/>
  <c r="CZ229" i="1" s="1"/>
  <c r="CZ148" i="1"/>
  <c r="CZ74" i="1" s="1"/>
  <c r="CZ111" i="1"/>
  <c r="CZ113" i="1" s="1"/>
  <c r="CZ73" i="1"/>
  <c r="CZ179" i="1" l="1"/>
  <c r="CZ180" i="1" s="1"/>
  <c r="CZ127" i="1"/>
  <c r="CZ101" i="1"/>
  <c r="CZ126" i="1"/>
  <c r="CZ100" i="1"/>
  <c r="CZ187" i="1" l="1"/>
  <c r="DA55" i="1" s="1"/>
  <c r="CZ263" i="1"/>
  <c r="DA228" i="1"/>
  <c r="CZ184" i="1"/>
  <c r="CZ185" i="1" s="1"/>
  <c r="CZ267" i="1"/>
  <c r="CZ265" i="1"/>
  <c r="CZ230" i="1"/>
  <c r="CZ128" i="1" l="1"/>
  <c r="DA271" i="1" l="1"/>
  <c r="DA57" i="1"/>
  <c r="AE55" i="1"/>
  <c r="CZ129" i="1"/>
  <c r="CZ132" i="1" s="1"/>
  <c r="CZ130" i="1"/>
  <c r="CZ133" i="1" s="1"/>
  <c r="AE56" i="1" l="1"/>
  <c r="AE57" i="1"/>
  <c r="AE271" i="1"/>
  <c r="DA58" i="1"/>
  <c r="AE58" i="1" s="1"/>
  <c r="AE59" i="1" l="1"/>
  <c r="DA60" i="1"/>
  <c r="AE60" i="1"/>
  <c r="AE80" i="1" l="1"/>
  <c r="AE67" i="1"/>
  <c r="AE61" i="1"/>
  <c r="AE264" i="1" s="1"/>
  <c r="AE62" i="1"/>
  <c r="DA61" i="1"/>
  <c r="DA264" i="1" s="1"/>
  <c r="DA253" i="1"/>
  <c r="DA62" i="1"/>
  <c r="DA63" i="1"/>
  <c r="DA67" i="1"/>
  <c r="DA246" i="1"/>
  <c r="AE70" i="1" l="1"/>
  <c r="AE71" i="1" s="1"/>
  <c r="AE212" i="1"/>
  <c r="AE214" i="1" s="1"/>
  <c r="AE218" i="1" s="1"/>
  <c r="AE232" i="1" s="1"/>
  <c r="DA212" i="1"/>
  <c r="DA214" i="1" s="1"/>
  <c r="DA218" i="1" s="1"/>
  <c r="DA232" i="1" s="1"/>
  <c r="DA85" i="1"/>
  <c r="DA88" i="1" s="1"/>
  <c r="DA138" i="1"/>
  <c r="DA139" i="1" l="1"/>
  <c r="AE138" i="1"/>
  <c r="AE139" i="1" s="1"/>
  <c r="DA104" i="1"/>
  <c r="DA98" i="1"/>
  <c r="DA97" i="1"/>
  <c r="DA89" i="1"/>
  <c r="DA100" i="1" l="1"/>
  <c r="DA126" i="1"/>
  <c r="AE97" i="1"/>
  <c r="DA127" i="1"/>
  <c r="DA101" i="1"/>
  <c r="AE98" i="1"/>
  <c r="AE148" i="1"/>
  <c r="AE74" i="1" s="1"/>
  <c r="AE194" i="1"/>
  <c r="AE226" i="1"/>
  <c r="AE224" i="1" s="1"/>
  <c r="AE229" i="1" s="1"/>
  <c r="AE73" i="1"/>
  <c r="DA226" i="1"/>
  <c r="DA224" i="1" s="1"/>
  <c r="DA229" i="1" s="1"/>
  <c r="DA111" i="1"/>
  <c r="DA113" i="1" s="1"/>
  <c r="DA148" i="1"/>
  <c r="DA74" i="1" s="1"/>
  <c r="DA73" i="1"/>
  <c r="DA179" i="1" l="1"/>
  <c r="AE100" i="1"/>
  <c r="AE101" i="1"/>
  <c r="AE179" i="1" l="1"/>
  <c r="AE180" i="1" s="1"/>
  <c r="DA180" i="1"/>
  <c r="DA267" i="1" l="1"/>
  <c r="DA187" i="1"/>
  <c r="DA128" i="1" s="1"/>
  <c r="DA263" i="1"/>
  <c r="DA184" i="1"/>
  <c r="DA185" i="1" s="1"/>
  <c r="DA265" i="1"/>
  <c r="DA230" i="1"/>
  <c r="AE265" i="1"/>
  <c r="AE184" i="1"/>
  <c r="AE185" i="1" s="1"/>
  <c r="AE187" i="1"/>
  <c r="AE128" i="1" s="1"/>
  <c r="AE263" i="1"/>
  <c r="AE267" i="1"/>
  <c r="AE230" i="1"/>
  <c r="DA129" i="1" l="1"/>
  <c r="DA132" i="1" s="1"/>
  <c r="DA130" i="1"/>
  <c r="DA133" i="1" s="1"/>
  <c r="JW9" i="4"/>
  <c r="KC9" i="4"/>
  <c r="KC21" i="4"/>
  <c r="JW21" i="4" l="1"/>
  <c r="AB82" i="1" l="1"/>
  <c r="AA82" i="1"/>
  <c r="AA84" i="1"/>
  <c r="AA85" i="1"/>
  <c r="AA88" i="1"/>
  <c r="AA89" i="1"/>
  <c r="AA105" i="1"/>
  <c r="AA127" i="1"/>
  <c r="AA130" i="1"/>
  <c r="AA133" i="1"/>
  <c r="AA126" i="1"/>
  <c r="AA129" i="1"/>
  <c r="AA132" i="1"/>
  <c r="AA106" i="1"/>
  <c r="AA104" i="1"/>
  <c r="AA118" i="1"/>
  <c r="AA111" i="1"/>
  <c r="AA121" i="1"/>
  <c r="AA123" i="1"/>
  <c r="AA122" i="1"/>
  <c r="AA115" i="1"/>
  <c r="AA114" i="1"/>
  <c r="AA113" i="1"/>
  <c r="AA87" i="1"/>
  <c r="AA9" i="1"/>
  <c r="Z82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AC83" i="1"/>
  <c r="AD83" i="1"/>
  <c r="AE83" i="1"/>
  <c r="AC82" i="1"/>
  <c r="Y82" i="1"/>
  <c r="AB84" i="1"/>
  <c r="AC84" i="1"/>
  <c r="X82" i="1"/>
  <c r="Z84" i="1"/>
  <c r="Z9" i="1"/>
  <c r="AD82" i="1"/>
  <c r="Y84" i="1"/>
  <c r="Y9" i="1"/>
  <c r="Y111" i="1"/>
  <c r="X84" i="1"/>
  <c r="Z118" i="1"/>
  <c r="AE82" i="1"/>
  <c r="AE84" i="1"/>
  <c r="Z127" i="1"/>
  <c r="Z130" i="1"/>
  <c r="Z126" i="1"/>
  <c r="Z129" i="1"/>
  <c r="Z111" i="1"/>
  <c r="Z133" i="1"/>
  <c r="Z123" i="1"/>
  <c r="Z121" i="1"/>
  <c r="Z122" i="1"/>
  <c r="Y127" i="1"/>
  <c r="Y130" i="1"/>
  <c r="Y133" i="1"/>
  <c r="Y126" i="1"/>
  <c r="Y129" i="1"/>
  <c r="Y132" i="1"/>
  <c r="Y118" i="1"/>
  <c r="Z113" i="1"/>
  <c r="W82" i="1"/>
  <c r="AD84" i="1"/>
  <c r="Z132" i="1"/>
  <c r="Z115" i="1"/>
  <c r="Z114" i="1"/>
  <c r="V82" i="1"/>
  <c r="W84" i="1"/>
  <c r="Y114" i="1"/>
  <c r="Y113" i="1"/>
  <c r="Y115" i="1"/>
  <c r="X127" i="1"/>
  <c r="X130" i="1"/>
  <c r="X133" i="1"/>
  <c r="X126" i="1"/>
  <c r="U82" i="1"/>
  <c r="AB111" i="1"/>
  <c r="T82" i="1"/>
  <c r="S82" i="1"/>
  <c r="R82" i="1"/>
  <c r="Q82" i="1"/>
  <c r="P82" i="1"/>
  <c r="O82" i="1"/>
  <c r="W111" i="1"/>
  <c r="V84" i="1"/>
  <c r="V118" i="1"/>
  <c r="V123" i="1"/>
  <c r="V122" i="1"/>
  <c r="N82" i="1"/>
  <c r="M82" i="1"/>
  <c r="L82" i="1"/>
  <c r="K82" i="1"/>
  <c r="J82" i="1"/>
  <c r="W127" i="1"/>
  <c r="W85" i="1"/>
  <c r="U84" i="1"/>
  <c r="Y85" i="1"/>
  <c r="S84" i="1"/>
  <c r="AE127" i="1"/>
  <c r="J84" i="1"/>
  <c r="J85" i="1"/>
  <c r="J88" i="1"/>
  <c r="I108" i="1"/>
  <c r="AD126" i="1"/>
  <c r="J89" i="1"/>
  <c r="AB85" i="1"/>
  <c r="AB126" i="1"/>
  <c r="P84" i="1"/>
  <c r="P85" i="1"/>
  <c r="P111" i="1"/>
  <c r="Z108" i="1"/>
  <c r="I82" i="1"/>
  <c r="H82" i="1"/>
  <c r="G82" i="1"/>
  <c r="F82" i="1"/>
  <c r="E82" i="1"/>
  <c r="E84" i="1"/>
  <c r="E126" i="1"/>
  <c r="E129" i="1"/>
  <c r="E132" i="1"/>
  <c r="P87" i="1"/>
  <c r="O84" i="1"/>
  <c r="O126" i="1"/>
  <c r="O129" i="1"/>
  <c r="O132" i="1"/>
  <c r="O85" i="1"/>
  <c r="O88" i="1"/>
  <c r="O89" i="1"/>
  <c r="AD129" i="1"/>
  <c r="J111" i="1"/>
  <c r="J105" i="1"/>
  <c r="M84" i="1"/>
  <c r="M85" i="1"/>
  <c r="M118" i="1"/>
  <c r="M121" i="1"/>
  <c r="W87" i="1"/>
  <c r="J87" i="1"/>
  <c r="AB115" i="1"/>
  <c r="H84" i="1"/>
  <c r="H85" i="1"/>
  <c r="H87" i="1"/>
  <c r="J115" i="1"/>
  <c r="AB127" i="1"/>
  <c r="W126" i="1"/>
  <c r="U111" i="1"/>
  <c r="U115" i="1"/>
  <c r="G84" i="1"/>
  <c r="G127" i="1"/>
  <c r="G130" i="1"/>
  <c r="H111" i="1"/>
  <c r="H114" i="1"/>
  <c r="F84" i="1"/>
  <c r="F118" i="1"/>
  <c r="F127" i="1"/>
  <c r="F130" i="1"/>
  <c r="G118" i="1"/>
  <c r="G121" i="1"/>
  <c r="E85" i="1"/>
  <c r="E87" i="1"/>
  <c r="E111" i="1"/>
  <c r="E113" i="1"/>
  <c r="J127" i="1"/>
  <c r="J130" i="1"/>
  <c r="F123" i="1"/>
  <c r="W130" i="1"/>
  <c r="AB118" i="1"/>
  <c r="AD118" i="1"/>
  <c r="AB123" i="1"/>
  <c r="AB130" i="1"/>
  <c r="AC85" i="1"/>
  <c r="AC88" i="1"/>
  <c r="AC89" i="1"/>
  <c r="AD85" i="1"/>
  <c r="AD111" i="1"/>
  <c r="AD113" i="1"/>
  <c r="H126" i="1"/>
  <c r="H129" i="1"/>
  <c r="H132" i="1"/>
  <c r="F133" i="1"/>
  <c r="G123" i="1"/>
  <c r="AB121" i="1"/>
  <c r="AB129" i="1"/>
  <c r="P126" i="1"/>
  <c r="Q84" i="1"/>
  <c r="Q85" i="1"/>
  <c r="Q88" i="1"/>
  <c r="Q104" i="1"/>
  <c r="J104" i="1"/>
  <c r="Z85" i="1"/>
  <c r="S126" i="1"/>
  <c r="U85" i="1"/>
  <c r="U88" i="1"/>
  <c r="U105" i="1"/>
  <c r="I84" i="1"/>
  <c r="T84" i="1"/>
  <c r="Q106" i="1"/>
  <c r="F85" i="1"/>
  <c r="F88" i="1"/>
  <c r="F104" i="1"/>
  <c r="I111" i="1"/>
  <c r="Y121" i="1"/>
  <c r="AE118" i="1"/>
  <c r="M123" i="1"/>
  <c r="J126" i="1"/>
  <c r="P114" i="1"/>
  <c r="J118" i="1"/>
  <c r="J122" i="1"/>
  <c r="S127" i="1"/>
  <c r="G126" i="1"/>
  <c r="T108" i="1"/>
  <c r="AE126" i="1"/>
  <c r="I118" i="1"/>
  <c r="X118" i="1"/>
  <c r="Y87" i="1"/>
  <c r="E118" i="1"/>
  <c r="V121" i="1"/>
  <c r="V111" i="1"/>
  <c r="V114" i="1"/>
  <c r="J129" i="1"/>
  <c r="J132" i="1"/>
  <c r="R84" i="1"/>
  <c r="R85" i="1"/>
  <c r="R88" i="1"/>
  <c r="R89" i="1"/>
  <c r="P127" i="1"/>
  <c r="R104" i="1"/>
  <c r="R127" i="1"/>
  <c r="R130" i="1"/>
  <c r="R133" i="1"/>
  <c r="AD127" i="1"/>
  <c r="AD130" i="1"/>
  <c r="AD133" i="1"/>
  <c r="S129" i="1"/>
  <c r="S132" i="1"/>
  <c r="Y123" i="1"/>
  <c r="N84" i="1"/>
  <c r="N126" i="1"/>
  <c r="N129" i="1"/>
  <c r="N132" i="1"/>
  <c r="G85" i="1"/>
  <c r="G88" i="1"/>
  <c r="E115" i="1"/>
  <c r="F121" i="1"/>
  <c r="W129" i="1"/>
  <c r="W132" i="1"/>
  <c r="AB108" i="1"/>
  <c r="AD88" i="1"/>
  <c r="AB114" i="1"/>
  <c r="AC106" i="1"/>
  <c r="H127" i="1"/>
  <c r="H130" i="1"/>
  <c r="H133" i="1"/>
  <c r="H115" i="1"/>
  <c r="W118" i="1"/>
  <c r="K84" i="1"/>
  <c r="Q126" i="1"/>
  <c r="Q129" i="1"/>
  <c r="AC127" i="1"/>
  <c r="AC130" i="1"/>
  <c r="AC133" i="1"/>
  <c r="M126" i="1"/>
  <c r="M129" i="1"/>
  <c r="J123" i="1"/>
  <c r="AE85" i="1"/>
  <c r="AE88" i="1"/>
  <c r="AD108" i="1"/>
  <c r="U89" i="1"/>
  <c r="N127" i="1"/>
  <c r="N130" i="1"/>
  <c r="P113" i="1"/>
  <c r="M132" i="1"/>
  <c r="J121" i="1"/>
  <c r="Q111" i="1"/>
  <c r="Q115" i="1"/>
  <c r="X85" i="1"/>
  <c r="X88" i="1"/>
  <c r="X105" i="1"/>
  <c r="P130" i="1"/>
  <c r="R106" i="1"/>
  <c r="U118" i="1"/>
  <c r="U126" i="1"/>
  <c r="U127" i="1"/>
  <c r="U130" i="1"/>
  <c r="U123" i="1"/>
  <c r="V85" i="1"/>
  <c r="V88" i="1"/>
  <c r="V104" i="1"/>
  <c r="T127" i="1"/>
  <c r="T130" i="1"/>
  <c r="T133" i="1"/>
  <c r="U129" i="1"/>
  <c r="U132" i="1"/>
  <c r="U122" i="1"/>
  <c r="T85" i="1"/>
  <c r="T88" i="1"/>
  <c r="T106" i="1"/>
  <c r="S108" i="1"/>
  <c r="T105" i="1"/>
  <c r="P129" i="1"/>
  <c r="O127" i="1"/>
  <c r="O130" i="1"/>
  <c r="K118" i="1"/>
  <c r="K123" i="1"/>
  <c r="Q118" i="1"/>
  <c r="Q121" i="1"/>
  <c r="Y88" i="1"/>
  <c r="U114" i="1"/>
  <c r="S118" i="1"/>
  <c r="T104" i="1"/>
  <c r="Y105" i="1"/>
  <c r="Y89" i="1"/>
  <c r="V89" i="1"/>
  <c r="T118" i="1"/>
  <c r="AB122" i="1"/>
  <c r="AD121" i="1"/>
  <c r="P88" i="1"/>
  <c r="Q113" i="1"/>
  <c r="O111" i="1"/>
  <c r="O114" i="1"/>
  <c r="O108" i="1"/>
  <c r="R126" i="1"/>
  <c r="R129" i="1"/>
  <c r="R132" i="1"/>
  <c r="K85" i="1"/>
  <c r="K88" i="1"/>
  <c r="K106" i="1"/>
  <c r="L84" i="1"/>
  <c r="L118" i="1"/>
  <c r="L122" i="1"/>
  <c r="V105" i="1"/>
  <c r="T121" i="1"/>
  <c r="U104" i="1"/>
  <c r="S130" i="1"/>
  <c r="G129" i="1"/>
  <c r="U106" i="1"/>
  <c r="S121" i="1"/>
  <c r="AE129" i="1"/>
  <c r="AE87" i="1"/>
  <c r="N108" i="1"/>
  <c r="AE130" i="1"/>
  <c r="N85" i="1"/>
  <c r="N88" i="1"/>
  <c r="N104" i="1"/>
  <c r="H113" i="1"/>
  <c r="Y104" i="1"/>
  <c r="Q127" i="1"/>
  <c r="Q130" i="1"/>
  <c r="R111" i="1"/>
  <c r="R115" i="1"/>
  <c r="M127" i="1"/>
  <c r="M130" i="1"/>
  <c r="M133" i="1"/>
  <c r="Q133" i="1"/>
  <c r="Q87" i="1"/>
  <c r="AC126" i="1"/>
  <c r="AC129" i="1"/>
  <c r="AC132" i="1"/>
  <c r="AD105" i="1"/>
  <c r="AE105" i="1"/>
  <c r="V106" i="1"/>
  <c r="K111" i="1"/>
  <c r="F126" i="1"/>
  <c r="F129" i="1"/>
  <c r="F132" i="1"/>
  <c r="W133" i="1"/>
  <c r="AB113" i="1"/>
  <c r="AC105" i="1"/>
  <c r="I126" i="1"/>
  <c r="I129" i="1"/>
  <c r="I132" i="1"/>
  <c r="AD89" i="1"/>
  <c r="AC108" i="1"/>
  <c r="AD106" i="1"/>
  <c r="T126" i="1"/>
  <c r="T129" i="1"/>
  <c r="T132" i="1"/>
  <c r="T123" i="1"/>
  <c r="O104" i="1"/>
  <c r="O105" i="1"/>
  <c r="P118" i="1"/>
  <c r="AD123" i="1"/>
  <c r="AD132" i="1"/>
  <c r="AE104" i="1"/>
  <c r="J133" i="1"/>
  <c r="X111" i="1"/>
  <c r="AC111" i="1"/>
  <c r="V126" i="1"/>
  <c r="V129" i="1"/>
  <c r="V132" i="1"/>
  <c r="X106" i="1"/>
  <c r="S85" i="1"/>
  <c r="AE111" i="1"/>
  <c r="Y122" i="1"/>
  <c r="X115" i="1"/>
  <c r="Q132" i="1"/>
  <c r="H88" i="1"/>
  <c r="E114" i="1"/>
  <c r="F111" i="1"/>
  <c r="AC113" i="1"/>
  <c r="K127" i="1"/>
  <c r="K130" i="1"/>
  <c r="K126" i="1"/>
  <c r="K129" i="1"/>
  <c r="K132" i="1"/>
  <c r="I127" i="1"/>
  <c r="I130" i="1"/>
  <c r="I133" i="1"/>
  <c r="G122" i="1"/>
  <c r="F87" i="1"/>
  <c r="F122" i="1"/>
  <c r="N111" i="1"/>
  <c r="N115" i="1"/>
  <c r="U113" i="1"/>
  <c r="AD115" i="1"/>
  <c r="AE106" i="1"/>
  <c r="G111" i="1"/>
  <c r="G114" i="1"/>
  <c r="F114" i="1"/>
  <c r="O106" i="1"/>
  <c r="AD114" i="1"/>
  <c r="AE89" i="1"/>
  <c r="Q89" i="1"/>
  <c r="K122" i="1"/>
  <c r="F115" i="1"/>
  <c r="K133" i="1"/>
  <c r="X108" i="1"/>
  <c r="E127" i="1"/>
  <c r="E130" i="1"/>
  <c r="E133" i="1"/>
  <c r="F108" i="1"/>
  <c r="F113" i="1"/>
  <c r="G89" i="1"/>
  <c r="AB133" i="1"/>
  <c r="AD122" i="1"/>
  <c r="P121" i="1"/>
  <c r="H105" i="1"/>
  <c r="G105" i="1"/>
  <c r="N105" i="1"/>
  <c r="G133" i="1"/>
  <c r="H104" i="1"/>
  <c r="H89" i="1"/>
  <c r="P122" i="1"/>
  <c r="H118" i="1"/>
  <c r="P115" i="1"/>
  <c r="H121" i="1"/>
  <c r="S122" i="1"/>
  <c r="X129" i="1"/>
  <c r="G115" i="1"/>
  <c r="W121" i="1"/>
  <c r="AE115" i="1"/>
  <c r="K104" i="1"/>
  <c r="S111" i="1"/>
  <c r="N118" i="1"/>
  <c r="N106" i="1"/>
  <c r="W88" i="1"/>
  <c r="I114" i="1"/>
  <c r="T122" i="1"/>
  <c r="S115" i="1"/>
  <c r="L85" i="1"/>
  <c r="L88" i="1"/>
  <c r="U108" i="1"/>
  <c r="U121" i="1"/>
  <c r="W113" i="1"/>
  <c r="K108" i="1"/>
  <c r="L105" i="1"/>
  <c r="I113" i="1"/>
  <c r="L121" i="1"/>
  <c r="W106" i="1"/>
  <c r="AE133" i="1"/>
  <c r="W114" i="1"/>
  <c r="S114" i="1"/>
  <c r="S113" i="1"/>
  <c r="L89" i="1"/>
  <c r="AE122" i="1"/>
  <c r="W89" i="1"/>
  <c r="W115" i="1"/>
  <c r="L104" i="1"/>
  <c r="W105" i="1"/>
  <c r="L123" i="1"/>
  <c r="I123" i="1"/>
  <c r="I121" i="1"/>
  <c r="X122" i="1"/>
  <c r="V115" i="1"/>
  <c r="E123" i="1"/>
  <c r="E121" i="1"/>
  <c r="X121" i="1"/>
  <c r="N121" i="1"/>
  <c r="V108" i="1"/>
  <c r="AE121" i="1"/>
  <c r="O118" i="1"/>
  <c r="O122" i="1"/>
  <c r="O123" i="1"/>
  <c r="O121" i="1"/>
  <c r="W104" i="1"/>
  <c r="AC104" i="1"/>
  <c r="I85" i="1"/>
  <c r="I88" i="1"/>
  <c r="I89" i="1"/>
  <c r="M111" i="1"/>
  <c r="L111" i="1"/>
  <c r="J106" i="1"/>
  <c r="E108" i="1"/>
  <c r="O113" i="1"/>
  <c r="T87" i="1"/>
  <c r="E88" i="1"/>
  <c r="V127" i="1"/>
  <c r="V130" i="1"/>
  <c r="S88" i="1"/>
  <c r="V133" i="1"/>
  <c r="K105" i="1"/>
  <c r="S133" i="1"/>
  <c r="G132" i="1"/>
  <c r="N133" i="1"/>
  <c r="N87" i="1"/>
  <c r="AD87" i="1"/>
  <c r="J114" i="1"/>
  <c r="N114" i="1"/>
  <c r="M122" i="1"/>
  <c r="U133" i="1"/>
  <c r="O115" i="1"/>
  <c r="Y106" i="1"/>
  <c r="O87" i="1"/>
  <c r="F106" i="1"/>
  <c r="R113" i="1"/>
  <c r="W123" i="1"/>
  <c r="V113" i="1"/>
  <c r="AE113" i="1"/>
  <c r="K115" i="1"/>
  <c r="T89" i="1"/>
  <c r="G106" i="1"/>
  <c r="AD104" i="1"/>
  <c r="O133" i="1"/>
  <c r="H122" i="1"/>
  <c r="X132" i="1"/>
  <c r="R108" i="1"/>
  <c r="R114" i="1"/>
  <c r="X113" i="1"/>
  <c r="X114" i="1"/>
  <c r="AE114" i="1"/>
  <c r="M113" i="1"/>
  <c r="P105" i="1"/>
  <c r="P104" i="1"/>
  <c r="F105" i="1"/>
  <c r="AC114" i="1"/>
  <c r="E89" i="1"/>
  <c r="E104" i="1"/>
  <c r="L87" i="1"/>
  <c r="S89" i="1"/>
  <c r="S104" i="1"/>
  <c r="M114" i="1"/>
  <c r="L113" i="1"/>
  <c r="I105" i="1"/>
  <c r="M115" i="1"/>
  <c r="L114" i="1"/>
  <c r="H108" i="1"/>
  <c r="I87" i="1"/>
  <c r="E105" i="1"/>
  <c r="S105" i="1"/>
  <c r="D108" i="1"/>
  <c r="L106" i="1"/>
  <c r="I106" i="1"/>
  <c r="L115" i="1"/>
  <c r="E106" i="1"/>
  <c r="I104" i="1"/>
  <c r="S106" i="1"/>
  <c r="Z88" i="1"/>
  <c r="T111" i="1"/>
  <c r="AB88" i="1"/>
  <c r="Q114" i="1"/>
  <c r="S87" i="1"/>
  <c r="P108" i="1"/>
  <c r="K121" i="1"/>
  <c r="AC87" i="1"/>
  <c r="M87" i="1"/>
  <c r="S123" i="1"/>
  <c r="AC118" i="1"/>
  <c r="Z87" i="1"/>
  <c r="X123" i="1"/>
  <c r="G113" i="1"/>
  <c r="AC123" i="1"/>
  <c r="X89" i="1"/>
  <c r="K87" i="1"/>
  <c r="Q123" i="1"/>
  <c r="V87" i="1"/>
  <c r="G87" i="1"/>
  <c r="M88" i="1"/>
  <c r="L127" i="1"/>
  <c r="L130" i="1"/>
  <c r="N89" i="1"/>
  <c r="I122" i="1"/>
  <c r="L126" i="1"/>
  <c r="L129" i="1"/>
  <c r="AE123" i="1"/>
  <c r="Z104" i="1"/>
  <c r="AB87" i="1"/>
  <c r="G108" i="1"/>
  <c r="J108" i="1"/>
  <c r="Q105" i="1"/>
  <c r="F89" i="1"/>
  <c r="R105" i="1"/>
  <c r="Q108" i="1"/>
  <c r="AB132" i="1"/>
  <c r="P89" i="1"/>
  <c r="P106" i="1"/>
  <c r="N113" i="1"/>
  <c r="R87" i="1"/>
  <c r="W122" i="1"/>
  <c r="K89" i="1"/>
  <c r="R118" i="1"/>
  <c r="R122" i="1"/>
  <c r="R123" i="1"/>
  <c r="J113" i="1"/>
  <c r="N123" i="1"/>
  <c r="M105" i="1"/>
  <c r="G104" i="1"/>
  <c r="I115" i="1"/>
  <c r="T114" i="1"/>
  <c r="P132" i="1"/>
  <c r="H123" i="1"/>
  <c r="AB89" i="1"/>
  <c r="K114" i="1"/>
  <c r="W108" i="1"/>
  <c r="AC115" i="1"/>
  <c r="R121" i="1"/>
  <c r="AC122" i="1"/>
  <c r="Q122" i="1"/>
  <c r="X104" i="1"/>
  <c r="E122" i="1"/>
  <c r="X87" i="1"/>
  <c r="P133" i="1"/>
  <c r="N122" i="1"/>
  <c r="L133" i="1"/>
  <c r="Z106" i="1"/>
  <c r="U87" i="1"/>
  <c r="Z105" i="1"/>
  <c r="H106" i="1"/>
  <c r="P123" i="1"/>
  <c r="AE132" i="1"/>
  <c r="K113" i="1"/>
  <c r="M108" i="1"/>
  <c r="M106" i="1"/>
  <c r="T113" i="1"/>
  <c r="Y108" i="1"/>
  <c r="Z89" i="1"/>
  <c r="L108" i="1"/>
  <c r="M89" i="1"/>
  <c r="T115" i="1"/>
  <c r="M104" i="1"/>
  <c r="AB106" i="1"/>
  <c r="AC121" i="1"/>
  <c r="AB104" i="1"/>
  <c r="AA108" i="1"/>
  <c r="AB105" i="1"/>
  <c r="L13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<sst xmlns="http://schemas.openxmlformats.org/spreadsheetml/2006/main" count="702" uniqueCount="559">
  <si>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</si>
  <si>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</si>
  <si>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</si>
  <si>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</si>
  <si>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</si>
  <si>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</si>
  <si>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</si>
  <si>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</si>
  <si>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</si>
  <si>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</si>
  <si>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</si>
  <si>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</si>
  <si>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</si>
  <si>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</si>
  <si>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</si>
  <si>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</si>
  <si>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</si>
  <si>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</si>
  <si>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</si>
  <si>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</si>
  <si>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</si>
  <si>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</si>
  <si>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</si>
  <si>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</si>
  <si>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</si>
  <si>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</si>
  <si>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</si>
  <si>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</si>
  <si>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</si>
  <si>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</si>
  <si>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</si>
  <si>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</si>
  <si>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</si>
  <si>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</si>
  <si>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</si>
  <si>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</si>
  <si>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</si>
  <si>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</si>
  <si>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</si>
  <si>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</si>
  <si>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</si>
  <si>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</si>
  <si>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</si>
  <si>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</si>
  <si>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</si>
  <si>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</si>
  <si>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</si>
  <si>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</si>
  <si>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</si>
  <si>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</si>
  <si>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</si>
  <si>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</si>
  <si>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</si>
  <si>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</si>
  <si>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</si>
  <si>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</si>
  <si>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</si>
  <si>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</si>
  <si>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</si>
  <si>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</si>
  <si>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</si>
  <si>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</si>
  <si>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</si>
  <si>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</si>
  <si>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</si>
  <si>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</si>
  <si>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</si>
  <si>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</si>
  <si>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</si>
  <si>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</si>
  <si>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</si>
  <si>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</si>
  <si>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</si>
  <si>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</si>
  <si>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</si>
  <si>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</si>
  <si>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</si>
  <si>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</si>
  <si>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</si>
  <si>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</si>
  <si>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</si>
  <si>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</si>
  <si>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</si>
  <si>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</si>
  <si>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</si>
  <si>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</si>
  <si>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</si>
  <si>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</si>
  <si>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</si>
  <si>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</si>
  <si>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</si>
  <si>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</si>
  <si>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</si>
  <si>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</si>
  <si>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</si>
  <si>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</si>
  <si>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</si>
  <si>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</si>
  <si>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</si>
  <si>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</si>
  <si>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</si>
  <si>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</si>
  <si>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</si>
  <si>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</si>
  <si>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</si>
  <si>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</si>
  <si>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</si>
  <si>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</si>
  <si>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</si>
  <si>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</si>
  <si>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</si>
  <si>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</si>
  <si>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</si>
  <si>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</si>
  <si>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</si>
  <si>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</si>
  <si>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</si>
  <si>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</si>
  <si>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</si>
  <si>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</si>
  <si>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</si>
  <si>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</si>
  <si>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</si>
  <si>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</si>
  <si>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</si>
  <si>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</si>
  <si>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</si>
  <si>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</si>
  <si>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</si>
  <si>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</si>
  <si>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</si>
  <si>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</si>
  <si>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</si>
  <si>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</si>
  <si>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</si>
  <si>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</si>
  <si>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</si>
  <si>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</si>
  <si>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</si>
  <si>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</si>
  <si>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</si>
  <si>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</si>
  <si>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</si>
  <si>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</si>
  <si>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</si>
  <si>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</si>
  <si>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</si>
  <si>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</si>
  <si>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</si>
  <si>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</si>
  <si>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</si>
  <si>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</si>
  <si>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</si>
  <si>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</si>
  <si>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</si>
  <si>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</si>
  <si>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</si>
  <si>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</si>
  <si>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</si>
  <si>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</si>
  <si>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</si>
  <si>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</si>
  <si>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</si>
  <si>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</si>
  <si>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</si>
  <si>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</si>
  <si>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</si>
  <si>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</si>
  <si>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</si>
  <si>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</si>
  <si>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</si>
  <si>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</si>
  <si>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</si>
  <si>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</si>
  <si>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</si>
  <si>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</si>
  <si>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</si>
  <si>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</si>
  <si>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</si>
  <si>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</si>
  <si>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</si>
  <si>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</si>
  <si>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</si>
  <si>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</si>
  <si>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</si>
  <si>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</si>
  <si>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</si>
  <si>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</si>
  <si>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</si>
  <si>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</si>
  <si>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</si>
  <si>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</si>
  <si>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</si>
  <si>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</si>
  <si>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</si>
  <si>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</si>
  <si>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</si>
  <si>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</si>
  <si>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</si>
  <si>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</si>
  <si>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</si>
  <si>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</si>
  <si>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</si>
  <si>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</si>
  <si>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</si>
  <si>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</si>
  <si>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</si>
  <si>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</si>
  <si>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</si>
  <si>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</si>
  <si>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</si>
  <si>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</si>
  <si>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</si>
  <si>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</si>
  <si>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</si>
  <si>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</si>
  <si>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</si>
  <si>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</si>
  <si>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</si>
  <si>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</si>
  <si>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</si>
  <si>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</si>
  <si>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</si>
  <si>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</si>
  <si>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</si>
  <si>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</si>
  <si>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</si>
  <si>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</si>
  <si>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</si>
  <si>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</si>
  <si>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</si>
  <si>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</si>
  <si>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</si>
  <si>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</si>
  <si>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</si>
  <si>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</si>
  <si>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</si>
  <si>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</si>
  <si>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</si>
  <si>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</si>
  <si>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</si>
  <si>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</si>
  <si>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</si>
  <si>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</si>
  <si>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</si>
  <si>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</si>
  <si>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</si>
  <si>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</si>
  <si>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</si>
  <si>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</si>
  <si>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</si>
  <si>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</si>
  <si>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</si>
  <si>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</si>
  <si>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</si>
  <si>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</si>
  <si>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</si>
  <si>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</si>
  <si>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</si>
  <si>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</si>
  <si>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</si>
  <si>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</si>
  <si>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</si>
  <si>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</si>
  <si>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</si>
  <si>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</si>
  <si>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</si>
  <si>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</si>
  <si>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</si>
  <si>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</si>
  <si>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</si>
  <si>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</si>
  <si>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</si>
  <si>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</si>
  <si>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</si>
  <si>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</si>
  <si>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</si>
  <si>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</si>
  <si>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</si>
  <si>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</si>
  <si>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</si>
  <si>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</si>
  <si>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</si>
  <si>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</si>
  <si>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</si>
  <si>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</si>
  <si>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</si>
  <si>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</si>
  <si>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</si>
  <si>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</si>
  <si>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</si>
  <si>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</si>
  <si>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</si>
  <si>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</si>
  <si>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</si>
  <si>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</si>
  <si>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</si>
  <si>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</si>
  <si>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</si>
  <si>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</si>
  <si>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</si>
  <si>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</si>
  <si>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</si>
  <si>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</si>
  <si>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</si>
  <si>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</si>
  <si>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</si>
  <si>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</si>
  <si>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</si>
  <si>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</si>
  <si>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</si>
  <si>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</si>
  <si>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</si>
  <si>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</si>
  <si>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</si>
  <si>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</si>
  <si>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</si>
  <si>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</si>
  <si>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</si>
  <si>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</si>
  <si>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</si>
  <si>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</si>
  <si>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</si>
  <si>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</si>
  <si>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</si>
  <si>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</si>
  <si>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</si>
  <si>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</si>
  <si>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</si>
  <si>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</si>
  <si>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</si>
  <si>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</si>
  <si>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</si>
  <si>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</si>
  <si>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</si>
  <si>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</si>
  <si>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</si>
  <si>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</si>
  <si>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</si>
  <si>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</si>
  <si>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</si>
  <si>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</si>
  <si>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</si>
  <si>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</si>
  <si>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</si>
  <si>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</si>
  <si>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</si>
  <si>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</si>
  <si>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</si>
  <si>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</si>
  <si>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</si>
  <si>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</si>
  <si>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</si>
  <si>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</si>
  <si>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</si>
  <si>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</si>
  <si>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</si>
  <si>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</si>
  <si>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</si>
  <si>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</si>
  <si>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</si>
  <si>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</si>
  <si>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</si>
  <si>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</si>
  <si>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</si>
  <si>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</si>
  <si>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</si>
  <si>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</si>
  <si>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</si>
  <si>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</si>
  <si>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</si>
  <si>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</si>
  <si>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</si>
  <si>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</si>
  <si>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</si>
  <si>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</si>
  <si>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</si>
  <si>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</si>
  <si>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</si>
  <si>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</si>
  <si>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</si>
  <si>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</si>
  <si>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</si>
  <si>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</si>
  <si>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</si>
  <si>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</si>
  <si>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</si>
  <si>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</si>
  <si>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</si>
  <si>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</si>
  <si>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</si>
  <si>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</si>
  <si>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</si>
  <si>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</si>
  <si>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</si>
  <si>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</si>
  <si>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</si>
  <si>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</si>
  <si>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</si>
  <si>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</si>
  <si>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</si>
  <si>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</si>
  <si>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</si>
  <si>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</si>
  <si>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</si>
  <si>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</si>
  <si>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</si>
  <si>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</si>
  <si>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</si>
  <si>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</si>
  <si>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</si>
  <si>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</si>
  <si>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</si>
  <si>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</si>
  <si>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</si>
  <si>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</si>
  <si>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</si>
  <si>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</si>
  <si>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</si>
  <si>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</si>
  <si>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</si>
  <si>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</si>
  <si>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</si>
  <si>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</si>
  <si>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</si>
  <si>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</si>
  <si>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</si>
  <si>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</si>
  <si>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</si>
  <si>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</si>
  <si>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</si>
  <si>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</si>
  <si>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</si>
  <si>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</si>
  <si>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</si>
  <si>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</si>
  <si>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</si>
  <si>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</si>
  <si>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</si>
  <si>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</si>
  <si>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</si>
  <si>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</si>
  <si>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</si>
  <si>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</si>
  <si>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</si>
  <si>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</si>
  <si>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</si>
  <si>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</si>
  <si>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</si>
  <si>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</si>
  <si>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</si>
  <si>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</si>
  <si>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</si>
  <si>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</si>
  <si>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</si>
  <si>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</si>
  <si>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</si>
  <si>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</si>
  <si>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</si>
  <si>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</si>
  <si>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</si>
  <si>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</si>
  <si>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</si>
  <si>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</si>
  <si>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</si>
  <si>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</si>
  <si>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</si>
  <si>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</si>
  <si>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</si>
  <si>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</si>
  <si>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</si>
  <si>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</si>
  <si>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</si>
  <si>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</si>
  <si>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</si>
  <si>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</si>
  <si>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</si>
  <si>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</si>
  <si>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</si>
  <si>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</si>
  <si>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</si>
  <si>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</si>
  <si>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</si>
  <si>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</si>
  <si>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</si>
  <si>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</si>
  <si>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</si>
  <si>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</si>
  <si>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</si>
  <si>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</si>
  <si>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</si>
  <si>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</si>
  <si>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</si>
  <si>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</si>
  <si>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</si>
  <si>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</si>
  <si>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</si>
  <si>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</si>
  <si>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</si>
  <si>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</si>
  <si>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</si>
  <si>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</si>
  <si>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</si>
  <si>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</si>
  <si>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</si>
  <si>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</si>
  <si>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</si>
  <si>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</si>
  <si>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</si>
  <si>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</si>
  <si>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</si>
  <si>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</si>
  <si>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</si>
  <si>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</si>
  <si>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</si>
  <si>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DATE</t>
  </si>
  <si>
    <t>ADJCLOSE</t>
  </si>
  <si>
    <t>ADJHIGH</t>
  </si>
  <si>
    <t>ADJLOW</t>
  </si>
  <si>
    <t>ADJOPEN</t>
  </si>
  <si>
    <t>CLOSE</t>
  </si>
  <si>
    <t>VOLUME</t>
  </si>
  <si>
    <t xml:space="preserve">historical estimates </t>
  </si>
  <si>
    <t xml:space="preserve">Order Book </t>
  </si>
  <si>
    <t xml:space="preserve">Opening </t>
  </si>
  <si>
    <t xml:space="preserve">Addition </t>
  </si>
  <si>
    <t>Executed</t>
  </si>
  <si>
    <t xml:space="preserve">Closing </t>
  </si>
  <si>
    <t xml:space="preserve">OB YoY growth % </t>
  </si>
  <si>
    <t>Addition YoY Growth %</t>
  </si>
  <si>
    <t>Execution %</t>
  </si>
  <si>
    <t>Standalone sales</t>
  </si>
  <si>
    <t>Standalone EBIDTA</t>
  </si>
  <si>
    <t>Standalone PAT</t>
  </si>
  <si>
    <t>Subsidiary sales</t>
  </si>
  <si>
    <t>Subsidiary EBIDTA</t>
  </si>
  <si>
    <t>Subsidiary PAT</t>
  </si>
  <si>
    <t>Other Exp</t>
  </si>
  <si>
    <t xml:space="preserve">Date </t>
  </si>
  <si>
    <t xml:space="preserve">Order size </t>
  </si>
  <si>
    <t xml:space="preserve">Order details </t>
  </si>
  <si>
    <t xml:space="preserve">Transactions </t>
  </si>
  <si>
    <t xml:space="preserve">30 Mln Euros </t>
  </si>
  <si>
    <t>crs</t>
  </si>
  <si>
    <t>Germany (Europe) and China</t>
  </si>
  <si>
    <t>price</t>
  </si>
  <si>
    <t>no of shares</t>
  </si>
  <si>
    <t>metals shares 1.9746 crs share swap</t>
  </si>
  <si>
    <t>Pre share</t>
  </si>
  <si>
    <t>OB to Mkt cap</t>
  </si>
  <si>
    <t xml:space="preserve">Order from JSW Vijayanagar Metallics Limited to Design, Engineering, Supply, Supervision of Erection &amp; Commissioning of Two Annealing &amp; Coating Line (ACL 1 &amp; ACL 2) and one Annealing &amp; Pickling Line (APL) for CRNO Project. Time period: 36 month </t>
  </si>
  <si>
    <t>Order from JSW Steel Coated Products Limited to Design, Manufacturing, Supply, Supervision of Erection &amp; Commissioning of Pickling Line, 2 Stand cold Rolling Mill, Galvanising line (Cold Rolling Complex) as per list agreed in Technical Scope of supply. Time period: June 2028</t>
  </si>
  <si>
    <t>JSW Steel Coated Products Limited Design, Engineering, Supply of Continuous Galvanizing Line (CGL#3) and associated equipment Technical Scope for Continuous Galvanizing Line (CGL) as per list agreed in Technical Scope of supply. Time period: May 2028</t>
  </si>
  <si>
    <t>JCMI Belgium</t>
  </si>
  <si>
    <t>Sales</t>
  </si>
  <si>
    <t>Networth</t>
  </si>
  <si>
    <t>in crs</t>
  </si>
  <si>
    <t>JCMI USA</t>
  </si>
  <si>
    <t>John Cockerill India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</si>
</sst>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9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/>
    <xf numFmtId="43" fontId="5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166" fontId="4" fillId="0" borderId="0" xfId="1" applyNumberFormat="1" applyFont="1" applyFill="1"/>
    <xf numFmtId="43" fontId="5" fillId="0" borderId="0" xfId="2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43" fontId="18" fillId="10" borderId="0" xfId="2" applyFont="1" applyFill="1" applyAlignment="1">
      <alignment horizontal="left"/>
    </xf>
    <xf numFmtId="43" fontId="18" fillId="2" borderId="0" xfId="2" applyFont="1" applyFill="1" applyAlignment="1">
      <alignment horizontal="left"/>
    </xf>
    <xf numFmtId="9" fontId="18" fillId="2" borderId="0" xfId="1" applyFont="1" applyFill="1" applyAlignment="1">
      <alignment horizontal="right"/>
    </xf>
    <xf numFmtId="9" fontId="20" fillId="2" borderId="0" xfId="1" applyFont="1" applyFill="1" applyAlignment="1">
      <alignment horizontal="right"/>
    </xf>
    <xf numFmtId="9" fontId="20" fillId="7" borderId="0" xfId="1" applyFont="1" applyFill="1" applyAlignment="1">
      <alignment horizontal="right"/>
    </xf>
    <xf numFmtId="9" fontId="20" fillId="7" borderId="0" xfId="2" applyNumberFormat="1" applyFont="1" applyFill="1" applyAlignment="1">
      <alignment horizontal="right"/>
    </xf>
    <xf numFmtId="43" fontId="20" fillId="7" borderId="0" xfId="2" applyFont="1" applyFill="1" applyAlignment="1">
      <alignment horizontal="right"/>
    </xf>
    <xf numFmtId="9" fontId="20" fillId="2" borderId="0" xfId="2" applyNumberFormat="1" applyFont="1" applyFill="1" applyAlignment="1">
      <alignment horizontal="right"/>
    </xf>
    <xf numFmtId="43" fontId="20" fillId="2" borderId="0" xfId="2" applyFont="1" applyFill="1" applyAlignment="1">
      <alignment horizontal="right"/>
    </xf>
    <xf numFmtId="10" fontId="0" fillId="0" borderId="0" xfId="0" applyNumberFormat="1"/>
    <xf numFmtId="43" fontId="0" fillId="0" borderId="0" xfId="0" applyNumberFormat="1"/>
    <xf numFmtId="165" fontId="0" fillId="0" borderId="0" xfId="2" applyNumberFormat="1" applyFont="1"/>
    <xf numFmtId="14" fontId="0" fillId="0" borderId="0" xfId="0" applyNumberFormat="1"/>
    <xf numFmtId="9" fontId="20" fillId="7" borderId="0" xfId="2" applyNumberFormat="1" applyFont="1" applyFill="1" applyAlignment="1">
      <alignment horizontal="center"/>
    </xf>
    <xf numFmtId="165" fontId="20" fillId="7" borderId="0" xfId="2" applyNumberFormat="1" applyFont="1" applyFill="1" applyAlignment="1">
      <alignment horizontal="right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73"/>
  <sheetViews>
    <sheetView tabSelected="1" zoomScale="160" zoomScaleNormal="160" workbookViewId="0">
      <pane xSplit="1" ySplit="1" topLeftCell="Y31" activePane="bottomRight" state="frozen"/>
      <selection pane="topRight" activeCell="B1" sqref="B1"/>
      <selection pane="bottomLeft" activeCell="A2" sqref="A2"/>
      <selection pane="bottomRight" activeCell="AA31" sqref="AA31"/>
    </sheetView>
  </sheetViews>
  <sheetFormatPr defaultColWidth="11.140625" defaultRowHeight="12" outlineLevelRow="1" x14ac:dyDescent="0.2"/>
  <cols>
    <col min="1" max="1" width="35.85546875" style="2" customWidth="1"/>
    <col min="2" max="24" width="0" style="2" hidden="1" customWidth="1"/>
    <col min="25" max="26" width="11.140625" style="2"/>
    <col min="27" max="31" width="11.140625" style="18"/>
    <col min="32" max="90" width="11.140625" style="2"/>
    <col min="91" max="91" width="13.7109375" style="23" bestFit="1" customWidth="1"/>
    <col min="92" max="92" width="12.85546875" style="23" bestFit="1" customWidth="1"/>
    <col min="93" max="97" width="11.140625" style="23"/>
    <col min="98" max="105" width="11.140625" style="23" customWidth="1"/>
    <col min="106" max="107" width="11.140625" style="2"/>
    <col min="108" max="108" width="11.140625" style="120"/>
    <col min="109" max="16384" width="11.140625" style="2"/>
  </cols>
  <sheetData>
    <row r="1" spans="1:108" s="80" customFormat="1" x14ac:dyDescent="0.2">
      <c r="A1" s="77" t="str">
        <f>+'Annual Raw'!C4</f>
        <v>John Cockerill India Ltd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8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8">
        <f t="shared" ref="CK1" si="12">EOMONTH(CJ1,3)</f>
        <v>46022</v>
      </c>
      <c r="CL1" s="78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C1" s="80" t="s">
        <v>522</v>
      </c>
      <c r="DD1" s="79">
        <v>46022</v>
      </c>
    </row>
    <row r="2" spans="1:108" s="108" customFormat="1" x14ac:dyDescent="0.2">
      <c r="A2" s="143" t="s">
        <v>499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6"/>
      <c r="CL2" s="106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</row>
    <row r="3" spans="1:108" s="150" customFormat="1" x14ac:dyDescent="0.2">
      <c r="A3" s="147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9"/>
      <c r="AC3" s="149"/>
      <c r="AD3" s="149"/>
      <c r="AE3" s="149"/>
      <c r="AI3" s="148"/>
      <c r="AJ3" s="148"/>
      <c r="AK3" s="148"/>
      <c r="AL3" s="148"/>
      <c r="AM3" s="148"/>
      <c r="AN3" s="148"/>
      <c r="AO3" s="148"/>
      <c r="AP3" s="148"/>
      <c r="AQ3" s="148"/>
      <c r="AR3" s="148"/>
      <c r="AS3" s="148"/>
      <c r="AT3" s="148"/>
      <c r="AU3" s="148"/>
      <c r="AV3" s="148"/>
      <c r="AW3" s="148"/>
      <c r="AX3" s="148"/>
      <c r="AY3" s="148"/>
      <c r="AZ3" s="148"/>
      <c r="BA3" s="148"/>
      <c r="BB3" s="148"/>
      <c r="BC3" s="148"/>
      <c r="BD3" s="148"/>
      <c r="BE3" s="148"/>
      <c r="BF3" s="148"/>
      <c r="BG3" s="148"/>
      <c r="BH3" s="148"/>
      <c r="BI3" s="148"/>
      <c r="BJ3" s="148"/>
      <c r="BK3" s="148"/>
      <c r="BL3" s="148"/>
      <c r="BM3" s="148"/>
      <c r="BN3" s="148"/>
      <c r="BO3" s="148"/>
      <c r="BP3" s="148"/>
      <c r="BQ3" s="148"/>
      <c r="BR3" s="148"/>
      <c r="BS3" s="148"/>
      <c r="BT3" s="148"/>
      <c r="BU3" s="148"/>
      <c r="BV3" s="148"/>
      <c r="BW3" s="148"/>
      <c r="BX3" s="148"/>
      <c r="BY3" s="148"/>
      <c r="BZ3" s="148"/>
      <c r="CA3" s="148"/>
      <c r="CB3" s="148"/>
      <c r="CC3" s="148"/>
      <c r="CD3" s="148"/>
      <c r="CE3" s="148"/>
      <c r="CF3" s="148"/>
      <c r="CG3" s="148"/>
      <c r="CH3" s="148"/>
      <c r="CI3" s="148"/>
      <c r="CJ3" s="148"/>
      <c r="CK3" s="148"/>
      <c r="CL3" s="148"/>
      <c r="CM3" s="149"/>
      <c r="CN3" s="149"/>
      <c r="CO3" s="149"/>
      <c r="CP3" s="149"/>
      <c r="CQ3" s="149"/>
      <c r="CR3" s="149"/>
      <c r="CS3" s="149"/>
      <c r="CT3" s="149"/>
      <c r="CU3" s="149"/>
      <c r="CV3" s="149"/>
      <c r="CW3" s="149"/>
      <c r="CX3" s="149"/>
      <c r="CY3" s="149"/>
      <c r="CZ3" s="149"/>
      <c r="DA3" s="149"/>
    </row>
    <row r="4" spans="1:108" s="150" customFormat="1" x14ac:dyDescent="0.2">
      <c r="A4" s="174" t="s">
        <v>523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  <c r="AA4" s="148"/>
      <c r="AB4" s="149"/>
      <c r="AC4" s="149"/>
      <c r="AD4" s="149"/>
      <c r="AE4" s="149"/>
      <c r="AI4" s="148"/>
      <c r="AJ4" s="148"/>
      <c r="AK4" s="148"/>
      <c r="AL4" s="148"/>
      <c r="AM4" s="148"/>
      <c r="AN4" s="148"/>
      <c r="AO4" s="148"/>
      <c r="AP4" s="148"/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8"/>
      <c r="BL4" s="148"/>
      <c r="BM4" s="148"/>
      <c r="BN4" s="148"/>
      <c r="BO4" s="148"/>
      <c r="BP4" s="148"/>
      <c r="BQ4" s="148"/>
      <c r="BR4" s="148"/>
      <c r="BS4" s="148"/>
      <c r="BT4" s="148"/>
      <c r="BU4" s="148"/>
      <c r="BV4" s="148"/>
      <c r="BW4" s="148"/>
      <c r="BX4" s="148"/>
      <c r="BY4" s="148"/>
      <c r="BZ4" s="148"/>
      <c r="CA4" s="148"/>
      <c r="CB4" s="148"/>
      <c r="CC4" s="148"/>
      <c r="CD4" s="148"/>
      <c r="CE4" s="148"/>
      <c r="CF4" s="148"/>
      <c r="CG4" s="148"/>
      <c r="CH4" s="148"/>
      <c r="CI4" s="148"/>
      <c r="CJ4" s="148"/>
      <c r="CK4" s="148"/>
      <c r="CL4" s="148"/>
      <c r="CM4" s="149"/>
      <c r="CN4" s="149"/>
      <c r="CO4" s="149"/>
      <c r="CP4" s="149"/>
      <c r="CQ4" s="149"/>
      <c r="CR4" s="149"/>
      <c r="CS4" s="149"/>
      <c r="CT4" s="149"/>
      <c r="CU4" s="149"/>
      <c r="CV4" s="149"/>
      <c r="CW4" s="149"/>
      <c r="CX4" s="149"/>
      <c r="CY4" s="149"/>
      <c r="CZ4" s="149"/>
      <c r="DA4" s="149"/>
    </row>
    <row r="5" spans="1:108" s="150" customFormat="1" x14ac:dyDescent="0.2">
      <c r="A5" s="175" t="s">
        <v>524</v>
      </c>
      <c r="B5" s="148"/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06">
        <f t="shared" ref="T5" si="29">S8</f>
        <v>0</v>
      </c>
      <c r="U5" s="106">
        <f t="shared" ref="U5" si="30">T8</f>
        <v>0</v>
      </c>
      <c r="V5" s="106">
        <f t="shared" ref="V5" si="31">U8</f>
        <v>0</v>
      </c>
      <c r="W5" s="106">
        <f t="shared" ref="W5" si="32">V8</f>
        <v>0</v>
      </c>
      <c r="X5" s="106">
        <f t="shared" ref="X5" si="33">W8</f>
        <v>0</v>
      </c>
      <c r="Y5" s="106">
        <f t="shared" ref="Y5" si="34">X8</f>
        <v>0</v>
      </c>
      <c r="Z5" s="106">
        <f t="shared" ref="Z5:AA5" si="35">Y8</f>
        <v>1000</v>
      </c>
      <c r="AA5" s="106">
        <f t="shared" si="35"/>
        <v>680.8</v>
      </c>
      <c r="AB5" s="149">
        <f>AA8</f>
        <v>1186.9000000000001</v>
      </c>
      <c r="AC5" s="149">
        <f t="shared" ref="AC5:AE5" si="36">AB8</f>
        <v>5140.7281080000002</v>
      </c>
      <c r="AD5" s="149">
        <f t="shared" si="36"/>
        <v>7086.7703647770386</v>
      </c>
      <c r="AE5" s="149">
        <f t="shared" si="36"/>
        <v>9133.5716973254112</v>
      </c>
      <c r="AI5" s="148"/>
      <c r="AJ5" s="148"/>
      <c r="AK5" s="148"/>
      <c r="AL5" s="148"/>
      <c r="AM5" s="148"/>
      <c r="AN5" s="148"/>
      <c r="AO5" s="148"/>
      <c r="AP5" s="148"/>
      <c r="AQ5" s="148"/>
      <c r="AR5" s="148"/>
      <c r="AS5" s="148"/>
      <c r="AT5" s="148"/>
      <c r="AU5" s="148"/>
      <c r="AV5" s="148"/>
      <c r="AW5" s="148"/>
      <c r="AX5" s="148"/>
      <c r="AY5" s="148"/>
      <c r="AZ5" s="148"/>
      <c r="BA5" s="148"/>
      <c r="BB5" s="148"/>
      <c r="BC5" s="148"/>
      <c r="BD5" s="148"/>
      <c r="BE5" s="148"/>
      <c r="BF5" s="148"/>
      <c r="BG5" s="148"/>
      <c r="BH5" s="148"/>
      <c r="BI5" s="148"/>
      <c r="BJ5" s="148"/>
      <c r="BK5" s="148"/>
      <c r="BL5" s="148"/>
      <c r="BM5" s="148"/>
      <c r="BN5" s="148"/>
      <c r="BO5" s="106"/>
      <c r="BP5" s="106"/>
      <c r="BQ5" s="106"/>
      <c r="BR5" s="106"/>
      <c r="BS5" s="106"/>
      <c r="BT5" s="106"/>
      <c r="BU5" s="106"/>
      <c r="BV5" s="106"/>
      <c r="BW5" s="106"/>
      <c r="BX5" s="106"/>
      <c r="BY5" s="106"/>
      <c r="BZ5" s="106"/>
      <c r="CA5" s="106"/>
      <c r="CB5" s="106"/>
      <c r="CC5" s="106"/>
      <c r="CD5" s="106"/>
      <c r="CE5" s="106"/>
      <c r="CF5" s="106"/>
      <c r="CG5" s="106"/>
      <c r="CH5" s="106">
        <f t="shared" ref="CH5:CJ5" si="37">CG8</f>
        <v>680.8</v>
      </c>
      <c r="CI5" s="106">
        <f t="shared" si="37"/>
        <v>683</v>
      </c>
      <c r="CJ5" s="106">
        <f t="shared" si="37"/>
        <v>680</v>
      </c>
      <c r="CK5" s="106">
        <f>CJ8</f>
        <v>1129.0999999999999</v>
      </c>
      <c r="CL5" s="106">
        <f>CK8</f>
        <v>1186.9000000000001</v>
      </c>
      <c r="CM5" s="107">
        <f t="shared" ref="CM5:DA5" si="38">CL8</f>
        <v>3300</v>
      </c>
      <c r="CN5" s="107">
        <f t="shared" si="38"/>
        <v>5073</v>
      </c>
      <c r="CO5" s="107">
        <f t="shared" si="38"/>
        <v>5271.7308000000003</v>
      </c>
      <c r="CP5" s="107">
        <f t="shared" si="38"/>
        <v>5140.7281080000002</v>
      </c>
      <c r="CQ5" s="107">
        <f t="shared" si="38"/>
        <v>5178.0625782799998</v>
      </c>
      <c r="CR5" s="107">
        <f t="shared" si="38"/>
        <v>7196.0369462347999</v>
      </c>
      <c r="CS5" s="107">
        <f t="shared" si="38"/>
        <v>7334.7545810736683</v>
      </c>
      <c r="CT5" s="107">
        <f t="shared" si="38"/>
        <v>7086.7703647770386</v>
      </c>
      <c r="CU5" s="107">
        <f t="shared" si="38"/>
        <v>7048.9610319471049</v>
      </c>
      <c r="CV5" s="107">
        <f t="shared" si="38"/>
        <v>9395.3545390718646</v>
      </c>
      <c r="CW5" s="107">
        <f t="shared" si="38"/>
        <v>9493.4057825553973</v>
      </c>
      <c r="CX5" s="107">
        <f t="shared" si="38"/>
        <v>9133.5716973254112</v>
      </c>
      <c r="CY5" s="107">
        <f t="shared" si="38"/>
        <v>9031.5502445661241</v>
      </c>
      <c r="CZ5" s="107">
        <f t="shared" si="38"/>
        <v>11795.670722555173</v>
      </c>
      <c r="DA5" s="107">
        <f t="shared" si="38"/>
        <v>11866.420139925205</v>
      </c>
    </row>
    <row r="6" spans="1:108" s="150" customFormat="1" x14ac:dyDescent="0.2">
      <c r="A6" s="147" t="s">
        <v>525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>
        <f t="shared" ref="T6:Y6" si="39">T8+T7-T5</f>
        <v>0</v>
      </c>
      <c r="U6" s="148">
        <f t="shared" si="39"/>
        <v>0</v>
      </c>
      <c r="V6" s="148">
        <f t="shared" si="39"/>
        <v>0</v>
      </c>
      <c r="W6" s="148">
        <f t="shared" si="39"/>
        <v>0</v>
      </c>
      <c r="X6" s="148">
        <f t="shared" si="39"/>
        <v>0</v>
      </c>
      <c r="Y6" s="148">
        <f t="shared" si="39"/>
        <v>1666.6143</v>
      </c>
      <c r="Z6" s="148">
        <f t="shared" ref="Z6:AA6" si="40">Z8+Z7-Z5</f>
        <v>69.52599999999984</v>
      </c>
      <c r="AA6" s="148">
        <f t="shared" si="40"/>
        <v>863.69480000000021</v>
      </c>
      <c r="AB6" s="149">
        <f t="shared" ref="AB6:AE6" si="41">AB8+AB7-AB5</f>
        <v>5526.3708800000004</v>
      </c>
      <c r="AC6" s="149">
        <f t="shared" si="41"/>
        <v>4182.5046560000001</v>
      </c>
      <c r="AD6" s="149">
        <f t="shared" si="41"/>
        <v>5019.0055871999984</v>
      </c>
      <c r="AE6" s="149">
        <f t="shared" si="41"/>
        <v>6022.8067046399992</v>
      </c>
      <c r="AI6" s="148"/>
      <c r="AJ6" s="148"/>
      <c r="AK6" s="148"/>
      <c r="AL6" s="148"/>
      <c r="AM6" s="148"/>
      <c r="AN6" s="148"/>
      <c r="AO6" s="148"/>
      <c r="AP6" s="148"/>
      <c r="AQ6" s="148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48"/>
      <c r="BF6" s="148"/>
      <c r="BG6" s="148"/>
      <c r="BH6" s="148"/>
      <c r="BI6" s="148"/>
      <c r="BJ6" s="148"/>
      <c r="BK6" s="148"/>
      <c r="BL6" s="148"/>
      <c r="BM6" s="148"/>
      <c r="BN6" s="148"/>
      <c r="BO6" s="148"/>
      <c r="BP6" s="148"/>
      <c r="BQ6" s="148"/>
      <c r="BR6" s="148"/>
      <c r="BS6" s="148"/>
      <c r="BT6" s="148"/>
      <c r="BU6" s="148"/>
      <c r="BV6" s="148"/>
      <c r="BW6" s="148"/>
      <c r="BX6" s="148"/>
      <c r="BY6" s="148"/>
      <c r="BZ6" s="148"/>
      <c r="CA6" s="148"/>
      <c r="CB6" s="148"/>
      <c r="CC6" s="148"/>
      <c r="CD6" s="148"/>
      <c r="CE6" s="148"/>
      <c r="CF6" s="148"/>
      <c r="CG6" s="148"/>
      <c r="CH6" s="148">
        <f t="shared" ref="CH6:CJ6" si="42">CH8+CH7-CH5</f>
        <v>223.10000000000002</v>
      </c>
      <c r="CI6" s="148">
        <f t="shared" si="42"/>
        <v>79.117999999999938</v>
      </c>
      <c r="CJ6" s="148">
        <f t="shared" si="42"/>
        <v>546.08399999999983</v>
      </c>
      <c r="CK6" s="148">
        <f>CK8+CK7-CK5</f>
        <v>286.21090000000027</v>
      </c>
      <c r="CL6" s="148">
        <f>CL8+CL7-CL5</f>
        <v>2457.6169999999997</v>
      </c>
      <c r="CM6" s="149">
        <f>300+470+1300</f>
        <v>2070</v>
      </c>
      <c r="CN6" s="149">
        <f>CJ6*(1+CN12)</f>
        <v>655.30079999999975</v>
      </c>
      <c r="CO6" s="149">
        <f>CK6*(1+CO12)</f>
        <v>343.45308000000028</v>
      </c>
      <c r="CP6" s="149">
        <v>500</v>
      </c>
      <c r="CQ6" s="149">
        <f t="shared" ref="CQ6:DA6" si="43">CM6*(1+CQ12)</f>
        <v>2484</v>
      </c>
      <c r="CR6" s="149">
        <f t="shared" si="43"/>
        <v>786.36095999999964</v>
      </c>
      <c r="CS6" s="149">
        <f t="shared" si="43"/>
        <v>412.14369600000032</v>
      </c>
      <c r="CT6" s="149">
        <f t="shared" si="43"/>
        <v>600</v>
      </c>
      <c r="CU6" s="149">
        <f t="shared" si="43"/>
        <v>2980.7999999999997</v>
      </c>
      <c r="CV6" s="149">
        <f t="shared" si="43"/>
        <v>943.63315199999954</v>
      </c>
      <c r="CW6" s="149">
        <f t="shared" si="43"/>
        <v>494.57243520000037</v>
      </c>
      <c r="CX6" s="149">
        <f t="shared" si="43"/>
        <v>720</v>
      </c>
      <c r="CY6" s="149">
        <f t="shared" si="43"/>
        <v>3576.9599999999996</v>
      </c>
      <c r="CZ6" s="149">
        <f t="shared" si="43"/>
        <v>1132.3597823999994</v>
      </c>
      <c r="DA6" s="149">
        <f t="shared" si="43"/>
        <v>593.48692224000047</v>
      </c>
    </row>
    <row r="7" spans="1:108" s="150" customFormat="1" x14ac:dyDescent="0.2">
      <c r="A7" s="147" t="s">
        <v>526</v>
      </c>
      <c r="B7" s="14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>
        <f t="shared" ref="T7:Y7" si="44">T27</f>
        <v>0</v>
      </c>
      <c r="U7" s="148">
        <f t="shared" si="44"/>
        <v>0</v>
      </c>
      <c r="V7" s="148">
        <f t="shared" si="44"/>
        <v>0</v>
      </c>
      <c r="W7" s="148">
        <f t="shared" si="44"/>
        <v>0</v>
      </c>
      <c r="X7" s="148">
        <f t="shared" si="44"/>
        <v>0</v>
      </c>
      <c r="Y7" s="148">
        <f t="shared" si="44"/>
        <v>666.61429999999996</v>
      </c>
      <c r="Z7" s="148">
        <f>Z27</f>
        <v>388.726</v>
      </c>
      <c r="AA7" s="148">
        <f>AA27</f>
        <v>357.59480000000002</v>
      </c>
      <c r="AB7" s="149">
        <f t="shared" ref="AB7:AE7" si="45">AB27</f>
        <v>1572.542772</v>
      </c>
      <c r="AC7" s="149">
        <f t="shared" si="45"/>
        <v>2236.4623992229622</v>
      </c>
      <c r="AD7" s="149">
        <f t="shared" si="45"/>
        <v>2972.2042546516268</v>
      </c>
      <c r="AE7" s="149">
        <f t="shared" si="45"/>
        <v>3764.4491523934721</v>
      </c>
      <c r="AI7" s="148"/>
      <c r="AJ7" s="148"/>
      <c r="AK7" s="148"/>
      <c r="AL7" s="148"/>
      <c r="AM7" s="148"/>
      <c r="AN7" s="148"/>
      <c r="AO7" s="148"/>
      <c r="AP7" s="148"/>
      <c r="AQ7" s="148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48"/>
      <c r="BF7" s="148"/>
      <c r="BG7" s="148"/>
      <c r="BH7" s="148"/>
      <c r="BI7" s="148"/>
      <c r="BJ7" s="148"/>
      <c r="BK7" s="148"/>
      <c r="BL7" s="148"/>
      <c r="BM7" s="148"/>
      <c r="BN7" s="148"/>
      <c r="BO7" s="148"/>
      <c r="BP7" s="148"/>
      <c r="BQ7" s="148"/>
      <c r="BR7" s="148"/>
      <c r="BS7" s="148"/>
      <c r="BT7" s="148"/>
      <c r="BU7" s="148"/>
      <c r="BV7" s="148"/>
      <c r="BW7" s="148"/>
      <c r="BX7" s="148"/>
      <c r="BY7" s="148"/>
      <c r="BZ7" s="148"/>
      <c r="CA7" s="148"/>
      <c r="CB7" s="148"/>
      <c r="CC7" s="148"/>
      <c r="CD7" s="148"/>
      <c r="CE7" s="148"/>
      <c r="CF7" s="148"/>
      <c r="CG7" s="148">
        <f t="shared" ref="CG7" si="46">CG27</f>
        <v>72.338999999999999</v>
      </c>
      <c r="CH7" s="148">
        <f t="shared" ref="CH7:CJ7" si="47">CH27</f>
        <v>220.9</v>
      </c>
      <c r="CI7" s="148">
        <f t="shared" si="47"/>
        <v>82.117999999999995</v>
      </c>
      <c r="CJ7" s="148">
        <f t="shared" si="47"/>
        <v>96.983999999999995</v>
      </c>
      <c r="CK7" s="148">
        <f>CK27</f>
        <v>228.4109</v>
      </c>
      <c r="CL7" s="148">
        <f>CL27</f>
        <v>344.517</v>
      </c>
      <c r="CM7" s="149">
        <f t="shared" ref="CM7:DA7" si="48">CM5*CM13</f>
        <v>297</v>
      </c>
      <c r="CN7" s="149">
        <f t="shared" si="48"/>
        <v>456.57</v>
      </c>
      <c r="CO7" s="149">
        <f t="shared" si="48"/>
        <v>474.45577200000002</v>
      </c>
      <c r="CP7" s="149">
        <f t="shared" si="48"/>
        <v>462.66552971999999</v>
      </c>
      <c r="CQ7" s="149">
        <f t="shared" si="48"/>
        <v>466.02563204519998</v>
      </c>
      <c r="CR7" s="149">
        <f t="shared" si="48"/>
        <v>647.643325161132</v>
      </c>
      <c r="CS7" s="149">
        <f t="shared" si="48"/>
        <v>660.12791229663014</v>
      </c>
      <c r="CT7" s="149">
        <f t="shared" si="48"/>
        <v>637.8093328299334</v>
      </c>
      <c r="CU7" s="149">
        <f t="shared" si="48"/>
        <v>634.40649287523945</v>
      </c>
      <c r="CV7" s="149">
        <f t="shared" si="48"/>
        <v>845.58190851646782</v>
      </c>
      <c r="CW7" s="149">
        <f t="shared" si="48"/>
        <v>854.40652042998568</v>
      </c>
      <c r="CX7" s="149">
        <f t="shared" si="48"/>
        <v>822.02145275928694</v>
      </c>
      <c r="CY7" s="149">
        <f t="shared" si="48"/>
        <v>812.8395220109511</v>
      </c>
      <c r="CZ7" s="149">
        <f t="shared" si="48"/>
        <v>1061.6103650299656</v>
      </c>
      <c r="DA7" s="149">
        <f t="shared" si="48"/>
        <v>1067.9778125932685</v>
      </c>
    </row>
    <row r="8" spans="1:108" s="150" customFormat="1" x14ac:dyDescent="0.2">
      <c r="A8" s="175" t="s">
        <v>527</v>
      </c>
      <c r="B8" s="148"/>
      <c r="C8" s="148"/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>
        <v>1000</v>
      </c>
      <c r="Z8" s="106">
        <f>CG8</f>
        <v>680.8</v>
      </c>
      <c r="AA8" s="106">
        <f>CK8</f>
        <v>1186.9000000000001</v>
      </c>
      <c r="AB8" s="149">
        <f>CO8</f>
        <v>5140.7281080000002</v>
      </c>
      <c r="AC8" s="149">
        <f>CS8</f>
        <v>7086.7703647770386</v>
      </c>
      <c r="AD8" s="149">
        <f>CW8</f>
        <v>9133.5716973254112</v>
      </c>
      <c r="AE8" s="149">
        <f>DA8</f>
        <v>11391.929249571938</v>
      </c>
      <c r="AI8" s="148"/>
      <c r="AJ8" s="148"/>
      <c r="AK8" s="148"/>
      <c r="AL8" s="148"/>
      <c r="AM8" s="148"/>
      <c r="AN8" s="148"/>
      <c r="AO8" s="148"/>
      <c r="AP8" s="148"/>
      <c r="AQ8" s="148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48"/>
      <c r="BF8" s="148"/>
      <c r="BG8" s="148"/>
      <c r="BH8" s="148"/>
      <c r="BI8" s="148"/>
      <c r="BJ8" s="148"/>
      <c r="BK8" s="148"/>
      <c r="BL8" s="148"/>
      <c r="BM8" s="148"/>
      <c r="BN8" s="148"/>
      <c r="BO8" s="148"/>
      <c r="BP8" s="148"/>
      <c r="BQ8" s="148"/>
      <c r="BR8" s="148"/>
      <c r="BS8" s="148"/>
      <c r="BT8" s="148"/>
      <c r="BU8" s="148"/>
      <c r="BV8" s="148"/>
      <c r="BW8" s="148"/>
      <c r="BX8" s="148"/>
      <c r="BY8" s="148"/>
      <c r="BZ8" s="148"/>
      <c r="CA8" s="148"/>
      <c r="CB8" s="148"/>
      <c r="CC8" s="148"/>
      <c r="CD8" s="148"/>
      <c r="CE8" s="148"/>
      <c r="CF8" s="148"/>
      <c r="CG8" s="148">
        <v>680.8</v>
      </c>
      <c r="CH8" s="148">
        <v>683</v>
      </c>
      <c r="CI8" s="148">
        <v>680</v>
      </c>
      <c r="CJ8" s="148">
        <v>1129.0999999999999</v>
      </c>
      <c r="CK8" s="106">
        <v>1186.9000000000001</v>
      </c>
      <c r="CL8" s="106">
        <v>3300</v>
      </c>
      <c r="CM8" s="107">
        <f t="shared" ref="CM8:DA8" si="49">CM5+CM6-CM7</f>
        <v>5073</v>
      </c>
      <c r="CN8" s="107">
        <f t="shared" si="49"/>
        <v>5271.7308000000003</v>
      </c>
      <c r="CO8" s="107">
        <f t="shared" si="49"/>
        <v>5140.7281080000002</v>
      </c>
      <c r="CP8" s="107">
        <f t="shared" si="49"/>
        <v>5178.0625782799998</v>
      </c>
      <c r="CQ8" s="107">
        <f t="shared" si="49"/>
        <v>7196.0369462347999</v>
      </c>
      <c r="CR8" s="107">
        <f t="shared" si="49"/>
        <v>7334.7545810736683</v>
      </c>
      <c r="CS8" s="107">
        <f t="shared" si="49"/>
        <v>7086.7703647770386</v>
      </c>
      <c r="CT8" s="107">
        <f t="shared" si="49"/>
        <v>7048.9610319471049</v>
      </c>
      <c r="CU8" s="107">
        <f t="shared" si="49"/>
        <v>9395.3545390718646</v>
      </c>
      <c r="CV8" s="107">
        <f t="shared" si="49"/>
        <v>9493.4057825553973</v>
      </c>
      <c r="CW8" s="107">
        <f t="shared" si="49"/>
        <v>9133.5716973254112</v>
      </c>
      <c r="CX8" s="107">
        <f t="shared" si="49"/>
        <v>9031.5502445661241</v>
      </c>
      <c r="CY8" s="107">
        <f t="shared" si="49"/>
        <v>11795.670722555173</v>
      </c>
      <c r="CZ8" s="107">
        <f t="shared" si="49"/>
        <v>11866.420139925205</v>
      </c>
      <c r="DA8" s="107">
        <f t="shared" si="49"/>
        <v>11391.929249571938</v>
      </c>
    </row>
    <row r="9" spans="1:108" s="150" customFormat="1" x14ac:dyDescent="0.2">
      <c r="A9" s="175" t="s">
        <v>549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06" t="e">
        <f t="shared" ref="Y9:AA9" ca="1" si="50">+(Y96*Y84)/Y8</f>
        <v>#DIV/0!</v>
      </c>
      <c r="Z9" s="106" t="e">
        <f t="shared" ca="1" si="50"/>
        <v>#DIV/0!</v>
      </c>
      <c r="AA9" s="106" t="e">
        <f t="shared" ca="1" si="50"/>
        <v>#DIV/0!</v>
      </c>
      <c r="AB9" s="149"/>
      <c r="AC9" s="149"/>
      <c r="AD9" s="149"/>
      <c r="AE9" s="149"/>
      <c r="AI9" s="148"/>
      <c r="AJ9" s="148"/>
      <c r="AK9" s="148"/>
      <c r="AL9" s="148"/>
      <c r="AM9" s="148"/>
      <c r="AN9" s="148"/>
      <c r="AO9" s="148"/>
      <c r="AP9" s="148"/>
      <c r="AQ9" s="148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8"/>
      <c r="BK9" s="148"/>
      <c r="BL9" s="148"/>
      <c r="BM9" s="148"/>
      <c r="BN9" s="148"/>
      <c r="BO9" s="148"/>
      <c r="BP9" s="148"/>
      <c r="BQ9" s="148"/>
      <c r="BR9" s="148"/>
      <c r="BS9" s="148"/>
      <c r="BT9" s="148"/>
      <c r="BU9" s="148"/>
      <c r="BV9" s="148"/>
      <c r="BW9" s="148"/>
      <c r="BX9" s="148"/>
      <c r="BY9" s="148"/>
      <c r="BZ9" s="148"/>
      <c r="CA9" s="148"/>
      <c r="CB9" s="148"/>
      <c r="CC9" s="148"/>
      <c r="CD9" s="148"/>
      <c r="CE9" s="148"/>
      <c r="CF9" s="148"/>
      <c r="CG9" s="106">
        <f t="shared" ref="CG9:CN9" si="51">+(CG96*CG84)/CG8</f>
        <v>3.0351147179788485</v>
      </c>
      <c r="CH9" s="106">
        <f t="shared" si="51"/>
        <v>2.079310102489019</v>
      </c>
      <c r="CI9" s="106">
        <f t="shared" si="51"/>
        <v>2.4923102647058819</v>
      </c>
      <c r="CJ9" s="106">
        <f t="shared" si="51"/>
        <v>2.592264130723585</v>
      </c>
      <c r="CK9" s="106">
        <f t="shared" si="51"/>
        <v>2.192103386974471</v>
      </c>
      <c r="CL9" s="106">
        <f t="shared" si="51"/>
        <v>0.61084556363636355</v>
      </c>
      <c r="CM9" s="149">
        <f t="shared" si="51"/>
        <v>0.79237003745318357</v>
      </c>
      <c r="CN9" s="149">
        <f t="shared" si="51"/>
        <v>0.7624997088242822</v>
      </c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49"/>
      <c r="CZ9" s="149"/>
      <c r="DA9" s="149"/>
    </row>
    <row r="10" spans="1:108" s="150" customFormat="1" x14ac:dyDescent="0.2">
      <c r="A10" s="175"/>
      <c r="B10" s="148"/>
      <c r="C10" s="148"/>
      <c r="D10" s="148"/>
      <c r="E10" s="148"/>
      <c r="F10" s="148"/>
      <c r="G10" s="148"/>
      <c r="H10" s="148"/>
      <c r="I10" s="148"/>
      <c r="J10" s="148"/>
      <c r="K10" s="148"/>
      <c r="L10" s="148"/>
      <c r="M10" s="148"/>
      <c r="N10" s="148"/>
      <c r="O10" s="148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06"/>
      <c r="AA10" s="106"/>
      <c r="AB10" s="149"/>
      <c r="AC10" s="149"/>
      <c r="AD10" s="149"/>
      <c r="AE10" s="149"/>
      <c r="AI10" s="148"/>
      <c r="AJ10" s="148"/>
      <c r="AK10" s="148"/>
      <c r="AL10" s="148"/>
      <c r="AM10" s="148"/>
      <c r="AN10" s="148"/>
      <c r="AO10" s="148"/>
      <c r="AP10" s="148"/>
      <c r="AQ10" s="148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48"/>
      <c r="BF10" s="148"/>
      <c r="BG10" s="148"/>
      <c r="BH10" s="148"/>
      <c r="BI10" s="148"/>
      <c r="BJ10" s="148"/>
      <c r="BK10" s="148"/>
      <c r="BL10" s="148"/>
      <c r="BM10" s="148"/>
      <c r="BN10" s="148"/>
      <c r="BO10" s="148"/>
      <c r="BP10" s="148"/>
      <c r="BQ10" s="148"/>
      <c r="BR10" s="148"/>
      <c r="BS10" s="148"/>
      <c r="BT10" s="148"/>
      <c r="BU10" s="148"/>
      <c r="BV10" s="148"/>
      <c r="BW10" s="148"/>
      <c r="BX10" s="148"/>
      <c r="BY10" s="148"/>
      <c r="BZ10" s="148"/>
      <c r="CA10" s="148"/>
      <c r="CB10" s="148"/>
      <c r="CC10" s="148"/>
      <c r="CD10" s="148"/>
      <c r="CE10" s="148"/>
      <c r="CF10" s="148"/>
      <c r="CG10" s="148"/>
      <c r="CH10" s="148"/>
      <c r="CI10" s="148"/>
      <c r="CJ10" s="148"/>
      <c r="CK10" s="106"/>
      <c r="CL10" s="106"/>
      <c r="CM10" s="149">
        <f>+CM8*2.5</f>
        <v>12682.5</v>
      </c>
      <c r="CN10" s="149"/>
      <c r="CO10" s="149"/>
      <c r="CP10" s="149"/>
      <c r="CQ10" s="149"/>
      <c r="CR10" s="149"/>
      <c r="CS10" s="149"/>
      <c r="CT10" s="149"/>
      <c r="CU10" s="149"/>
      <c r="CV10" s="149"/>
      <c r="CW10" s="149"/>
      <c r="CX10" s="149"/>
      <c r="CY10" s="149"/>
      <c r="CZ10" s="149"/>
      <c r="DA10" s="149"/>
    </row>
    <row r="11" spans="1:108" s="150" customFormat="1" x14ac:dyDescent="0.2">
      <c r="A11" s="175" t="s">
        <v>528</v>
      </c>
      <c r="B11" s="148"/>
      <c r="C11" s="148"/>
      <c r="D11" s="148"/>
      <c r="E11" s="148"/>
      <c r="F11" s="148"/>
      <c r="G11" s="148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76">
        <f t="shared" ref="Z11:AA11" si="52">Z8/Y8-1</f>
        <v>-0.31920000000000004</v>
      </c>
      <c r="AA11" s="176">
        <f t="shared" si="52"/>
        <v>0.74339012925969472</v>
      </c>
      <c r="AB11" s="187">
        <f t="shared" ref="AB11" si="53">AB8/AA8-1</f>
        <v>3.3312226034206756</v>
      </c>
      <c r="AC11" s="187">
        <f t="shared" ref="AC11" si="54">AC8/AB8-1</f>
        <v>0.37855381881578354</v>
      </c>
      <c r="AD11" s="187">
        <f t="shared" ref="AD11" si="55">AD8/AC8-1</f>
        <v>0.28882004456098498</v>
      </c>
      <c r="AE11" s="187">
        <f t="shared" ref="AE11" si="56">AE8/AD8-1</f>
        <v>0.24725897240264105</v>
      </c>
      <c r="AI11" s="148"/>
      <c r="AJ11" s="148"/>
      <c r="AK11" s="148"/>
      <c r="AL11" s="148"/>
      <c r="AM11" s="148"/>
      <c r="AN11" s="148"/>
      <c r="AO11" s="148"/>
      <c r="AP11" s="148"/>
      <c r="AQ11" s="148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48"/>
      <c r="BF11" s="148"/>
      <c r="BG11" s="148"/>
      <c r="BH11" s="148"/>
      <c r="BI11" s="148"/>
      <c r="BJ11" s="148"/>
      <c r="BK11" s="148"/>
      <c r="BL11" s="148"/>
      <c r="BM11" s="148"/>
      <c r="BN11" s="148"/>
      <c r="BO11" s="148"/>
      <c r="BP11" s="148"/>
      <c r="BQ11" s="148"/>
      <c r="BR11" s="148"/>
      <c r="BS11" s="148"/>
      <c r="BT11" s="148"/>
      <c r="BU11" s="148"/>
      <c r="BV11" s="148"/>
      <c r="BW11" s="148"/>
      <c r="BX11" s="148"/>
      <c r="BY11" s="148"/>
      <c r="BZ11" s="148"/>
      <c r="CA11" s="148"/>
      <c r="CB11" s="148"/>
      <c r="CC11" s="148"/>
      <c r="CD11" s="148"/>
      <c r="CE11" s="148"/>
      <c r="CF11" s="148"/>
      <c r="CG11" s="148"/>
      <c r="CH11" s="148"/>
      <c r="CI11" s="148"/>
      <c r="CJ11" s="148"/>
      <c r="CK11" s="176">
        <f t="shared" ref="CK11" si="57">CK8/CG8-1</f>
        <v>0.74339012925969472</v>
      </c>
      <c r="CL11" s="176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49"/>
      <c r="DA11" s="149"/>
    </row>
    <row r="12" spans="1:108" s="150" customFormat="1" x14ac:dyDescent="0.2">
      <c r="A12" s="175" t="s">
        <v>529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76">
        <f t="shared" ref="Z12:AA12" si="58">Z6/Y6-1</f>
        <v>-0.95828308925466443</v>
      </c>
      <c r="AA12" s="176">
        <f t="shared" si="58"/>
        <v>11.422615999769903</v>
      </c>
      <c r="AB12" s="187">
        <f t="shared" ref="AB12" si="59">AB6/AA6-1</f>
        <v>5.3985228115301833</v>
      </c>
      <c r="AC12" s="187">
        <f t="shared" ref="AC12" si="60">AC6/AB6-1</f>
        <v>-0.24317336877687079</v>
      </c>
      <c r="AD12" s="187">
        <f t="shared" ref="AD12" si="61">AD6/AC6-1</f>
        <v>0.19999999999999951</v>
      </c>
      <c r="AE12" s="187">
        <f t="shared" ref="AE12" si="62">AE6/AD6-1</f>
        <v>0.20000000000000018</v>
      </c>
      <c r="AI12" s="148"/>
      <c r="AJ12" s="148"/>
      <c r="AK12" s="148"/>
      <c r="AL12" s="148"/>
      <c r="AM12" s="148"/>
      <c r="AN12" s="148"/>
      <c r="AO12" s="148"/>
      <c r="AP12" s="148"/>
      <c r="AQ12" s="148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48"/>
      <c r="BF12" s="148"/>
      <c r="BG12" s="148"/>
      <c r="BH12" s="148"/>
      <c r="BI12" s="148"/>
      <c r="BJ12" s="148"/>
      <c r="BK12" s="148"/>
      <c r="BL12" s="148"/>
      <c r="BM12" s="148"/>
      <c r="BN12" s="148"/>
      <c r="BO12" s="148"/>
      <c r="BP12" s="148"/>
      <c r="BQ12" s="148"/>
      <c r="BR12" s="148"/>
      <c r="BS12" s="148"/>
      <c r="BT12" s="148"/>
      <c r="BU12" s="148"/>
      <c r="BV12" s="148"/>
      <c r="BW12" s="148"/>
      <c r="BX12" s="148"/>
      <c r="BY12" s="148"/>
      <c r="BZ12" s="148"/>
      <c r="CA12" s="148"/>
      <c r="CB12" s="148"/>
      <c r="CC12" s="148"/>
      <c r="CD12" s="148"/>
      <c r="CE12" s="148"/>
      <c r="CF12" s="148"/>
      <c r="CG12" s="148"/>
      <c r="CH12" s="148"/>
      <c r="CI12" s="148"/>
      <c r="CJ12" s="148"/>
      <c r="CK12" s="176"/>
      <c r="CL12" s="176">
        <f t="shared" ref="CL12:CM12" si="63">CL6/CH6-1</f>
        <v>10.015764231286417</v>
      </c>
      <c r="CM12" s="176">
        <f t="shared" si="63"/>
        <v>25.163452058949943</v>
      </c>
      <c r="CN12" s="178">
        <v>0.2</v>
      </c>
      <c r="CO12" s="178">
        <f>CN12</f>
        <v>0.2</v>
      </c>
      <c r="CP12" s="178">
        <f>+CP6/CL6-1</f>
        <v>-0.79655088648882222</v>
      </c>
      <c r="CQ12" s="178">
        <v>0.2</v>
      </c>
      <c r="CR12" s="178">
        <v>0.2</v>
      </c>
      <c r="CS12" s="178">
        <v>0.2</v>
      </c>
      <c r="CT12" s="178">
        <v>0.2</v>
      </c>
      <c r="CU12" s="178">
        <v>0.2</v>
      </c>
      <c r="CV12" s="178">
        <v>0.2</v>
      </c>
      <c r="CW12" s="178">
        <v>0.2</v>
      </c>
      <c r="CX12" s="178">
        <v>0.2</v>
      </c>
      <c r="CY12" s="178">
        <v>0.2</v>
      </c>
      <c r="CZ12" s="178">
        <v>0.2</v>
      </c>
      <c r="DA12" s="178">
        <v>0.2</v>
      </c>
    </row>
    <row r="13" spans="1:108" s="150" customFormat="1" x14ac:dyDescent="0.2">
      <c r="A13" s="175" t="s">
        <v>530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77">
        <f t="shared" ref="Z13:AA13" si="64">Z7/Z5</f>
        <v>0.38872600000000002</v>
      </c>
      <c r="AA13" s="177">
        <f t="shared" si="64"/>
        <v>0.52525675675675687</v>
      </c>
      <c r="AB13" s="187">
        <f t="shared" ref="AB13:AE13" si="65">AB7/AB5</f>
        <v>1.3249159760721205</v>
      </c>
      <c r="AC13" s="187">
        <f t="shared" si="65"/>
        <v>0.43504778938660066</v>
      </c>
      <c r="AD13" s="187">
        <f t="shared" si="65"/>
        <v>0.41940180105513231</v>
      </c>
      <c r="AE13" s="187">
        <f t="shared" si="65"/>
        <v>0.41215520906195086</v>
      </c>
      <c r="AI13" s="148"/>
      <c r="AJ13" s="148"/>
      <c r="AK13" s="148"/>
      <c r="AL13" s="148"/>
      <c r="AM13" s="148"/>
      <c r="AN13" s="148"/>
      <c r="AO13" s="148"/>
      <c r="AP13" s="148"/>
      <c r="AQ13" s="148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48"/>
      <c r="BF13" s="148"/>
      <c r="BG13" s="148"/>
      <c r="BH13" s="148"/>
      <c r="BI13" s="148"/>
      <c r="BJ13" s="148"/>
      <c r="BK13" s="148"/>
      <c r="BL13" s="148"/>
      <c r="BM13" s="148"/>
      <c r="BN13" s="148"/>
      <c r="BO13" s="148"/>
      <c r="BP13" s="148"/>
      <c r="BQ13" s="148"/>
      <c r="BR13" s="148"/>
      <c r="BS13" s="148"/>
      <c r="BT13" s="148"/>
      <c r="BU13" s="148"/>
      <c r="BV13" s="148"/>
      <c r="BW13" s="148"/>
      <c r="BX13" s="148"/>
      <c r="BY13" s="148"/>
      <c r="BZ13" s="148"/>
      <c r="CA13" s="148"/>
      <c r="CB13" s="148"/>
      <c r="CC13" s="148"/>
      <c r="CD13" s="148"/>
      <c r="CE13" s="148"/>
      <c r="CF13" s="148"/>
      <c r="CG13" s="148"/>
      <c r="CH13" s="177">
        <f t="shared" ref="CH13:CJ13" si="66">CH7/CH5</f>
        <v>0.32447121034077558</v>
      </c>
      <c r="CI13" s="177">
        <f t="shared" si="66"/>
        <v>0.12023133235724744</v>
      </c>
      <c r="CJ13" s="177">
        <f t="shared" si="66"/>
        <v>0.1426235294117647</v>
      </c>
      <c r="CK13" s="177">
        <f t="shared" ref="CK13:CL13" si="67">CK7/CK5</f>
        <v>0.20229465946328937</v>
      </c>
      <c r="CL13" s="177">
        <f t="shared" si="67"/>
        <v>0.29026623978431204</v>
      </c>
      <c r="CM13" s="179">
        <v>0.09</v>
      </c>
      <c r="CN13" s="179">
        <v>0.09</v>
      </c>
      <c r="CO13" s="179">
        <v>0.09</v>
      </c>
      <c r="CP13" s="179">
        <v>0.09</v>
      </c>
      <c r="CQ13" s="179">
        <v>0.09</v>
      </c>
      <c r="CR13" s="179">
        <v>0.09</v>
      </c>
      <c r="CS13" s="179">
        <v>0.09</v>
      </c>
      <c r="CT13" s="179">
        <v>0.09</v>
      </c>
      <c r="CU13" s="179">
        <v>0.09</v>
      </c>
      <c r="CV13" s="179">
        <v>0.09</v>
      </c>
      <c r="CW13" s="179">
        <v>0.09</v>
      </c>
      <c r="CX13" s="179">
        <v>0.09</v>
      </c>
      <c r="CY13" s="179">
        <v>0.09</v>
      </c>
      <c r="CZ13" s="179">
        <v>0.09</v>
      </c>
      <c r="DA13" s="179">
        <v>0.09</v>
      </c>
    </row>
    <row r="14" spans="1:108" s="150" customFormat="1" x14ac:dyDescent="0.2">
      <c r="A14" s="175"/>
      <c r="B14" s="148"/>
      <c r="C14" s="148"/>
      <c r="D14" s="148"/>
      <c r="E14" s="148"/>
      <c r="F14" s="148"/>
      <c r="G14" s="148"/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77"/>
      <c r="AA14" s="177"/>
      <c r="AB14" s="149"/>
      <c r="AC14" s="149"/>
      <c r="AD14" s="149"/>
      <c r="AE14" s="149"/>
      <c r="AI14" s="148"/>
      <c r="AJ14" s="148"/>
      <c r="AK14" s="148"/>
      <c r="AL14" s="148"/>
      <c r="AM14" s="148"/>
      <c r="AN14" s="148"/>
      <c r="AO14" s="148"/>
      <c r="AP14" s="148"/>
      <c r="AQ14" s="148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48"/>
      <c r="BF14" s="148"/>
      <c r="BG14" s="148"/>
      <c r="BH14" s="148"/>
      <c r="BI14" s="148"/>
      <c r="BJ14" s="148"/>
      <c r="BK14" s="148"/>
      <c r="BL14" s="148"/>
      <c r="BM14" s="148"/>
      <c r="BN14" s="148"/>
      <c r="BO14" s="148"/>
      <c r="BP14" s="148"/>
      <c r="BQ14" s="148"/>
      <c r="BR14" s="148"/>
      <c r="BS14" s="148"/>
      <c r="BT14" s="148"/>
      <c r="BU14" s="148"/>
      <c r="BV14" s="148"/>
      <c r="BW14" s="148"/>
      <c r="BX14" s="148"/>
      <c r="BY14" s="148"/>
      <c r="BZ14" s="148"/>
      <c r="CA14" s="148"/>
      <c r="CB14" s="148"/>
      <c r="CC14" s="148"/>
      <c r="CD14" s="148"/>
      <c r="CE14" s="148"/>
      <c r="CF14" s="148"/>
      <c r="CG14" s="148"/>
      <c r="CH14" s="177"/>
      <c r="CI14" s="177"/>
      <c r="CJ14" s="177"/>
      <c r="CK14" s="177"/>
      <c r="CL14" s="177"/>
      <c r="CM14" s="180"/>
      <c r="CN14" s="179"/>
      <c r="CO14" s="179"/>
      <c r="CP14" s="179"/>
      <c r="CQ14" s="179"/>
      <c r="CR14" s="179"/>
      <c r="CS14" s="179"/>
      <c r="CT14" s="179"/>
      <c r="CU14" s="179"/>
      <c r="CV14" s="179"/>
      <c r="CW14" s="179"/>
      <c r="CX14" s="179"/>
      <c r="CY14" s="179"/>
      <c r="CZ14" s="179"/>
      <c r="DA14" s="179"/>
    </row>
    <row r="15" spans="1:108" s="150" customFormat="1" x14ac:dyDescent="0.2">
      <c r="A15" s="175" t="s">
        <v>531</v>
      </c>
      <c r="B15" s="148"/>
      <c r="C15" s="148"/>
      <c r="D15" s="148"/>
      <c r="E15" s="148"/>
      <c r="F15" s="148"/>
      <c r="G15" s="148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77"/>
      <c r="AA15" s="182">
        <v>357.59480000000002</v>
      </c>
      <c r="AB15" s="149"/>
      <c r="AC15" s="149"/>
      <c r="AD15" s="149"/>
      <c r="AE15" s="149"/>
      <c r="AI15" s="148"/>
      <c r="AJ15" s="148"/>
      <c r="AK15" s="148"/>
      <c r="AL15" s="148"/>
      <c r="AM15" s="148"/>
      <c r="AN15" s="148"/>
      <c r="AO15" s="148"/>
      <c r="AP15" s="148"/>
      <c r="AQ15" s="148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48"/>
      <c r="BF15" s="148"/>
      <c r="BG15" s="148"/>
      <c r="BH15" s="148"/>
      <c r="BI15" s="148"/>
      <c r="BJ15" s="148"/>
      <c r="BK15" s="148"/>
      <c r="BL15" s="148"/>
      <c r="BM15" s="148"/>
      <c r="BN15" s="148"/>
      <c r="BO15" s="148"/>
      <c r="BP15" s="148"/>
      <c r="BQ15" s="148"/>
      <c r="BR15" s="148"/>
      <c r="BS15" s="148"/>
      <c r="BT15" s="148"/>
      <c r="BU15" s="148"/>
      <c r="BV15" s="148"/>
      <c r="BW15" s="148"/>
      <c r="BX15" s="148"/>
      <c r="BY15" s="148"/>
      <c r="BZ15" s="148"/>
      <c r="CA15" s="148"/>
      <c r="CB15" s="148"/>
      <c r="CC15" s="148"/>
      <c r="CD15" s="148"/>
      <c r="CE15" s="148"/>
      <c r="CF15" s="148"/>
      <c r="CG15" s="148"/>
      <c r="CH15" s="182">
        <v>76.424300000000002</v>
      </c>
      <c r="CI15" s="182"/>
      <c r="CJ15" s="182"/>
      <c r="CK15" s="182">
        <v>102.0693</v>
      </c>
      <c r="CL15" s="182">
        <v>200.04429999999999</v>
      </c>
      <c r="CM15" s="179"/>
      <c r="CN15" s="179"/>
      <c r="CO15" s="179"/>
      <c r="CP15" s="179"/>
      <c r="CQ15" s="179"/>
      <c r="CR15" s="179"/>
      <c r="CS15" s="179"/>
      <c r="CT15" s="179"/>
      <c r="CU15" s="179"/>
      <c r="CV15" s="179"/>
      <c r="CW15" s="179"/>
      <c r="CX15" s="179"/>
      <c r="CY15" s="179"/>
      <c r="CZ15" s="179"/>
      <c r="DA15" s="179"/>
    </row>
    <row r="16" spans="1:108" s="150" customFormat="1" x14ac:dyDescent="0.2">
      <c r="A16" s="175" t="s">
        <v>532</v>
      </c>
      <c r="B16" s="148"/>
      <c r="C16" s="148"/>
      <c r="D16" s="148"/>
      <c r="E16" s="148"/>
      <c r="F16" s="148"/>
      <c r="G16" s="14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77"/>
      <c r="AA16" s="182">
        <f>22.763+3.0328+6.1507-9.0317</f>
        <v>22.9148</v>
      </c>
      <c r="AB16" s="149"/>
      <c r="AC16" s="149"/>
      <c r="AD16" s="149"/>
      <c r="AE16" s="149"/>
      <c r="AI16" s="148"/>
      <c r="AJ16" s="148"/>
      <c r="AK16" s="148"/>
      <c r="AL16" s="148"/>
      <c r="AM16" s="148"/>
      <c r="AN16" s="148"/>
      <c r="AO16" s="148"/>
      <c r="AP16" s="148"/>
      <c r="AQ16" s="148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48"/>
      <c r="BF16" s="148"/>
      <c r="BG16" s="148"/>
      <c r="BH16" s="148"/>
      <c r="BI16" s="148"/>
      <c r="BJ16" s="148"/>
      <c r="BK16" s="148"/>
      <c r="BL16" s="148"/>
      <c r="BM16" s="148"/>
      <c r="BN16" s="148"/>
      <c r="BO16" s="148"/>
      <c r="BP16" s="148"/>
      <c r="BQ16" s="148"/>
      <c r="BR16" s="148"/>
      <c r="BS16" s="148"/>
      <c r="BT16" s="148"/>
      <c r="BU16" s="148"/>
      <c r="BV16" s="148"/>
      <c r="BW16" s="148"/>
      <c r="BX16" s="148"/>
      <c r="BY16" s="148"/>
      <c r="BZ16" s="148"/>
      <c r="CA16" s="148"/>
      <c r="CB16" s="148"/>
      <c r="CC16" s="148"/>
      <c r="CD16" s="148"/>
      <c r="CE16" s="148"/>
      <c r="CF16" s="148"/>
      <c r="CG16" s="148"/>
      <c r="CH16" s="182">
        <f>-1.02+1.5086+0.4225-1.3543</f>
        <v>-0.44320000000000015</v>
      </c>
      <c r="CI16" s="182"/>
      <c r="CJ16" s="182"/>
      <c r="CK16" s="182">
        <f>9.5493+1.5585+1.6721-2.6706</f>
        <v>10.109300000000001</v>
      </c>
      <c r="CL16" s="182">
        <f>7.5045+5.1412+1.5615-2.8007</f>
        <v>11.406500000000001</v>
      </c>
      <c r="CM16" s="179"/>
      <c r="CN16" s="179"/>
      <c r="CO16" s="179"/>
      <c r="CP16" s="179"/>
      <c r="CQ16" s="179"/>
      <c r="CR16" s="179"/>
      <c r="CS16" s="179"/>
      <c r="CT16" s="179"/>
      <c r="CU16" s="179"/>
      <c r="CV16" s="179"/>
      <c r="CW16" s="179"/>
      <c r="CX16" s="179"/>
      <c r="CY16" s="179"/>
      <c r="CZ16" s="179"/>
      <c r="DA16" s="179"/>
    </row>
    <row r="17" spans="1:109" s="150" customFormat="1" x14ac:dyDescent="0.2">
      <c r="A17" s="175" t="s">
        <v>533</v>
      </c>
      <c r="B17" s="148"/>
      <c r="C17" s="148"/>
      <c r="D17" s="148"/>
      <c r="E17" s="148"/>
      <c r="F17" s="148"/>
      <c r="G17" s="148"/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77"/>
      <c r="AA17" s="182">
        <v>10.3139</v>
      </c>
      <c r="AB17" s="149"/>
      <c r="AC17" s="149"/>
      <c r="AD17" s="149"/>
      <c r="AE17" s="149"/>
      <c r="AI17" s="148"/>
      <c r="AJ17" s="148"/>
      <c r="AK17" s="148"/>
      <c r="AL17" s="148"/>
      <c r="AM17" s="148"/>
      <c r="AN17" s="148"/>
      <c r="AO17" s="148"/>
      <c r="AP17" s="148"/>
      <c r="AQ17" s="148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48"/>
      <c r="BF17" s="148"/>
      <c r="BG17" s="148"/>
      <c r="BH17" s="148"/>
      <c r="BI17" s="148"/>
      <c r="BJ17" s="148"/>
      <c r="BK17" s="148"/>
      <c r="BL17" s="148"/>
      <c r="BM17" s="148"/>
      <c r="BN17" s="148"/>
      <c r="BO17" s="148"/>
      <c r="BP17" s="148"/>
      <c r="BQ17" s="148"/>
      <c r="BR17" s="148"/>
      <c r="BS17" s="148"/>
      <c r="BT17" s="148"/>
      <c r="BU17" s="148"/>
      <c r="BV17" s="148"/>
      <c r="BW17" s="148"/>
      <c r="BX17" s="148"/>
      <c r="BY17" s="148"/>
      <c r="BZ17" s="148"/>
      <c r="CA17" s="148"/>
      <c r="CB17" s="148"/>
      <c r="CC17" s="148"/>
      <c r="CD17" s="148"/>
      <c r="CE17" s="148"/>
      <c r="CF17" s="148"/>
      <c r="CG17" s="148"/>
      <c r="CH17" s="182">
        <v>0.74609999999999999</v>
      </c>
      <c r="CI17" s="182"/>
      <c r="CJ17" s="182"/>
      <c r="CK17" s="182">
        <v>0.42109999999999997</v>
      </c>
      <c r="CL17" s="182">
        <f>7.0068</f>
        <v>7.0068000000000001</v>
      </c>
      <c r="CM17" s="180"/>
      <c r="CN17" s="179"/>
      <c r="CO17" s="179"/>
      <c r="CP17" s="179"/>
      <c r="CQ17" s="179"/>
      <c r="CR17" s="179"/>
      <c r="CS17" s="179"/>
      <c r="CT17" s="179"/>
      <c r="CU17" s="179"/>
      <c r="CV17" s="179"/>
      <c r="CW17" s="179"/>
      <c r="CX17" s="179"/>
      <c r="CY17" s="179"/>
      <c r="CZ17" s="179"/>
      <c r="DA17" s="179"/>
    </row>
    <row r="18" spans="1:109" s="150" customFormat="1" x14ac:dyDescent="0.2">
      <c r="A18" s="175"/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77"/>
      <c r="AA18" s="182"/>
      <c r="AB18" s="149"/>
      <c r="AC18" s="149"/>
      <c r="AD18" s="149"/>
      <c r="AE18" s="149"/>
      <c r="AI18" s="148"/>
      <c r="AJ18" s="148"/>
      <c r="AK18" s="148"/>
      <c r="AL18" s="148"/>
      <c r="AM18" s="148"/>
      <c r="AN18" s="148"/>
      <c r="AO18" s="148"/>
      <c r="AP18" s="148"/>
      <c r="AQ18" s="148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48"/>
      <c r="BF18" s="148"/>
      <c r="BG18" s="148"/>
      <c r="BH18" s="148"/>
      <c r="BI18" s="148"/>
      <c r="BJ18" s="148"/>
      <c r="BK18" s="148"/>
      <c r="BL18" s="148"/>
      <c r="BM18" s="148"/>
      <c r="BN18" s="148"/>
      <c r="BO18" s="148"/>
      <c r="BP18" s="148"/>
      <c r="BQ18" s="148"/>
      <c r="BR18" s="148"/>
      <c r="BS18" s="148"/>
      <c r="BT18" s="148"/>
      <c r="BU18" s="148"/>
      <c r="BV18" s="148"/>
      <c r="BW18" s="148"/>
      <c r="BX18" s="148"/>
      <c r="BY18" s="148"/>
      <c r="BZ18" s="148"/>
      <c r="CA18" s="148"/>
      <c r="CB18" s="148"/>
      <c r="CC18" s="148"/>
      <c r="CD18" s="148"/>
      <c r="CE18" s="148"/>
      <c r="CF18" s="148"/>
      <c r="CG18" s="148"/>
      <c r="CH18" s="182"/>
      <c r="CI18" s="182"/>
      <c r="CJ18" s="182"/>
      <c r="CK18" s="182"/>
      <c r="CL18" s="182"/>
      <c r="CM18" s="180"/>
      <c r="CN18" s="180"/>
      <c r="CO18" s="179"/>
      <c r="CP18" s="179"/>
      <c r="CQ18" s="179"/>
      <c r="CR18" s="179"/>
      <c r="CS18" s="179"/>
      <c r="CT18" s="179"/>
      <c r="CU18" s="179"/>
      <c r="CV18" s="179"/>
      <c r="CW18" s="179"/>
      <c r="CX18" s="179"/>
      <c r="CY18" s="179"/>
      <c r="CZ18" s="179"/>
      <c r="DA18" s="179"/>
    </row>
    <row r="19" spans="1:109" s="150" customFormat="1" x14ac:dyDescent="0.2">
      <c r="A19" s="175" t="s">
        <v>534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77"/>
      <c r="AA19" s="182">
        <f>AA27-AA15</f>
        <v>0</v>
      </c>
      <c r="AB19" s="149"/>
      <c r="AC19" s="149"/>
      <c r="AD19" s="149"/>
      <c r="AE19" s="149"/>
      <c r="AI19" s="148"/>
      <c r="AJ19" s="148"/>
      <c r="AK19" s="148"/>
      <c r="AL19" s="148"/>
      <c r="AM19" s="148"/>
      <c r="AN19" s="148"/>
      <c r="AO19" s="148"/>
      <c r="AP19" s="148"/>
      <c r="AQ19" s="148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48"/>
      <c r="BF19" s="148"/>
      <c r="BG19" s="148"/>
      <c r="BH19" s="148"/>
      <c r="BI19" s="148"/>
      <c r="BJ19" s="148"/>
      <c r="BK19" s="148"/>
      <c r="BL19" s="148"/>
      <c r="BM19" s="148"/>
      <c r="BN19" s="148"/>
      <c r="BO19" s="148"/>
      <c r="BP19" s="148"/>
      <c r="BQ19" s="148"/>
      <c r="BR19" s="148"/>
      <c r="BS19" s="148"/>
      <c r="BT19" s="148"/>
      <c r="BU19" s="148"/>
      <c r="BV19" s="148"/>
      <c r="BW19" s="148"/>
      <c r="BX19" s="148"/>
      <c r="BY19" s="148"/>
      <c r="BZ19" s="148"/>
      <c r="CA19" s="148"/>
      <c r="CB19" s="148"/>
      <c r="CC19" s="148"/>
      <c r="CD19" s="148"/>
      <c r="CE19" s="148"/>
      <c r="CF19" s="148"/>
      <c r="CG19" s="148"/>
      <c r="CH19" s="182">
        <f>CH27-CH15</f>
        <v>144.47570000000002</v>
      </c>
      <c r="CI19" s="182"/>
      <c r="CJ19" s="182"/>
      <c r="CK19" s="182">
        <f>CK27-CK15</f>
        <v>126.3416</v>
      </c>
      <c r="CL19" s="182">
        <f>CL27-CL15</f>
        <v>144.4727</v>
      </c>
      <c r="CM19" s="180"/>
      <c r="CN19" s="180"/>
      <c r="CO19" s="179"/>
      <c r="CP19" s="179"/>
      <c r="CQ19" s="179"/>
      <c r="CR19" s="179"/>
      <c r="CS19" s="179"/>
      <c r="CT19" s="179"/>
      <c r="CU19" s="179"/>
      <c r="CV19" s="179"/>
      <c r="CW19" s="179"/>
      <c r="CX19" s="179"/>
      <c r="CY19" s="179"/>
      <c r="CZ19" s="179"/>
      <c r="DA19" s="179"/>
    </row>
    <row r="20" spans="1:109" s="150" customFormat="1" x14ac:dyDescent="0.2">
      <c r="A20" s="175" t="s">
        <v>535</v>
      </c>
      <c r="B20" s="148"/>
      <c r="C20" s="148"/>
      <c r="D20" s="148"/>
      <c r="E20" s="148"/>
      <c r="F20" s="148"/>
      <c r="G20" s="148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77"/>
      <c r="AA20" s="182">
        <f>AA47-AA16</f>
        <v>-0.47459999999999525</v>
      </c>
      <c r="AB20" s="149"/>
      <c r="AC20" s="149"/>
      <c r="AD20" s="149"/>
      <c r="AE20" s="149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8"/>
      <c r="BF20" s="148"/>
      <c r="BG20" s="148"/>
      <c r="BH20" s="148"/>
      <c r="BI20" s="148"/>
      <c r="BJ20" s="148"/>
      <c r="BK20" s="148"/>
      <c r="BL20" s="148"/>
      <c r="BM20" s="148"/>
      <c r="BN20" s="148"/>
      <c r="BO20" s="148"/>
      <c r="BP20" s="148"/>
      <c r="BQ20" s="148"/>
      <c r="BR20" s="148"/>
      <c r="BS20" s="148"/>
      <c r="BT20" s="148"/>
      <c r="BU20" s="148"/>
      <c r="BV20" s="148"/>
      <c r="BW20" s="148"/>
      <c r="BX20" s="148"/>
      <c r="BY20" s="148"/>
      <c r="BZ20" s="148"/>
      <c r="CA20" s="148"/>
      <c r="CB20" s="148"/>
      <c r="CC20" s="148"/>
      <c r="CD20" s="148"/>
      <c r="CE20" s="148"/>
      <c r="CF20" s="148"/>
      <c r="CG20" s="148"/>
      <c r="CH20" s="182">
        <f>CH47-CH16</f>
        <v>-1.0477999999999996</v>
      </c>
      <c r="CI20" s="182"/>
      <c r="CJ20" s="182"/>
      <c r="CK20" s="182">
        <f>CK47-CK16</f>
        <v>-29.767599999999998</v>
      </c>
      <c r="CL20" s="182">
        <f>CL47-CL16</f>
        <v>-6.4944999999999951</v>
      </c>
      <c r="CM20" s="180"/>
      <c r="CN20" s="188"/>
      <c r="CO20" s="179"/>
      <c r="CP20" s="179"/>
      <c r="CQ20" s="179"/>
      <c r="CR20" s="179"/>
      <c r="CS20" s="179"/>
      <c r="CT20" s="179"/>
      <c r="CU20" s="179"/>
      <c r="CV20" s="179"/>
      <c r="CW20" s="179"/>
      <c r="CX20" s="179"/>
      <c r="CY20" s="179"/>
      <c r="CZ20" s="179"/>
      <c r="DA20" s="179"/>
    </row>
    <row r="21" spans="1:109" s="150" customFormat="1" x14ac:dyDescent="0.2">
      <c r="A21" s="175" t="s">
        <v>536</v>
      </c>
      <c r="B21" s="148"/>
      <c r="C21" s="148"/>
      <c r="D21" s="148"/>
      <c r="E21" s="148"/>
      <c r="F21" s="148"/>
      <c r="G21" s="148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77"/>
      <c r="AA21" s="182">
        <f>AA67-AA17</f>
        <v>0</v>
      </c>
      <c r="AB21" s="149"/>
      <c r="AC21" s="149"/>
      <c r="AD21" s="149"/>
      <c r="AE21" s="149"/>
      <c r="AI21" s="148"/>
      <c r="AJ21" s="148"/>
      <c r="AK21" s="148"/>
      <c r="AL21" s="148"/>
      <c r="AM21" s="148"/>
      <c r="AN21" s="148"/>
      <c r="AO21" s="148"/>
      <c r="AP21" s="148"/>
      <c r="AQ21" s="148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48"/>
      <c r="BF21" s="148"/>
      <c r="BG21" s="148"/>
      <c r="BH21" s="148"/>
      <c r="BI21" s="148"/>
      <c r="BJ21" s="148"/>
      <c r="BK21" s="148"/>
      <c r="BL21" s="148"/>
      <c r="BM21" s="148"/>
      <c r="BN21" s="148"/>
      <c r="BO21" s="148"/>
      <c r="BP21" s="148"/>
      <c r="BQ21" s="148"/>
      <c r="BR21" s="148"/>
      <c r="BS21" s="148"/>
      <c r="BT21" s="148"/>
      <c r="BU21" s="148"/>
      <c r="BV21" s="148"/>
      <c r="BW21" s="148"/>
      <c r="BX21" s="148"/>
      <c r="BY21" s="148"/>
      <c r="BZ21" s="148"/>
      <c r="CA21" s="148"/>
      <c r="CB21" s="148"/>
      <c r="CC21" s="148"/>
      <c r="CD21" s="148"/>
      <c r="CE21" s="148"/>
      <c r="CF21" s="148"/>
      <c r="CG21" s="148"/>
      <c r="CH21" s="182">
        <f>CH67-CH17</f>
        <v>-3.6600999999999999</v>
      </c>
      <c r="CI21" s="182"/>
      <c r="CJ21" s="182"/>
      <c r="CK21" s="182">
        <f>CK67-CK17</f>
        <v>-9.343399999999999</v>
      </c>
      <c r="CL21" s="182">
        <f>CL67-CL17</f>
        <v>0.35420000000000584</v>
      </c>
      <c r="CM21" s="180"/>
      <c r="CN21" s="180"/>
      <c r="CO21" s="179"/>
      <c r="CP21" s="179"/>
      <c r="CQ21" s="179"/>
      <c r="CR21" s="179"/>
      <c r="CS21" s="179"/>
      <c r="CT21" s="179"/>
      <c r="CU21" s="179"/>
      <c r="CV21" s="179"/>
      <c r="CW21" s="179"/>
      <c r="CX21" s="179"/>
      <c r="CY21" s="179"/>
      <c r="CZ21" s="179"/>
      <c r="DA21" s="179"/>
    </row>
    <row r="22" spans="1:109" s="150" customFormat="1" x14ac:dyDescent="0.2">
      <c r="A22" s="175"/>
      <c r="B22" s="148"/>
      <c r="C22" s="148"/>
      <c r="D22" s="148"/>
      <c r="E22" s="148"/>
      <c r="F22" s="148"/>
      <c r="G22" s="148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77"/>
      <c r="AA22" s="182"/>
      <c r="AB22" s="149"/>
      <c r="AC22" s="149"/>
      <c r="AD22" s="149"/>
      <c r="AE22" s="149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  <c r="BG22" s="148"/>
      <c r="BH22" s="148"/>
      <c r="BI22" s="148"/>
      <c r="BJ22" s="148"/>
      <c r="BK22" s="148"/>
      <c r="BL22" s="148"/>
      <c r="BM22" s="148"/>
      <c r="BN22" s="148"/>
      <c r="BO22" s="148"/>
      <c r="BP22" s="148"/>
      <c r="BQ22" s="148"/>
      <c r="BR22" s="148"/>
      <c r="BS22" s="148"/>
      <c r="BT22" s="148"/>
      <c r="BU22" s="148"/>
      <c r="BV22" s="148"/>
      <c r="BW22" s="148"/>
      <c r="BX22" s="148"/>
      <c r="BY22" s="148"/>
      <c r="BZ22" s="148"/>
      <c r="CA22" s="148"/>
      <c r="CB22" s="148"/>
      <c r="CC22" s="148"/>
      <c r="CD22" s="148"/>
      <c r="CE22" s="148"/>
      <c r="CF22" s="148"/>
      <c r="CG22" s="148"/>
      <c r="CH22" s="182"/>
      <c r="CI22" s="182"/>
      <c r="CJ22" s="182"/>
      <c r="CK22" s="182"/>
      <c r="CL22" s="182"/>
      <c r="CM22" s="179"/>
      <c r="CN22" s="179"/>
      <c r="CO22" s="179"/>
      <c r="CP22" s="179"/>
      <c r="CQ22" s="179"/>
      <c r="CR22" s="179"/>
      <c r="CS22" s="179"/>
      <c r="CT22" s="179"/>
      <c r="CU22" s="179"/>
      <c r="CV22" s="179"/>
      <c r="CW22" s="179"/>
      <c r="CX22" s="179"/>
      <c r="CY22" s="179"/>
      <c r="CZ22" s="179"/>
      <c r="DA22" s="179"/>
    </row>
    <row r="23" spans="1:109" s="150" customFormat="1" x14ac:dyDescent="0.2">
      <c r="A23" s="147" t="s">
        <v>537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81">
        <f t="shared" ref="AA23" si="68">+AA41/AA29</f>
        <v>0.11922265088865945</v>
      </c>
      <c r="AB23" s="149"/>
      <c r="AC23" s="149"/>
      <c r="AD23" s="149"/>
      <c r="AE23" s="149"/>
      <c r="AI23" s="148"/>
      <c r="AJ23" s="148"/>
      <c r="AK23" s="148"/>
      <c r="AL23" s="148"/>
      <c r="AM23" s="148"/>
      <c r="AN23" s="148"/>
      <c r="AO23" s="148"/>
      <c r="AP23" s="148"/>
      <c r="AQ23" s="148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48"/>
      <c r="BF23" s="148"/>
      <c r="BG23" s="148"/>
      <c r="BH23" s="148"/>
      <c r="BI23" s="148"/>
      <c r="BJ23" s="148"/>
      <c r="BK23" s="148"/>
      <c r="BL23" s="148"/>
      <c r="BM23" s="148"/>
      <c r="BN23" s="148"/>
      <c r="BO23" s="148"/>
      <c r="BP23" s="148"/>
      <c r="BQ23" s="148"/>
      <c r="BR23" s="148"/>
      <c r="BS23" s="148"/>
      <c r="BT23" s="148"/>
      <c r="BU23" s="148"/>
      <c r="BV23" s="148"/>
      <c r="BW23" s="148"/>
      <c r="BX23" s="148"/>
      <c r="BY23" s="148"/>
      <c r="BZ23" s="148"/>
      <c r="CA23" s="148"/>
      <c r="CB23" s="148"/>
      <c r="CC23" s="148"/>
      <c r="CD23" s="148"/>
      <c r="CE23" s="148"/>
      <c r="CF23" s="148"/>
      <c r="CG23" s="148"/>
      <c r="CH23" s="148"/>
      <c r="CI23" s="181">
        <f t="shared" ref="CI23:CK23" si="69">+CI41/CI29</f>
        <v>0.74894663776516723</v>
      </c>
      <c r="CJ23" s="181">
        <f t="shared" si="69"/>
        <v>0.76354862657757994</v>
      </c>
      <c r="CK23" s="181">
        <f t="shared" si="69"/>
        <v>0.33480495020158846</v>
      </c>
      <c r="CL23" s="181">
        <f>+CL41/CL29</f>
        <v>0.33005628169292078</v>
      </c>
      <c r="CM23" s="179">
        <f>+CL23</f>
        <v>0.33005628169292078</v>
      </c>
      <c r="CN23" s="179">
        <f>+CM23-0.5%</f>
        <v>0.32505628169292078</v>
      </c>
      <c r="CO23" s="179">
        <f>+CN23-0.5%</f>
        <v>0.32005628169292077</v>
      </c>
      <c r="CP23" s="179">
        <f t="shared" ref="CP23:DA23" si="70">+CO23-0.5%</f>
        <v>0.31505628169292077</v>
      </c>
      <c r="CQ23" s="179">
        <f t="shared" si="70"/>
        <v>0.31005628169292077</v>
      </c>
      <c r="CR23" s="179">
        <f t="shared" si="70"/>
        <v>0.30505628169292076</v>
      </c>
      <c r="CS23" s="179">
        <f t="shared" si="70"/>
        <v>0.30005628169292076</v>
      </c>
      <c r="CT23" s="179">
        <f t="shared" si="70"/>
        <v>0.29505628169292075</v>
      </c>
      <c r="CU23" s="179">
        <f t="shared" si="70"/>
        <v>0.29005628169292075</v>
      </c>
      <c r="CV23" s="179">
        <f t="shared" si="70"/>
        <v>0.28505628169292074</v>
      </c>
      <c r="CW23" s="179">
        <f t="shared" si="70"/>
        <v>0.28005628169292074</v>
      </c>
      <c r="CX23" s="179">
        <f t="shared" si="70"/>
        <v>0.27505628169292073</v>
      </c>
      <c r="CY23" s="179">
        <f t="shared" si="70"/>
        <v>0.27005628169292073</v>
      </c>
      <c r="CZ23" s="179">
        <f t="shared" si="70"/>
        <v>0.26505628169292073</v>
      </c>
      <c r="DA23" s="179">
        <f t="shared" si="70"/>
        <v>0.26005628169292072</v>
      </c>
    </row>
    <row r="24" spans="1:109" s="150" customFormat="1" x14ac:dyDescent="0.2">
      <c r="A24" s="147"/>
      <c r="B24" s="148"/>
      <c r="C24" s="148"/>
      <c r="D24" s="148"/>
      <c r="E24" s="148"/>
      <c r="F24" s="148"/>
      <c r="G24" s="14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9"/>
      <c r="AB24" s="149"/>
      <c r="AC24" s="149"/>
      <c r="AD24" s="149"/>
      <c r="AE24" s="149"/>
      <c r="AI24" s="148"/>
      <c r="AJ24" s="148"/>
      <c r="AK24" s="148"/>
      <c r="AL24" s="148"/>
      <c r="AM24" s="148"/>
      <c r="AN24" s="148"/>
      <c r="AO24" s="148"/>
      <c r="AP24" s="148"/>
      <c r="AQ24" s="148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48"/>
      <c r="BF24" s="148"/>
      <c r="BG24" s="148"/>
      <c r="BH24" s="148"/>
      <c r="BI24" s="148"/>
      <c r="BJ24" s="148"/>
      <c r="BK24" s="148"/>
      <c r="BL24" s="148"/>
      <c r="BM24" s="148"/>
      <c r="BN24" s="148"/>
      <c r="BO24" s="148"/>
      <c r="BP24" s="148"/>
      <c r="BQ24" s="148"/>
      <c r="BR24" s="148"/>
      <c r="BS24" s="148"/>
      <c r="BT24" s="148"/>
      <c r="BU24" s="148"/>
      <c r="BV24" s="148"/>
      <c r="BW24" s="148"/>
      <c r="BX24" s="148"/>
      <c r="BY24" s="148"/>
      <c r="BZ24" s="148"/>
      <c r="CA24" s="148"/>
      <c r="CB24" s="148"/>
      <c r="CC24" s="148"/>
      <c r="CD24" s="148"/>
      <c r="CE24" s="148"/>
      <c r="CF24" s="148"/>
      <c r="CG24" s="148"/>
      <c r="CH24" s="148"/>
      <c r="CI24" s="181"/>
      <c r="CJ24" s="181"/>
      <c r="CK24" s="181"/>
      <c r="CL24" s="181"/>
      <c r="CM24" s="179"/>
      <c r="CN24" s="179"/>
      <c r="CO24" s="179"/>
      <c r="CP24" s="179"/>
      <c r="CQ24" s="179"/>
      <c r="CR24" s="179"/>
      <c r="CS24" s="179"/>
      <c r="CT24" s="179"/>
      <c r="CU24" s="179"/>
      <c r="CV24" s="179"/>
      <c r="CW24" s="179"/>
      <c r="CX24" s="179"/>
      <c r="CY24" s="179"/>
      <c r="CZ24" s="179"/>
      <c r="DA24" s="179"/>
    </row>
    <row r="25" spans="1:109" s="105" customFormat="1" x14ac:dyDescent="0.2">
      <c r="A25" s="143" t="s">
        <v>500</v>
      </c>
      <c r="B25" s="103"/>
      <c r="C25" s="103"/>
      <c r="D25" s="103"/>
      <c r="E25" s="103"/>
      <c r="F25" s="103"/>
      <c r="G25" s="103"/>
      <c r="H25" s="103"/>
      <c r="I25" s="103"/>
      <c r="J25" s="103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4"/>
      <c r="AB25" s="104"/>
      <c r="AC25" s="104"/>
      <c r="AD25" s="104"/>
      <c r="AE25" s="104"/>
      <c r="AI25" s="103"/>
      <c r="AJ25" s="103"/>
      <c r="AK25" s="103"/>
      <c r="AL25" s="103"/>
      <c r="AM25" s="103"/>
      <c r="AN25" s="103"/>
      <c r="AO25" s="103"/>
      <c r="AP25" s="103"/>
      <c r="AQ25" s="103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3"/>
      <c r="BF25" s="103"/>
      <c r="BG25" s="103"/>
      <c r="BH25" s="103"/>
      <c r="BI25" s="103"/>
      <c r="BJ25" s="103"/>
      <c r="BK25" s="103"/>
      <c r="BL25" s="103"/>
      <c r="BM25" s="103"/>
      <c r="BN25" s="103"/>
      <c r="BO25" s="103"/>
      <c r="BP25" s="103"/>
      <c r="BQ25" s="103"/>
      <c r="BR25" s="103"/>
      <c r="BS25" s="103"/>
      <c r="BT25" s="103"/>
      <c r="BU25" s="103"/>
      <c r="BV25" s="103"/>
      <c r="BW25" s="103"/>
      <c r="BX25" s="103"/>
      <c r="BY25" s="103"/>
      <c r="BZ25" s="103"/>
      <c r="CA25" s="103"/>
      <c r="CB25" s="103"/>
      <c r="CC25" s="103"/>
      <c r="CD25" s="103"/>
      <c r="CE25" s="103"/>
      <c r="CF25" s="103"/>
      <c r="CG25" s="103"/>
      <c r="CH25" s="103"/>
      <c r="CI25" s="103"/>
      <c r="CJ25" s="103"/>
      <c r="CK25" s="103"/>
      <c r="CL25" s="103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</row>
    <row r="26" spans="1:109" s="105" customFormat="1" x14ac:dyDescent="0.2">
      <c r="A26" s="143" t="s">
        <v>485</v>
      </c>
      <c r="B26" s="173"/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04"/>
      <c r="AC26" s="104"/>
      <c r="AD26" s="104"/>
      <c r="AE26" s="104"/>
      <c r="AI26" s="116"/>
      <c r="AJ26" s="116"/>
      <c r="AK26" s="116"/>
      <c r="AL26" s="116"/>
      <c r="AM26" s="116"/>
      <c r="AN26" s="116"/>
      <c r="AO26" s="116"/>
      <c r="AP26" s="116"/>
      <c r="AQ26" s="116"/>
      <c r="AR26" s="116"/>
      <c r="AS26" s="116"/>
      <c r="AT26" s="116"/>
      <c r="AU26" s="116"/>
      <c r="AV26" s="116"/>
      <c r="AW26" s="116"/>
      <c r="AX26" s="116"/>
      <c r="AY26" s="116"/>
      <c r="AZ26" s="116"/>
      <c r="BA26" s="116"/>
      <c r="BB26" s="116"/>
      <c r="BC26" s="116"/>
      <c r="BD26" s="116"/>
      <c r="BE26" s="116"/>
      <c r="BF26" s="116"/>
      <c r="BG26" s="116"/>
      <c r="BH26" s="116"/>
      <c r="BI26" s="116"/>
      <c r="BJ26" s="116"/>
      <c r="BK26" s="116"/>
      <c r="BL26" s="116"/>
      <c r="BM26" s="116"/>
      <c r="BN26" s="116"/>
      <c r="BO26" s="116"/>
      <c r="BP26" s="116"/>
      <c r="BQ26" s="116"/>
      <c r="BR26" s="116"/>
      <c r="BS26" s="116"/>
      <c r="BT26" s="116"/>
      <c r="BU26" s="116"/>
      <c r="BV26" s="116"/>
      <c r="BW26" s="116"/>
      <c r="BX26" s="116"/>
      <c r="BY26" s="116"/>
      <c r="BZ26" s="116"/>
      <c r="CA26" s="116"/>
      <c r="CB26" s="116"/>
      <c r="CC26" s="116"/>
      <c r="CD26" s="116"/>
      <c r="CE26" s="116"/>
      <c r="CF26" s="116"/>
      <c r="CG26" s="116"/>
      <c r="CH26" s="116"/>
      <c r="CI26" s="116"/>
      <c r="CJ26" s="151"/>
      <c r="CK26" s="151"/>
      <c r="CL26" s="151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  <c r="CZ26" s="104"/>
      <c r="DA26" s="104"/>
      <c r="DD26" s="151"/>
    </row>
    <row r="27" spans="1:109" s="24" customFormat="1" outlineLevel="1" x14ac:dyDescent="0.2">
      <c r="A27" s="24" t="s">
        <v>430</v>
      </c>
      <c r="B27" s="24">
        <f>'Annual Raw'!C6</f>
        <v>94.467587850000001</v>
      </c>
      <c r="C27" s="24">
        <f>'Annual Raw'!D6</f>
        <v>127.525041859</v>
      </c>
      <c r="D27" s="24">
        <f>'Annual Raw'!E6</f>
        <v>0</v>
      </c>
      <c r="E27" s="24">
        <f>'Annual Raw'!F6</f>
        <v>0</v>
      </c>
      <c r="F27" s="24">
        <f>'Annual Raw'!G6</f>
        <v>0</v>
      </c>
      <c r="G27" s="24">
        <f>'Annual Raw'!H6</f>
        <v>0</v>
      </c>
      <c r="H27" s="24">
        <f>'Annual Raw'!I6</f>
        <v>0</v>
      </c>
      <c r="I27" s="24">
        <f>'Annual Raw'!J6</f>
        <v>0</v>
      </c>
      <c r="J27" s="24">
        <f>'Annual Raw'!K6</f>
        <v>0</v>
      </c>
      <c r="K27" s="24">
        <f>'Annual Raw'!L6</f>
        <v>0</v>
      </c>
      <c r="L27" s="24">
        <f>'Annual Raw'!M6</f>
        <v>0</v>
      </c>
      <c r="M27" s="24">
        <f>'Annual Raw'!N6</f>
        <v>0</v>
      </c>
      <c r="N27" s="24">
        <f>'Annual Raw'!O6</f>
        <v>0</v>
      </c>
      <c r="O27" s="24">
        <f>'Annual Raw'!P6</f>
        <v>0</v>
      </c>
      <c r="P27" s="24">
        <f>'Annual Raw'!Q6</f>
        <v>0</v>
      </c>
      <c r="Q27" s="24">
        <f>'Annual Raw'!R6</f>
        <v>0</v>
      </c>
      <c r="R27" s="24">
        <f>'Annual Raw'!S6</f>
        <v>0</v>
      </c>
      <c r="S27" s="24">
        <f>'Annual Raw'!T6</f>
        <v>0</v>
      </c>
      <c r="T27" s="24">
        <f>'Annual Raw'!U6</f>
        <v>0</v>
      </c>
      <c r="U27" s="24">
        <f>'Annual Raw'!V6</f>
        <v>0</v>
      </c>
      <c r="V27" s="24">
        <f>'Annual Raw'!W6</f>
        <v>0</v>
      </c>
      <c r="W27" s="24">
        <f>'Annual Raw'!X6</f>
        <v>0</v>
      </c>
      <c r="X27" s="24">
        <f>'Annual Raw'!Y6</f>
        <v>0</v>
      </c>
      <c r="Y27" s="24">
        <f>'Annual Raw'!Z6</f>
        <v>666.61429999999996</v>
      </c>
      <c r="Z27" s="24">
        <f>'Annual Raw'!AA6</f>
        <v>388.726</v>
      </c>
      <c r="AA27" s="24">
        <f>'Annual Raw'!AB6</f>
        <v>357.59480000000002</v>
      </c>
      <c r="AB27" s="16">
        <f>+SUM(CL27:CO27)</f>
        <v>1572.542772</v>
      </c>
      <c r="AC27" s="16">
        <f>+SUM(CP27:CS27)</f>
        <v>2236.4623992229622</v>
      </c>
      <c r="AD27" s="16">
        <f>+SUM(CT27:CW27)</f>
        <v>2972.2042546516268</v>
      </c>
      <c r="AE27" s="16">
        <f>+SUM(CX27:DA27)</f>
        <v>3764.4491523934721</v>
      </c>
      <c r="AI27" s="24">
        <f>'QTR Raw'!C6+'QTR Raw'!C8</f>
        <v>92.71</v>
      </c>
      <c r="AJ27" s="24">
        <f>'QTR Raw'!D6+'QTR Raw'!D8</f>
        <v>110.46000000000001</v>
      </c>
      <c r="AK27" s="24">
        <f>'QTR Raw'!E6+'QTR Raw'!E8</f>
        <v>194.452</v>
      </c>
      <c r="AL27" s="24">
        <f>'QTR Raw'!F6+'QTR Raw'!F8</f>
        <v>135.274</v>
      </c>
      <c r="AM27" s="24">
        <f>'QTR Raw'!G6+'QTR Raw'!G8</f>
        <v>101.785</v>
      </c>
      <c r="AN27" s="24">
        <f>'QTR Raw'!H6+'QTR Raw'!H8</f>
        <v>122.009</v>
      </c>
      <c r="AO27" s="24">
        <f>'QTR Raw'!I6+'QTR Raw'!I8</f>
        <v>126.378</v>
      </c>
      <c r="AP27" s="24">
        <f>'QTR Raw'!J6+'QTR Raw'!J8</f>
        <v>92.660999999999987</v>
      </c>
      <c r="AQ27" s="24">
        <f>'QTR Raw'!K6+'QTR Raw'!K8</f>
        <v>52.11</v>
      </c>
      <c r="AR27" s="24">
        <f>'QTR Raw'!L6+'QTR Raw'!L8</f>
        <v>53.491999999999997</v>
      </c>
      <c r="AS27" s="24">
        <f>'QTR Raw'!M6+'QTR Raw'!M8</f>
        <v>54.643999999999998</v>
      </c>
      <c r="AT27" s="24">
        <f>'QTR Raw'!N6+'QTR Raw'!N8</f>
        <v>59.087999999999994</v>
      </c>
      <c r="AU27" s="24">
        <f>'QTR Raw'!O6+'QTR Raw'!O8</f>
        <v>52.876999999999995</v>
      </c>
      <c r="AV27" s="24">
        <f>'QTR Raw'!P6+'QTR Raw'!P8</f>
        <v>45.015000000000001</v>
      </c>
      <c r="AW27" s="24">
        <f>'QTR Raw'!Q6+'QTR Raw'!Q8</f>
        <v>46.101999999999997</v>
      </c>
      <c r="AX27" s="24">
        <f>'QTR Raw'!R6+'QTR Raw'!R8</f>
        <v>63.966999999999999</v>
      </c>
      <c r="AY27" s="24">
        <f>'QTR Raw'!S6+'QTR Raw'!S8</f>
        <v>26.428999999999998</v>
      </c>
      <c r="AZ27" s="24">
        <f>'QTR Raw'!T6+'QTR Raw'!T8</f>
        <v>38.273000000000003</v>
      </c>
      <c r="BA27" s="24">
        <f>'QTR Raw'!U6+'QTR Raw'!U8</f>
        <v>51.014000000000003</v>
      </c>
      <c r="BB27" s="24">
        <f>'QTR Raw'!V6+'QTR Raw'!V8</f>
        <v>42.052</v>
      </c>
      <c r="BC27" s="24">
        <f>'QTR Raw'!W6+'QTR Raw'!W8</f>
        <v>55.746000000000002</v>
      </c>
      <c r="BD27" s="24">
        <f>'QTR Raw'!X6+'QTR Raw'!X8</f>
        <v>59.875</v>
      </c>
      <c r="BE27" s="24">
        <f>'QTR Raw'!Y6+'QTR Raw'!Y8</f>
        <v>116.855</v>
      </c>
      <c r="BF27" s="24">
        <f>'QTR Raw'!Z6+'QTR Raw'!Z8</f>
        <v>75.759</v>
      </c>
      <c r="BG27" s="24">
        <f>'QTR Raw'!AA6+'QTR Raw'!AA8</f>
        <v>56.622</v>
      </c>
      <c r="BH27" s="24">
        <f>'QTR Raw'!AB6+'QTR Raw'!AB8</f>
        <v>79.272000000000006</v>
      </c>
      <c r="BI27" s="24">
        <f>'QTR Raw'!AC6+'QTR Raw'!AC8</f>
        <v>237.22399999999999</v>
      </c>
      <c r="BJ27" s="24">
        <f>'QTR Raw'!AD6+'QTR Raw'!AD8</f>
        <v>123.121</v>
      </c>
      <c r="BK27" s="24">
        <f>'QTR Raw'!AE6+'QTR Raw'!AE8</f>
        <v>107.81399999999999</v>
      </c>
      <c r="BL27" s="24">
        <f>'QTR Raw'!AF6+'QTR Raw'!AF8</f>
        <v>87.768000000000001</v>
      </c>
      <c r="BM27" s="24">
        <f>'QTR Raw'!AG6+'QTR Raw'!AG8</f>
        <v>113.593</v>
      </c>
      <c r="BN27" s="24">
        <f>'QTR Raw'!AH6+'QTR Raw'!AH8</f>
        <v>62.042999999999999</v>
      </c>
      <c r="BO27" s="24">
        <f>'QTR Raw'!AI6+'QTR Raw'!AI8</f>
        <v>13.775</v>
      </c>
      <c r="BP27" s="24">
        <f>'QTR Raw'!AJ6+'QTR Raw'!AJ8</f>
        <v>17.431000000000001</v>
      </c>
      <c r="BQ27" s="24">
        <f>'QTR Raw'!AK6+'QTR Raw'!AK8</f>
        <v>105.029</v>
      </c>
      <c r="BR27" s="24">
        <f>'QTR Raw'!AL6+'QTR Raw'!AL8</f>
        <v>61.823999999999998</v>
      </c>
      <c r="BS27" s="24">
        <f>'QTR Raw'!AM6+'QTR Raw'!AM8</f>
        <v>97.301000000000002</v>
      </c>
      <c r="BT27" s="24">
        <f>'QTR Raw'!AN6+'QTR Raw'!AN8</f>
        <v>92.114000000000004</v>
      </c>
      <c r="BU27" s="24">
        <f>'QTR Raw'!AO6+'QTR Raw'!AO8</f>
        <v>130.11099999999999</v>
      </c>
      <c r="BV27" s="24">
        <f>'QTR Raw'!AP6+'QTR Raw'!AP8</f>
        <v>63.258000000000003</v>
      </c>
      <c r="BW27" s="24">
        <f>'QTR Raw'!AQ6+'QTR Raw'!AQ8</f>
        <v>37.448</v>
      </c>
      <c r="BX27" s="24">
        <f>'QTR Raw'!AR6+'QTR Raw'!AR8</f>
        <v>42.695</v>
      </c>
      <c r="BY27" s="24">
        <f>'QTR Raw'!AS6+'QTR Raw'!AS8</f>
        <v>210.965</v>
      </c>
      <c r="BZ27" s="24">
        <f>'QTR Raw'!AT6+'QTR Raw'!AT8</f>
        <v>192.59399999999999</v>
      </c>
      <c r="CA27" s="24">
        <f>'QTR Raw'!AU6+'QTR Raw'!AU8</f>
        <v>221.16</v>
      </c>
      <c r="CB27" s="24">
        <f>'QTR Raw'!AV6+'QTR Raw'!AV8</f>
        <v>191.56399999999999</v>
      </c>
      <c r="CC27" s="24">
        <f>'QTR Raw'!AW6+'QTR Raw'!AW8</f>
        <v>253.90299999999999</v>
      </c>
      <c r="CD27" s="24">
        <f>'QTR Raw'!AX6+'QTR Raw'!AX8</f>
        <v>147.06399999999999</v>
      </c>
      <c r="CE27" s="24">
        <f>'QTR Raw'!AY6+'QTR Raw'!AY8</f>
        <v>93.287000000000006</v>
      </c>
      <c r="CF27" s="24">
        <f>'QTR Raw'!AZ6+'QTR Raw'!AZ8</f>
        <v>76.037000000000006</v>
      </c>
      <c r="CG27" s="24">
        <f>'QTR Raw'!BA6+'QTR Raw'!BA8</f>
        <v>72.338999999999999</v>
      </c>
      <c r="CH27" s="24">
        <f>'QTR Raw'!BB6+'QTR Raw'!BB8</f>
        <v>220.9</v>
      </c>
      <c r="CI27" s="24">
        <f>'QTR Raw'!BC6+'QTR Raw'!BC8</f>
        <v>82.117999999999995</v>
      </c>
      <c r="CJ27" s="24">
        <f>'QTR Raw'!BD6+'QTR Raw'!BD8</f>
        <v>96.983999999999995</v>
      </c>
      <c r="CK27" s="24">
        <v>228.4109</v>
      </c>
      <c r="CL27" s="24">
        <f>'QTR Raw'!BF6+'QTR Raw'!BF8</f>
        <v>344.517</v>
      </c>
      <c r="CM27" s="16">
        <f t="shared" ref="CM27:DA27" si="71">CM7</f>
        <v>297</v>
      </c>
      <c r="CN27" s="16">
        <f t="shared" si="71"/>
        <v>456.57</v>
      </c>
      <c r="CO27" s="16">
        <f t="shared" si="71"/>
        <v>474.45577200000002</v>
      </c>
      <c r="CP27" s="16">
        <f t="shared" si="71"/>
        <v>462.66552971999999</v>
      </c>
      <c r="CQ27" s="16">
        <f t="shared" si="71"/>
        <v>466.02563204519998</v>
      </c>
      <c r="CR27" s="16">
        <f t="shared" si="71"/>
        <v>647.643325161132</v>
      </c>
      <c r="CS27" s="16">
        <f t="shared" si="71"/>
        <v>660.12791229663014</v>
      </c>
      <c r="CT27" s="16">
        <f t="shared" si="71"/>
        <v>637.8093328299334</v>
      </c>
      <c r="CU27" s="16">
        <f t="shared" si="71"/>
        <v>634.40649287523945</v>
      </c>
      <c r="CV27" s="16">
        <f t="shared" si="71"/>
        <v>845.58190851646782</v>
      </c>
      <c r="CW27" s="16">
        <f t="shared" si="71"/>
        <v>854.40652042998568</v>
      </c>
      <c r="CX27" s="16">
        <f t="shared" si="71"/>
        <v>822.02145275928694</v>
      </c>
      <c r="CY27" s="16">
        <f t="shared" si="71"/>
        <v>812.8395220109511</v>
      </c>
      <c r="CZ27" s="16">
        <f t="shared" si="71"/>
        <v>1061.6103650299656</v>
      </c>
      <c r="DA27" s="16">
        <f t="shared" si="71"/>
        <v>1067.9778125932685</v>
      </c>
      <c r="DD27" s="24">
        <v>53.536826780252383</v>
      </c>
      <c r="DE27" s="24">
        <v>279.92479842220172</v>
      </c>
    </row>
    <row r="28" spans="1:109" s="91" customFormat="1" outlineLevel="1" x14ac:dyDescent="0.2">
      <c r="A28" s="91" t="s">
        <v>109</v>
      </c>
      <c r="B28" s="91">
        <f>'Annual Raw'!C7+'Annual Raw'!C8+'Annual Raw'!C9</f>
        <v>9.8270536400000008</v>
      </c>
      <c r="C28" s="91">
        <f>'Annual Raw'!D7+'Annual Raw'!D8+'Annual Raw'!D9</f>
        <v>4.5848680999999996</v>
      </c>
      <c r="D28" s="91">
        <f>'Annual Raw'!E7+'Annual Raw'!E8+'Annual Raw'!E9</f>
        <v>0</v>
      </c>
      <c r="E28" s="91">
        <f>'Annual Raw'!F7+'Annual Raw'!F8+'Annual Raw'!F9</f>
        <v>0</v>
      </c>
      <c r="F28" s="91">
        <f>'Annual Raw'!G7+'Annual Raw'!G8+'Annual Raw'!G9</f>
        <v>0</v>
      </c>
      <c r="G28" s="91">
        <f>'Annual Raw'!H7+'Annual Raw'!H8+'Annual Raw'!H9</f>
        <v>0</v>
      </c>
      <c r="H28" s="91">
        <f>'Annual Raw'!I7+'Annual Raw'!I8+'Annual Raw'!I9</f>
        <v>0</v>
      </c>
      <c r="I28" s="91">
        <f>'Annual Raw'!J7+'Annual Raw'!J8+'Annual Raw'!J9</f>
        <v>0</v>
      </c>
      <c r="J28" s="91">
        <f>'Annual Raw'!K7+'Annual Raw'!K8+'Annual Raw'!K9</f>
        <v>0</v>
      </c>
      <c r="K28" s="91">
        <f>'Annual Raw'!L7+'Annual Raw'!L8+'Annual Raw'!L9</f>
        <v>0</v>
      </c>
      <c r="L28" s="91">
        <f>'Annual Raw'!M7+'Annual Raw'!M8+'Annual Raw'!M9</f>
        <v>0</v>
      </c>
      <c r="M28" s="91">
        <f>'Annual Raw'!N7+'Annual Raw'!N8+'Annual Raw'!N9</f>
        <v>0</v>
      </c>
      <c r="N28" s="91">
        <f>'Annual Raw'!O7+'Annual Raw'!O8+'Annual Raw'!O9</f>
        <v>0</v>
      </c>
      <c r="O28" s="91">
        <f>'Annual Raw'!P7+'Annual Raw'!P8+'Annual Raw'!P9</f>
        <v>0</v>
      </c>
      <c r="P28" s="91">
        <f>'Annual Raw'!Q7+'Annual Raw'!Q8+'Annual Raw'!Q9</f>
        <v>0</v>
      </c>
      <c r="Q28" s="91">
        <f>'Annual Raw'!R7+'Annual Raw'!R8+'Annual Raw'!R9</f>
        <v>0</v>
      </c>
      <c r="R28" s="91">
        <f>'Annual Raw'!S7+'Annual Raw'!S8+'Annual Raw'!S9</f>
        <v>0</v>
      </c>
      <c r="S28" s="91">
        <f>'Annual Raw'!T7+'Annual Raw'!T8+'Annual Raw'!T9</f>
        <v>0</v>
      </c>
      <c r="T28" s="91">
        <f>'Annual Raw'!U7+'Annual Raw'!U8+'Annual Raw'!U9</f>
        <v>0</v>
      </c>
      <c r="U28" s="91">
        <f>'Annual Raw'!V7+'Annual Raw'!V8+'Annual Raw'!V9</f>
        <v>0</v>
      </c>
      <c r="V28" s="91">
        <f>'Annual Raw'!W7+'Annual Raw'!W8+'Annual Raw'!W9</f>
        <v>0</v>
      </c>
      <c r="W28" s="91">
        <f>'Annual Raw'!X7+'Annual Raw'!X8+'Annual Raw'!X9</f>
        <v>0</v>
      </c>
      <c r="X28" s="91">
        <f>'Annual Raw'!Y7+'Annual Raw'!Y8+'Annual Raw'!Y9</f>
        <v>0</v>
      </c>
      <c r="Y28" s="91">
        <f>'Annual Raw'!Z7+'Annual Raw'!Z8+'Annual Raw'!Z9</f>
        <v>0</v>
      </c>
      <c r="Z28" s="91">
        <f>'Annual Raw'!AA7+'Annual Raw'!AA8+'Annual Raw'!AA9</f>
        <v>0</v>
      </c>
      <c r="AA28" s="91">
        <f>'Annual Raw'!AB7+'Annual Raw'!AB8+'Annual Raw'!AB9</f>
        <v>0</v>
      </c>
      <c r="AB28" s="75">
        <f>+SUM(CL28:CO28)</f>
        <v>0</v>
      </c>
      <c r="AC28" s="75">
        <f>+SUM(CP28:CS28)</f>
        <v>0</v>
      </c>
      <c r="AD28" s="75">
        <f>+SUM(CT28:CW28)</f>
        <v>0</v>
      </c>
      <c r="AE28" s="75">
        <f>+SUM(CX28:DA28)</f>
        <v>0</v>
      </c>
      <c r="AI28" s="91">
        <f>'QTR Raw'!C21+'QTR Raw'!C20+'QTR Raw'!C19+'QTR Raw'!C13+'QTR Raw'!C7</f>
        <v>0</v>
      </c>
      <c r="AJ28" s="91">
        <f>'QTR Raw'!D21+'QTR Raw'!D20+'QTR Raw'!D19+'QTR Raw'!D13+'QTR Raw'!D7</f>
        <v>0</v>
      </c>
      <c r="AK28" s="91">
        <f>'QTR Raw'!E21+'QTR Raw'!E20+'QTR Raw'!E19+'QTR Raw'!E13+'QTR Raw'!E7</f>
        <v>0</v>
      </c>
      <c r="AL28" s="91">
        <f>'QTR Raw'!F21+'QTR Raw'!F20+'QTR Raw'!F19+'QTR Raw'!F13+'QTR Raw'!F7</f>
        <v>2.8180000000000001</v>
      </c>
      <c r="AM28" s="91">
        <f>'QTR Raw'!G21+'QTR Raw'!G20+'QTR Raw'!G19+'QTR Raw'!G13+'QTR Raw'!G7</f>
        <v>0</v>
      </c>
      <c r="AN28" s="91">
        <f>'QTR Raw'!H21+'QTR Raw'!H20+'QTR Raw'!H19+'QTR Raw'!H13+'QTR Raw'!H7</f>
        <v>0</v>
      </c>
      <c r="AO28" s="91">
        <f>'QTR Raw'!I21+'QTR Raw'!I20+'QTR Raw'!I19+'QTR Raw'!I13+'QTR Raw'!I7</f>
        <v>0</v>
      </c>
      <c r="AP28" s="91">
        <f>'QTR Raw'!J21+'QTR Raw'!J20+'QTR Raw'!J19+'QTR Raw'!J13+'QTR Raw'!J7</f>
        <v>12.888</v>
      </c>
      <c r="AQ28" s="91">
        <f>'QTR Raw'!K21+'QTR Raw'!K20+'QTR Raw'!K19+'QTR Raw'!K13+'QTR Raw'!K7</f>
        <v>0</v>
      </c>
      <c r="AR28" s="91">
        <f>'QTR Raw'!L21+'QTR Raw'!L20+'QTR Raw'!L19+'QTR Raw'!L13+'QTR Raw'!L7</f>
        <v>0</v>
      </c>
      <c r="AS28" s="91">
        <f>'QTR Raw'!M21+'QTR Raw'!M20+'QTR Raw'!M19+'QTR Raw'!M13+'QTR Raw'!M7</f>
        <v>0</v>
      </c>
      <c r="AT28" s="91">
        <f>'QTR Raw'!N21+'QTR Raw'!N20+'QTR Raw'!N19+'QTR Raw'!N13+'QTR Raw'!N7</f>
        <v>0</v>
      </c>
      <c r="AU28" s="91">
        <f>'QTR Raw'!O21+'QTR Raw'!O20+'QTR Raw'!O19+'QTR Raw'!O13+'QTR Raw'!O7</f>
        <v>0</v>
      </c>
      <c r="AV28" s="91">
        <f>'QTR Raw'!P21+'QTR Raw'!P20+'QTR Raw'!P19+'QTR Raw'!P13+'QTR Raw'!P7</f>
        <v>1.7769999999999999</v>
      </c>
      <c r="AW28" s="91">
        <f>'QTR Raw'!Q21+'QTR Raw'!Q20+'QTR Raw'!Q19+'QTR Raw'!Q13+'QTR Raw'!Q7</f>
        <v>0</v>
      </c>
      <c r="AX28" s="91">
        <f>'QTR Raw'!R21+'QTR Raw'!R20+'QTR Raw'!R19+'QTR Raw'!R13+'QTR Raw'!R7</f>
        <v>0.79400000000000004</v>
      </c>
      <c r="AY28" s="91">
        <f>'QTR Raw'!S21+'QTR Raw'!S20+'QTR Raw'!S19+'QTR Raw'!S13+'QTR Raw'!S7</f>
        <v>1</v>
      </c>
      <c r="AZ28" s="91">
        <f>'QTR Raw'!T21+'QTR Raw'!T20+'QTR Raw'!T19+'QTR Raw'!T13+'QTR Raw'!T7</f>
        <v>1.3640000000000001</v>
      </c>
      <c r="BA28" s="91">
        <f>'QTR Raw'!U21+'QTR Raw'!U20+'QTR Raw'!U19+'QTR Raw'!U13+'QTR Raw'!U7</f>
        <v>1.26</v>
      </c>
      <c r="BB28" s="91">
        <f>'QTR Raw'!V21+'QTR Raw'!V20+'QTR Raw'!V19+'QTR Raw'!V13+'QTR Raw'!V7</f>
        <v>0.33700000000000002</v>
      </c>
      <c r="BC28" s="91">
        <f>'QTR Raw'!W21+'QTR Raw'!W20+'QTR Raw'!W19+'QTR Raw'!W13+'QTR Raw'!W7</f>
        <v>2.8889999999999998</v>
      </c>
      <c r="BD28" s="91">
        <f>'QTR Raw'!X21+'QTR Raw'!X20+'QTR Raw'!X19+'QTR Raw'!X13+'QTR Raw'!X7</f>
        <v>0</v>
      </c>
      <c r="BE28" s="91">
        <f>'QTR Raw'!Y21+'QTR Raw'!Y20+'QTR Raw'!Y19+'QTR Raw'!Y13+'QTR Raw'!Y7</f>
        <v>0</v>
      </c>
      <c r="BF28" s="91">
        <f>'QTR Raw'!Z21+'QTR Raw'!Z20+'QTR Raw'!Z19+'QTR Raw'!Z13+'QTR Raw'!Z7</f>
        <v>0</v>
      </c>
      <c r="BG28" s="91">
        <f>'QTR Raw'!AA21+'QTR Raw'!AA20+'QTR Raw'!AA19+'QTR Raw'!AA13+'QTR Raw'!AA7</f>
        <v>0</v>
      </c>
      <c r="BH28" s="91">
        <f>'QTR Raw'!AB21+'QTR Raw'!AB20+'QTR Raw'!AB19+'QTR Raw'!AB13+'QTR Raw'!AB7</f>
        <v>0</v>
      </c>
      <c r="BI28" s="91">
        <f>'QTR Raw'!AC21+'QTR Raw'!AC20+'QTR Raw'!AC19+'QTR Raw'!AC13+'QTR Raw'!AC7</f>
        <v>0</v>
      </c>
      <c r="BJ28" s="91">
        <f>'QTR Raw'!AD21+'QTR Raw'!AD20+'QTR Raw'!AD19+'QTR Raw'!AD13+'QTR Raw'!AD7</f>
        <v>0</v>
      </c>
      <c r="BK28" s="91">
        <f>'QTR Raw'!AE21+'QTR Raw'!AE20+'QTR Raw'!AE19+'QTR Raw'!AE13+'QTR Raw'!AE7</f>
        <v>0</v>
      </c>
      <c r="BL28" s="91">
        <f>'QTR Raw'!AF21+'QTR Raw'!AF20+'QTR Raw'!AF19+'QTR Raw'!AF13+'QTR Raw'!AF7</f>
        <v>0</v>
      </c>
      <c r="BM28" s="91">
        <f>'QTR Raw'!AG21+'QTR Raw'!AG20+'QTR Raw'!AG19+'QTR Raw'!AG13+'QTR Raw'!AG7</f>
        <v>0</v>
      </c>
      <c r="BN28" s="91">
        <f>'QTR Raw'!AH21+'QTR Raw'!AH20+'QTR Raw'!AH19+'QTR Raw'!AH13+'QTR Raw'!AH7</f>
        <v>0</v>
      </c>
      <c r="BO28" s="91">
        <f>'QTR Raw'!AI21+'QTR Raw'!AI20+'QTR Raw'!AI19+'QTR Raw'!AI13+'QTR Raw'!AI7</f>
        <v>0</v>
      </c>
      <c r="BP28" s="91">
        <f>'QTR Raw'!AJ21+'QTR Raw'!AJ20+'QTR Raw'!AJ19+'QTR Raw'!AJ13+'QTR Raw'!AJ7</f>
        <v>0</v>
      </c>
      <c r="BQ28" s="91">
        <f>'QTR Raw'!AK21+'QTR Raw'!AK20+'QTR Raw'!AK19+'QTR Raw'!AK13+'QTR Raw'!AK7</f>
        <v>0</v>
      </c>
      <c r="BR28" s="91">
        <f>'QTR Raw'!AL21+'QTR Raw'!AL20+'QTR Raw'!AL19+'QTR Raw'!AL13+'QTR Raw'!AL7</f>
        <v>0</v>
      </c>
      <c r="BS28" s="91">
        <f>'QTR Raw'!AM21+'QTR Raw'!AM20+'QTR Raw'!AM19+'QTR Raw'!AM13+'QTR Raw'!AM7</f>
        <v>0</v>
      </c>
      <c r="BT28" s="91">
        <f>'QTR Raw'!AN21+'QTR Raw'!AN20+'QTR Raw'!AN19+'QTR Raw'!AN13+'QTR Raw'!AN7</f>
        <v>0</v>
      </c>
      <c r="BU28" s="91">
        <f>'QTR Raw'!AO21+'QTR Raw'!AO20+'QTR Raw'!AO19+'QTR Raw'!AO13+'QTR Raw'!AO7</f>
        <v>0</v>
      </c>
      <c r="BV28" s="91">
        <f>'QTR Raw'!AP21+'QTR Raw'!AP20+'QTR Raw'!AP19+'QTR Raw'!AP13+'QTR Raw'!AP7</f>
        <v>0</v>
      </c>
      <c r="BW28" s="91">
        <f>'QTR Raw'!AQ21+'QTR Raw'!AQ20+'QTR Raw'!AQ19+'QTR Raw'!AQ13+'QTR Raw'!AQ7</f>
        <v>0</v>
      </c>
      <c r="BX28" s="91">
        <f>'QTR Raw'!AR21+'QTR Raw'!AR20+'QTR Raw'!AR19+'QTR Raw'!AR13+'QTR Raw'!AR7</f>
        <v>0</v>
      </c>
      <c r="BY28" s="91">
        <f>'QTR Raw'!AS21+'QTR Raw'!AS20+'QTR Raw'!AS19+'QTR Raw'!AS13+'QTR Raw'!AS7</f>
        <v>0</v>
      </c>
      <c r="BZ28" s="91">
        <f>'QTR Raw'!AT21+'QTR Raw'!AT20+'QTR Raw'!AT19+'QTR Raw'!AT13+'QTR Raw'!AT7</f>
        <v>0</v>
      </c>
      <c r="CA28" s="91">
        <f>'QTR Raw'!AU21+'QTR Raw'!AU20+'QTR Raw'!AU19+'QTR Raw'!AU13+'QTR Raw'!AU7</f>
        <v>0</v>
      </c>
      <c r="CB28" s="91">
        <f>'QTR Raw'!AV21+'QTR Raw'!AV20+'QTR Raw'!AV19+'QTR Raw'!AV13+'QTR Raw'!AV7</f>
        <v>0</v>
      </c>
      <c r="CC28" s="91">
        <f>'QTR Raw'!AW21+'QTR Raw'!AW20+'QTR Raw'!AW19+'QTR Raw'!AW13+'QTR Raw'!AW7</f>
        <v>0</v>
      </c>
      <c r="CD28" s="91">
        <f>'QTR Raw'!AX21+'QTR Raw'!AX20+'QTR Raw'!AX19+'QTR Raw'!AX13+'QTR Raw'!AX7</f>
        <v>0</v>
      </c>
      <c r="CE28" s="91">
        <f>'QTR Raw'!AY21+'QTR Raw'!AY20+'QTR Raw'!AY19+'QTR Raw'!AY13+'QTR Raw'!AY7</f>
        <v>0</v>
      </c>
      <c r="CF28" s="91">
        <f>'QTR Raw'!AZ21+'QTR Raw'!AZ20+'QTR Raw'!AZ19+'QTR Raw'!AZ13+'QTR Raw'!AZ7</f>
        <v>0</v>
      </c>
      <c r="CG28" s="91">
        <f>'QTR Raw'!BA21+'QTR Raw'!BA20+'QTR Raw'!BA19+'QTR Raw'!BA13+'QTR Raw'!BA7</f>
        <v>0</v>
      </c>
      <c r="CH28" s="91">
        <f>'QTR Raw'!BB21+'QTR Raw'!BB20+'QTR Raw'!BB19+'QTR Raw'!BB13+'QTR Raw'!BB7</f>
        <v>0</v>
      </c>
      <c r="CI28" s="91">
        <f>'QTR Raw'!BC21+'QTR Raw'!BC20+'QTR Raw'!BC19+'QTR Raw'!BC13+'QTR Raw'!BC7</f>
        <v>0</v>
      </c>
      <c r="CJ28" s="91">
        <f>'QTR Raw'!BD21+'QTR Raw'!BD20+'QTR Raw'!BD19+'QTR Raw'!BD13+'QTR Raw'!BD7</f>
        <v>0</v>
      </c>
      <c r="CK28" s="91">
        <f>'QTR Raw'!BE21+'QTR Raw'!BE20+'QTR Raw'!BE19+'QTR Raw'!BE13+'QTR Raw'!BE7</f>
        <v>0</v>
      </c>
      <c r="CL28" s="91">
        <f>'QTR Raw'!BF21+'QTR Raw'!BF20+'QTR Raw'!BF19+'QTR Raw'!BF13+'QTR Raw'!BF7</f>
        <v>0</v>
      </c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D28" s="91">
        <v>0</v>
      </c>
    </row>
    <row r="29" spans="1:109" s="25" customFormat="1" x14ac:dyDescent="0.2">
      <c r="A29" s="25" t="s">
        <v>431</v>
      </c>
      <c r="B29" s="25">
        <f>+B27-B28</f>
        <v>84.640534209999998</v>
      </c>
      <c r="C29" s="25">
        <f>+C27-C28</f>
        <v>122.940173759</v>
      </c>
      <c r="D29" s="25">
        <f t="shared" ref="D29:U29" si="72">+D27-D28</f>
        <v>0</v>
      </c>
      <c r="E29" s="25">
        <f t="shared" si="72"/>
        <v>0</v>
      </c>
      <c r="F29" s="25">
        <f t="shared" si="72"/>
        <v>0</v>
      </c>
      <c r="G29" s="25">
        <f t="shared" si="72"/>
        <v>0</v>
      </c>
      <c r="H29" s="25">
        <f t="shared" si="72"/>
        <v>0</v>
      </c>
      <c r="I29" s="25">
        <f t="shared" si="72"/>
        <v>0</v>
      </c>
      <c r="J29" s="25">
        <f t="shared" si="72"/>
        <v>0</v>
      </c>
      <c r="K29" s="25">
        <f t="shared" si="72"/>
        <v>0</v>
      </c>
      <c r="L29" s="25">
        <f t="shared" si="72"/>
        <v>0</v>
      </c>
      <c r="M29" s="25">
        <f t="shared" si="72"/>
        <v>0</v>
      </c>
      <c r="N29" s="25">
        <f t="shared" si="72"/>
        <v>0</v>
      </c>
      <c r="O29" s="25">
        <f t="shared" si="72"/>
        <v>0</v>
      </c>
      <c r="P29" s="25">
        <f t="shared" si="72"/>
        <v>0</v>
      </c>
      <c r="Q29" s="25">
        <f t="shared" si="72"/>
        <v>0</v>
      </c>
      <c r="R29" s="25">
        <f t="shared" si="72"/>
        <v>0</v>
      </c>
      <c r="S29" s="25">
        <f t="shared" si="72"/>
        <v>0</v>
      </c>
      <c r="T29" s="25">
        <f t="shared" si="72"/>
        <v>0</v>
      </c>
      <c r="U29" s="25">
        <f t="shared" si="72"/>
        <v>0</v>
      </c>
      <c r="V29" s="25">
        <f>+V27-V28</f>
        <v>0</v>
      </c>
      <c r="W29" s="25">
        <f>+W27-W28</f>
        <v>0</v>
      </c>
      <c r="X29" s="25">
        <f>+X27-X28</f>
        <v>0</v>
      </c>
      <c r="Y29" s="25">
        <f>+Y27-Y28</f>
        <v>666.61429999999996</v>
      </c>
      <c r="Z29" s="25">
        <f>+Z27-Z28</f>
        <v>388.726</v>
      </c>
      <c r="AA29" s="25">
        <f>+AA27-AA28</f>
        <v>357.59480000000002</v>
      </c>
      <c r="AB29" s="26">
        <f t="shared" ref="AB29:AD29" si="73">+AB27-AB28</f>
        <v>1572.542772</v>
      </c>
      <c r="AC29" s="26">
        <f t="shared" si="73"/>
        <v>2236.4623992229622</v>
      </c>
      <c r="AD29" s="26">
        <f t="shared" si="73"/>
        <v>2972.2042546516268</v>
      </c>
      <c r="AE29" s="26">
        <f t="shared" ref="AE29" si="74">+AE27-AE28</f>
        <v>3764.4491523934721</v>
      </c>
      <c r="AI29" s="25">
        <f t="shared" ref="AI29" si="75">+AI27-AI28</f>
        <v>92.71</v>
      </c>
      <c r="AJ29" s="25">
        <f t="shared" ref="AJ29" si="76">+AJ27-AJ28</f>
        <v>110.46000000000001</v>
      </c>
      <c r="AK29" s="25">
        <f t="shared" ref="AK29:AM29" si="77">+AK27-AK28</f>
        <v>194.452</v>
      </c>
      <c r="AL29" s="25">
        <f t="shared" si="77"/>
        <v>132.45599999999999</v>
      </c>
      <c r="AM29" s="25">
        <f t="shared" si="77"/>
        <v>101.785</v>
      </c>
      <c r="AN29" s="25">
        <f t="shared" ref="AN29:AO29" si="78">+AN27-AN28</f>
        <v>122.009</v>
      </c>
      <c r="AO29" s="25">
        <f t="shared" si="78"/>
        <v>126.378</v>
      </c>
      <c r="AP29" s="25">
        <f t="shared" ref="AP29:AW29" si="79">+AP27-AP28</f>
        <v>79.772999999999982</v>
      </c>
      <c r="AQ29" s="25">
        <f t="shared" si="79"/>
        <v>52.11</v>
      </c>
      <c r="AR29" s="25">
        <f t="shared" si="79"/>
        <v>53.491999999999997</v>
      </c>
      <c r="AS29" s="25">
        <f t="shared" si="79"/>
        <v>54.643999999999998</v>
      </c>
      <c r="AT29" s="25">
        <f t="shared" si="79"/>
        <v>59.087999999999994</v>
      </c>
      <c r="AU29" s="25">
        <f t="shared" si="79"/>
        <v>52.876999999999995</v>
      </c>
      <c r="AV29" s="25">
        <f t="shared" si="79"/>
        <v>43.238</v>
      </c>
      <c r="AW29" s="25">
        <f t="shared" si="79"/>
        <v>46.101999999999997</v>
      </c>
      <c r="AX29" s="25">
        <f t="shared" ref="AX29:CF29" si="80">+AX27-AX28</f>
        <v>63.173000000000002</v>
      </c>
      <c r="AY29" s="25">
        <f t="shared" si="80"/>
        <v>25.428999999999998</v>
      </c>
      <c r="AZ29" s="25">
        <f t="shared" si="80"/>
        <v>36.909000000000006</v>
      </c>
      <c r="BA29" s="25">
        <f t="shared" si="80"/>
        <v>49.754000000000005</v>
      </c>
      <c r="BB29" s="25">
        <f t="shared" si="80"/>
        <v>41.714999999999996</v>
      </c>
      <c r="BC29" s="25">
        <f t="shared" si="80"/>
        <v>52.856999999999999</v>
      </c>
      <c r="BD29" s="25">
        <f t="shared" si="80"/>
        <v>59.875</v>
      </c>
      <c r="BE29" s="25">
        <f t="shared" si="80"/>
        <v>116.855</v>
      </c>
      <c r="BF29" s="25">
        <f t="shared" si="80"/>
        <v>75.759</v>
      </c>
      <c r="BG29" s="25">
        <f t="shared" si="80"/>
        <v>56.622</v>
      </c>
      <c r="BH29" s="25">
        <f t="shared" si="80"/>
        <v>79.272000000000006</v>
      </c>
      <c r="BI29" s="25">
        <f t="shared" si="80"/>
        <v>237.22399999999999</v>
      </c>
      <c r="BJ29" s="25">
        <f t="shared" si="80"/>
        <v>123.121</v>
      </c>
      <c r="BK29" s="25">
        <f t="shared" si="80"/>
        <v>107.81399999999999</v>
      </c>
      <c r="BL29" s="25">
        <f t="shared" si="80"/>
        <v>87.768000000000001</v>
      </c>
      <c r="BM29" s="25">
        <f t="shared" si="80"/>
        <v>113.593</v>
      </c>
      <c r="BN29" s="25">
        <f t="shared" si="80"/>
        <v>62.042999999999999</v>
      </c>
      <c r="BO29" s="25">
        <f t="shared" si="80"/>
        <v>13.775</v>
      </c>
      <c r="BP29" s="25">
        <f t="shared" si="80"/>
        <v>17.431000000000001</v>
      </c>
      <c r="BQ29" s="25">
        <f t="shared" si="80"/>
        <v>105.029</v>
      </c>
      <c r="BR29" s="25">
        <f t="shared" si="80"/>
        <v>61.823999999999998</v>
      </c>
      <c r="BS29" s="25">
        <f t="shared" si="80"/>
        <v>97.301000000000002</v>
      </c>
      <c r="BT29" s="25">
        <f t="shared" si="80"/>
        <v>92.114000000000004</v>
      </c>
      <c r="BU29" s="25">
        <f t="shared" si="80"/>
        <v>130.11099999999999</v>
      </c>
      <c r="BV29" s="25">
        <f t="shared" si="80"/>
        <v>63.258000000000003</v>
      </c>
      <c r="BW29" s="25">
        <f t="shared" si="80"/>
        <v>37.448</v>
      </c>
      <c r="BX29" s="25">
        <f t="shared" si="80"/>
        <v>42.695</v>
      </c>
      <c r="BY29" s="25">
        <f t="shared" si="80"/>
        <v>210.965</v>
      </c>
      <c r="BZ29" s="25">
        <f t="shared" si="80"/>
        <v>192.59399999999999</v>
      </c>
      <c r="CA29" s="25">
        <f t="shared" si="80"/>
        <v>221.16</v>
      </c>
      <c r="CB29" s="25">
        <f t="shared" si="80"/>
        <v>191.56399999999999</v>
      </c>
      <c r="CC29" s="25">
        <f t="shared" si="80"/>
        <v>253.90299999999999</v>
      </c>
      <c r="CD29" s="25">
        <f t="shared" si="80"/>
        <v>147.06399999999999</v>
      </c>
      <c r="CE29" s="25">
        <f t="shared" si="80"/>
        <v>93.287000000000006</v>
      </c>
      <c r="CF29" s="25">
        <f t="shared" si="80"/>
        <v>76.037000000000006</v>
      </c>
      <c r="CG29" s="25">
        <f t="shared" ref="CG29:CH29" si="81">+CG27-CG28</f>
        <v>72.338999999999999</v>
      </c>
      <c r="CH29" s="25">
        <f t="shared" si="81"/>
        <v>220.9</v>
      </c>
      <c r="CI29" s="25">
        <f t="shared" ref="CI29:CJ29" si="82">+CI27-CI28</f>
        <v>82.117999999999995</v>
      </c>
      <c r="CJ29" s="25">
        <f t="shared" si="82"/>
        <v>96.983999999999995</v>
      </c>
      <c r="CK29" s="25">
        <f t="shared" ref="CK29:CL29" si="83">+CK27-CK28</f>
        <v>228.4109</v>
      </c>
      <c r="CL29" s="25">
        <f t="shared" si="83"/>
        <v>344.517</v>
      </c>
      <c r="CM29" s="26">
        <f t="shared" ref="CM29:DA29" si="84">+CM27-CM28</f>
        <v>297</v>
      </c>
      <c r="CN29" s="26">
        <f t="shared" si="84"/>
        <v>456.57</v>
      </c>
      <c r="CO29" s="26">
        <f t="shared" si="84"/>
        <v>474.45577200000002</v>
      </c>
      <c r="CP29" s="26">
        <f t="shared" si="84"/>
        <v>462.66552971999999</v>
      </c>
      <c r="CQ29" s="26">
        <f t="shared" si="84"/>
        <v>466.02563204519998</v>
      </c>
      <c r="CR29" s="26">
        <f t="shared" si="84"/>
        <v>647.643325161132</v>
      </c>
      <c r="CS29" s="26">
        <f t="shared" si="84"/>
        <v>660.12791229663014</v>
      </c>
      <c r="CT29" s="26">
        <f t="shared" si="84"/>
        <v>637.8093328299334</v>
      </c>
      <c r="CU29" s="26">
        <f t="shared" si="84"/>
        <v>634.40649287523945</v>
      </c>
      <c r="CV29" s="26">
        <f t="shared" si="84"/>
        <v>845.58190851646782</v>
      </c>
      <c r="CW29" s="26">
        <f t="shared" si="84"/>
        <v>854.40652042998568</v>
      </c>
      <c r="CX29" s="26">
        <f t="shared" si="84"/>
        <v>822.02145275928694</v>
      </c>
      <c r="CY29" s="26">
        <f t="shared" si="84"/>
        <v>812.8395220109511</v>
      </c>
      <c r="CZ29" s="26">
        <f t="shared" si="84"/>
        <v>1061.6103650299656</v>
      </c>
      <c r="DA29" s="26">
        <f t="shared" si="84"/>
        <v>1067.9778125932685</v>
      </c>
      <c r="DD29" s="25">
        <v>53.536826780252383</v>
      </c>
      <c r="DE29" s="25">
        <v>279.92479842220172</v>
      </c>
    </row>
    <row r="30" spans="1:109" s="38" customFormat="1" x14ac:dyDescent="0.2">
      <c r="A30" s="38" t="s">
        <v>483</v>
      </c>
      <c r="C30" s="38">
        <f t="shared" ref="C30" si="85">C29/B29-1</f>
        <v>0.45249761129786248</v>
      </c>
      <c r="D30" s="38">
        <f t="shared" ref="D30" si="86">D29/C29-1</f>
        <v>-1</v>
      </c>
      <c r="E30" s="38" t="e">
        <f t="shared" ref="E30" si="87">E29/D29-1</f>
        <v>#DIV/0!</v>
      </c>
      <c r="F30" s="38" t="e">
        <f t="shared" ref="F30:R30" si="88">F29/E29-1</f>
        <v>#DIV/0!</v>
      </c>
      <c r="G30" s="38" t="e">
        <f t="shared" si="88"/>
        <v>#DIV/0!</v>
      </c>
      <c r="H30" s="38" t="e">
        <f t="shared" si="88"/>
        <v>#DIV/0!</v>
      </c>
      <c r="I30" s="38" t="e">
        <f t="shared" si="88"/>
        <v>#DIV/0!</v>
      </c>
      <c r="J30" s="38" t="e">
        <f t="shared" si="88"/>
        <v>#DIV/0!</v>
      </c>
      <c r="K30" s="38" t="e">
        <f>K29/J29-1</f>
        <v>#DIV/0!</v>
      </c>
      <c r="L30" s="38" t="e">
        <f t="shared" si="88"/>
        <v>#DIV/0!</v>
      </c>
      <c r="M30" s="38" t="e">
        <f t="shared" si="88"/>
        <v>#DIV/0!</v>
      </c>
      <c r="N30" s="38" t="e">
        <f t="shared" si="88"/>
        <v>#DIV/0!</v>
      </c>
      <c r="O30" s="38" t="e">
        <f t="shared" si="88"/>
        <v>#DIV/0!</v>
      </c>
      <c r="P30" s="38" t="e">
        <f t="shared" si="88"/>
        <v>#DIV/0!</v>
      </c>
      <c r="Q30" s="38" t="e">
        <f t="shared" si="88"/>
        <v>#DIV/0!</v>
      </c>
      <c r="R30" s="38" t="e">
        <f t="shared" si="88"/>
        <v>#DIV/0!</v>
      </c>
      <c r="S30" s="38" t="e">
        <f t="shared" ref="S30:AA30" si="89">S29/R29-1</f>
        <v>#DIV/0!</v>
      </c>
      <c r="T30" s="38" t="e">
        <f t="shared" si="89"/>
        <v>#DIV/0!</v>
      </c>
      <c r="U30" s="38" t="e">
        <f t="shared" si="89"/>
        <v>#DIV/0!</v>
      </c>
      <c r="V30" s="38" t="e">
        <f t="shared" si="89"/>
        <v>#DIV/0!</v>
      </c>
      <c r="W30" s="38" t="e">
        <f t="shared" si="89"/>
        <v>#DIV/0!</v>
      </c>
      <c r="X30" s="38" t="e">
        <f t="shared" si="89"/>
        <v>#DIV/0!</v>
      </c>
      <c r="Y30" s="38" t="e">
        <f t="shared" si="89"/>
        <v>#DIV/0!</v>
      </c>
      <c r="Z30" s="38">
        <f t="shared" si="89"/>
        <v>-0.41686519476104844</v>
      </c>
      <c r="AA30" s="38">
        <f t="shared" si="89"/>
        <v>-8.0085201401501216E-2</v>
      </c>
      <c r="AB30" s="39">
        <f t="shared" ref="AB30" si="90">AB29/AA29-1</f>
        <v>3.3975549197024115</v>
      </c>
      <c r="AC30" s="39">
        <f t="shared" ref="AC30" si="91">AC29/AB29-1</f>
        <v>0.42219495650256444</v>
      </c>
      <c r="AD30" s="39">
        <f t="shared" ref="AD30" si="92">AD29/AC29-1</f>
        <v>0.32897573224762966</v>
      </c>
      <c r="AE30" s="39">
        <f t="shared" ref="AE30" si="93">AE29/AD29-1</f>
        <v>0.26655129656784116</v>
      </c>
      <c r="AM30" s="38">
        <f t="shared" ref="AM30:CI30" si="94">+IF(AI29&lt;0,1-AM29/AI29,AM29/AI29-1)</f>
        <v>9.7885880703268313E-2</v>
      </c>
      <c r="AN30" s="38">
        <f t="shared" si="94"/>
        <v>0.10455368459170722</v>
      </c>
      <c r="AO30" s="38">
        <f t="shared" si="94"/>
        <v>-0.35008125398555945</v>
      </c>
      <c r="AP30" s="38">
        <f t="shared" si="94"/>
        <v>-0.39773962674397545</v>
      </c>
      <c r="AQ30" s="38">
        <f t="shared" si="94"/>
        <v>-0.48803851255096531</v>
      </c>
      <c r="AR30" s="38">
        <f t="shared" si="94"/>
        <v>-0.56157332655787684</v>
      </c>
      <c r="AS30" s="38">
        <f t="shared" si="94"/>
        <v>-0.56761461646805622</v>
      </c>
      <c r="AT30" s="38">
        <f t="shared" si="94"/>
        <v>-0.25929825880937152</v>
      </c>
      <c r="AU30" s="38">
        <f t="shared" si="94"/>
        <v>1.4718863941661775E-2</v>
      </c>
      <c r="AV30" s="38">
        <f t="shared" si="94"/>
        <v>-0.19169221565841621</v>
      </c>
      <c r="AW30" s="38">
        <f t="shared" si="94"/>
        <v>-0.1563209135495206</v>
      </c>
      <c r="AX30" s="38">
        <f t="shared" si="94"/>
        <v>6.913417275927447E-2</v>
      </c>
      <c r="AY30" s="38">
        <f t="shared" si="94"/>
        <v>-0.51909147644533538</v>
      </c>
      <c r="AZ30" s="38">
        <f t="shared" si="94"/>
        <v>-0.1463758730746102</v>
      </c>
      <c r="BA30" s="38">
        <f t="shared" si="94"/>
        <v>7.9215652249360335E-2</v>
      </c>
      <c r="BB30" s="38">
        <f t="shared" si="94"/>
        <v>-0.33967042882244003</v>
      </c>
      <c r="BC30" s="38">
        <f t="shared" si="94"/>
        <v>1.0786110346454838</v>
      </c>
      <c r="BD30" s="38">
        <f t="shared" si="94"/>
        <v>0.62223305968733889</v>
      </c>
      <c r="BE30" s="38">
        <f t="shared" si="94"/>
        <v>1.3486553844916989</v>
      </c>
      <c r="BF30" s="38">
        <f t="shared" si="94"/>
        <v>0.81610931319669211</v>
      </c>
      <c r="BG30" s="38">
        <f t="shared" si="94"/>
        <v>7.1229922243033039E-2</v>
      </c>
      <c r="BH30" s="38">
        <f t="shared" si="94"/>
        <v>0.32395824634655535</v>
      </c>
      <c r="BI30" s="38">
        <f t="shared" si="94"/>
        <v>1.0300714560780451</v>
      </c>
      <c r="BJ30" s="38">
        <f t="shared" si="94"/>
        <v>0.62516664686703893</v>
      </c>
      <c r="BK30" s="38">
        <f t="shared" si="94"/>
        <v>0.90410087951679552</v>
      </c>
      <c r="BL30" s="38">
        <f t="shared" si="94"/>
        <v>0.1071752951861944</v>
      </c>
      <c r="BM30" s="38">
        <f t="shared" si="94"/>
        <v>-0.52115721849391283</v>
      </c>
      <c r="BN30" s="38">
        <f t="shared" si="94"/>
        <v>-0.4960810909593002</v>
      </c>
      <c r="BO30" s="38">
        <f t="shared" si="94"/>
        <v>-0.87223366167659111</v>
      </c>
      <c r="BP30" s="38">
        <f t="shared" si="94"/>
        <v>-0.80139686446085134</v>
      </c>
      <c r="BQ30" s="38">
        <f t="shared" si="94"/>
        <v>-7.5391969575590134E-2</v>
      </c>
      <c r="BR30" s="38">
        <f t="shared" si="94"/>
        <v>-3.5298099705043384E-3</v>
      </c>
      <c r="BS30" s="38">
        <f t="shared" si="94"/>
        <v>6.063593466424682</v>
      </c>
      <c r="BT30" s="38">
        <f t="shared" si="94"/>
        <v>4.2844931443979117</v>
      </c>
      <c r="BU30" s="38">
        <f t="shared" si="94"/>
        <v>0.23881023336411844</v>
      </c>
      <c r="BV30" s="38">
        <f t="shared" si="94"/>
        <v>2.3194875776397561E-2</v>
      </c>
      <c r="BW30" s="38">
        <f t="shared" si="94"/>
        <v>-0.61513242412719293</v>
      </c>
      <c r="BX30" s="38">
        <f t="shared" si="94"/>
        <v>-0.53649825216579461</v>
      </c>
      <c r="BY30" s="38">
        <f t="shared" si="94"/>
        <v>0.62142324630507817</v>
      </c>
      <c r="BZ30" s="38">
        <f t="shared" si="94"/>
        <v>2.0445793417433364</v>
      </c>
      <c r="CA30" s="38">
        <f t="shared" si="94"/>
        <v>4.9057893612475967</v>
      </c>
      <c r="CB30" s="38">
        <f t="shared" si="94"/>
        <v>3.4868017332240306</v>
      </c>
      <c r="CC30" s="38">
        <f t="shared" si="94"/>
        <v>0.20353139146303878</v>
      </c>
      <c r="CD30" s="38">
        <f t="shared" si="94"/>
        <v>-0.23640404166277251</v>
      </c>
      <c r="CE30" s="38">
        <f t="shared" si="94"/>
        <v>-0.57819225899801041</v>
      </c>
      <c r="CF30" s="38">
        <f t="shared" si="94"/>
        <v>-0.60307260236787696</v>
      </c>
      <c r="CG30" s="38">
        <f t="shared" si="94"/>
        <v>-0.71509198394662521</v>
      </c>
      <c r="CH30" s="38">
        <f t="shared" si="94"/>
        <v>0.50206712723712132</v>
      </c>
      <c r="CI30" s="38">
        <f t="shared" si="94"/>
        <v>-0.11972729319197761</v>
      </c>
      <c r="CJ30" s="38">
        <f>+IF(CF29&lt;0,1-CJ29/CF29,CJ29/CF29-1)</f>
        <v>0.27548430369425403</v>
      </c>
      <c r="CK30" s="38">
        <f>+IF(CG29&lt;0,1-CK29/CG29,CK29/CG29-1)</f>
        <v>2.1575070155794247</v>
      </c>
      <c r="CL30" s="38">
        <f>+IF(CH29&lt;0,1-CL29/CH29,CL29/CH29-1)</f>
        <v>0.55960615663196012</v>
      </c>
      <c r="CM30" s="39">
        <f t="shared" ref="CM30:DA30" si="95">+IF(CI29&lt;0,1-CM29/CI29,CM29/CI29-1)</f>
        <v>2.6167466328941282</v>
      </c>
      <c r="CN30" s="39">
        <f t="shared" si="95"/>
        <v>3.7076837416481068</v>
      </c>
      <c r="CO30" s="39">
        <f t="shared" si="95"/>
        <v>1.0772028480252036</v>
      </c>
      <c r="CP30" s="39">
        <f t="shared" si="95"/>
        <v>0.34293962190545013</v>
      </c>
      <c r="CQ30" s="39">
        <f t="shared" si="95"/>
        <v>0.56910987220606057</v>
      </c>
      <c r="CR30" s="39">
        <f t="shared" si="95"/>
        <v>0.41849732825444508</v>
      </c>
      <c r="CS30" s="39">
        <f t="shared" si="95"/>
        <v>0.39133708820519963</v>
      </c>
      <c r="CT30" s="39">
        <f t="shared" si="95"/>
        <v>0.37855381881578354</v>
      </c>
      <c r="CU30" s="39">
        <f t="shared" si="95"/>
        <v>0.36131244560751585</v>
      </c>
      <c r="CV30" s="39">
        <f t="shared" si="95"/>
        <v>0.30562900236189305</v>
      </c>
      <c r="CW30" s="39">
        <f t="shared" si="95"/>
        <v>0.29430448934880959</v>
      </c>
      <c r="CX30" s="39">
        <f t="shared" si="95"/>
        <v>0.2888200445609852</v>
      </c>
      <c r="CY30" s="39">
        <f t="shared" si="95"/>
        <v>0.28125977766561383</v>
      </c>
      <c r="CZ30" s="39">
        <f t="shared" si="95"/>
        <v>0.2554790427015039</v>
      </c>
      <c r="DA30" s="39">
        <f t="shared" si="95"/>
        <v>0.24996449237747109</v>
      </c>
      <c r="DD30" s="38">
        <v>-0.25991751641227573</v>
      </c>
      <c r="DE30" s="38">
        <v>0.26720144147669411</v>
      </c>
    </row>
    <row r="31" spans="1:109" s="38" customFormat="1" x14ac:dyDescent="0.2">
      <c r="A31" s="38" t="s">
        <v>445</v>
      </c>
      <c r="AB31" s="39"/>
      <c r="AC31" s="39"/>
      <c r="AD31" s="39"/>
      <c r="AE31" s="39"/>
      <c r="AJ31" s="38">
        <f t="shared" ref="AJ31:AL31" si="96">+IF(AI29&lt;0,1-AJ29/AI29,AJ29/AI29-1)</f>
        <v>0.19145723222953315</v>
      </c>
      <c r="AK31" s="38">
        <f t="shared" si="96"/>
        <v>0.76038384935723324</v>
      </c>
      <c r="AL31" s="38">
        <f t="shared" si="96"/>
        <v>-0.31882418283175284</v>
      </c>
      <c r="AM31" s="38">
        <f t="shared" ref="AM31:CI31" si="97">+IF(AL29&lt;0,1-AM29/AL29,AM29/AL29-1)</f>
        <v>-0.23155613939723374</v>
      </c>
      <c r="AN31" s="38">
        <f t="shared" si="97"/>
        <v>0.19869332416367835</v>
      </c>
      <c r="AO31" s="38">
        <f t="shared" si="97"/>
        <v>3.580883377455768E-2</v>
      </c>
      <c r="AP31" s="38">
        <f t="shared" si="97"/>
        <v>-0.36877462849546616</v>
      </c>
      <c r="AQ31" s="38">
        <f t="shared" si="97"/>
        <v>-0.34677146402918269</v>
      </c>
      <c r="AR31" s="38">
        <f t="shared" si="97"/>
        <v>2.6520821339474088E-2</v>
      </c>
      <c r="AS31" s="38">
        <f t="shared" si="97"/>
        <v>2.1535930606445763E-2</v>
      </c>
      <c r="AT31" s="38">
        <f t="shared" si="97"/>
        <v>8.1326403630773703E-2</v>
      </c>
      <c r="AU31" s="38">
        <f t="shared" si="97"/>
        <v>-0.10511440563227725</v>
      </c>
      <c r="AV31" s="38">
        <f t="shared" si="97"/>
        <v>-0.18229097717344023</v>
      </c>
      <c r="AW31" s="38">
        <f t="shared" si="97"/>
        <v>6.6238031361302463E-2</v>
      </c>
      <c r="AX31" s="38">
        <f t="shared" si="97"/>
        <v>0.3702876230966119</v>
      </c>
      <c r="AY31" s="38">
        <f t="shared" si="97"/>
        <v>-0.59747043832016844</v>
      </c>
      <c r="AZ31" s="38">
        <f t="shared" si="97"/>
        <v>0.45145306539777441</v>
      </c>
      <c r="BA31" s="38">
        <f t="shared" si="97"/>
        <v>0.34801809856674515</v>
      </c>
      <c r="BB31" s="38">
        <f t="shared" si="97"/>
        <v>-0.16157494874783951</v>
      </c>
      <c r="BC31" s="38">
        <f t="shared" si="97"/>
        <v>0.26709816612729242</v>
      </c>
      <c r="BD31" s="38">
        <f t="shared" si="97"/>
        <v>0.13277333181981565</v>
      </c>
      <c r="BE31" s="38">
        <f t="shared" si="97"/>
        <v>0.95164926931106475</v>
      </c>
      <c r="BF31" s="38">
        <f t="shared" si="97"/>
        <v>-0.35168371058148995</v>
      </c>
      <c r="BG31" s="38">
        <f t="shared" si="97"/>
        <v>-0.25260365105136029</v>
      </c>
      <c r="BH31" s="38">
        <f t="shared" si="97"/>
        <v>0.40002119317579754</v>
      </c>
      <c r="BI31" s="38">
        <f t="shared" si="97"/>
        <v>1.9925320415783627</v>
      </c>
      <c r="BJ31" s="38">
        <f t="shared" si="97"/>
        <v>-0.4809926482986544</v>
      </c>
      <c r="BK31" s="38">
        <f t="shared" si="97"/>
        <v>-0.12432485116267744</v>
      </c>
      <c r="BL31" s="38">
        <f t="shared" si="97"/>
        <v>-0.18593132617285324</v>
      </c>
      <c r="BM31" s="38">
        <f t="shared" si="97"/>
        <v>0.29424163704311379</v>
      </c>
      <c r="BN31" s="38">
        <f t="shared" si="97"/>
        <v>-0.45381317510762109</v>
      </c>
      <c r="BO31" s="38">
        <f t="shared" si="97"/>
        <v>-0.77797656464065246</v>
      </c>
      <c r="BP31" s="38">
        <f t="shared" si="97"/>
        <v>0.2654083484573504</v>
      </c>
      <c r="BQ31" s="38">
        <f t="shared" si="97"/>
        <v>5.0254144914233256</v>
      </c>
      <c r="BR31" s="38">
        <f t="shared" si="97"/>
        <v>-0.41136257605042414</v>
      </c>
      <c r="BS31" s="38">
        <f t="shared" si="97"/>
        <v>0.5738386387163561</v>
      </c>
      <c r="BT31" s="38">
        <f t="shared" si="97"/>
        <v>-5.3308804637156815E-2</v>
      </c>
      <c r="BU31" s="38">
        <f t="shared" si="97"/>
        <v>0.41249972859717299</v>
      </c>
      <c r="BV31" s="38">
        <f t="shared" si="97"/>
        <v>-0.51381512708379762</v>
      </c>
      <c r="BW31" s="38">
        <f t="shared" si="97"/>
        <v>-0.40801163489202952</v>
      </c>
      <c r="BX31" s="38">
        <f t="shared" si="97"/>
        <v>0.14011429181798762</v>
      </c>
      <c r="BY31" s="38">
        <f t="shared" si="97"/>
        <v>3.9412109146270051</v>
      </c>
      <c r="BZ31" s="38">
        <f t="shared" si="97"/>
        <v>-8.7080795392600718E-2</v>
      </c>
      <c r="CA31" s="38">
        <f t="shared" si="97"/>
        <v>0.14832237764416334</v>
      </c>
      <c r="CB31" s="38">
        <f t="shared" si="97"/>
        <v>-0.13382166757098934</v>
      </c>
      <c r="CC31" s="38">
        <f t="shared" si="97"/>
        <v>0.32542126913198732</v>
      </c>
      <c r="CD31" s="38">
        <f t="shared" si="97"/>
        <v>-0.42078667837717554</v>
      </c>
      <c r="CE31" s="38">
        <f t="shared" si="97"/>
        <v>-0.36567072839036063</v>
      </c>
      <c r="CF31" s="38">
        <f t="shared" si="97"/>
        <v>-0.18491322477944405</v>
      </c>
      <c r="CG31" s="38">
        <f t="shared" si="97"/>
        <v>-4.8634217551981385E-2</v>
      </c>
      <c r="CH31" s="38">
        <f t="shared" si="97"/>
        <v>2.0536778224747372</v>
      </c>
      <c r="CI31" s="38">
        <f t="shared" si="97"/>
        <v>-0.62825712992304217</v>
      </c>
      <c r="CJ31" s="38">
        <f>+IF(CI29&lt;0,1-CJ29/CI29,CJ29/CI29-1)</f>
        <v>0.18103217321415532</v>
      </c>
      <c r="CK31" s="38">
        <f>+IF(CJ29&lt;0,1-CK29/CJ29,CK29/CJ29-1)</f>
        <v>1.3551400230965935</v>
      </c>
      <c r="CL31" s="38">
        <f>+IF(CK29&lt;0,1-CL29/CK29,CL29/CK29-1)</f>
        <v>0.50832118782422375</v>
      </c>
      <c r="CM31" s="39">
        <f t="shared" ref="CM31" si="98">+CM29/CL29-1</f>
        <v>-0.13792352772141869</v>
      </c>
      <c r="CN31" s="39">
        <f t="shared" ref="CN31" si="99">+CN29/CM29-1</f>
        <v>0.53727272727272735</v>
      </c>
      <c r="CO31" s="39">
        <f t="shared" ref="CO31" si="100">+CO29/CN29-1</f>
        <v>3.9174216439976428E-2</v>
      </c>
      <c r="CP31" s="39">
        <f t="shared" ref="CP31" si="101">+CP29/CO29-1</f>
        <v>-2.4850034451683323E-2</v>
      </c>
      <c r="CQ31" s="39">
        <f t="shared" ref="CQ31" si="102">+CQ29/CP29-1</f>
        <v>7.2624868492656702E-3</v>
      </c>
      <c r="CR31" s="39">
        <f t="shared" ref="CR31" si="103">+CR29/CQ29-1</f>
        <v>0.38971610277933566</v>
      </c>
      <c r="CS31" s="39">
        <f t="shared" ref="CS31" si="104">+CS29/CR29-1</f>
        <v>1.9276948669843863E-2</v>
      </c>
      <c r="CT31" s="39">
        <f t="shared" ref="CT31" si="105">+CT29/CS29-1</f>
        <v>-3.3809476998251542E-2</v>
      </c>
      <c r="CU31" s="39">
        <f t="shared" ref="CU31" si="106">+CU29/CT29-1</f>
        <v>-5.335199376270805E-3</v>
      </c>
      <c r="CV31" s="39">
        <f t="shared" ref="CV31" si="107">+CV29/CU29-1</f>
        <v>0.33287082968546722</v>
      </c>
      <c r="CW31" s="39">
        <f t="shared" ref="CW31" si="108">+CW29/CV29-1</f>
        <v>1.0436140868955279E-2</v>
      </c>
      <c r="CX31" s="39">
        <f t="shared" ref="CX31" si="109">+CX29/CW29-1</f>
        <v>-3.7903582072853048E-2</v>
      </c>
      <c r="CY31" s="39">
        <f t="shared" ref="CY31" si="110">+CY29/CX29-1</f>
        <v>-1.116994053806597E-2</v>
      </c>
      <c r="CZ31" s="39">
        <f t="shared" ref="CZ31" si="111">+CZ29/CY29-1</f>
        <v>0.30605160832184897</v>
      </c>
      <c r="DA31" s="39">
        <f t="shared" ref="DA31" si="112">+DA29/CZ29-1</f>
        <v>5.9979138985923885E-3</v>
      </c>
      <c r="DD31" s="38">
        <v>-0.4479828963514354</v>
      </c>
      <c r="DE31" s="38">
        <v>1.7425055445061841</v>
      </c>
    </row>
    <row r="32" spans="1:109" s="22" customFormat="1" outlineLevel="1" x14ac:dyDescent="0.2">
      <c r="A32" s="22" t="s">
        <v>2</v>
      </c>
      <c r="B32" s="22">
        <f>'Annual Raw'!C11</f>
        <v>-2.4550999999999998</v>
      </c>
      <c r="C32" s="22">
        <f>'Annual Raw'!D11</f>
        <v>10.908200000000001</v>
      </c>
      <c r="D32" s="22">
        <f>'Annual Raw'!E11</f>
        <v>0</v>
      </c>
      <c r="E32" s="22">
        <f>'Annual Raw'!F11</f>
        <v>0</v>
      </c>
      <c r="F32" s="22">
        <f>'Annual Raw'!G11</f>
        <v>0</v>
      </c>
      <c r="G32" s="22">
        <f>'Annual Raw'!H11</f>
        <v>0</v>
      </c>
      <c r="H32" s="22">
        <f>'Annual Raw'!I11</f>
        <v>0</v>
      </c>
      <c r="I32" s="22">
        <f>'Annual Raw'!J11</f>
        <v>0</v>
      </c>
      <c r="J32" s="22">
        <f>'Annual Raw'!K11</f>
        <v>0</v>
      </c>
      <c r="K32" s="22">
        <f>'Annual Raw'!L11</f>
        <v>0</v>
      </c>
      <c r="L32" s="22">
        <f>'Annual Raw'!M11</f>
        <v>0</v>
      </c>
      <c r="M32" s="22">
        <f>'Annual Raw'!N11</f>
        <v>0</v>
      </c>
      <c r="N32" s="22">
        <f>'Annual Raw'!O11</f>
        <v>0</v>
      </c>
      <c r="O32" s="22">
        <f>'Annual Raw'!P11</f>
        <v>0</v>
      </c>
      <c r="P32" s="22">
        <f>'Annual Raw'!Q11</f>
        <v>0</v>
      </c>
      <c r="Q32" s="22">
        <f>'Annual Raw'!R11</f>
        <v>0</v>
      </c>
      <c r="R32" s="22">
        <f>'Annual Raw'!S11</f>
        <v>0</v>
      </c>
      <c r="S32" s="22">
        <f>'Annual Raw'!T11</f>
        <v>0</v>
      </c>
      <c r="T32" s="22">
        <f>'Annual Raw'!U11</f>
        <v>0</v>
      </c>
      <c r="U32" s="22">
        <f>'Annual Raw'!V11</f>
        <v>0</v>
      </c>
      <c r="V32" s="22">
        <f>'Annual Raw'!W11</f>
        <v>0</v>
      </c>
      <c r="W32" s="22">
        <f>'Annual Raw'!X11</f>
        <v>0</v>
      </c>
      <c r="X32" s="22">
        <f>'Annual Raw'!Y11</f>
        <v>0</v>
      </c>
      <c r="Y32" s="22">
        <f>'Annual Raw'!Z11</f>
        <v>1.5627</v>
      </c>
      <c r="Z32" s="22">
        <f>'Annual Raw'!AA11</f>
        <v>-1.4664999999999999</v>
      </c>
      <c r="AA32" s="22">
        <f>'Annual Raw'!AB11</f>
        <v>1.8645</v>
      </c>
      <c r="AB32" s="75">
        <f t="shared" ref="AB32:AB34" si="113">+SUM(CL32:CO32)</f>
        <v>-0.65900000000000003</v>
      </c>
      <c r="AC32" s="75">
        <f t="shared" ref="AC32:AC34" si="114">+SUM(CP32:CS32)</f>
        <v>0</v>
      </c>
      <c r="AD32" s="75">
        <f t="shared" ref="AD32:AD34" si="115">+SUM(CT32:CW32)</f>
        <v>0</v>
      </c>
      <c r="AE32" s="75">
        <f t="shared" ref="AE32:AE34" si="116">+SUM(CX32:DA32)</f>
        <v>0</v>
      </c>
      <c r="AI32" s="22">
        <f>'QTR Raw'!C10</f>
        <v>-0.41599999999999998</v>
      </c>
      <c r="AJ32" s="22">
        <f>'QTR Raw'!D10</f>
        <v>1.175</v>
      </c>
      <c r="AK32" s="22">
        <f>'QTR Raw'!E10</f>
        <v>-0.81</v>
      </c>
      <c r="AL32" s="22">
        <f>'QTR Raw'!F10</f>
        <v>-1.3380000000000001</v>
      </c>
      <c r="AM32" s="22">
        <f>'QTR Raw'!G10</f>
        <v>1.7010000000000001</v>
      </c>
      <c r="AN32" s="22">
        <f>'QTR Raw'!H10</f>
        <v>-5.2999999999999999E-2</v>
      </c>
      <c r="AO32" s="22">
        <f>'QTR Raw'!I10</f>
        <v>0.20499999999999999</v>
      </c>
      <c r="AP32" s="22">
        <f>'QTR Raw'!J10</f>
        <v>-1.5860000000000001</v>
      </c>
      <c r="AQ32" s="22">
        <f>'QTR Raw'!K10</f>
        <v>0.64700000000000002</v>
      </c>
      <c r="AR32" s="22">
        <f>'QTR Raw'!L10</f>
        <v>0.49199999999999999</v>
      </c>
      <c r="AS32" s="22">
        <f>'QTR Raw'!M10</f>
        <v>-0.56499999999999995</v>
      </c>
      <c r="AT32" s="22">
        <f>'QTR Raw'!N10</f>
        <v>-1.153</v>
      </c>
      <c r="AU32" s="22">
        <f>'QTR Raw'!O10</f>
        <v>1.58</v>
      </c>
      <c r="AV32" s="22">
        <f>'QTR Raw'!P10</f>
        <v>0.65300000000000002</v>
      </c>
      <c r="AW32" s="22">
        <f>'QTR Raw'!Q10</f>
        <v>-1.163</v>
      </c>
      <c r="AX32" s="22">
        <f>'QTR Raw'!R10</f>
        <v>0.34799999999999998</v>
      </c>
      <c r="AY32" s="22">
        <f>'QTR Raw'!S10</f>
        <v>-0.69099999999999995</v>
      </c>
      <c r="AZ32" s="22">
        <f>'QTR Raw'!T10</f>
        <v>1.252</v>
      </c>
      <c r="BA32" s="22">
        <f>'QTR Raw'!U10</f>
        <v>-1.3109999999999999</v>
      </c>
      <c r="BB32" s="22">
        <f>'QTR Raw'!V10</f>
        <v>-5.2999999999999999E-2</v>
      </c>
      <c r="BC32" s="22">
        <f>'QTR Raw'!W10</f>
        <v>2.4359999999999999</v>
      </c>
      <c r="BD32" s="22">
        <f>'QTR Raw'!X10</f>
        <v>-0.61599999999999999</v>
      </c>
      <c r="BE32" s="22">
        <f>'QTR Raw'!Y10</f>
        <v>-0.107</v>
      </c>
      <c r="BF32" s="22">
        <f>'QTR Raw'!Z10</f>
        <v>0.106</v>
      </c>
      <c r="BG32" s="22">
        <f>'QTR Raw'!AA10</f>
        <v>0.80900000000000005</v>
      </c>
      <c r="BH32" s="22">
        <f>'QTR Raw'!AB10</f>
        <v>-0.27</v>
      </c>
      <c r="BI32" s="22">
        <f>'QTR Raw'!AC10</f>
        <v>1.3</v>
      </c>
      <c r="BJ32" s="22">
        <f>'QTR Raw'!AD10</f>
        <v>-0.40500000000000003</v>
      </c>
      <c r="BK32" s="22">
        <f>'QTR Raw'!AE10</f>
        <v>7.1999999999999995E-2</v>
      </c>
      <c r="BL32" s="22">
        <f>'QTR Raw'!AF10</f>
        <v>-1.2010000000000001</v>
      </c>
      <c r="BM32" s="22">
        <f>'QTR Raw'!AG10</f>
        <v>-0.11700000000000001</v>
      </c>
      <c r="BN32" s="22">
        <f>'QTR Raw'!AH10</f>
        <v>-1E-3</v>
      </c>
      <c r="BO32" s="22">
        <f>'QTR Raw'!AI10</f>
        <v>7.3999999999999996E-2</v>
      </c>
      <c r="BP32" s="22">
        <f>'QTR Raw'!AJ10</f>
        <v>-1.573</v>
      </c>
      <c r="BQ32" s="22">
        <f>'QTR Raw'!AK10</f>
        <v>-0.53700000000000003</v>
      </c>
      <c r="BR32" s="22">
        <f>'QTR Raw'!AL10</f>
        <v>0.52100000000000002</v>
      </c>
      <c r="BS32" s="22">
        <f>'QTR Raw'!AM10</f>
        <v>1.8480000000000001</v>
      </c>
      <c r="BT32" s="22">
        <f>'QTR Raw'!AN10</f>
        <v>0.56299999999999994</v>
      </c>
      <c r="BU32" s="22">
        <f>'QTR Raw'!AO10</f>
        <v>-2.875</v>
      </c>
      <c r="BV32" s="22">
        <f>'QTR Raw'!AP10</f>
        <v>2.5129999999999999</v>
      </c>
      <c r="BW32" s="22">
        <f>'QTR Raw'!AQ10</f>
        <v>-0.67200000000000004</v>
      </c>
      <c r="BX32" s="22">
        <f>'QTR Raw'!AR10</f>
        <v>-0.65</v>
      </c>
      <c r="BY32" s="22">
        <f>'QTR Raw'!AS10</f>
        <v>-3.7650000000000001</v>
      </c>
      <c r="BZ32" s="22">
        <f>'QTR Raw'!AT10</f>
        <v>0.56999999999999995</v>
      </c>
      <c r="CA32" s="22">
        <f>'QTR Raw'!AU10</f>
        <v>1.095</v>
      </c>
      <c r="CB32" s="22">
        <f>'QTR Raw'!AV10</f>
        <v>-4.2999999999999997E-2</v>
      </c>
      <c r="CC32" s="22">
        <f>'QTR Raw'!AW10</f>
        <v>0.51100000000000001</v>
      </c>
      <c r="CD32" s="22">
        <f>'QTR Raw'!AX10</f>
        <v>0.26400000000000001</v>
      </c>
      <c r="CE32" s="22">
        <f>'QTR Raw'!AY10</f>
        <v>-1.6659999999999999</v>
      </c>
      <c r="CF32" s="22">
        <f>'QTR Raw'!AZ10</f>
        <v>1.669</v>
      </c>
      <c r="CG32" s="22">
        <f>'QTR Raw'!BA10</f>
        <v>-1.734</v>
      </c>
      <c r="CH32" s="22">
        <f>'QTR Raw'!BB10</f>
        <v>18.459</v>
      </c>
      <c r="CI32" s="22">
        <f>'QTR Raw'!BC10</f>
        <v>0.17699999999999999</v>
      </c>
      <c r="CJ32" s="22">
        <f>'QTR Raw'!BD10</f>
        <v>-0.67800000000000005</v>
      </c>
      <c r="CK32" s="22">
        <v>16.5718</v>
      </c>
      <c r="CL32" s="22">
        <f>'QTR Raw'!BF10</f>
        <v>-0.65900000000000003</v>
      </c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D32" s="22">
        <v>37.358400000000003</v>
      </c>
    </row>
    <row r="33" spans="1:109" s="22" customFormat="1" outlineLevel="1" x14ac:dyDescent="0.2">
      <c r="A33" s="22" t="s">
        <v>3</v>
      </c>
      <c r="B33" s="22">
        <v>0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0</v>
      </c>
      <c r="AA33" s="22">
        <v>0</v>
      </c>
      <c r="AB33" s="75">
        <f t="shared" si="113"/>
        <v>0</v>
      </c>
      <c r="AC33" s="75">
        <f t="shared" si="114"/>
        <v>0</v>
      </c>
      <c r="AD33" s="75">
        <f t="shared" si="115"/>
        <v>0</v>
      </c>
      <c r="AE33" s="75">
        <f t="shared" si="116"/>
        <v>0</v>
      </c>
      <c r="AI33" s="22">
        <f>'QTR Raw'!C12</f>
        <v>15.590999999999999</v>
      </c>
      <c r="AJ33" s="22">
        <f>'QTR Raw'!D12</f>
        <v>32.845999999999997</v>
      </c>
      <c r="AK33" s="22">
        <f>'QTR Raw'!E12</f>
        <v>68.75</v>
      </c>
      <c r="AL33" s="22">
        <f>'QTR Raw'!F12</f>
        <v>24.29</v>
      </c>
      <c r="AM33" s="22">
        <f>'QTR Raw'!G12</f>
        <v>32.826000000000001</v>
      </c>
      <c r="AN33" s="22">
        <f>'QTR Raw'!H12</f>
        <v>55.692</v>
      </c>
      <c r="AO33" s="22">
        <f>'QTR Raw'!I12</f>
        <v>50.49</v>
      </c>
      <c r="AP33" s="22">
        <f>'QTR Raw'!J12</f>
        <v>26.933</v>
      </c>
      <c r="AQ33" s="22">
        <f>'QTR Raw'!K12</f>
        <v>20.773</v>
      </c>
      <c r="AR33" s="22">
        <f>'QTR Raw'!L12</f>
        <v>17.806999999999999</v>
      </c>
      <c r="AS33" s="22">
        <f>'QTR Raw'!M12</f>
        <v>29.748000000000001</v>
      </c>
      <c r="AT33" s="22">
        <f>'QTR Raw'!N12</f>
        <v>20.606000000000002</v>
      </c>
      <c r="AU33" s="22">
        <f>'QTR Raw'!O12</f>
        <v>19.899000000000001</v>
      </c>
      <c r="AV33" s="22">
        <f>'QTR Raw'!P12</f>
        <v>12.093</v>
      </c>
      <c r="AW33" s="22">
        <f>'QTR Raw'!Q12</f>
        <v>4.9329999999999998</v>
      </c>
      <c r="AX33" s="22">
        <f>'QTR Raw'!R12</f>
        <v>0</v>
      </c>
      <c r="AY33" s="22">
        <f>'QTR Raw'!S12</f>
        <v>0</v>
      </c>
      <c r="AZ33" s="22">
        <f>'QTR Raw'!T12</f>
        <v>0</v>
      </c>
      <c r="BA33" s="22">
        <f>'QTR Raw'!U12</f>
        <v>0</v>
      </c>
      <c r="BB33" s="22">
        <f>'QTR Raw'!V12</f>
        <v>0</v>
      </c>
      <c r="BC33" s="22">
        <f>'QTR Raw'!W12</f>
        <v>0</v>
      </c>
      <c r="BD33" s="22">
        <f>'QTR Raw'!X12</f>
        <v>0</v>
      </c>
      <c r="BE33" s="22">
        <f>'QTR Raw'!Y12</f>
        <v>0</v>
      </c>
      <c r="BF33" s="22">
        <f>'QTR Raw'!Z12</f>
        <v>0</v>
      </c>
      <c r="BG33" s="22">
        <f>'QTR Raw'!AA12</f>
        <v>0</v>
      </c>
      <c r="BH33" s="22">
        <f>'QTR Raw'!AB12</f>
        <v>0</v>
      </c>
      <c r="BI33" s="22">
        <f>'QTR Raw'!AC12</f>
        <v>0</v>
      </c>
      <c r="BJ33" s="22">
        <f>'QTR Raw'!AD12</f>
        <v>0</v>
      </c>
      <c r="BK33" s="22">
        <f>'QTR Raw'!AE12</f>
        <v>0</v>
      </c>
      <c r="BL33" s="22">
        <f>'QTR Raw'!AF12</f>
        <v>0</v>
      </c>
      <c r="BM33" s="22">
        <f>'QTR Raw'!AG12</f>
        <v>0</v>
      </c>
      <c r="BN33" s="22">
        <f>'QTR Raw'!AH12</f>
        <v>0</v>
      </c>
      <c r="BO33" s="22">
        <f>'QTR Raw'!AI12</f>
        <v>0</v>
      </c>
      <c r="BP33" s="22">
        <f>'QTR Raw'!AJ12</f>
        <v>0</v>
      </c>
      <c r="BQ33" s="22">
        <f>'QTR Raw'!AK12</f>
        <v>0</v>
      </c>
      <c r="BR33" s="22">
        <f>'QTR Raw'!AL12</f>
        <v>0</v>
      </c>
      <c r="BS33" s="22">
        <f>'QTR Raw'!AM12</f>
        <v>0</v>
      </c>
      <c r="BT33" s="22">
        <f>'QTR Raw'!AN12</f>
        <v>0</v>
      </c>
      <c r="BU33" s="22">
        <f>'QTR Raw'!AO12</f>
        <v>0</v>
      </c>
      <c r="BV33" s="22">
        <f>'QTR Raw'!AP12</f>
        <v>0</v>
      </c>
      <c r="BW33" s="22">
        <f>'QTR Raw'!AQ12</f>
        <v>0</v>
      </c>
      <c r="BX33" s="22">
        <f>'QTR Raw'!AR12</f>
        <v>0</v>
      </c>
      <c r="BY33" s="22">
        <f>'QTR Raw'!AS12</f>
        <v>0</v>
      </c>
      <c r="BZ33" s="22">
        <f>'QTR Raw'!AT12</f>
        <v>0</v>
      </c>
      <c r="CA33" s="22">
        <f>'QTR Raw'!AU12</f>
        <v>0</v>
      </c>
      <c r="CB33" s="22">
        <f>'QTR Raw'!AV12</f>
        <v>0</v>
      </c>
      <c r="CC33" s="22">
        <f>'QTR Raw'!AW12</f>
        <v>0</v>
      </c>
      <c r="CD33" s="22">
        <f>'QTR Raw'!AX12</f>
        <v>0</v>
      </c>
      <c r="CE33" s="22">
        <f>'QTR Raw'!AY12</f>
        <v>0</v>
      </c>
      <c r="CF33" s="22">
        <f>'QTR Raw'!AZ12</f>
        <v>0</v>
      </c>
      <c r="CG33" s="22">
        <f>'QTR Raw'!BA12</f>
        <v>0</v>
      </c>
      <c r="CH33" s="22">
        <f>'QTR Raw'!BB12</f>
        <v>0</v>
      </c>
      <c r="CI33" s="22">
        <f>'QTR Raw'!BC12</f>
        <v>0</v>
      </c>
      <c r="CJ33" s="22">
        <f>'QTR Raw'!BD12</f>
        <v>0</v>
      </c>
      <c r="CK33" s="22">
        <f>'QTR Raw'!BE12</f>
        <v>0</v>
      </c>
      <c r="CL33" s="22">
        <f>'QTR Raw'!BF12</f>
        <v>0</v>
      </c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/>
      <c r="DD33" s="22">
        <v>0</v>
      </c>
    </row>
    <row r="34" spans="1:109" s="22" customFormat="1" outlineLevel="1" x14ac:dyDescent="0.2">
      <c r="A34" s="22" t="s">
        <v>4</v>
      </c>
      <c r="B34" s="22">
        <f>'Annual Raw'!C12</f>
        <v>64.555740076999996</v>
      </c>
      <c r="C34" s="22">
        <f>'Annual Raw'!D12</f>
        <v>64.487941238999994</v>
      </c>
      <c r="D34" s="22">
        <f>'Annual Raw'!E12</f>
        <v>0</v>
      </c>
      <c r="E34" s="22">
        <f>'Annual Raw'!F12</f>
        <v>0</v>
      </c>
      <c r="F34" s="22">
        <f>'Annual Raw'!G12</f>
        <v>0</v>
      </c>
      <c r="G34" s="22">
        <f>'Annual Raw'!H12</f>
        <v>0</v>
      </c>
      <c r="H34" s="22">
        <f>'Annual Raw'!I12</f>
        <v>0</v>
      </c>
      <c r="I34" s="22">
        <f>'Annual Raw'!J12</f>
        <v>0</v>
      </c>
      <c r="J34" s="22">
        <f>'Annual Raw'!K12</f>
        <v>0</v>
      </c>
      <c r="K34" s="22">
        <f>'Annual Raw'!L12</f>
        <v>0</v>
      </c>
      <c r="L34" s="22">
        <f>'Annual Raw'!M12</f>
        <v>0</v>
      </c>
      <c r="M34" s="22">
        <f>'Annual Raw'!N12</f>
        <v>0</v>
      </c>
      <c r="N34" s="22">
        <f>'Annual Raw'!O12</f>
        <v>0</v>
      </c>
      <c r="O34" s="22">
        <f>'Annual Raw'!P12</f>
        <v>0</v>
      </c>
      <c r="P34" s="22">
        <f>'Annual Raw'!Q12</f>
        <v>0</v>
      </c>
      <c r="Q34" s="22">
        <f>'Annual Raw'!R12</f>
        <v>0</v>
      </c>
      <c r="R34" s="22">
        <f>'Annual Raw'!S12</f>
        <v>0</v>
      </c>
      <c r="S34" s="22">
        <f>'Annual Raw'!T12</f>
        <v>0</v>
      </c>
      <c r="T34" s="22">
        <f>'Annual Raw'!U12</f>
        <v>0</v>
      </c>
      <c r="U34" s="22">
        <f>'Annual Raw'!V12</f>
        <v>0</v>
      </c>
      <c r="V34" s="22">
        <f>'Annual Raw'!W12</f>
        <v>0</v>
      </c>
      <c r="W34" s="22">
        <f>'Annual Raw'!X12</f>
        <v>0</v>
      </c>
      <c r="X34" s="22">
        <f>'Annual Raw'!Y12</f>
        <v>0</v>
      </c>
      <c r="Y34" s="22">
        <f>'Annual Raw'!Z12</f>
        <v>496.0609</v>
      </c>
      <c r="Z34" s="22">
        <f>'Annual Raw'!AA12</f>
        <v>246.1422</v>
      </c>
      <c r="AA34" s="22">
        <f>'Annual Raw'!AB12</f>
        <v>159.90969999999999</v>
      </c>
      <c r="AB34" s="23">
        <f t="shared" si="113"/>
        <v>705.00472211914075</v>
      </c>
      <c r="AC34" s="23">
        <f t="shared" si="114"/>
        <v>1001.7169336319987</v>
      </c>
      <c r="AD34" s="23">
        <f t="shared" si="115"/>
        <v>1331.2574953784356</v>
      </c>
      <c r="AE34" s="23">
        <f t="shared" si="116"/>
        <v>1686.1059068372149</v>
      </c>
      <c r="AI34" s="22">
        <f>'QTR Raw'!C11</f>
        <v>35.854999999999997</v>
      </c>
      <c r="AJ34" s="22">
        <f>'QTR Raw'!D11</f>
        <v>47.087000000000003</v>
      </c>
      <c r="AK34" s="22">
        <f>'QTR Raw'!E11</f>
        <v>78.064999999999998</v>
      </c>
      <c r="AL34" s="22">
        <f>'QTR Raw'!F11</f>
        <v>78.283000000000001</v>
      </c>
      <c r="AM34" s="22">
        <f>'QTR Raw'!G11</f>
        <v>44.369</v>
      </c>
      <c r="AN34" s="22">
        <f>'QTR Raw'!H11</f>
        <v>35.774999999999999</v>
      </c>
      <c r="AO34" s="22">
        <f>'QTR Raw'!I11</f>
        <v>36.872999999999998</v>
      </c>
      <c r="AP34" s="22">
        <f>'QTR Raw'!J11</f>
        <v>33.207000000000001</v>
      </c>
      <c r="AQ34" s="22">
        <f>'QTR Raw'!K11</f>
        <v>14.32</v>
      </c>
      <c r="AR34" s="22">
        <f>'QTR Raw'!L11</f>
        <v>18.866</v>
      </c>
      <c r="AS34" s="22">
        <f>'QTR Raw'!M11</f>
        <v>9.1989999999999998</v>
      </c>
      <c r="AT34" s="22">
        <f>'QTR Raw'!N11</f>
        <v>15.305</v>
      </c>
      <c r="AU34" s="22">
        <f>'QTR Raw'!O11</f>
        <v>10.791</v>
      </c>
      <c r="AV34" s="22">
        <f>'QTR Raw'!P11</f>
        <v>7.9569999999999999</v>
      </c>
      <c r="AW34" s="22">
        <f>'QTR Raw'!Q11</f>
        <v>12.632999999999999</v>
      </c>
      <c r="AX34" s="22">
        <f>'QTR Raw'!R11</f>
        <v>36.28</v>
      </c>
      <c r="AY34" s="22">
        <f>'QTR Raw'!S11</f>
        <v>13.598000000000001</v>
      </c>
      <c r="AZ34" s="22">
        <f>'QTR Raw'!T11</f>
        <v>17.672999999999998</v>
      </c>
      <c r="BA34" s="22">
        <f>'QTR Raw'!U11</f>
        <v>19.434000000000001</v>
      </c>
      <c r="BB34" s="22">
        <f>'QTR Raw'!V11</f>
        <v>19.263000000000002</v>
      </c>
      <c r="BC34" s="22">
        <f>'QTR Raw'!W11</f>
        <v>31.521999999999998</v>
      </c>
      <c r="BD34" s="22">
        <f>'QTR Raw'!X11</f>
        <v>32.036000000000001</v>
      </c>
      <c r="BE34" s="22">
        <f>'QTR Raw'!Y11</f>
        <v>87.209000000000003</v>
      </c>
      <c r="BF34" s="22">
        <f>'QTR Raw'!Z11</f>
        <v>50.287999999999997</v>
      </c>
      <c r="BG34" s="22">
        <f>'QTR Raw'!AA11</f>
        <v>30.899000000000001</v>
      </c>
      <c r="BH34" s="22">
        <f>'QTR Raw'!AB11</f>
        <v>45.905999999999999</v>
      </c>
      <c r="BI34" s="22">
        <f>'QTR Raw'!AC11</f>
        <v>175.512</v>
      </c>
      <c r="BJ34" s="22">
        <f>'QTR Raw'!AD11</f>
        <v>77.876000000000005</v>
      </c>
      <c r="BK34" s="22">
        <f>'QTR Raw'!AE11</f>
        <v>61.552999999999997</v>
      </c>
      <c r="BL34" s="22">
        <f>'QTR Raw'!AF11</f>
        <v>41.658999999999999</v>
      </c>
      <c r="BM34" s="22">
        <f>'QTR Raw'!AG11</f>
        <v>71.88</v>
      </c>
      <c r="BN34" s="22">
        <f>'QTR Raw'!AH11</f>
        <v>33.658999999999999</v>
      </c>
      <c r="BO34" s="22">
        <f>'QTR Raw'!AI11</f>
        <v>4.407</v>
      </c>
      <c r="BP34" s="22">
        <f>'QTR Raw'!AJ11</f>
        <v>8.2370000000000001</v>
      </c>
      <c r="BQ34" s="22">
        <f>'QTR Raw'!AK11</f>
        <v>72.918999999999997</v>
      </c>
      <c r="BR34" s="22">
        <f>'QTR Raw'!AL11</f>
        <v>46.1</v>
      </c>
      <c r="BS34" s="22">
        <f>'QTR Raw'!AM11</f>
        <v>70.930999999999997</v>
      </c>
      <c r="BT34" s="22">
        <f>'QTR Raw'!AN11</f>
        <v>62.183</v>
      </c>
      <c r="BU34" s="22">
        <f>'QTR Raw'!AO11</f>
        <v>95.974999999999994</v>
      </c>
      <c r="BV34" s="22">
        <f>'QTR Raw'!AP11</f>
        <v>36.274999999999999</v>
      </c>
      <c r="BW34" s="22">
        <f>'QTR Raw'!AQ11</f>
        <v>17.989999999999998</v>
      </c>
      <c r="BX34" s="22">
        <f>'QTR Raw'!AR11</f>
        <v>0</v>
      </c>
      <c r="BY34" s="22">
        <f>'QTR Raw'!AS11</f>
        <v>154.12799999999999</v>
      </c>
      <c r="BZ34" s="22">
        <f>'QTR Raw'!AT11</f>
        <v>0</v>
      </c>
      <c r="CA34" s="22">
        <f>'QTR Raw'!AU11</f>
        <v>0</v>
      </c>
      <c r="CB34" s="22">
        <f>'QTR Raw'!AV11</f>
        <v>0</v>
      </c>
      <c r="CC34" s="22">
        <f>'QTR Raw'!AW11</f>
        <v>0</v>
      </c>
      <c r="CD34" s="22">
        <f>'QTR Raw'!AX11</f>
        <v>0</v>
      </c>
      <c r="CE34" s="22">
        <f>'QTR Raw'!AY11</f>
        <v>0</v>
      </c>
      <c r="CF34" s="22">
        <f>'QTR Raw'!AZ11</f>
        <v>0</v>
      </c>
      <c r="CG34" s="22">
        <f>'QTR Raw'!BA11</f>
        <v>0</v>
      </c>
      <c r="CH34" s="22">
        <f>'QTR Raw'!BB11</f>
        <v>81.396000000000001</v>
      </c>
      <c r="CI34" s="22">
        <f>'QTR Raw'!BC11</f>
        <v>0</v>
      </c>
      <c r="CJ34" s="22">
        <f>'QTR Raw'!BD11</f>
        <v>0</v>
      </c>
      <c r="CK34" s="22">
        <v>104.3428</v>
      </c>
      <c r="CL34" s="22">
        <f>'QTR Raw'!BF11</f>
        <v>154.96899999999999</v>
      </c>
      <c r="CM34" s="23">
        <f t="shared" ref="CM34:DA34" si="117">+CM29-CM35</f>
        <v>133.0270204373079</v>
      </c>
      <c r="CN34" s="23">
        <f t="shared" si="117"/>
        <v>204.49881050862513</v>
      </c>
      <c r="CO34" s="23">
        <f t="shared" si="117"/>
        <v>212.50989117320773</v>
      </c>
      <c r="CP34" s="23">
        <f t="shared" si="117"/>
        <v>207.22901305623003</v>
      </c>
      <c r="CQ34" s="23">
        <f t="shared" si="117"/>
        <v>208.7340110383372</v>
      </c>
      <c r="CR34" s="23">
        <f t="shared" si="117"/>
        <v>290.08101633769678</v>
      </c>
      <c r="CS34" s="23">
        <f t="shared" si="117"/>
        <v>295.67289319973474</v>
      </c>
      <c r="CT34" s="23">
        <f t="shared" si="117"/>
        <v>285.67634731809181</v>
      </c>
      <c r="CU34" s="23">
        <f t="shared" si="117"/>
        <v>284.15220704806501</v>
      </c>
      <c r="CV34" s="23">
        <f t="shared" si="117"/>
        <v>378.73818796511102</v>
      </c>
      <c r="CW34" s="23">
        <f t="shared" si="117"/>
        <v>382.69075304716779</v>
      </c>
      <c r="CX34" s="23">
        <f t="shared" si="117"/>
        <v>368.18540268052254</v>
      </c>
      <c r="CY34" s="23">
        <f t="shared" si="117"/>
        <v>364.07279362559723</v>
      </c>
      <c r="CZ34" s="23">
        <f t="shared" si="117"/>
        <v>475.49785766093987</v>
      </c>
      <c r="DA34" s="23">
        <f t="shared" si="117"/>
        <v>478.34985287015525</v>
      </c>
      <c r="DD34" s="22">
        <v>-0.12722573857813302</v>
      </c>
      <c r="DE34" s="22">
        <v>31.905919746717473</v>
      </c>
    </row>
    <row r="35" spans="1:109" s="30" customFormat="1" x14ac:dyDescent="0.2">
      <c r="A35" s="30" t="s">
        <v>5</v>
      </c>
      <c r="B35" s="30">
        <f t="shared" ref="B35:T35" si="118">B29-B32-B34-B33</f>
        <v>22.539894133000004</v>
      </c>
      <c r="C35" s="30">
        <f t="shared" si="118"/>
        <v>47.544032520000016</v>
      </c>
      <c r="D35" s="30">
        <f t="shared" si="118"/>
        <v>0</v>
      </c>
      <c r="E35" s="30">
        <f t="shared" si="118"/>
        <v>0</v>
      </c>
      <c r="F35" s="30">
        <f t="shared" si="118"/>
        <v>0</v>
      </c>
      <c r="G35" s="30">
        <f t="shared" si="118"/>
        <v>0</v>
      </c>
      <c r="H35" s="30">
        <f t="shared" si="118"/>
        <v>0</v>
      </c>
      <c r="I35" s="30">
        <f t="shared" si="118"/>
        <v>0</v>
      </c>
      <c r="J35" s="30">
        <f t="shared" si="118"/>
        <v>0</v>
      </c>
      <c r="K35" s="30">
        <f t="shared" si="118"/>
        <v>0</v>
      </c>
      <c r="L35" s="30">
        <f t="shared" si="118"/>
        <v>0</v>
      </c>
      <c r="M35" s="30">
        <f t="shared" si="118"/>
        <v>0</v>
      </c>
      <c r="N35" s="30">
        <f t="shared" si="118"/>
        <v>0</v>
      </c>
      <c r="O35" s="30">
        <f t="shared" si="118"/>
        <v>0</v>
      </c>
      <c r="P35" s="30">
        <f t="shared" si="118"/>
        <v>0</v>
      </c>
      <c r="Q35" s="30">
        <f t="shared" si="118"/>
        <v>0</v>
      </c>
      <c r="R35" s="30">
        <f t="shared" si="118"/>
        <v>0</v>
      </c>
      <c r="S35" s="30">
        <f t="shared" si="118"/>
        <v>0</v>
      </c>
      <c r="T35" s="30">
        <f t="shared" si="118"/>
        <v>0</v>
      </c>
      <c r="U35" s="30">
        <f t="shared" ref="U35:Z35" si="119">U29-U32-U34-U33</f>
        <v>0</v>
      </c>
      <c r="V35" s="30">
        <f t="shared" si="119"/>
        <v>0</v>
      </c>
      <c r="W35" s="30">
        <f t="shared" si="119"/>
        <v>0</v>
      </c>
      <c r="X35" s="30">
        <f t="shared" si="119"/>
        <v>0</v>
      </c>
      <c r="Y35" s="30">
        <f t="shared" si="119"/>
        <v>168.9907</v>
      </c>
      <c r="Z35" s="30">
        <f t="shared" si="119"/>
        <v>144.05029999999999</v>
      </c>
      <c r="AA35" s="30">
        <f t="shared" ref="AA35" si="120">AA29-AA32-AA34-AA33</f>
        <v>195.82060000000001</v>
      </c>
      <c r="AB35" s="31">
        <f t="shared" ref="AA35:AD35" si="121">AB29-AB32-AB34-AB33</f>
        <v>868.19704988085937</v>
      </c>
      <c r="AC35" s="31">
        <f t="shared" si="121"/>
        <v>1234.7454655909635</v>
      </c>
      <c r="AD35" s="31">
        <f t="shared" si="121"/>
        <v>1640.9467592731912</v>
      </c>
      <c r="AE35" s="31">
        <f t="shared" ref="AE35" si="122">AE29-AE32-AE34-AE33</f>
        <v>2078.343245556257</v>
      </c>
      <c r="AI35" s="30">
        <f t="shared" ref="AI35" si="123">AI29-AI32-AI34-AI33</f>
        <v>41.679999999999993</v>
      </c>
      <c r="AJ35" s="30">
        <f t="shared" ref="AJ35" si="124">AJ29-AJ32-AJ34-AJ33</f>
        <v>29.352000000000011</v>
      </c>
      <c r="AK35" s="30">
        <f t="shared" ref="AK35:AM35" si="125">AK29-AK32-AK34-AK33</f>
        <v>48.447000000000003</v>
      </c>
      <c r="AL35" s="30">
        <f t="shared" si="125"/>
        <v>31.220999999999982</v>
      </c>
      <c r="AM35" s="30">
        <f t="shared" si="125"/>
        <v>22.889000000000003</v>
      </c>
      <c r="AN35" s="30">
        <f t="shared" ref="AN35:AO35" si="126">AN29-AN32-AN34-AN33</f>
        <v>30.595000000000006</v>
      </c>
      <c r="AO35" s="30">
        <f t="shared" si="126"/>
        <v>38.810000000000009</v>
      </c>
      <c r="AP35" s="30">
        <f t="shared" ref="AP35:CD35" si="127">AP29-AP32-AP34-AP33</f>
        <v>21.21899999999998</v>
      </c>
      <c r="AQ35" s="30">
        <f t="shared" si="127"/>
        <v>16.37</v>
      </c>
      <c r="AR35" s="30">
        <f t="shared" si="127"/>
        <v>16.327000000000002</v>
      </c>
      <c r="AS35" s="30">
        <f t="shared" si="127"/>
        <v>16.261999999999997</v>
      </c>
      <c r="AT35" s="30">
        <f t="shared" si="127"/>
        <v>24.329999999999991</v>
      </c>
      <c r="AU35" s="30">
        <f t="shared" si="127"/>
        <v>20.606999999999999</v>
      </c>
      <c r="AV35" s="30">
        <f t="shared" si="127"/>
        <v>22.535</v>
      </c>
      <c r="AW35" s="30">
        <f t="shared" si="127"/>
        <v>29.698999999999991</v>
      </c>
      <c r="AX35" s="30">
        <f t="shared" si="127"/>
        <v>26.545000000000002</v>
      </c>
      <c r="AY35" s="30">
        <f t="shared" si="127"/>
        <v>12.521999999999997</v>
      </c>
      <c r="AZ35" s="30">
        <f t="shared" si="127"/>
        <v>17.984000000000005</v>
      </c>
      <c r="BA35" s="30">
        <f t="shared" si="127"/>
        <v>31.631000000000004</v>
      </c>
      <c r="BB35" s="30">
        <f t="shared" si="127"/>
        <v>22.504999999999992</v>
      </c>
      <c r="BC35" s="30">
        <f t="shared" si="127"/>
        <v>18.899000000000001</v>
      </c>
      <c r="BD35" s="30">
        <f t="shared" si="127"/>
        <v>28.454999999999998</v>
      </c>
      <c r="BE35" s="30">
        <f t="shared" si="127"/>
        <v>29.753</v>
      </c>
      <c r="BF35" s="30">
        <f t="shared" si="127"/>
        <v>25.365000000000009</v>
      </c>
      <c r="BG35" s="30">
        <f t="shared" si="127"/>
        <v>24.914000000000001</v>
      </c>
      <c r="BH35" s="30">
        <f t="shared" si="127"/>
        <v>33.636000000000003</v>
      </c>
      <c r="BI35" s="30">
        <f t="shared" si="127"/>
        <v>60.411999999999978</v>
      </c>
      <c r="BJ35" s="30">
        <f t="shared" si="127"/>
        <v>45.649999999999991</v>
      </c>
      <c r="BK35" s="30">
        <f t="shared" si="127"/>
        <v>46.188999999999993</v>
      </c>
      <c r="BL35" s="30">
        <f t="shared" si="127"/>
        <v>47.309999999999995</v>
      </c>
      <c r="BM35" s="30">
        <f t="shared" si="127"/>
        <v>41.830000000000013</v>
      </c>
      <c r="BN35" s="30">
        <f t="shared" si="127"/>
        <v>28.384999999999998</v>
      </c>
      <c r="BO35" s="30">
        <f t="shared" si="127"/>
        <v>9.2940000000000005</v>
      </c>
      <c r="BP35" s="30">
        <f t="shared" si="127"/>
        <v>10.767000000000001</v>
      </c>
      <c r="BQ35" s="30">
        <f t="shared" si="127"/>
        <v>32.647000000000006</v>
      </c>
      <c r="BR35" s="30">
        <f t="shared" si="127"/>
        <v>15.202999999999996</v>
      </c>
      <c r="BS35" s="30">
        <f t="shared" si="127"/>
        <v>24.522000000000006</v>
      </c>
      <c r="BT35" s="30">
        <f t="shared" si="127"/>
        <v>29.368000000000002</v>
      </c>
      <c r="BU35" s="30">
        <f t="shared" si="127"/>
        <v>37.010999999999996</v>
      </c>
      <c r="BV35" s="30">
        <f t="shared" si="127"/>
        <v>24.470000000000006</v>
      </c>
      <c r="BW35" s="30">
        <f t="shared" si="127"/>
        <v>20.13</v>
      </c>
      <c r="BX35" s="30">
        <f t="shared" si="127"/>
        <v>43.344999999999999</v>
      </c>
      <c r="BY35" s="30">
        <f t="shared" si="127"/>
        <v>60.602000000000004</v>
      </c>
      <c r="BZ35" s="30">
        <f t="shared" si="127"/>
        <v>192.024</v>
      </c>
      <c r="CA35" s="30">
        <f t="shared" si="127"/>
        <v>220.065</v>
      </c>
      <c r="CB35" s="30">
        <f t="shared" si="127"/>
        <v>191.607</v>
      </c>
      <c r="CC35" s="30">
        <f t="shared" si="127"/>
        <v>253.392</v>
      </c>
      <c r="CD35" s="30">
        <f t="shared" si="127"/>
        <v>146.79999999999998</v>
      </c>
      <c r="CE35" s="30">
        <f t="shared" ref="CE35:CF35" si="128">CE29-CE32-CE34-CE33</f>
        <v>94.953000000000003</v>
      </c>
      <c r="CF35" s="30">
        <f t="shared" si="128"/>
        <v>74.368000000000009</v>
      </c>
      <c r="CG35" s="30">
        <f t="shared" ref="CG35:CH35" si="129">CG29-CG32-CG34-CG33</f>
        <v>74.072999999999993</v>
      </c>
      <c r="CH35" s="30">
        <f t="shared" si="129"/>
        <v>121.045</v>
      </c>
      <c r="CI35" s="30">
        <f t="shared" ref="CI35:CJ35" si="130">CI29-CI32-CI34-CI33</f>
        <v>81.940999999999988</v>
      </c>
      <c r="CJ35" s="30">
        <f t="shared" si="130"/>
        <v>97.661999999999992</v>
      </c>
      <c r="CK35" s="30">
        <f t="shared" ref="CK35:CL35" si="131">CK29-CK32-CK34-CK33</f>
        <v>107.49630000000001</v>
      </c>
      <c r="CL35" s="30">
        <f t="shared" si="131"/>
        <v>190.20699999999999</v>
      </c>
      <c r="CM35" s="31">
        <f t="shared" ref="CM35:DA35" si="132">+CM36*CM29</f>
        <v>163.9729795626921</v>
      </c>
      <c r="CN35" s="31">
        <f t="shared" si="132"/>
        <v>252.07118949137487</v>
      </c>
      <c r="CO35" s="31">
        <f t="shared" si="132"/>
        <v>261.94588082679229</v>
      </c>
      <c r="CP35" s="31">
        <f t="shared" si="132"/>
        <v>255.43651666376996</v>
      </c>
      <c r="CQ35" s="31">
        <f t="shared" si="132"/>
        <v>257.29162100686278</v>
      </c>
      <c r="CR35" s="31">
        <f t="shared" si="132"/>
        <v>357.56230882343522</v>
      </c>
      <c r="CS35" s="31">
        <f t="shared" si="132"/>
        <v>364.4550190968954</v>
      </c>
      <c r="CT35" s="31">
        <f t="shared" si="132"/>
        <v>352.13298551184158</v>
      </c>
      <c r="CU35" s="31">
        <f t="shared" si="132"/>
        <v>350.25428582717444</v>
      </c>
      <c r="CV35" s="31">
        <f t="shared" si="132"/>
        <v>466.8437205513568</v>
      </c>
      <c r="CW35" s="31">
        <f t="shared" si="132"/>
        <v>471.71576738281789</v>
      </c>
      <c r="CX35" s="31">
        <f t="shared" si="132"/>
        <v>453.8360500787644</v>
      </c>
      <c r="CY35" s="31">
        <f t="shared" si="132"/>
        <v>448.76672838535387</v>
      </c>
      <c r="CZ35" s="31">
        <f t="shared" si="132"/>
        <v>586.11250736902571</v>
      </c>
      <c r="DA35" s="31">
        <f t="shared" si="132"/>
        <v>589.62795972311324</v>
      </c>
      <c r="DD35" s="30">
        <v>53.664052518830516</v>
      </c>
      <c r="DE35" s="30">
        <v>248.01887867548425</v>
      </c>
    </row>
    <row r="36" spans="1:109" s="40" customFormat="1" x14ac:dyDescent="0.2">
      <c r="A36" s="40" t="s">
        <v>6</v>
      </c>
      <c r="B36" s="40">
        <f>B35/B29</f>
        <v>0.26630141625851161</v>
      </c>
      <c r="C36" s="40">
        <f t="shared" ref="C36:U36" si="133">C35/C29</f>
        <v>0.38672494975646227</v>
      </c>
      <c r="D36" s="40" t="e">
        <f t="shared" si="133"/>
        <v>#DIV/0!</v>
      </c>
      <c r="E36" s="40" t="e">
        <f t="shared" si="133"/>
        <v>#DIV/0!</v>
      </c>
      <c r="F36" s="40" t="e">
        <f t="shared" si="133"/>
        <v>#DIV/0!</v>
      </c>
      <c r="G36" s="40" t="e">
        <f t="shared" si="133"/>
        <v>#DIV/0!</v>
      </c>
      <c r="H36" s="40" t="e">
        <f t="shared" si="133"/>
        <v>#DIV/0!</v>
      </c>
      <c r="I36" s="40" t="e">
        <f t="shared" si="133"/>
        <v>#DIV/0!</v>
      </c>
      <c r="J36" s="40" t="e">
        <f t="shared" si="133"/>
        <v>#DIV/0!</v>
      </c>
      <c r="K36" s="40" t="e">
        <f t="shared" si="133"/>
        <v>#DIV/0!</v>
      </c>
      <c r="L36" s="40" t="e">
        <f t="shared" si="133"/>
        <v>#DIV/0!</v>
      </c>
      <c r="M36" s="40" t="e">
        <f t="shared" si="133"/>
        <v>#DIV/0!</v>
      </c>
      <c r="N36" s="40" t="e">
        <f t="shared" si="133"/>
        <v>#DIV/0!</v>
      </c>
      <c r="O36" s="40" t="e">
        <f t="shared" si="133"/>
        <v>#DIV/0!</v>
      </c>
      <c r="P36" s="40" t="e">
        <f t="shared" si="133"/>
        <v>#DIV/0!</v>
      </c>
      <c r="Q36" s="40" t="e">
        <f t="shared" si="133"/>
        <v>#DIV/0!</v>
      </c>
      <c r="R36" s="40" t="e">
        <f t="shared" si="133"/>
        <v>#DIV/0!</v>
      </c>
      <c r="S36" s="40" t="e">
        <f t="shared" si="133"/>
        <v>#DIV/0!</v>
      </c>
      <c r="T36" s="40" t="e">
        <f t="shared" si="133"/>
        <v>#DIV/0!</v>
      </c>
      <c r="U36" s="40" t="e">
        <f t="shared" si="133"/>
        <v>#DIV/0!</v>
      </c>
      <c r="V36" s="40" t="e">
        <f>V35/V29</f>
        <v>#DIV/0!</v>
      </c>
      <c r="W36" s="40" t="e">
        <f>W35/W29</f>
        <v>#DIV/0!</v>
      </c>
      <c r="X36" s="40" t="e">
        <f>X35/X29</f>
        <v>#DIV/0!</v>
      </c>
      <c r="Y36" s="40">
        <f>Y35/Y29</f>
        <v>0.25350596289338528</v>
      </c>
      <c r="Z36" s="40">
        <f>Z35/Z29</f>
        <v>0.37057027314869601</v>
      </c>
      <c r="AA36" s="40">
        <f>AA35/AA29</f>
        <v>0.54760471908428199</v>
      </c>
      <c r="AB36" s="41">
        <f t="shared" ref="AA36:AD36" si="134">AB35/AB29</f>
        <v>0.55209757428515871</v>
      </c>
      <c r="AC36" s="41">
        <f t="shared" si="134"/>
        <v>0.5520975742851586</v>
      </c>
      <c r="AD36" s="41">
        <f t="shared" si="134"/>
        <v>0.55209757428515871</v>
      </c>
      <c r="AE36" s="41">
        <f t="shared" ref="AE36" si="135">AE35/AE29</f>
        <v>0.55209757428515849</v>
      </c>
      <c r="AI36" s="40">
        <f t="shared" ref="AI36" si="136">AI35/AI29</f>
        <v>0.44957394024377084</v>
      </c>
      <c r="AJ36" s="40">
        <f t="shared" ref="AJ36" si="137">AJ35/AJ29</f>
        <v>0.26572514937533959</v>
      </c>
      <c r="AK36" s="40">
        <f t="shared" ref="AK36:AM36" si="138">AK35/AK29</f>
        <v>0.24914631888589472</v>
      </c>
      <c r="AL36" s="40">
        <f t="shared" si="138"/>
        <v>0.23570846167784007</v>
      </c>
      <c r="AM36" s="40">
        <f t="shared" si="138"/>
        <v>0.22487596404185295</v>
      </c>
      <c r="AN36" s="40">
        <f t="shared" ref="AN36:AO36" si="139">AN35/AN29</f>
        <v>0.25076018982206233</v>
      </c>
      <c r="AO36" s="40">
        <f t="shared" si="139"/>
        <v>0.30709458924812871</v>
      </c>
      <c r="AP36" s="40">
        <f t="shared" ref="AP36:CD36" si="140">AP35/AP29</f>
        <v>0.26599225301793822</v>
      </c>
      <c r="AQ36" s="40">
        <f t="shared" si="140"/>
        <v>0.31414315870274423</v>
      </c>
      <c r="AR36" s="40">
        <f t="shared" si="140"/>
        <v>0.30522321094743143</v>
      </c>
      <c r="AS36" s="40">
        <f t="shared" si="140"/>
        <v>0.29759900446526605</v>
      </c>
      <c r="AT36" s="40">
        <f t="shared" si="140"/>
        <v>0.4117587327376116</v>
      </c>
      <c r="AU36" s="40">
        <f t="shared" si="140"/>
        <v>0.38971575543241865</v>
      </c>
      <c r="AV36" s="40">
        <f t="shared" si="140"/>
        <v>0.52118506868957859</v>
      </c>
      <c r="AW36" s="40">
        <f t="shared" si="140"/>
        <v>0.64420198689861596</v>
      </c>
      <c r="AX36" s="40">
        <f t="shared" si="140"/>
        <v>0.42019533661532621</v>
      </c>
      <c r="AY36" s="40">
        <f t="shared" si="140"/>
        <v>0.49242990286680549</v>
      </c>
      <c r="AZ36" s="40">
        <f t="shared" si="140"/>
        <v>0.48725243165623566</v>
      </c>
      <c r="BA36" s="40">
        <f t="shared" si="140"/>
        <v>0.63574787956747203</v>
      </c>
      <c r="BB36" s="40">
        <f t="shared" si="140"/>
        <v>0.53949418674337757</v>
      </c>
      <c r="BC36" s="40">
        <f t="shared" si="140"/>
        <v>0.35754961499895949</v>
      </c>
      <c r="BD36" s="40">
        <f t="shared" si="140"/>
        <v>0.47524008350730684</v>
      </c>
      <c r="BE36" s="40">
        <f t="shared" si="140"/>
        <v>0.25461469342347354</v>
      </c>
      <c r="BF36" s="40">
        <f t="shared" si="140"/>
        <v>0.33481170553993594</v>
      </c>
      <c r="BG36" s="40">
        <f t="shared" si="140"/>
        <v>0.44000565151354598</v>
      </c>
      <c r="BH36" s="40">
        <f t="shared" si="140"/>
        <v>0.4243112322131396</v>
      </c>
      <c r="BI36" s="40">
        <f t="shared" si="140"/>
        <v>0.25466226014231269</v>
      </c>
      <c r="BJ36" s="40">
        <f t="shared" si="140"/>
        <v>0.37077346675221928</v>
      </c>
      <c r="BK36" s="40">
        <f t="shared" si="140"/>
        <v>0.42841374960580253</v>
      </c>
      <c r="BL36" s="40">
        <f t="shared" si="140"/>
        <v>0.53903472791905926</v>
      </c>
      <c r="BM36" s="40">
        <f t="shared" si="140"/>
        <v>0.36824452210963715</v>
      </c>
      <c r="BN36" s="40">
        <f t="shared" si="140"/>
        <v>0.45750527859710199</v>
      </c>
      <c r="BO36" s="40">
        <f t="shared" si="140"/>
        <v>0.67470054446460981</v>
      </c>
      <c r="BP36" s="40">
        <f t="shared" si="140"/>
        <v>0.61769261660260455</v>
      </c>
      <c r="BQ36" s="40">
        <f t="shared" si="140"/>
        <v>0.31083795903988426</v>
      </c>
      <c r="BR36" s="40">
        <f t="shared" si="140"/>
        <v>0.24590773809523803</v>
      </c>
      <c r="BS36" s="40">
        <f t="shared" si="140"/>
        <v>0.25202207582655889</v>
      </c>
      <c r="BT36" s="40">
        <f t="shared" si="140"/>
        <v>0.31882232885337736</v>
      </c>
      <c r="BU36" s="40">
        <f t="shared" si="140"/>
        <v>0.28445711738438717</v>
      </c>
      <c r="BV36" s="40">
        <f t="shared" si="140"/>
        <v>0.38682854342533757</v>
      </c>
      <c r="BW36" s="40">
        <f t="shared" si="140"/>
        <v>0.53754539628284548</v>
      </c>
      <c r="BX36" s="40">
        <f t="shared" si="140"/>
        <v>1.0152242651364327</v>
      </c>
      <c r="BY36" s="40">
        <f t="shared" si="140"/>
        <v>0.28726092005782949</v>
      </c>
      <c r="BZ36" s="40">
        <f t="shared" si="140"/>
        <v>0.99704040624318513</v>
      </c>
      <c r="CA36" s="40">
        <f t="shared" si="140"/>
        <v>0.9950488334237656</v>
      </c>
      <c r="CB36" s="40">
        <f t="shared" si="140"/>
        <v>1.0002244680628929</v>
      </c>
      <c r="CC36" s="40">
        <f t="shared" si="140"/>
        <v>0.99798742039282717</v>
      </c>
      <c r="CD36" s="40">
        <f t="shared" si="140"/>
        <v>0.99820486318881574</v>
      </c>
      <c r="CE36" s="40">
        <f t="shared" ref="CE36:CF36" si="141">CE35/CE29</f>
        <v>1.0178588656511625</v>
      </c>
      <c r="CF36" s="40">
        <f t="shared" si="141"/>
        <v>0.97805015979062826</v>
      </c>
      <c r="CG36" s="40">
        <f t="shared" ref="CG36:CH36" si="142">CG35/CG29</f>
        <v>1.0239704723593082</v>
      </c>
      <c r="CH36" s="40">
        <f t="shared" si="142"/>
        <v>0.54796287913082842</v>
      </c>
      <c r="CI36" s="40">
        <f t="shared" ref="CI36:CJ36" si="143">CI35/CI29</f>
        <v>0.99784456513797215</v>
      </c>
      <c r="CJ36" s="40">
        <f t="shared" si="143"/>
        <v>1.0069908438505319</v>
      </c>
      <c r="CK36" s="40">
        <f t="shared" ref="CK36:CL36" si="144">CK35/CK29</f>
        <v>0.47062683961229523</v>
      </c>
      <c r="CL36" s="40">
        <f t="shared" si="144"/>
        <v>0.5520975742851586</v>
      </c>
      <c r="CM36" s="41">
        <f>+CL36</f>
        <v>0.5520975742851586</v>
      </c>
      <c r="CN36" s="41">
        <f t="shared" ref="CN36:DA36" si="145">+CM36</f>
        <v>0.5520975742851586</v>
      </c>
      <c r="CO36" s="41">
        <f t="shared" si="145"/>
        <v>0.5520975742851586</v>
      </c>
      <c r="CP36" s="41">
        <f t="shared" si="145"/>
        <v>0.5520975742851586</v>
      </c>
      <c r="CQ36" s="41">
        <f t="shared" si="145"/>
        <v>0.5520975742851586</v>
      </c>
      <c r="CR36" s="41">
        <f t="shared" si="145"/>
        <v>0.5520975742851586</v>
      </c>
      <c r="CS36" s="41">
        <f t="shared" si="145"/>
        <v>0.5520975742851586</v>
      </c>
      <c r="CT36" s="41">
        <f t="shared" si="145"/>
        <v>0.5520975742851586</v>
      </c>
      <c r="CU36" s="41">
        <f t="shared" si="145"/>
        <v>0.5520975742851586</v>
      </c>
      <c r="CV36" s="41">
        <f t="shared" si="145"/>
        <v>0.5520975742851586</v>
      </c>
      <c r="CW36" s="41">
        <f t="shared" si="145"/>
        <v>0.5520975742851586</v>
      </c>
      <c r="CX36" s="41">
        <f t="shared" si="145"/>
        <v>0.5520975742851586</v>
      </c>
      <c r="CY36" s="41">
        <f t="shared" si="145"/>
        <v>0.5520975742851586</v>
      </c>
      <c r="CZ36" s="41">
        <f t="shared" si="145"/>
        <v>0.5520975742851586</v>
      </c>
      <c r="DA36" s="41">
        <f t="shared" si="145"/>
        <v>0.5520975742851586</v>
      </c>
      <c r="DD36" s="40">
        <v>1.0023764153803949</v>
      </c>
      <c r="DE36" s="40">
        <v>0.88601967411763649</v>
      </c>
    </row>
    <row r="37" spans="1:109" s="38" customFormat="1" x14ac:dyDescent="0.2">
      <c r="A37" s="38" t="s">
        <v>446</v>
      </c>
      <c r="C37" s="38">
        <f t="shared" ref="C37:AE37" si="146">+IF(B35&lt;0,1-C35/B35,C35/B35-1)</f>
        <v>1.1093281201526222</v>
      </c>
      <c r="D37" s="38">
        <f t="shared" si="146"/>
        <v>-1</v>
      </c>
      <c r="E37" s="38" t="e">
        <f t="shared" si="146"/>
        <v>#DIV/0!</v>
      </c>
      <c r="F37" s="38" t="e">
        <f t="shared" si="146"/>
        <v>#DIV/0!</v>
      </c>
      <c r="G37" s="38" t="e">
        <f t="shared" si="146"/>
        <v>#DIV/0!</v>
      </c>
      <c r="H37" s="38" t="e">
        <f t="shared" si="146"/>
        <v>#DIV/0!</v>
      </c>
      <c r="I37" s="38" t="e">
        <f t="shared" si="146"/>
        <v>#DIV/0!</v>
      </c>
      <c r="J37" s="38" t="e">
        <f t="shared" si="146"/>
        <v>#DIV/0!</v>
      </c>
      <c r="K37" s="38" t="e">
        <f t="shared" si="146"/>
        <v>#DIV/0!</v>
      </c>
      <c r="L37" s="38" t="e">
        <f t="shared" si="146"/>
        <v>#DIV/0!</v>
      </c>
      <c r="M37" s="38" t="e">
        <f t="shared" si="146"/>
        <v>#DIV/0!</v>
      </c>
      <c r="N37" s="38" t="e">
        <f t="shared" si="146"/>
        <v>#DIV/0!</v>
      </c>
      <c r="O37" s="38" t="e">
        <f t="shared" si="146"/>
        <v>#DIV/0!</v>
      </c>
      <c r="P37" s="38" t="e">
        <f t="shared" si="146"/>
        <v>#DIV/0!</v>
      </c>
      <c r="Q37" s="38" t="e">
        <f t="shared" si="146"/>
        <v>#DIV/0!</v>
      </c>
      <c r="R37" s="38" t="e">
        <f t="shared" si="146"/>
        <v>#DIV/0!</v>
      </c>
      <c r="S37" s="38" t="e">
        <f t="shared" si="146"/>
        <v>#DIV/0!</v>
      </c>
      <c r="T37" s="38" t="e">
        <f t="shared" si="146"/>
        <v>#DIV/0!</v>
      </c>
      <c r="U37" s="38" t="e">
        <f t="shared" si="146"/>
        <v>#DIV/0!</v>
      </c>
      <c r="V37" s="38" t="e">
        <f t="shared" si="146"/>
        <v>#DIV/0!</v>
      </c>
      <c r="W37" s="38" t="e">
        <f t="shared" si="146"/>
        <v>#DIV/0!</v>
      </c>
      <c r="X37" s="38" t="e">
        <f t="shared" si="146"/>
        <v>#DIV/0!</v>
      </c>
      <c r="Y37" s="38" t="e">
        <f t="shared" si="146"/>
        <v>#DIV/0!</v>
      </c>
      <c r="Z37" s="38">
        <f t="shared" si="146"/>
        <v>-0.14758445287225874</v>
      </c>
      <c r="AA37" s="38">
        <f t="shared" si="146"/>
        <v>0.35939043514661217</v>
      </c>
      <c r="AB37" s="39">
        <f t="shared" si="146"/>
        <v>3.4336349182918413</v>
      </c>
      <c r="AC37" s="39">
        <f t="shared" si="146"/>
        <v>0.42219495650256444</v>
      </c>
      <c r="AD37" s="39">
        <f t="shared" si="146"/>
        <v>0.32897573224762966</v>
      </c>
      <c r="AE37" s="39">
        <f t="shared" si="146"/>
        <v>0.26655129656784093</v>
      </c>
      <c r="AM37" s="38">
        <f>+IF(AI35&lt;0,1-AM35/AI35,AM35/AI35-1)</f>
        <v>-0.45083973128598831</v>
      </c>
      <c r="AN37" s="38">
        <f t="shared" ref="AN37" si="147">+IF(AJ35&lt;0,1-AN35/AJ35,AN35/AJ35-1)</f>
        <v>4.2348051240119755E-2</v>
      </c>
      <c r="AO37" s="38">
        <f t="shared" ref="AO37" si="148">+IF(AK35&lt;0,1-AO35/AK35,AO35/AK35-1)</f>
        <v>-0.19891840568043417</v>
      </c>
      <c r="AP37" s="38">
        <f t="shared" ref="AP37" si="149">+IF(AL35&lt;0,1-AP35/AL35,AP35/AL35-1)</f>
        <v>-0.32036129528202195</v>
      </c>
      <c r="AQ37" s="38">
        <f t="shared" ref="AQ37" si="150">+IF(AM35&lt;0,1-AQ35/AM35,AQ35/AM35-1)</f>
        <v>-0.28480929704224744</v>
      </c>
      <c r="AR37" s="38">
        <f t="shared" ref="AR37" si="151">+IF(AN35&lt;0,1-AR35/AN35,AR35/AN35-1)</f>
        <v>-0.46635071090047397</v>
      </c>
      <c r="AS37" s="38">
        <f t="shared" ref="AS37" si="152">+IF(AO35&lt;0,1-AS35/AO35,AS35/AO35-1)</f>
        <v>-0.58098428240144306</v>
      </c>
      <c r="AT37" s="38">
        <f t="shared" ref="AT37" si="153">+IF(AP35&lt;0,1-AT35/AP35,AT35/AP35-1)</f>
        <v>0.14661388378340234</v>
      </c>
      <c r="AU37" s="38">
        <f t="shared" ref="AU37" si="154">+IF(AQ35&lt;0,1-AU35/AQ35,AU35/AQ35-1)</f>
        <v>0.25882712278558317</v>
      </c>
      <c r="AV37" s="38">
        <f t="shared" ref="AV37" si="155">+IF(AR35&lt;0,1-AV35/AR35,AV35/AR35-1)</f>
        <v>0.38022906841428306</v>
      </c>
      <c r="AW37" s="38">
        <f t="shared" ref="AW37" si="156">+IF(AS35&lt;0,1-AW35/AS35,AW35/AS35-1)</f>
        <v>0.82628213011929641</v>
      </c>
      <c r="AX37" s="38">
        <f t="shared" ref="AX37" si="157">+IF(AT35&lt;0,1-AX35/AT35,AX35/AT35-1)</f>
        <v>9.1039868475134123E-2</v>
      </c>
      <c r="AY37" s="38">
        <f t="shared" ref="AY37" si="158">+IF(AU35&lt;0,1-AY35/AU35,AY35/AU35-1)</f>
        <v>-0.39234240791963915</v>
      </c>
      <c r="AZ37" s="38">
        <f t="shared" ref="AZ37" si="159">+IF(AV35&lt;0,1-AZ35/AV35,AZ35/AV35-1)</f>
        <v>-0.20195251830485883</v>
      </c>
      <c r="BA37" s="38">
        <f t="shared" ref="BA37" si="160">+IF(AW35&lt;0,1-BA35/AW35,BA35/AW35-1)</f>
        <v>6.5052695376949243E-2</v>
      </c>
      <c r="BB37" s="38">
        <f t="shared" ref="BB37" si="161">+IF(AX35&lt;0,1-BB35/AX35,BB35/AX35-1)</f>
        <v>-0.15219438689018683</v>
      </c>
      <c r="BC37" s="38">
        <f t="shared" ref="BC37" si="162">+IF(AY35&lt;0,1-BC35/AY35,BC35/AY35-1)</f>
        <v>0.5092636958952248</v>
      </c>
      <c r="BD37" s="38">
        <f t="shared" ref="BD37" si="163">+IF(AZ35&lt;0,1-BD35/AZ35,BD35/AZ35-1)</f>
        <v>0.58223976868327343</v>
      </c>
      <c r="BE37" s="38">
        <f t="shared" ref="BE37" si="164">+IF(BA35&lt;0,1-BE35/BA35,BE35/BA35-1)</f>
        <v>-5.9372134930922305E-2</v>
      </c>
      <c r="BF37" s="38">
        <f t="shared" ref="BF37" si="165">+IF(BB35&lt;0,1-BF35/BB35,BF35/BB35-1)</f>
        <v>0.12708287047322897</v>
      </c>
      <c r="BG37" s="38">
        <f t="shared" ref="BG37" si="166">+IF(BC35&lt;0,1-BG35/BC35,BG35/BC35-1)</f>
        <v>0.31827080797925822</v>
      </c>
      <c r="BH37" s="38">
        <f t="shared" ref="BH37" si="167">+IF(BD35&lt;0,1-BH35/BD35,BH35/BD35-1)</f>
        <v>0.18207696362677939</v>
      </c>
      <c r="BI37" s="38">
        <f t="shared" ref="BI37" si="168">+IF(BE35&lt;0,1-BI35/BE35,BI35/BE35-1)</f>
        <v>1.0304507108526866</v>
      </c>
      <c r="BJ37" s="38">
        <f t="shared" ref="BJ37" si="169">+IF(BF35&lt;0,1-BJ35/BF35,BJ35/BF35-1)</f>
        <v>0.79972402917405772</v>
      </c>
      <c r="BK37" s="38">
        <f t="shared" ref="BK37" si="170">+IF(BG35&lt;0,1-BK35/BG35,BK35/BG35-1)</f>
        <v>0.85393754515533393</v>
      </c>
      <c r="BL37" s="38">
        <f t="shared" ref="BL37" si="171">+IF(BH35&lt;0,1-BL35/BH35,BL35/BH35-1)</f>
        <v>0.40652871922939671</v>
      </c>
      <c r="BM37" s="38">
        <f t="shared" ref="BM37" si="172">+IF(BI35&lt;0,1-BM35/BI35,BM35/BI35-1)</f>
        <v>-0.30758789644441453</v>
      </c>
      <c r="BN37" s="38">
        <f t="shared" ref="BN37" si="173">+IF(BJ35&lt;0,1-BN35/BJ35,BN35/BJ35-1)</f>
        <v>-0.37820372398685642</v>
      </c>
      <c r="BO37" s="38">
        <f t="shared" ref="BO37" si="174">+IF(BK35&lt;0,1-BO35/BK35,BO35/BK35-1)</f>
        <v>-0.79878326008356959</v>
      </c>
      <c r="BP37" s="38">
        <f t="shared" ref="BP37" si="175">+IF(BL35&lt;0,1-BP35/BL35,BP35/BL35-1)</f>
        <v>-0.77241597970830689</v>
      </c>
      <c r="BQ37" s="38">
        <f t="shared" ref="BQ37" si="176">+IF(BM35&lt;0,1-BQ35/BM35,BQ35/BM35-1)</f>
        <v>-0.21953143676787001</v>
      </c>
      <c r="BR37" s="38">
        <f t="shared" ref="BR37" si="177">+IF(BN35&lt;0,1-BR35/BN35,BR35/BN35-1)</f>
        <v>-0.46440021137924969</v>
      </c>
      <c r="BS37" s="38">
        <f t="shared" ref="BS37" si="178">+IF(BO35&lt;0,1-BS35/BO35,BS35/BO35-1)</f>
        <v>1.6384764364105879</v>
      </c>
      <c r="BT37" s="38">
        <f t="shared" ref="BT37" si="179">+IF(BP35&lt;0,1-BT35/BP35,BT35/BP35-1)</f>
        <v>1.7275935729543974</v>
      </c>
      <c r="BU37" s="38">
        <f t="shared" ref="BU37" si="180">+IF(BQ35&lt;0,1-BU35/BQ35,BU35/BQ35-1)</f>
        <v>0.13367231292308612</v>
      </c>
      <c r="BV37" s="38">
        <f t="shared" ref="BV37" si="181">+IF(BR35&lt;0,1-BV35/BR35,BV35/BR35-1)</f>
        <v>0.60955074656317909</v>
      </c>
      <c r="BW37" s="38">
        <f t="shared" ref="BW37" si="182">+IF(BS35&lt;0,1-BW35/BS35,BW35/BS35-1)</f>
        <v>-0.17910447761194048</v>
      </c>
      <c r="BX37" s="38">
        <f t="shared" ref="BX37" si="183">+IF(BT35&lt;0,1-BX35/BT35,BX35/BT35-1)</f>
        <v>0.47592617815309168</v>
      </c>
      <c r="BY37" s="38">
        <f t="shared" ref="BY37" si="184">+IF(BU35&lt;0,1-BY35/BU35,BY35/BU35-1)</f>
        <v>0.63740509578233517</v>
      </c>
      <c r="BZ37" s="38">
        <f t="shared" ref="BZ37" si="185">+IF(BV35&lt;0,1-BZ35/BV35,BZ35/BV35-1)</f>
        <v>6.8473232529628101</v>
      </c>
      <c r="CA37" s="38">
        <f t="shared" ref="CA37" si="186">+IF(BW35&lt;0,1-CA35/BW35,CA35/BW35-1)</f>
        <v>9.9321907600596138</v>
      </c>
      <c r="CB37" s="38">
        <f t="shared" ref="CB37" si="187">+IF(BX35&lt;0,1-CB35/BX35,CB35/BX35-1)</f>
        <v>3.4205098627292649</v>
      </c>
      <c r="CC37" s="38">
        <f t="shared" ref="CC37" si="188">+IF(BY35&lt;0,1-CC35/BY35,CC35/BY35-1)</f>
        <v>3.1812481436256226</v>
      </c>
      <c r="CD37" s="38">
        <f t="shared" ref="CD37" si="189">+IF(BZ35&lt;0,1-CD35/BZ35,CD35/BZ35-1)</f>
        <v>-0.235512227638212</v>
      </c>
      <c r="CE37" s="38">
        <f t="shared" ref="CE37" si="190">+IF(CA35&lt;0,1-CE35/CA35,CE35/CA35-1)</f>
        <v>-0.56852293640515295</v>
      </c>
      <c r="CF37" s="38">
        <f t="shared" ref="CF37" si="191">+IF(CB35&lt;0,1-CF35/CB35,CF35/CB35-1)</f>
        <v>-0.61187221761209143</v>
      </c>
      <c r="CG37" s="38">
        <f t="shared" ref="CG37" si="192">+IF(CC35&lt;0,1-CG35/CC35,CG35/CC35-1)</f>
        <v>-0.70767427543095285</v>
      </c>
      <c r="CH37" s="38">
        <f t="shared" ref="CH37:CL37" si="193">+IF(CD35&lt;0,1-CH35/CD35,CH35/CD35-1)</f>
        <v>-0.17544277929155305</v>
      </c>
      <c r="CI37" s="38">
        <f t="shared" si="193"/>
        <v>-0.13703621791833864</v>
      </c>
      <c r="CJ37" s="38">
        <f t="shared" si="193"/>
        <v>0.31322611876075701</v>
      </c>
      <c r="CK37" s="38">
        <f t="shared" si="193"/>
        <v>0.45122109270584443</v>
      </c>
      <c r="CL37" s="38">
        <f t="shared" si="193"/>
        <v>0.57137428229170961</v>
      </c>
      <c r="CM37" s="39">
        <f t="shared" ref="CM37" si="194">+CM35/CI35-1</f>
        <v>1.0011103057406197</v>
      </c>
      <c r="CN37" s="39">
        <f t="shared" ref="CN37" si="195">+CN35/CJ35-1</f>
        <v>1.5810570077550623</v>
      </c>
      <c r="CO37" s="39">
        <f t="shared" ref="CO37" si="196">+CO35/CK35-1</f>
        <v>1.4367897390588538</v>
      </c>
      <c r="CP37" s="39">
        <f t="shared" ref="CP37" si="197">+CP35/CL35-1</f>
        <v>0.34293962190545013</v>
      </c>
      <c r="CQ37" s="39">
        <f t="shared" ref="CQ37" si="198">+CQ35/CM35-1</f>
        <v>0.56910987220606057</v>
      </c>
      <c r="CR37" s="39">
        <f t="shared" ref="CR37" si="199">+CR35/CN35-1</f>
        <v>0.41849732825444508</v>
      </c>
      <c r="CS37" s="39">
        <f t="shared" ref="CS37" si="200">+CS35/CO35-1</f>
        <v>0.39133708820519963</v>
      </c>
      <c r="CT37" s="39">
        <f t="shared" ref="CT37" si="201">+CT35/CP35-1</f>
        <v>0.37855381881578332</v>
      </c>
      <c r="CU37" s="39">
        <f t="shared" ref="CU37" si="202">+CU35/CQ35-1</f>
        <v>0.36131244560751563</v>
      </c>
      <c r="CV37" s="39">
        <f t="shared" ref="CV37" si="203">+CV35/CR35-1</f>
        <v>0.30562900236189305</v>
      </c>
      <c r="CW37" s="39">
        <f t="shared" ref="CW37" si="204">+CW35/CS35-1</f>
        <v>0.29430448934880959</v>
      </c>
      <c r="CX37" s="39">
        <f t="shared" ref="CX37" si="205">+CX35/CT35-1</f>
        <v>0.2888200445609852</v>
      </c>
      <c r="CY37" s="39">
        <f t="shared" ref="CY37" si="206">+CY35/CU35-1</f>
        <v>0.28125977766561383</v>
      </c>
      <c r="CZ37" s="39">
        <f t="shared" ref="CZ37" si="207">+CZ35/CV35-1</f>
        <v>0.25547904270150368</v>
      </c>
      <c r="DA37" s="39">
        <f t="shared" ref="DA37" si="208">+DA35/CW35-1</f>
        <v>0.24996449237747109</v>
      </c>
      <c r="DD37" s="38">
        <v>-0.27552478610518649</v>
      </c>
      <c r="DE37" s="38">
        <v>1.0489807813249969</v>
      </c>
    </row>
    <row r="38" spans="1:109" s="38" customFormat="1" x14ac:dyDescent="0.2">
      <c r="A38" s="38" t="s">
        <v>447</v>
      </c>
      <c r="AB38" s="39"/>
      <c r="AC38" s="39"/>
      <c r="AD38" s="39"/>
      <c r="AE38" s="39"/>
      <c r="AJ38" s="38">
        <f>+IF(AI35&lt;0,1-AJ35/AI35,AJ35/AI35-1)</f>
        <v>-0.29577735124760041</v>
      </c>
      <c r="AK38" s="38">
        <f t="shared" ref="AK38" si="209">+IF(AJ35&lt;0,1-AK35/AJ35,AK35/AJ35-1)</f>
        <v>0.65055192150449659</v>
      </c>
      <c r="AL38" s="38">
        <f t="shared" ref="AL38" si="210">+IF(AK35&lt;0,1-AL35/AK35,AL35/AK35-1)</f>
        <v>-0.3555638120007435</v>
      </c>
      <c r="AM38" s="38">
        <f t="shared" ref="AM38" si="211">+IF(AL35&lt;0,1-AM35/AL35,AM35/AL35-1)</f>
        <v>-0.26687165689760051</v>
      </c>
      <c r="AN38" s="38">
        <f t="shared" ref="AN38" si="212">+IF(AM35&lt;0,1-AN35/AM35,AN35/AM35-1)</f>
        <v>0.33666826860063792</v>
      </c>
      <c r="AO38" s="38">
        <f t="shared" ref="AO38" si="213">+IF(AN35&lt;0,1-AO35/AN35,AO35/AN35-1)</f>
        <v>0.26850792613172092</v>
      </c>
      <c r="AP38" s="38">
        <f t="shared" ref="AP38" si="214">+IF(AO35&lt;0,1-AP35/AO35,AP35/AO35-1)</f>
        <v>-0.45325946920896742</v>
      </c>
      <c r="AQ38" s="38">
        <f t="shared" ref="AQ38" si="215">+IF(AP35&lt;0,1-AQ35/AP35,AQ35/AP35-1)</f>
        <v>-0.22852160799283583</v>
      </c>
      <c r="AR38" s="38">
        <f t="shared" ref="AR38" si="216">+IF(AQ35&lt;0,1-AR35/AQ35,AR35/AQ35-1)</f>
        <v>-2.6267562614538109E-3</v>
      </c>
      <c r="AS38" s="38">
        <f t="shared" ref="AS38" si="217">+IF(AR35&lt;0,1-AS35/AR35,AS35/AR35-1)</f>
        <v>-3.9811355423534645E-3</v>
      </c>
      <c r="AT38" s="38">
        <f t="shared" ref="AT38" si="218">+IF(AS35&lt;0,1-AT35/AS35,AT35/AS35-1)</f>
        <v>0.49612593776903191</v>
      </c>
      <c r="AU38" s="38">
        <f t="shared" ref="AU38" si="219">+IF(AT35&lt;0,1-AU35/AT35,AU35/AT35-1)</f>
        <v>-0.15302096177558544</v>
      </c>
      <c r="AV38" s="38">
        <f t="shared" ref="AV38" si="220">+IF(AU35&lt;0,1-AV35/AU35,AV35/AU35-1)</f>
        <v>9.3560440626971442E-2</v>
      </c>
      <c r="AW38" s="38">
        <f t="shared" ref="AW38" si="221">+IF(AV35&lt;0,1-AW35/AV35,AW35/AV35-1)</f>
        <v>0.31790548036387811</v>
      </c>
      <c r="AX38" s="38">
        <f t="shared" ref="AX38" si="222">+IF(AW35&lt;0,1-AX35/AW35,AX35/AW35-1)</f>
        <v>-0.1061988619145422</v>
      </c>
      <c r="AY38" s="38">
        <f t="shared" ref="AY38" si="223">+IF(AX35&lt;0,1-AY35/AX35,AY35/AX35-1)</f>
        <v>-0.52827274439630834</v>
      </c>
      <c r="AZ38" s="38">
        <f t="shared" ref="AZ38" si="224">+IF(AY35&lt;0,1-AZ35/AY35,AZ35/AY35-1)</f>
        <v>0.43619230154927413</v>
      </c>
      <c r="BA38" s="38">
        <f t="shared" ref="BA38" si="225">+IF(AZ35&lt;0,1-BA35/AZ35,BA35/AZ35-1)</f>
        <v>0.75884119217081825</v>
      </c>
      <c r="BB38" s="38">
        <f t="shared" ref="BB38" si="226">+IF(BA35&lt;0,1-BB35/BA35,BB35/BA35-1)</f>
        <v>-0.28851443204451366</v>
      </c>
      <c r="BC38" s="38">
        <f t="shared" ref="BC38" si="227">+IF(BB35&lt;0,1-BC35/BB35,BC35/BB35-1)</f>
        <v>-0.16023105976449648</v>
      </c>
      <c r="BD38" s="38">
        <f t="shared" ref="BD38" si="228">+IF(BC35&lt;0,1-BD35/BC35,BD35/BC35-1)</f>
        <v>0.50563521879464512</v>
      </c>
      <c r="BE38" s="38">
        <f t="shared" ref="BE38" si="229">+IF(BD35&lt;0,1-BE35/BD35,BE35/BD35-1)</f>
        <v>4.5615884730275891E-2</v>
      </c>
      <c r="BF38" s="38">
        <f t="shared" ref="BF38" si="230">+IF(BE35&lt;0,1-BF35/BE35,BF35/BE35-1)</f>
        <v>-0.14748092629314657</v>
      </c>
      <c r="BG38" s="38">
        <f t="shared" ref="BG38" si="231">+IF(BF35&lt;0,1-BG35/BF35,BG35/BF35-1)</f>
        <v>-1.7780406071358446E-2</v>
      </c>
      <c r="BH38" s="38">
        <f t="shared" ref="BH38" si="232">+IF(BG35&lt;0,1-BH35/BG35,BH35/BG35-1)</f>
        <v>0.35008428995745366</v>
      </c>
      <c r="BI38" s="38">
        <f t="shared" ref="BI38" si="233">+IF(BH35&lt;0,1-BI35/BH35,BI35/BH35-1)</f>
        <v>0.79605184920917993</v>
      </c>
      <c r="BJ38" s="38">
        <f t="shared" ref="BJ38" si="234">+IF(BI35&lt;0,1-BJ35/BI35,BJ35/BI35-1)</f>
        <v>-0.24435542607428973</v>
      </c>
      <c r="BK38" s="38">
        <f t="shared" ref="BK38" si="235">+IF(BJ35&lt;0,1-BK35/BJ35,BK35/BJ35-1)</f>
        <v>1.1807228915662771E-2</v>
      </c>
      <c r="BL38" s="38">
        <f t="shared" ref="BL38" si="236">+IF(BK35&lt;0,1-BL35/BK35,BL35/BK35-1)</f>
        <v>2.4269847799259558E-2</v>
      </c>
      <c r="BM38" s="38">
        <f t="shared" ref="BM38" si="237">+IF(BL35&lt;0,1-BM35/BL35,BM35/BL35-1)</f>
        <v>-0.11583174804481045</v>
      </c>
      <c r="BN38" s="38">
        <f t="shared" ref="BN38" si="238">+IF(BM35&lt;0,1-BN35/BM35,BN35/BM35-1)</f>
        <v>-0.32142003346880255</v>
      </c>
      <c r="BO38" s="38">
        <f t="shared" ref="BO38" si="239">+IF(BN35&lt;0,1-BO35/BN35,BO35/BN35-1)</f>
        <v>-0.67257354236392453</v>
      </c>
      <c r="BP38" s="38">
        <f t="shared" ref="BP38" si="240">+IF(BO35&lt;0,1-BP35/BO35,BP35/BO35-1)</f>
        <v>0.15848934796642999</v>
      </c>
      <c r="BQ38" s="38">
        <f t="shared" ref="BQ38" si="241">+IF(BP35&lt;0,1-BQ35/BP35,BQ35/BP35-1)</f>
        <v>2.032135228011517</v>
      </c>
      <c r="BR38" s="38">
        <f t="shared" ref="BR38" si="242">+IF(BQ35&lt;0,1-BR35/BQ35,BR35/BQ35-1)</f>
        <v>-0.53432168346249287</v>
      </c>
      <c r="BS38" s="38">
        <f t="shared" ref="BS38" si="243">+IF(BR35&lt;0,1-BS35/BR35,BS35/BR35-1)</f>
        <v>0.61297112412024024</v>
      </c>
      <c r="BT38" s="38">
        <f t="shared" ref="BT38" si="244">+IF(BS35&lt;0,1-BT35/BS35,BT35/BS35-1)</f>
        <v>0.19761846505179004</v>
      </c>
      <c r="BU38" s="38">
        <f t="shared" ref="BU38" si="245">+IF(BT35&lt;0,1-BU35/BT35,BU35/BT35-1)</f>
        <v>0.26024925088531714</v>
      </c>
      <c r="BV38" s="38">
        <f t="shared" ref="BV38" si="246">+IF(BU35&lt;0,1-BV35/BU35,BV35/BU35-1)</f>
        <v>-0.33884520818135122</v>
      </c>
      <c r="BW38" s="38">
        <f t="shared" ref="BW38" si="247">+IF(BV35&lt;0,1-BW35/BV35,BW35/BV35-1)</f>
        <v>-0.17736003269309386</v>
      </c>
      <c r="BX38" s="38">
        <f t="shared" ref="BX38" si="248">+IF(BW35&lt;0,1-BX35/BW35,BX35/BW35-1)</f>
        <v>1.1532538499751617</v>
      </c>
      <c r="BY38" s="38">
        <f t="shared" ref="BY38" si="249">+IF(BX35&lt;0,1-BY35/BX35,BY35/BX35-1)</f>
        <v>0.3981312723497521</v>
      </c>
      <c r="BZ38" s="38">
        <f t="shared" ref="BZ38" si="250">+IF(BY35&lt;0,1-BZ35/BY35,BZ35/BY35-1)</f>
        <v>2.1686082967558824</v>
      </c>
      <c r="CA38" s="38">
        <f t="shared" ref="CA38" si="251">+IF(BZ35&lt;0,1-CA35/BZ35,CA35/BZ35-1)</f>
        <v>0.14602862142232209</v>
      </c>
      <c r="CB38" s="38">
        <f t="shared" ref="CB38" si="252">+IF(CA35&lt;0,1-CB35/CA35,CB35/CA35-1)</f>
        <v>-0.12931633835457701</v>
      </c>
      <c r="CC38" s="38">
        <f t="shared" ref="CC38" si="253">+IF(CB35&lt;0,1-CC35/CB35,CC35/CB35-1)</f>
        <v>0.32245690397532445</v>
      </c>
      <c r="CD38" s="38">
        <f t="shared" ref="CD38" si="254">+IF(CC35&lt;0,1-CD35/CC35,CD35/CC35-1)</f>
        <v>-0.42066047862600242</v>
      </c>
      <c r="CE38" s="38">
        <f t="shared" ref="CE38" si="255">+IF(CD35&lt;0,1-CE35/CD35,CE35/CD35-1)</f>
        <v>-0.3531811989100816</v>
      </c>
      <c r="CF38" s="38">
        <f t="shared" ref="CF38" si="256">+IF(CE35&lt;0,1-CF35/CE35,CF35/CE35-1)</f>
        <v>-0.2167914652512295</v>
      </c>
      <c r="CG38" s="38">
        <f t="shared" ref="CG38" si="257">+IF(CF35&lt;0,1-CG35/CF35,CG35/CF35-1)</f>
        <v>-3.9667598967300099E-3</v>
      </c>
      <c r="CH38" s="38">
        <f t="shared" ref="CH38:CL38" si="258">+IF(CG35&lt;0,1-CH35/CG35,CH35/CG35-1)</f>
        <v>0.63413119490232628</v>
      </c>
      <c r="CI38" s="38">
        <f t="shared" si="258"/>
        <v>-0.32305340988888442</v>
      </c>
      <c r="CJ38" s="38">
        <f t="shared" si="258"/>
        <v>0.19185755604642374</v>
      </c>
      <c r="CK38" s="38">
        <f t="shared" si="258"/>
        <v>0.10069730294280288</v>
      </c>
      <c r="CL38" s="38">
        <f t="shared" si="258"/>
        <v>0.76942834311506525</v>
      </c>
      <c r="CM38" s="39">
        <f t="shared" ref="CM38" si="259">+CM35/CL35-1</f>
        <v>-0.13792352772141869</v>
      </c>
      <c r="CN38" s="39">
        <f t="shared" ref="CN38" si="260">+CN35/CM35-1</f>
        <v>0.53727272727272735</v>
      </c>
      <c r="CO38" s="39">
        <f t="shared" ref="CO38" si="261">+CO35/CN35-1</f>
        <v>3.9174216439976428E-2</v>
      </c>
      <c r="CP38" s="39">
        <f t="shared" ref="CP38" si="262">+CP35/CO35-1</f>
        <v>-2.4850034451683323E-2</v>
      </c>
      <c r="CQ38" s="39">
        <f t="shared" ref="CQ38" si="263">+CQ35/CP35-1</f>
        <v>7.2624868492654482E-3</v>
      </c>
      <c r="CR38" s="39">
        <f t="shared" ref="CR38" si="264">+CR35/CQ35-1</f>
        <v>0.38971610277933566</v>
      </c>
      <c r="CS38" s="39">
        <f t="shared" ref="CS38" si="265">+CS35/CR35-1</f>
        <v>1.9276948669843863E-2</v>
      </c>
      <c r="CT38" s="39">
        <f t="shared" ref="CT38" si="266">+CT35/CS35-1</f>
        <v>-3.3809476998251542E-2</v>
      </c>
      <c r="CU38" s="39">
        <f t="shared" ref="CU38" si="267">+CU35/CT35-1</f>
        <v>-5.335199376270805E-3</v>
      </c>
      <c r="CV38" s="39">
        <f t="shared" ref="CV38" si="268">+CV35/CU35-1</f>
        <v>0.33287082968546722</v>
      </c>
      <c r="CW38" s="39">
        <f t="shared" ref="CW38" si="269">+CW35/CV35-1</f>
        <v>1.0436140868955057E-2</v>
      </c>
      <c r="CX38" s="39">
        <f t="shared" ref="CX38" si="270">+CX35/CW35-1</f>
        <v>-3.7903582072853048E-2</v>
      </c>
      <c r="CY38" s="39">
        <f t="shared" ref="CY38" si="271">+CY35/CX35-1</f>
        <v>-1.116994053806597E-2</v>
      </c>
      <c r="CZ38" s="39">
        <f t="shared" ref="CZ38" si="272">+CZ35/CY35-1</f>
        <v>0.30605160832184874</v>
      </c>
      <c r="DA38" s="39">
        <f t="shared" ref="DA38" si="273">+DA35/CZ35-1</f>
        <v>5.9979138985923885E-3</v>
      </c>
      <c r="DD38" s="38">
        <v>-0.45051245603376422</v>
      </c>
      <c r="DE38" s="38">
        <v>1.4512881000551916</v>
      </c>
    </row>
    <row r="39" spans="1:109" s="22" customFormat="1" outlineLevel="1" x14ac:dyDescent="0.2">
      <c r="A39" s="22" t="s">
        <v>7</v>
      </c>
      <c r="B39" s="22">
        <f>'Annual Raw'!C13</f>
        <v>0.39354830000000002</v>
      </c>
      <c r="C39" s="22">
        <f>'Annual Raw'!D13</f>
        <v>0.49143431199999998</v>
      </c>
      <c r="D39" s="22">
        <f>'Annual Raw'!E13</f>
        <v>0</v>
      </c>
      <c r="E39" s="22">
        <f>'Annual Raw'!F13</f>
        <v>0</v>
      </c>
      <c r="F39" s="22">
        <f>'Annual Raw'!G13</f>
        <v>0</v>
      </c>
      <c r="G39" s="22">
        <f>'Annual Raw'!H13</f>
        <v>0</v>
      </c>
      <c r="H39" s="22">
        <f>'Annual Raw'!I13</f>
        <v>0</v>
      </c>
      <c r="I39" s="22">
        <f>'Annual Raw'!J13</f>
        <v>0</v>
      </c>
      <c r="J39" s="22">
        <f>'Annual Raw'!K13</f>
        <v>0</v>
      </c>
      <c r="K39" s="22">
        <f>'Annual Raw'!L13</f>
        <v>0</v>
      </c>
      <c r="L39" s="22">
        <f>'Annual Raw'!M13</f>
        <v>0</v>
      </c>
      <c r="M39" s="22">
        <f>'Annual Raw'!N13</f>
        <v>0</v>
      </c>
      <c r="N39" s="22">
        <f>'Annual Raw'!O13</f>
        <v>0</v>
      </c>
      <c r="O39" s="22">
        <f>'Annual Raw'!P13</f>
        <v>0</v>
      </c>
      <c r="P39" s="22">
        <f>'Annual Raw'!Q13</f>
        <v>0</v>
      </c>
      <c r="Q39" s="22">
        <f>'Annual Raw'!R13</f>
        <v>0</v>
      </c>
      <c r="R39" s="22">
        <f>'Annual Raw'!S13</f>
        <v>0</v>
      </c>
      <c r="S39" s="22">
        <f>'Annual Raw'!T13</f>
        <v>0</v>
      </c>
      <c r="T39" s="22">
        <f>'Annual Raw'!U13</f>
        <v>0</v>
      </c>
      <c r="U39" s="22">
        <f>'Annual Raw'!V13</f>
        <v>0</v>
      </c>
      <c r="V39" s="22">
        <f>'Annual Raw'!W13</f>
        <v>0</v>
      </c>
      <c r="W39" s="22">
        <f>'Annual Raw'!X13</f>
        <v>0</v>
      </c>
      <c r="X39" s="22">
        <f>'Annual Raw'!Y13</f>
        <v>0</v>
      </c>
      <c r="Y39" s="22">
        <f>'Annual Raw'!Z13</f>
        <v>1.9253</v>
      </c>
      <c r="Z39" s="22">
        <f>'Annual Raw'!AA13</f>
        <v>2.3254999999999999</v>
      </c>
      <c r="AA39" s="22">
        <f>'Annual Raw'!AB13</f>
        <v>1.7533000000000001</v>
      </c>
      <c r="AB39" s="75">
        <f t="shared" ref="AB39:AB44" si="274">+SUM(CL39:CO39)</f>
        <v>0</v>
      </c>
      <c r="AC39" s="75">
        <f t="shared" ref="AC39:AC44" si="275">+SUM(CP39:CS39)</f>
        <v>0</v>
      </c>
      <c r="AD39" s="75">
        <f t="shared" ref="AD39:AD44" si="276">+SUM(CT39:CW39)</f>
        <v>0</v>
      </c>
      <c r="AE39" s="75">
        <f t="shared" ref="AE39:AE44" si="277">+SUM(CX39:DA39)</f>
        <v>0</v>
      </c>
      <c r="AI39" s="22">
        <f>'QTR Raw'!C15</f>
        <v>0</v>
      </c>
      <c r="AJ39" s="22">
        <f>'QTR Raw'!D15</f>
        <v>0</v>
      </c>
      <c r="AK39" s="22">
        <f>'QTR Raw'!E15</f>
        <v>0</v>
      </c>
      <c r="AL39" s="22">
        <f>'QTR Raw'!F15</f>
        <v>0</v>
      </c>
      <c r="AM39" s="22">
        <f>'QTR Raw'!G15</f>
        <v>0</v>
      </c>
      <c r="AN39" s="22">
        <f>'QTR Raw'!H15</f>
        <v>0</v>
      </c>
      <c r="AO39" s="22">
        <f>'QTR Raw'!I15</f>
        <v>0</v>
      </c>
      <c r="AP39" s="22">
        <f>'QTR Raw'!J15</f>
        <v>0</v>
      </c>
      <c r="AQ39" s="22">
        <f>'QTR Raw'!K15</f>
        <v>0</v>
      </c>
      <c r="AR39" s="22">
        <f>'QTR Raw'!L15</f>
        <v>0</v>
      </c>
      <c r="AS39" s="22">
        <f>'QTR Raw'!M15</f>
        <v>0</v>
      </c>
      <c r="AT39" s="22">
        <f>'QTR Raw'!N15</f>
        <v>0</v>
      </c>
      <c r="AU39" s="22">
        <f>'QTR Raw'!O15</f>
        <v>0</v>
      </c>
      <c r="AV39" s="22">
        <f>'QTR Raw'!P15</f>
        <v>0</v>
      </c>
      <c r="AW39" s="22">
        <f>'QTR Raw'!Q15</f>
        <v>0</v>
      </c>
      <c r="AX39" s="22">
        <f>'QTR Raw'!R15</f>
        <v>0</v>
      </c>
      <c r="AY39" s="22">
        <f>'QTR Raw'!S15</f>
        <v>0</v>
      </c>
      <c r="AZ39" s="22">
        <f>'QTR Raw'!T15</f>
        <v>0</v>
      </c>
      <c r="BA39" s="22">
        <f>'QTR Raw'!U15</f>
        <v>0</v>
      </c>
      <c r="BB39" s="22">
        <f>'QTR Raw'!V15</f>
        <v>0</v>
      </c>
      <c r="BC39" s="22">
        <f>'QTR Raw'!W15</f>
        <v>0</v>
      </c>
      <c r="BD39" s="22">
        <f>'QTR Raw'!X15</f>
        <v>0</v>
      </c>
      <c r="BE39" s="22">
        <f>'QTR Raw'!Y15</f>
        <v>0</v>
      </c>
      <c r="BF39" s="22">
        <f>'QTR Raw'!Z15</f>
        <v>0</v>
      </c>
      <c r="BG39" s="22">
        <f>'QTR Raw'!AA15</f>
        <v>0</v>
      </c>
      <c r="BH39" s="22">
        <f>'QTR Raw'!AB15</f>
        <v>0</v>
      </c>
      <c r="BI39" s="22">
        <f>'QTR Raw'!AC15</f>
        <v>0</v>
      </c>
      <c r="BJ39" s="22">
        <f>'QTR Raw'!AD15</f>
        <v>0</v>
      </c>
      <c r="BK39" s="22">
        <f>'QTR Raw'!AE15</f>
        <v>0</v>
      </c>
      <c r="BL39" s="22">
        <f>'QTR Raw'!AF15</f>
        <v>0</v>
      </c>
      <c r="BM39" s="22">
        <f>'QTR Raw'!AG15</f>
        <v>0</v>
      </c>
      <c r="BN39" s="22">
        <f>'QTR Raw'!AH15</f>
        <v>0</v>
      </c>
      <c r="BO39" s="22">
        <f>'QTR Raw'!AI15</f>
        <v>0</v>
      </c>
      <c r="BP39" s="22">
        <f>'QTR Raw'!AJ15</f>
        <v>0</v>
      </c>
      <c r="BQ39" s="22">
        <f>'QTR Raw'!AK15</f>
        <v>0</v>
      </c>
      <c r="BR39" s="22">
        <f>'QTR Raw'!AL15</f>
        <v>0</v>
      </c>
      <c r="BS39" s="22">
        <f>'QTR Raw'!AM15</f>
        <v>0</v>
      </c>
      <c r="BT39" s="22">
        <f>'QTR Raw'!AN15</f>
        <v>0</v>
      </c>
      <c r="BU39" s="22">
        <f>'QTR Raw'!AO15</f>
        <v>0</v>
      </c>
      <c r="BV39" s="22">
        <f>'QTR Raw'!AP15</f>
        <v>0</v>
      </c>
      <c r="BW39" s="22">
        <f>'QTR Raw'!AQ15</f>
        <v>0</v>
      </c>
      <c r="BX39" s="22">
        <f>'QTR Raw'!AR15</f>
        <v>0</v>
      </c>
      <c r="BY39" s="22">
        <f>'QTR Raw'!AS15</f>
        <v>0</v>
      </c>
      <c r="BZ39" s="22">
        <f>'QTR Raw'!AT15</f>
        <v>0</v>
      </c>
      <c r="CA39" s="22">
        <f>'QTR Raw'!AU15</f>
        <v>0</v>
      </c>
      <c r="CB39" s="22">
        <f>'QTR Raw'!AV15</f>
        <v>0</v>
      </c>
      <c r="CC39" s="22">
        <f>'QTR Raw'!AW15</f>
        <v>0</v>
      </c>
      <c r="CD39" s="22">
        <f>'QTR Raw'!AX15</f>
        <v>0</v>
      </c>
      <c r="CE39" s="22">
        <f>'QTR Raw'!AY15</f>
        <v>0</v>
      </c>
      <c r="CF39" s="22">
        <f>'QTR Raw'!AZ15</f>
        <v>0</v>
      </c>
      <c r="CG39" s="22">
        <f>'QTR Raw'!BA15</f>
        <v>0</v>
      </c>
      <c r="CH39" s="22">
        <f>'QTR Raw'!BB15</f>
        <v>0</v>
      </c>
      <c r="CI39" s="22">
        <f>'QTR Raw'!BC15</f>
        <v>0</v>
      </c>
      <c r="CJ39" s="22">
        <f>'QTR Raw'!BD15</f>
        <v>0</v>
      </c>
      <c r="CK39" s="22">
        <f>'QTR Raw'!BE15</f>
        <v>0</v>
      </c>
      <c r="CL39" s="22">
        <f>'QTR Raw'!BF15</f>
        <v>0</v>
      </c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D39" s="22">
        <v>0</v>
      </c>
    </row>
    <row r="40" spans="1:109" s="22" customFormat="1" outlineLevel="1" x14ac:dyDescent="0.2">
      <c r="A40" s="22" t="s">
        <v>11</v>
      </c>
      <c r="B40" s="22">
        <f>('Annual Raw'!C18)</f>
        <v>0.49196157899999998</v>
      </c>
      <c r="C40" s="22">
        <f>('Annual Raw'!D18)</f>
        <v>5.5031474019999997</v>
      </c>
      <c r="D40" s="22">
        <f>('Annual Raw'!E18)</f>
        <v>0</v>
      </c>
      <c r="E40" s="22">
        <f>('Annual Raw'!F18)</f>
        <v>0</v>
      </c>
      <c r="F40" s="22">
        <f>('Annual Raw'!G18)</f>
        <v>0</v>
      </c>
      <c r="G40" s="22">
        <f>('Annual Raw'!H18)</f>
        <v>0</v>
      </c>
      <c r="H40" s="22">
        <f>('Annual Raw'!I18)</f>
        <v>0</v>
      </c>
      <c r="I40" s="22">
        <f>('Annual Raw'!J18)</f>
        <v>0</v>
      </c>
      <c r="J40" s="22">
        <f>('Annual Raw'!K18)</f>
        <v>0</v>
      </c>
      <c r="K40" s="22">
        <f>('Annual Raw'!L18)</f>
        <v>0</v>
      </c>
      <c r="L40" s="22">
        <f>('Annual Raw'!M18)</f>
        <v>0</v>
      </c>
      <c r="M40" s="22">
        <f>('Annual Raw'!N18)</f>
        <v>0</v>
      </c>
      <c r="N40" s="22">
        <f>('Annual Raw'!O18)</f>
        <v>0</v>
      </c>
      <c r="O40" s="22">
        <f>('Annual Raw'!P18)</f>
        <v>0</v>
      </c>
      <c r="P40" s="22">
        <f>('Annual Raw'!Q18)</f>
        <v>0</v>
      </c>
      <c r="Q40" s="22">
        <f>('Annual Raw'!R18)</f>
        <v>0</v>
      </c>
      <c r="R40" s="22">
        <f>('Annual Raw'!S18)</f>
        <v>0</v>
      </c>
      <c r="S40" s="22">
        <f>('Annual Raw'!T18)</f>
        <v>0</v>
      </c>
      <c r="T40" s="22">
        <f>('Annual Raw'!U18)</f>
        <v>0</v>
      </c>
      <c r="U40" s="22">
        <f>('Annual Raw'!V18)</f>
        <v>0</v>
      </c>
      <c r="V40" s="22">
        <f>('Annual Raw'!W18)</f>
        <v>0</v>
      </c>
      <c r="W40" s="22">
        <f>('Annual Raw'!X18)</f>
        <v>0</v>
      </c>
      <c r="X40" s="22">
        <f>('Annual Raw'!Y18)</f>
        <v>0</v>
      </c>
      <c r="Y40" s="22">
        <f>('Annual Raw'!Z18)</f>
        <v>9.9304000000000006</v>
      </c>
      <c r="Z40" s="22">
        <f>('Annual Raw'!AA18)</f>
        <v>5.6444999999999999</v>
      </c>
      <c r="AA40" s="22">
        <f>('Annual Raw'!AB18)</f>
        <v>4.8796999999999997</v>
      </c>
      <c r="AB40" s="75">
        <f t="shared" si="274"/>
        <v>0</v>
      </c>
      <c r="AC40" s="75">
        <f t="shared" si="275"/>
        <v>0</v>
      </c>
      <c r="AD40" s="75">
        <f t="shared" si="276"/>
        <v>0</v>
      </c>
      <c r="AE40" s="75">
        <f t="shared" si="277"/>
        <v>0</v>
      </c>
      <c r="AI40" s="22">
        <f>'QTR Raw'!C18</f>
        <v>0</v>
      </c>
      <c r="AJ40" s="22">
        <f>'QTR Raw'!D18</f>
        <v>0</v>
      </c>
      <c r="AK40" s="22">
        <f>'QTR Raw'!E18</f>
        <v>0</v>
      </c>
      <c r="AL40" s="22">
        <f>'QTR Raw'!F18</f>
        <v>0</v>
      </c>
      <c r="AM40" s="22">
        <f>'QTR Raw'!G18</f>
        <v>0</v>
      </c>
      <c r="AN40" s="22">
        <f>'QTR Raw'!H18</f>
        <v>0</v>
      </c>
      <c r="AO40" s="22">
        <f>'QTR Raw'!I18</f>
        <v>0</v>
      </c>
      <c r="AP40" s="22">
        <f>'QTR Raw'!J18</f>
        <v>0</v>
      </c>
      <c r="AQ40" s="22">
        <f>'QTR Raw'!K18</f>
        <v>0</v>
      </c>
      <c r="AR40" s="22">
        <f>'QTR Raw'!L18</f>
        <v>0</v>
      </c>
      <c r="AS40" s="22">
        <f>'QTR Raw'!M18</f>
        <v>0</v>
      </c>
      <c r="AT40" s="22">
        <f>'QTR Raw'!N18</f>
        <v>0</v>
      </c>
      <c r="AU40" s="22">
        <f>'QTR Raw'!O18</f>
        <v>0</v>
      </c>
      <c r="AV40" s="22">
        <f>'QTR Raw'!P18</f>
        <v>0</v>
      </c>
      <c r="AW40" s="22">
        <f>'QTR Raw'!Q18</f>
        <v>0</v>
      </c>
      <c r="AX40" s="22">
        <f>'QTR Raw'!R18</f>
        <v>0</v>
      </c>
      <c r="AY40" s="22">
        <f>'QTR Raw'!S18</f>
        <v>0</v>
      </c>
      <c r="AZ40" s="22">
        <f>'QTR Raw'!T18</f>
        <v>0</v>
      </c>
      <c r="BA40" s="22">
        <f>'QTR Raw'!U18</f>
        <v>0</v>
      </c>
      <c r="BB40" s="22">
        <f>'QTR Raw'!V18</f>
        <v>0</v>
      </c>
      <c r="BC40" s="22">
        <f>'QTR Raw'!W18</f>
        <v>0</v>
      </c>
      <c r="BD40" s="22">
        <f>'QTR Raw'!X18</f>
        <v>0</v>
      </c>
      <c r="BE40" s="22">
        <f>'QTR Raw'!Y18</f>
        <v>0</v>
      </c>
      <c r="BF40" s="22">
        <f>'QTR Raw'!Z18</f>
        <v>0</v>
      </c>
      <c r="BG40" s="22">
        <f>'QTR Raw'!AA18</f>
        <v>0</v>
      </c>
      <c r="BH40" s="22">
        <f>'QTR Raw'!AB18</f>
        <v>0</v>
      </c>
      <c r="BI40" s="22">
        <f>'QTR Raw'!AC18</f>
        <v>0</v>
      </c>
      <c r="BJ40" s="22">
        <f>'QTR Raw'!AD18</f>
        <v>0</v>
      </c>
      <c r="BK40" s="22">
        <f>'QTR Raw'!AE18</f>
        <v>0</v>
      </c>
      <c r="BL40" s="22">
        <f>'QTR Raw'!AF18</f>
        <v>0</v>
      </c>
      <c r="BM40" s="22">
        <f>'QTR Raw'!AG18</f>
        <v>0</v>
      </c>
      <c r="BN40" s="22">
        <f>'QTR Raw'!AH18</f>
        <v>0</v>
      </c>
      <c r="BO40" s="22">
        <f>'QTR Raw'!AI18</f>
        <v>0</v>
      </c>
      <c r="BP40" s="22">
        <f>'QTR Raw'!AJ18</f>
        <v>0</v>
      </c>
      <c r="BQ40" s="22">
        <f>'QTR Raw'!AK18</f>
        <v>0</v>
      </c>
      <c r="BR40" s="22">
        <f>'QTR Raw'!AL18</f>
        <v>0</v>
      </c>
      <c r="BS40" s="22">
        <f>'QTR Raw'!AM18</f>
        <v>0</v>
      </c>
      <c r="BT40" s="22">
        <f>'QTR Raw'!AN18</f>
        <v>0</v>
      </c>
      <c r="BU40" s="22">
        <f>'QTR Raw'!AO18</f>
        <v>0</v>
      </c>
      <c r="BV40" s="22">
        <f>'QTR Raw'!AP18</f>
        <v>0</v>
      </c>
      <c r="BW40" s="22">
        <f>'QTR Raw'!AQ18</f>
        <v>0</v>
      </c>
      <c r="BX40" s="22">
        <f>'QTR Raw'!AR18</f>
        <v>0</v>
      </c>
      <c r="BY40" s="22">
        <f>'QTR Raw'!AS18</f>
        <v>0</v>
      </c>
      <c r="BZ40" s="22">
        <f>'QTR Raw'!AT18</f>
        <v>0</v>
      </c>
      <c r="CA40" s="22">
        <f>'QTR Raw'!AU18</f>
        <v>0</v>
      </c>
      <c r="CB40" s="22">
        <f>'QTR Raw'!AV18</f>
        <v>0</v>
      </c>
      <c r="CC40" s="22">
        <f>'QTR Raw'!AW18</f>
        <v>0</v>
      </c>
      <c r="CD40" s="22">
        <f>'QTR Raw'!AX18</f>
        <v>0</v>
      </c>
      <c r="CE40" s="22">
        <f>'QTR Raw'!AY18</f>
        <v>0</v>
      </c>
      <c r="CF40" s="22">
        <f>'QTR Raw'!AZ18</f>
        <v>0</v>
      </c>
      <c r="CG40" s="22">
        <f>'QTR Raw'!BA18</f>
        <v>0</v>
      </c>
      <c r="CH40" s="22">
        <f>'QTR Raw'!BB18</f>
        <v>0</v>
      </c>
      <c r="CI40" s="22">
        <f>'QTR Raw'!BC18</f>
        <v>0</v>
      </c>
      <c r="CJ40" s="22">
        <f>'QTR Raw'!BD18</f>
        <v>0</v>
      </c>
      <c r="CK40" s="22">
        <f>'QTR Raw'!BE18</f>
        <v>0</v>
      </c>
      <c r="CL40" s="22">
        <f>'QTR Raw'!BF18</f>
        <v>0</v>
      </c>
      <c r="CM40" s="23"/>
      <c r="CN40" s="23"/>
      <c r="CO40" s="23"/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D40" s="22">
        <v>0</v>
      </c>
    </row>
    <row r="41" spans="1:109" s="22" customFormat="1" outlineLevel="1" x14ac:dyDescent="0.2">
      <c r="A41" s="22" t="s">
        <v>9</v>
      </c>
      <c r="B41" s="22">
        <f>'Annual Raw'!C15+'Annual Raw'!C16</f>
        <v>13.841807291</v>
      </c>
      <c r="C41" s="22">
        <f>'Annual Raw'!D15+'Annual Raw'!D16</f>
        <v>12.645186949999999</v>
      </c>
      <c r="D41" s="22">
        <f>'Annual Raw'!E15+'Annual Raw'!E16</f>
        <v>0</v>
      </c>
      <c r="E41" s="22">
        <f>'Annual Raw'!F15+'Annual Raw'!F16</f>
        <v>0</v>
      </c>
      <c r="F41" s="22">
        <f>'Annual Raw'!G15+'Annual Raw'!G16</f>
        <v>0</v>
      </c>
      <c r="G41" s="22">
        <f>'Annual Raw'!H15+'Annual Raw'!H16</f>
        <v>0</v>
      </c>
      <c r="H41" s="22">
        <f>'Annual Raw'!I15+'Annual Raw'!I16</f>
        <v>0</v>
      </c>
      <c r="I41" s="22">
        <f>'Annual Raw'!J15+'Annual Raw'!J16</f>
        <v>0</v>
      </c>
      <c r="J41" s="22">
        <f>'Annual Raw'!K15+'Annual Raw'!K16</f>
        <v>0</v>
      </c>
      <c r="K41" s="22">
        <f>'Annual Raw'!L15+'Annual Raw'!L16</f>
        <v>0</v>
      </c>
      <c r="L41" s="22">
        <f>'Annual Raw'!M15+'Annual Raw'!M16</f>
        <v>0</v>
      </c>
      <c r="M41" s="22">
        <f>'Annual Raw'!N15+'Annual Raw'!N16</f>
        <v>0</v>
      </c>
      <c r="N41" s="22">
        <f>'Annual Raw'!O15+'Annual Raw'!O16</f>
        <v>0</v>
      </c>
      <c r="O41" s="22">
        <f>'Annual Raw'!P15+'Annual Raw'!P16</f>
        <v>0</v>
      </c>
      <c r="P41" s="22">
        <f>'Annual Raw'!Q15+'Annual Raw'!Q16</f>
        <v>0</v>
      </c>
      <c r="Q41" s="22">
        <f>'Annual Raw'!R15+'Annual Raw'!R16</f>
        <v>0</v>
      </c>
      <c r="R41" s="22">
        <f>'Annual Raw'!S15+'Annual Raw'!S16</f>
        <v>0</v>
      </c>
      <c r="S41" s="22">
        <f>'Annual Raw'!T15+'Annual Raw'!T16</f>
        <v>0</v>
      </c>
      <c r="T41" s="22">
        <f>'Annual Raw'!U15+'Annual Raw'!U16</f>
        <v>0</v>
      </c>
      <c r="U41" s="22">
        <f>'Annual Raw'!V15+'Annual Raw'!V16</f>
        <v>0</v>
      </c>
      <c r="V41" s="22">
        <f>'Annual Raw'!W15+'Annual Raw'!W16</f>
        <v>0</v>
      </c>
      <c r="W41" s="22">
        <f>'Annual Raw'!X15+'Annual Raw'!X16</f>
        <v>0</v>
      </c>
      <c r="X41" s="22">
        <f>'Annual Raw'!Y15+'Annual Raw'!Y16</f>
        <v>0</v>
      </c>
      <c r="Y41" s="22">
        <f>'Annual Raw'!Z15+'Annual Raw'!Z16</f>
        <v>53.766100000000002</v>
      </c>
      <c r="Z41" s="22">
        <f>'Annual Raw'!AA15+'Annual Raw'!AA16</f>
        <v>33.984299999999998</v>
      </c>
      <c r="AA41" s="22">
        <f>'Annual Raw'!AB15+'Annual Raw'!AB16</f>
        <v>42.633400000000002</v>
      </c>
      <c r="AB41" s="75">
        <f t="shared" si="274"/>
        <v>512.0002124093985</v>
      </c>
      <c r="AC41" s="75">
        <f t="shared" si="275"/>
        <v>685.90304754892827</v>
      </c>
      <c r="AD41" s="75">
        <f t="shared" si="276"/>
        <v>852.52358645339712</v>
      </c>
      <c r="AE41" s="75">
        <f t="shared" si="277"/>
        <v>1004.7354180301622</v>
      </c>
      <c r="AI41" s="22">
        <f>'QTR Raw'!C14</f>
        <v>24.914000000000001</v>
      </c>
      <c r="AJ41" s="22">
        <f>'QTR Raw'!D14</f>
        <v>22.731000000000002</v>
      </c>
      <c r="AK41" s="22">
        <f>'QTR Raw'!E14</f>
        <v>33.6</v>
      </c>
      <c r="AL41" s="22">
        <f>'QTR Raw'!F14</f>
        <v>27.844000000000001</v>
      </c>
      <c r="AM41" s="22">
        <f>'QTR Raw'!G14</f>
        <v>29.033000000000001</v>
      </c>
      <c r="AN41" s="22">
        <f>'QTR Raw'!H14</f>
        <v>31.506</v>
      </c>
      <c r="AO41" s="22">
        <f>'QTR Raw'!I14</f>
        <v>15.744999999999999</v>
      </c>
      <c r="AP41" s="22">
        <f>'QTR Raw'!J14</f>
        <v>20.861999999999998</v>
      </c>
      <c r="AQ41" s="22">
        <f>'QTR Raw'!K14</f>
        <v>8.8160000000000007</v>
      </c>
      <c r="AR41" s="22">
        <f>'QTR Raw'!L14</f>
        <v>8.8789999999999996</v>
      </c>
      <c r="AS41" s="22">
        <f>'QTR Raw'!M14</f>
        <v>8.4220000000000006</v>
      </c>
      <c r="AT41" s="22">
        <f>'QTR Raw'!N14</f>
        <v>11.5</v>
      </c>
      <c r="AU41" s="22">
        <f>'QTR Raw'!O14</f>
        <v>7.2729999999999997</v>
      </c>
      <c r="AV41" s="22">
        <f>'QTR Raw'!P14</f>
        <v>12.663</v>
      </c>
      <c r="AW41" s="22">
        <f>'QTR Raw'!Q14</f>
        <v>12.186</v>
      </c>
      <c r="AX41" s="22">
        <f>'QTR Raw'!R14</f>
        <v>18.786999999999999</v>
      </c>
      <c r="AY41" s="22">
        <f>'QTR Raw'!S14</f>
        <v>10.648</v>
      </c>
      <c r="AZ41" s="22">
        <f>'QTR Raw'!T14</f>
        <v>6.5010000000000003</v>
      </c>
      <c r="BA41" s="22">
        <f>'QTR Raw'!U14</f>
        <v>9.3710000000000004</v>
      </c>
      <c r="BB41" s="22">
        <f>'QTR Raw'!V14</f>
        <v>10.627000000000001</v>
      </c>
      <c r="BC41" s="22">
        <f>'QTR Raw'!W14</f>
        <v>6.9009999999999998</v>
      </c>
      <c r="BD41" s="22">
        <f>'QTR Raw'!X14</f>
        <v>12.724</v>
      </c>
      <c r="BE41" s="22">
        <f>'QTR Raw'!Y14</f>
        <v>11.567</v>
      </c>
      <c r="BF41" s="22">
        <f>'QTR Raw'!Z14</f>
        <v>15.859</v>
      </c>
      <c r="BG41" s="22">
        <f>'QTR Raw'!AA14</f>
        <v>14.412000000000001</v>
      </c>
      <c r="BH41" s="22">
        <f>'QTR Raw'!AB14</f>
        <v>12.695</v>
      </c>
      <c r="BI41" s="22">
        <f>'QTR Raw'!AC14</f>
        <v>23.405999999999999</v>
      </c>
      <c r="BJ41" s="22">
        <f>'QTR Raw'!AD14</f>
        <v>27.998999999999999</v>
      </c>
      <c r="BK41" s="22">
        <f>'QTR Raw'!AE14</f>
        <v>26.527000000000001</v>
      </c>
      <c r="BL41" s="22">
        <f>'QTR Raw'!AF14</f>
        <v>21.675000000000001</v>
      </c>
      <c r="BM41" s="22">
        <f>'QTR Raw'!AG14</f>
        <v>21.282</v>
      </c>
      <c r="BN41" s="22">
        <f>'QTR Raw'!AH14</f>
        <v>12.644</v>
      </c>
      <c r="BO41" s="22">
        <f>'QTR Raw'!AI14</f>
        <v>7.601</v>
      </c>
      <c r="BP41" s="22">
        <f>'QTR Raw'!AJ14</f>
        <v>8.6259999999999994</v>
      </c>
      <c r="BQ41" s="22">
        <f>'QTR Raw'!AK14</f>
        <v>19.867000000000001</v>
      </c>
      <c r="BR41" s="22">
        <f>'QTR Raw'!AL14</f>
        <v>11.505000000000001</v>
      </c>
      <c r="BS41" s="22">
        <f>'QTR Raw'!AM14</f>
        <v>13.565</v>
      </c>
      <c r="BT41" s="22">
        <f>'QTR Raw'!AN14</f>
        <v>11.686</v>
      </c>
      <c r="BU41" s="22">
        <f>'QTR Raw'!AO14</f>
        <v>18.937000000000001</v>
      </c>
      <c r="BV41" s="22">
        <f>'QTR Raw'!AP14</f>
        <v>11.936</v>
      </c>
      <c r="BW41" s="22">
        <f>'QTR Raw'!AQ14</f>
        <v>13.555999999999999</v>
      </c>
      <c r="BX41" s="22">
        <f>'QTR Raw'!AR14</f>
        <v>33.719000000000001</v>
      </c>
      <c r="BY41" s="22">
        <f>'QTR Raw'!AS14</f>
        <v>38.637999999999998</v>
      </c>
      <c r="BZ41" s="22">
        <f>'QTR Raw'!AT14</f>
        <v>167.01599999999999</v>
      </c>
      <c r="CA41" s="22">
        <f>'QTR Raw'!AU14</f>
        <v>195.809</v>
      </c>
      <c r="CB41" s="22">
        <f>'QTR Raw'!AV14</f>
        <v>168.423</v>
      </c>
      <c r="CC41" s="22">
        <f>'QTR Raw'!AW14</f>
        <v>224.28</v>
      </c>
      <c r="CD41" s="22">
        <f>'QTR Raw'!AX14</f>
        <v>124.381</v>
      </c>
      <c r="CE41" s="22">
        <f>'QTR Raw'!AY14</f>
        <v>78.183000000000007</v>
      </c>
      <c r="CF41" s="22">
        <f>'QTR Raw'!AZ14</f>
        <v>66.257999999999996</v>
      </c>
      <c r="CG41" s="22">
        <f>'QTR Raw'!BA14</f>
        <v>63.085000000000001</v>
      </c>
      <c r="CH41" s="22">
        <f>'QTR Raw'!BB14</f>
        <v>61.695999999999998</v>
      </c>
      <c r="CI41" s="22">
        <f>'QTR Raw'!BC14</f>
        <v>61.502000000000002</v>
      </c>
      <c r="CJ41" s="22">
        <f>'QTR Raw'!BD14</f>
        <v>74.052000000000007</v>
      </c>
      <c r="CK41" s="22">
        <v>76.473100000000002</v>
      </c>
      <c r="CL41" s="22">
        <f>'QTR Raw'!BF14</f>
        <v>113.71</v>
      </c>
      <c r="CM41" s="23">
        <f>+CM23*CM29</f>
        <v>98.026715662797471</v>
      </c>
      <c r="CN41" s="23">
        <f>+CN23*CN29</f>
        <v>148.41094653253683</v>
      </c>
      <c r="CO41" s="23">
        <f t="shared" ref="CO41:DA41" si="278">+CO23*CO29</f>
        <v>151.85255021406419</v>
      </c>
      <c r="CP41" s="23">
        <f t="shared" si="278"/>
        <v>145.76568146106874</v>
      </c>
      <c r="CQ41" s="23">
        <f t="shared" si="278"/>
        <v>144.49417464552798</v>
      </c>
      <c r="CR41" s="23">
        <f t="shared" si="278"/>
        <v>197.56766463689416</v>
      </c>
      <c r="CS41" s="23">
        <f t="shared" si="278"/>
        <v>198.07552680543733</v>
      </c>
      <c r="CT41" s="23">
        <f t="shared" si="278"/>
        <v>188.18965017384267</v>
      </c>
      <c r="CU41" s="23">
        <f t="shared" si="278"/>
        <v>184.01358840523838</v>
      </c>
      <c r="CV41" s="23">
        <f t="shared" si="278"/>
        <v>241.03843470850779</v>
      </c>
      <c r="CW41" s="23">
        <f t="shared" si="278"/>
        <v>239.28191316580831</v>
      </c>
      <c r="CX41" s="23">
        <f t="shared" si="278"/>
        <v>226.10216426778237</v>
      </c>
      <c r="CY41" s="23">
        <f t="shared" si="278"/>
        <v>219.51241892732844</v>
      </c>
      <c r="CZ41" s="23">
        <f t="shared" si="278"/>
        <v>281.38649596150697</v>
      </c>
      <c r="DA41" s="23">
        <f t="shared" si="278"/>
        <v>277.73433887354435</v>
      </c>
      <c r="DD41" s="22">
        <v>39.683199314932502</v>
      </c>
      <c r="DE41" s="22">
        <v>166.64904470540691</v>
      </c>
    </row>
    <row r="42" spans="1:109" s="22" customFormat="1" outlineLevel="1" x14ac:dyDescent="0.2">
      <c r="A42" s="22" t="s">
        <v>8</v>
      </c>
      <c r="B42" s="22">
        <f>'Annual Raw'!C14</f>
        <v>4.8360056299999998</v>
      </c>
      <c r="C42" s="22">
        <f>'Annual Raw'!D14</f>
        <v>4.8083722949999999</v>
      </c>
      <c r="D42" s="22">
        <f>'Annual Raw'!E14</f>
        <v>0</v>
      </c>
      <c r="E42" s="22">
        <f>'Annual Raw'!F14</f>
        <v>0</v>
      </c>
      <c r="F42" s="22">
        <f>'Annual Raw'!G14</f>
        <v>0</v>
      </c>
      <c r="G42" s="22">
        <f>'Annual Raw'!H14</f>
        <v>0</v>
      </c>
      <c r="H42" s="22">
        <f>'Annual Raw'!I14</f>
        <v>0</v>
      </c>
      <c r="I42" s="22">
        <f>'Annual Raw'!J14</f>
        <v>0</v>
      </c>
      <c r="J42" s="22">
        <f>'Annual Raw'!K14</f>
        <v>0</v>
      </c>
      <c r="K42" s="22">
        <f>'Annual Raw'!L14</f>
        <v>0</v>
      </c>
      <c r="L42" s="22">
        <f>'Annual Raw'!M14</f>
        <v>0</v>
      </c>
      <c r="M42" s="22">
        <f>'Annual Raw'!N14</f>
        <v>0</v>
      </c>
      <c r="N42" s="22">
        <f>'Annual Raw'!O14</f>
        <v>0</v>
      </c>
      <c r="O42" s="22">
        <f>'Annual Raw'!P14</f>
        <v>0</v>
      </c>
      <c r="P42" s="22">
        <f>'Annual Raw'!Q14</f>
        <v>0</v>
      </c>
      <c r="Q42" s="22">
        <f>'Annual Raw'!R14</f>
        <v>0</v>
      </c>
      <c r="R42" s="22">
        <f>'Annual Raw'!S14</f>
        <v>0</v>
      </c>
      <c r="S42" s="22">
        <f>'Annual Raw'!T14</f>
        <v>0</v>
      </c>
      <c r="T42" s="22">
        <f>'Annual Raw'!U14</f>
        <v>0</v>
      </c>
      <c r="U42" s="22">
        <f>'Annual Raw'!V14</f>
        <v>0</v>
      </c>
      <c r="V42" s="22">
        <f>'Annual Raw'!W14</f>
        <v>0</v>
      </c>
      <c r="W42" s="22">
        <f>'Annual Raw'!X14</f>
        <v>0</v>
      </c>
      <c r="X42" s="22">
        <f>'Annual Raw'!Y14</f>
        <v>0</v>
      </c>
      <c r="Y42" s="22">
        <f>'Annual Raw'!Z14</f>
        <v>50.491</v>
      </c>
      <c r="Z42" s="22">
        <f>'Annual Raw'!AA14</f>
        <v>62.074100000000001</v>
      </c>
      <c r="AA42" s="22">
        <f>'Annual Raw'!AB14</f>
        <v>63.348500000000001</v>
      </c>
      <c r="AB42" s="75">
        <f t="shared" si="274"/>
        <v>286.33999999999997</v>
      </c>
      <c r="AC42" s="75">
        <f t="shared" si="275"/>
        <v>314.97399999999999</v>
      </c>
      <c r="AD42" s="75">
        <f t="shared" si="276"/>
        <v>346.47140000000002</v>
      </c>
      <c r="AE42" s="75">
        <f t="shared" si="277"/>
        <v>381.11854000000005</v>
      </c>
      <c r="AI42" s="22">
        <f>'QTR Raw'!C16</f>
        <v>9.9250000000000007</v>
      </c>
      <c r="AJ42" s="22">
        <f>'QTR Raw'!D16</f>
        <v>12.134</v>
      </c>
      <c r="AK42" s="22">
        <f>'QTR Raw'!E16</f>
        <v>12.361000000000001</v>
      </c>
      <c r="AL42" s="22">
        <f>'QTR Raw'!F16</f>
        <v>8.9830000000000005</v>
      </c>
      <c r="AM42" s="22">
        <f>'QTR Raw'!G16</f>
        <v>11.882999999999999</v>
      </c>
      <c r="AN42" s="22">
        <f>'QTR Raw'!H16</f>
        <v>11.589</v>
      </c>
      <c r="AO42" s="22">
        <f>'QTR Raw'!I16</f>
        <v>10.835000000000001</v>
      </c>
      <c r="AP42" s="22">
        <f>'QTR Raw'!J16</f>
        <v>8.5410000000000004</v>
      </c>
      <c r="AQ42" s="22">
        <f>'QTR Raw'!K16</f>
        <v>11.792999999999999</v>
      </c>
      <c r="AR42" s="22">
        <f>'QTR Raw'!L16</f>
        <v>11.705</v>
      </c>
      <c r="AS42" s="22">
        <f>'QTR Raw'!M16</f>
        <v>10.898999999999999</v>
      </c>
      <c r="AT42" s="22">
        <f>'QTR Raw'!N16</f>
        <v>9.7080000000000002</v>
      </c>
      <c r="AU42" s="22">
        <f>'QTR Raw'!O16</f>
        <v>12.282</v>
      </c>
      <c r="AV42" s="22">
        <f>'QTR Raw'!P16</f>
        <v>11.928000000000001</v>
      </c>
      <c r="AW42" s="22">
        <f>'QTR Raw'!Q16</f>
        <v>11.273999999999999</v>
      </c>
      <c r="AX42" s="22">
        <f>'QTR Raw'!R16</f>
        <v>8.6850000000000005</v>
      </c>
      <c r="AY42" s="22">
        <f>'QTR Raw'!S16</f>
        <v>11.632</v>
      </c>
      <c r="AZ42" s="22">
        <f>'QTR Raw'!T16</f>
        <v>11.433999999999999</v>
      </c>
      <c r="BA42" s="22">
        <f>'QTR Raw'!U16</f>
        <v>13.599</v>
      </c>
      <c r="BB42" s="22">
        <f>'QTR Raw'!V16</f>
        <v>10.882999999999999</v>
      </c>
      <c r="BC42" s="22">
        <f>'QTR Raw'!W16</f>
        <v>12.945</v>
      </c>
      <c r="BD42" s="22">
        <f>'QTR Raw'!X16</f>
        <v>12.843999999999999</v>
      </c>
      <c r="BE42" s="22">
        <f>'QTR Raw'!Y16</f>
        <v>12.625</v>
      </c>
      <c r="BF42" s="22">
        <f>'QTR Raw'!Z16</f>
        <v>13.195</v>
      </c>
      <c r="BG42" s="22">
        <f>'QTR Raw'!AA16</f>
        <v>14.135999999999999</v>
      </c>
      <c r="BH42" s="22">
        <f>'QTR Raw'!AB16</f>
        <v>13.49</v>
      </c>
      <c r="BI42" s="22">
        <f>'QTR Raw'!AC16</f>
        <v>13.07</v>
      </c>
      <c r="BJ42" s="22">
        <f>'QTR Raw'!AD16</f>
        <v>13.807</v>
      </c>
      <c r="BK42" s="22">
        <f>'QTR Raw'!AE16</f>
        <v>14.98</v>
      </c>
      <c r="BL42" s="22">
        <f>'QTR Raw'!AF16</f>
        <v>14.952</v>
      </c>
      <c r="BM42" s="22">
        <f>'QTR Raw'!AG16</f>
        <v>15.002000000000001</v>
      </c>
      <c r="BN42" s="22">
        <f>'QTR Raw'!AH16</f>
        <v>14.521000000000001</v>
      </c>
      <c r="BO42" s="22">
        <f>'QTR Raw'!AI16</f>
        <v>12.84</v>
      </c>
      <c r="BP42" s="22">
        <f>'QTR Raw'!AJ16</f>
        <v>12.01</v>
      </c>
      <c r="BQ42" s="22">
        <f>'QTR Raw'!AK16</f>
        <v>11.385999999999999</v>
      </c>
      <c r="BR42" s="22">
        <f>'QTR Raw'!AL16</f>
        <v>11.363</v>
      </c>
      <c r="BS42" s="22">
        <f>'QTR Raw'!AM16</f>
        <v>11.747999999999999</v>
      </c>
      <c r="BT42" s="22">
        <f>'QTR Raw'!AN16</f>
        <v>13.673999999999999</v>
      </c>
      <c r="BU42" s="22">
        <f>'QTR Raw'!AO16</f>
        <v>12.06</v>
      </c>
      <c r="BV42" s="22">
        <f>'QTR Raw'!AP16</f>
        <v>12.276999999999999</v>
      </c>
      <c r="BW42" s="22">
        <f>'QTR Raw'!AQ16</f>
        <v>13.702</v>
      </c>
      <c r="BX42" s="22">
        <f>'QTR Raw'!AR16</f>
        <v>14.167999999999999</v>
      </c>
      <c r="BY42" s="22">
        <f>'QTR Raw'!AS16</f>
        <v>14.305</v>
      </c>
      <c r="BZ42" s="22">
        <f>'QTR Raw'!AT16</f>
        <v>14.352</v>
      </c>
      <c r="CA42" s="22">
        <f>'QTR Raw'!AU16</f>
        <v>17.073</v>
      </c>
      <c r="CB42" s="22">
        <f>'QTR Raw'!AV16</f>
        <v>17.027000000000001</v>
      </c>
      <c r="CC42" s="22">
        <f>'QTR Raw'!AW16</f>
        <v>16.390999999999998</v>
      </c>
      <c r="CD42" s="22">
        <f>'QTR Raw'!AX16</f>
        <v>17.661000000000001</v>
      </c>
      <c r="CE42" s="22">
        <f>'QTR Raw'!AY16</f>
        <v>16.190999999999999</v>
      </c>
      <c r="CF42" s="22">
        <f>'QTR Raw'!AZ16</f>
        <v>16.754000000000001</v>
      </c>
      <c r="CG42" s="22">
        <f>'QTR Raw'!BA16</f>
        <v>11.468</v>
      </c>
      <c r="CH42" s="22">
        <f>'QTR Raw'!BB16</f>
        <v>60.84</v>
      </c>
      <c r="CI42" s="22">
        <f>'QTR Raw'!BC16</f>
        <v>18.507999999999999</v>
      </c>
      <c r="CJ42" s="22">
        <f>'QTR Raw'!BD16</f>
        <v>12.292</v>
      </c>
      <c r="CK42" s="22">
        <v>50.6815</v>
      </c>
      <c r="CL42" s="22">
        <f>'QTR Raw'!BF16</f>
        <v>71.584999999999994</v>
      </c>
      <c r="CM42" s="23">
        <f>+CL42</f>
        <v>71.584999999999994</v>
      </c>
      <c r="CN42" s="23">
        <f>+CM42</f>
        <v>71.584999999999994</v>
      </c>
      <c r="CO42" s="23">
        <f>+CN42</f>
        <v>71.584999999999994</v>
      </c>
      <c r="CP42" s="23">
        <f>CL42*110%</f>
        <v>78.743499999999997</v>
      </c>
      <c r="CQ42" s="23">
        <f t="shared" ref="CQ42:DA42" si="279">CM42*110%</f>
        <v>78.743499999999997</v>
      </c>
      <c r="CR42" s="23">
        <f t="shared" si="279"/>
        <v>78.743499999999997</v>
      </c>
      <c r="CS42" s="23">
        <f t="shared" si="279"/>
        <v>78.743499999999997</v>
      </c>
      <c r="CT42" s="23">
        <f t="shared" si="279"/>
        <v>86.617850000000004</v>
      </c>
      <c r="CU42" s="23">
        <f t="shared" si="279"/>
        <v>86.617850000000004</v>
      </c>
      <c r="CV42" s="23">
        <f t="shared" si="279"/>
        <v>86.617850000000004</v>
      </c>
      <c r="CW42" s="23">
        <f t="shared" si="279"/>
        <v>86.617850000000004</v>
      </c>
      <c r="CX42" s="23">
        <f t="shared" si="279"/>
        <v>95.279635000000013</v>
      </c>
      <c r="CY42" s="23">
        <f t="shared" si="279"/>
        <v>95.279635000000013</v>
      </c>
      <c r="CZ42" s="23">
        <f t="shared" si="279"/>
        <v>95.279635000000013</v>
      </c>
      <c r="DA42" s="23">
        <f t="shared" si="279"/>
        <v>95.279635000000013</v>
      </c>
      <c r="DD42" s="22">
        <v>12.270760000000001</v>
      </c>
      <c r="DE42" s="22">
        <v>65.098800000000011</v>
      </c>
    </row>
    <row r="43" spans="1:109" s="22" customFormat="1" outlineLevel="1" x14ac:dyDescent="0.2">
      <c r="A43" s="22" t="s">
        <v>10</v>
      </c>
      <c r="B43" s="22">
        <f>'Annual Raw'!C17</f>
        <v>6.2128015120000004</v>
      </c>
      <c r="C43" s="22">
        <f>'Annual Raw'!D17</f>
        <v>7.9917852790000001</v>
      </c>
      <c r="D43" s="22">
        <f>'Annual Raw'!E17</f>
        <v>0</v>
      </c>
      <c r="E43" s="22">
        <f>'Annual Raw'!F17</f>
        <v>0</v>
      </c>
      <c r="F43" s="22">
        <f>'Annual Raw'!G17</f>
        <v>0</v>
      </c>
      <c r="G43" s="22">
        <f>'Annual Raw'!H17</f>
        <v>0</v>
      </c>
      <c r="H43" s="22">
        <f>'Annual Raw'!I17</f>
        <v>0</v>
      </c>
      <c r="I43" s="22">
        <f>'Annual Raw'!J17</f>
        <v>0</v>
      </c>
      <c r="J43" s="22">
        <f>'Annual Raw'!K17</f>
        <v>0</v>
      </c>
      <c r="K43" s="22">
        <f>'Annual Raw'!L17</f>
        <v>0</v>
      </c>
      <c r="L43" s="22">
        <f>'Annual Raw'!M17</f>
        <v>0</v>
      </c>
      <c r="M43" s="22">
        <f>'Annual Raw'!N17</f>
        <v>0</v>
      </c>
      <c r="N43" s="22">
        <f>'Annual Raw'!O17</f>
        <v>0</v>
      </c>
      <c r="O43" s="22">
        <f>'Annual Raw'!P17</f>
        <v>0</v>
      </c>
      <c r="P43" s="22">
        <f>'Annual Raw'!Q17</f>
        <v>0</v>
      </c>
      <c r="Q43" s="22">
        <f>'Annual Raw'!R17</f>
        <v>0</v>
      </c>
      <c r="R43" s="22">
        <f>'Annual Raw'!S17</f>
        <v>0</v>
      </c>
      <c r="S43" s="22">
        <f>'Annual Raw'!T17</f>
        <v>0</v>
      </c>
      <c r="T43" s="22">
        <f>'Annual Raw'!U17</f>
        <v>0</v>
      </c>
      <c r="U43" s="22">
        <f>'Annual Raw'!V17</f>
        <v>0</v>
      </c>
      <c r="V43" s="22">
        <f>'Annual Raw'!W17</f>
        <v>0</v>
      </c>
      <c r="W43" s="22">
        <f>'Annual Raw'!X17</f>
        <v>0</v>
      </c>
      <c r="X43" s="22">
        <f>'Annual Raw'!Y17</f>
        <v>0</v>
      </c>
      <c r="Y43" s="22">
        <f>'Annual Raw'!Z17</f>
        <v>20.945799999999998</v>
      </c>
      <c r="Z43" s="22">
        <f>'Annual Raw'!AA17</f>
        <v>36.082500000000003</v>
      </c>
      <c r="AA43" s="22">
        <f>'Annual Raw'!AB17</f>
        <v>31.781600000000001</v>
      </c>
      <c r="AB43" s="75">
        <f t="shared" si="274"/>
        <v>0</v>
      </c>
      <c r="AC43" s="75">
        <f t="shared" si="275"/>
        <v>0</v>
      </c>
      <c r="AD43" s="75">
        <f t="shared" si="276"/>
        <v>0</v>
      </c>
      <c r="AE43" s="75">
        <f t="shared" si="277"/>
        <v>0</v>
      </c>
      <c r="AI43" s="22">
        <f>'QTR Raw'!C17</f>
        <v>0</v>
      </c>
      <c r="AJ43" s="22">
        <f>'QTR Raw'!D17</f>
        <v>0</v>
      </c>
      <c r="AK43" s="22">
        <f>'QTR Raw'!E17</f>
        <v>0</v>
      </c>
      <c r="AL43" s="22">
        <f>'QTR Raw'!F17</f>
        <v>0</v>
      </c>
      <c r="AM43" s="22">
        <f>'QTR Raw'!G17</f>
        <v>0</v>
      </c>
      <c r="AN43" s="22">
        <f>'QTR Raw'!H17</f>
        <v>0</v>
      </c>
      <c r="AO43" s="22">
        <f>'QTR Raw'!I17</f>
        <v>0</v>
      </c>
      <c r="AP43" s="22">
        <f>'QTR Raw'!J17</f>
        <v>0</v>
      </c>
      <c r="AQ43" s="22">
        <f>'QTR Raw'!K17</f>
        <v>0</v>
      </c>
      <c r="AR43" s="22">
        <f>'QTR Raw'!L17</f>
        <v>0</v>
      </c>
      <c r="AS43" s="22">
        <f>'QTR Raw'!M17</f>
        <v>0</v>
      </c>
      <c r="AT43" s="22">
        <f>'QTR Raw'!N17</f>
        <v>0</v>
      </c>
      <c r="AU43" s="22">
        <f>'QTR Raw'!O17</f>
        <v>0</v>
      </c>
      <c r="AV43" s="22">
        <f>'QTR Raw'!P17</f>
        <v>0</v>
      </c>
      <c r="AW43" s="22">
        <f>'QTR Raw'!Q17</f>
        <v>0</v>
      </c>
      <c r="AX43" s="22">
        <f>'QTR Raw'!R17</f>
        <v>0</v>
      </c>
      <c r="AY43" s="22">
        <f>'QTR Raw'!S17</f>
        <v>0</v>
      </c>
      <c r="AZ43" s="22">
        <f>'QTR Raw'!T17</f>
        <v>0</v>
      </c>
      <c r="BA43" s="22">
        <f>'QTR Raw'!U17</f>
        <v>0</v>
      </c>
      <c r="BB43" s="22">
        <f>'QTR Raw'!V17</f>
        <v>0</v>
      </c>
      <c r="BC43" s="22">
        <f>'QTR Raw'!W17</f>
        <v>0</v>
      </c>
      <c r="BD43" s="22">
        <f>'QTR Raw'!X17</f>
        <v>0</v>
      </c>
      <c r="BE43" s="22">
        <f>'QTR Raw'!Y17</f>
        <v>0</v>
      </c>
      <c r="BF43" s="22">
        <f>'QTR Raw'!Z17</f>
        <v>0</v>
      </c>
      <c r="BG43" s="22">
        <f>'QTR Raw'!AA17</f>
        <v>0</v>
      </c>
      <c r="BH43" s="22">
        <f>'QTR Raw'!AB17</f>
        <v>0</v>
      </c>
      <c r="BI43" s="22">
        <f>'QTR Raw'!AC17</f>
        <v>0</v>
      </c>
      <c r="BJ43" s="22">
        <f>'QTR Raw'!AD17</f>
        <v>0</v>
      </c>
      <c r="BK43" s="22">
        <f>'QTR Raw'!AE17</f>
        <v>0</v>
      </c>
      <c r="BL43" s="22">
        <f>'QTR Raw'!AF17</f>
        <v>0</v>
      </c>
      <c r="BM43" s="22">
        <f>'QTR Raw'!AG17</f>
        <v>0</v>
      </c>
      <c r="BN43" s="22">
        <f>'QTR Raw'!AH17</f>
        <v>0</v>
      </c>
      <c r="BO43" s="22">
        <f>'QTR Raw'!AI17</f>
        <v>0</v>
      </c>
      <c r="BP43" s="22">
        <f>'QTR Raw'!AJ17</f>
        <v>0</v>
      </c>
      <c r="BQ43" s="22">
        <f>'QTR Raw'!AK17</f>
        <v>0</v>
      </c>
      <c r="BR43" s="22">
        <f>'QTR Raw'!AL17</f>
        <v>0</v>
      </c>
      <c r="BS43" s="22">
        <f>'QTR Raw'!AM17</f>
        <v>0</v>
      </c>
      <c r="BT43" s="22">
        <f>'QTR Raw'!AN17</f>
        <v>0</v>
      </c>
      <c r="BU43" s="22">
        <f>'QTR Raw'!AO17</f>
        <v>0</v>
      </c>
      <c r="BV43" s="22">
        <f>'QTR Raw'!AP17</f>
        <v>0</v>
      </c>
      <c r="BW43" s="22">
        <f>'QTR Raw'!AQ17</f>
        <v>0</v>
      </c>
      <c r="BX43" s="22">
        <f>'QTR Raw'!AR17</f>
        <v>0</v>
      </c>
      <c r="BY43" s="22">
        <f>'QTR Raw'!AS17</f>
        <v>0</v>
      </c>
      <c r="BZ43" s="22">
        <f>'QTR Raw'!AT17</f>
        <v>0</v>
      </c>
      <c r="CA43" s="22">
        <f>'QTR Raw'!AU17</f>
        <v>0</v>
      </c>
      <c r="CB43" s="22">
        <f>'QTR Raw'!AV17</f>
        <v>0</v>
      </c>
      <c r="CC43" s="22">
        <f>'QTR Raw'!AW17</f>
        <v>0</v>
      </c>
      <c r="CD43" s="22">
        <f>'QTR Raw'!AX17</f>
        <v>0</v>
      </c>
      <c r="CE43" s="22">
        <f>'QTR Raw'!AY17</f>
        <v>0</v>
      </c>
      <c r="CF43" s="22">
        <f>'QTR Raw'!AZ17</f>
        <v>0</v>
      </c>
      <c r="CG43" s="22">
        <f>'QTR Raw'!BA17</f>
        <v>0</v>
      </c>
      <c r="CH43" s="22">
        <f>'QTR Raw'!BB17</f>
        <v>0</v>
      </c>
      <c r="CI43" s="22">
        <f>'QTR Raw'!BC17</f>
        <v>0</v>
      </c>
      <c r="CJ43" s="22">
        <f>'QTR Raw'!BD17</f>
        <v>0</v>
      </c>
      <c r="CK43" s="22">
        <f>'QTR Raw'!BE17</f>
        <v>0</v>
      </c>
      <c r="CL43" s="22">
        <f>'QTR Raw'!BF17</f>
        <v>0</v>
      </c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D43" s="22">
        <v>0</v>
      </c>
    </row>
    <row r="44" spans="1:109" s="22" customFormat="1" outlineLevel="1" x14ac:dyDescent="0.2">
      <c r="A44" s="22" t="s">
        <v>12</v>
      </c>
      <c r="B44" s="22">
        <f>'Annual Raw'!C19-'Annual Raw'!C20</f>
        <v>0.15594418500000001</v>
      </c>
      <c r="C44" s="22">
        <f>'Annual Raw'!D19-'Annual Raw'!D20</f>
        <v>1.0731105480000001</v>
      </c>
      <c r="D44" s="22">
        <f>'Annual Raw'!E19-'Annual Raw'!E20</f>
        <v>0</v>
      </c>
      <c r="E44" s="22">
        <f>'Annual Raw'!F19-'Annual Raw'!F20</f>
        <v>0</v>
      </c>
      <c r="F44" s="22">
        <f>'Annual Raw'!G19-'Annual Raw'!G20</f>
        <v>0</v>
      </c>
      <c r="G44" s="22">
        <f>'Annual Raw'!H19-'Annual Raw'!H20</f>
        <v>0</v>
      </c>
      <c r="H44" s="22">
        <f>'Annual Raw'!I19-'Annual Raw'!I20</f>
        <v>0</v>
      </c>
      <c r="I44" s="22">
        <f>'Annual Raw'!J19-'Annual Raw'!J20</f>
        <v>0</v>
      </c>
      <c r="J44" s="22">
        <f>'Annual Raw'!K19-'Annual Raw'!K20</f>
        <v>0</v>
      </c>
      <c r="K44" s="22">
        <f>'Annual Raw'!L19-'Annual Raw'!L20</f>
        <v>0</v>
      </c>
      <c r="L44" s="22">
        <f>'Annual Raw'!M19-'Annual Raw'!M20</f>
        <v>0</v>
      </c>
      <c r="M44" s="22">
        <f>'Annual Raw'!N19-'Annual Raw'!N20</f>
        <v>0</v>
      </c>
      <c r="N44" s="22">
        <f>'Annual Raw'!O19-'Annual Raw'!O20</f>
        <v>0</v>
      </c>
      <c r="O44" s="22">
        <f>'Annual Raw'!P19-'Annual Raw'!P20</f>
        <v>0</v>
      </c>
      <c r="P44" s="22">
        <f>'Annual Raw'!Q19-'Annual Raw'!Q20</f>
        <v>0</v>
      </c>
      <c r="Q44" s="22">
        <f>'Annual Raw'!R19-'Annual Raw'!R20</f>
        <v>0</v>
      </c>
      <c r="R44" s="22">
        <f>'Annual Raw'!S19-'Annual Raw'!S20</f>
        <v>0</v>
      </c>
      <c r="S44" s="22">
        <f>'Annual Raw'!T19-'Annual Raw'!T20</f>
        <v>0</v>
      </c>
      <c r="T44" s="22">
        <f>'Annual Raw'!U19-'Annual Raw'!U20</f>
        <v>0</v>
      </c>
      <c r="U44" s="22">
        <f>'Annual Raw'!V19-'Annual Raw'!V20</f>
        <v>0</v>
      </c>
      <c r="V44" s="22">
        <f>'Annual Raw'!W19-'Annual Raw'!W20</f>
        <v>0</v>
      </c>
      <c r="W44" s="22">
        <f>'Annual Raw'!X19-'Annual Raw'!X20</f>
        <v>0</v>
      </c>
      <c r="X44" s="22">
        <f>'Annual Raw'!Y19-'Annual Raw'!Y20</f>
        <v>0</v>
      </c>
      <c r="Y44" s="22">
        <f>'Annual Raw'!Z19-'Annual Raw'!Z20</f>
        <v>6.5646000000000004</v>
      </c>
      <c r="Z44" s="22">
        <f>'Annual Raw'!AA19-'Annual Raw'!AA20</f>
        <v>7.7283999999999997</v>
      </c>
      <c r="AA44" s="22">
        <f>'Annual Raw'!AB19-'Annual Raw'!AB20</f>
        <v>28.983899999999998</v>
      </c>
      <c r="AB44" s="75">
        <f t="shared" si="274"/>
        <v>0</v>
      </c>
      <c r="AC44" s="75">
        <f t="shared" si="275"/>
        <v>0</v>
      </c>
      <c r="AD44" s="75">
        <f t="shared" si="276"/>
        <v>0</v>
      </c>
      <c r="AE44" s="75">
        <f t="shared" si="277"/>
        <v>0</v>
      </c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D44" s="22">
        <v>0</v>
      </c>
    </row>
    <row r="45" spans="1:109" s="21" customFormat="1" x14ac:dyDescent="0.2">
      <c r="A45" s="32" t="s">
        <v>348</v>
      </c>
      <c r="B45" s="21">
        <f t="shared" ref="B45:AE45" si="280">+SUM(B39:B44)</f>
        <v>25.932068496999999</v>
      </c>
      <c r="C45" s="21">
        <f t="shared" si="280"/>
        <v>32.513036786000001</v>
      </c>
      <c r="D45" s="21">
        <f t="shared" si="280"/>
        <v>0</v>
      </c>
      <c r="E45" s="21">
        <f t="shared" si="280"/>
        <v>0</v>
      </c>
      <c r="F45" s="21">
        <f t="shared" si="280"/>
        <v>0</v>
      </c>
      <c r="G45" s="21">
        <f t="shared" si="280"/>
        <v>0</v>
      </c>
      <c r="H45" s="21">
        <f t="shared" si="280"/>
        <v>0</v>
      </c>
      <c r="I45" s="21">
        <f t="shared" si="280"/>
        <v>0</v>
      </c>
      <c r="J45" s="21">
        <f t="shared" si="280"/>
        <v>0</v>
      </c>
      <c r="K45" s="21">
        <f t="shared" si="280"/>
        <v>0</v>
      </c>
      <c r="L45" s="21">
        <f t="shared" si="280"/>
        <v>0</v>
      </c>
      <c r="M45" s="21">
        <f t="shared" si="280"/>
        <v>0</v>
      </c>
      <c r="N45" s="21">
        <f t="shared" si="280"/>
        <v>0</v>
      </c>
      <c r="O45" s="21">
        <f t="shared" si="280"/>
        <v>0</v>
      </c>
      <c r="P45" s="21">
        <f t="shared" si="280"/>
        <v>0</v>
      </c>
      <c r="Q45" s="21">
        <f t="shared" si="280"/>
        <v>0</v>
      </c>
      <c r="R45" s="21">
        <f t="shared" si="280"/>
        <v>0</v>
      </c>
      <c r="S45" s="21">
        <f t="shared" si="280"/>
        <v>0</v>
      </c>
      <c r="T45" s="21">
        <f t="shared" si="280"/>
        <v>0</v>
      </c>
      <c r="U45" s="21">
        <f t="shared" si="280"/>
        <v>0</v>
      </c>
      <c r="V45" s="21">
        <f t="shared" si="280"/>
        <v>0</v>
      </c>
      <c r="W45" s="21">
        <f t="shared" si="280"/>
        <v>0</v>
      </c>
      <c r="X45" s="21">
        <f t="shared" si="280"/>
        <v>0</v>
      </c>
      <c r="Y45" s="21">
        <f t="shared" si="280"/>
        <v>143.62320000000003</v>
      </c>
      <c r="Z45" s="21">
        <f t="shared" si="280"/>
        <v>147.83930000000001</v>
      </c>
      <c r="AA45" s="21">
        <f t="shared" ref="AA45" si="281">+SUM(AA39:AA44)</f>
        <v>173.38040000000001</v>
      </c>
      <c r="AB45" s="20">
        <f t="shared" si="280"/>
        <v>798.34021240939842</v>
      </c>
      <c r="AC45" s="20">
        <f t="shared" si="280"/>
        <v>1000.8770475489282</v>
      </c>
      <c r="AD45" s="20">
        <f t="shared" si="280"/>
        <v>1198.9949864533971</v>
      </c>
      <c r="AE45" s="20">
        <f t="shared" si="280"/>
        <v>1385.8539580301622</v>
      </c>
      <c r="AI45" s="21">
        <f t="shared" ref="AI45:BN45" si="282">+SUM(AI39:AI44)</f>
        <v>34.838999999999999</v>
      </c>
      <c r="AJ45" s="21">
        <f t="shared" si="282"/>
        <v>34.865000000000002</v>
      </c>
      <c r="AK45" s="21">
        <f t="shared" si="282"/>
        <v>45.960999999999999</v>
      </c>
      <c r="AL45" s="21">
        <f t="shared" si="282"/>
        <v>36.826999999999998</v>
      </c>
      <c r="AM45" s="21">
        <f t="shared" si="282"/>
        <v>40.915999999999997</v>
      </c>
      <c r="AN45" s="21">
        <f t="shared" si="282"/>
        <v>43.094999999999999</v>
      </c>
      <c r="AO45" s="21">
        <f t="shared" si="282"/>
        <v>26.58</v>
      </c>
      <c r="AP45" s="21">
        <f t="shared" si="282"/>
        <v>29.402999999999999</v>
      </c>
      <c r="AQ45" s="21">
        <f t="shared" si="282"/>
        <v>20.609000000000002</v>
      </c>
      <c r="AR45" s="21">
        <f t="shared" si="282"/>
        <v>20.584</v>
      </c>
      <c r="AS45" s="21">
        <f t="shared" si="282"/>
        <v>19.320999999999998</v>
      </c>
      <c r="AT45" s="21">
        <f t="shared" si="282"/>
        <v>21.207999999999998</v>
      </c>
      <c r="AU45" s="21">
        <f t="shared" si="282"/>
        <v>19.555</v>
      </c>
      <c r="AV45" s="21">
        <f t="shared" si="282"/>
        <v>24.591000000000001</v>
      </c>
      <c r="AW45" s="21">
        <f t="shared" si="282"/>
        <v>23.46</v>
      </c>
      <c r="AX45" s="21">
        <f t="shared" si="282"/>
        <v>27.472000000000001</v>
      </c>
      <c r="AY45" s="21">
        <f t="shared" si="282"/>
        <v>22.28</v>
      </c>
      <c r="AZ45" s="21">
        <f t="shared" si="282"/>
        <v>17.934999999999999</v>
      </c>
      <c r="BA45" s="21">
        <f t="shared" si="282"/>
        <v>22.97</v>
      </c>
      <c r="BB45" s="21">
        <f t="shared" si="282"/>
        <v>21.509999999999998</v>
      </c>
      <c r="BC45" s="21">
        <f t="shared" si="282"/>
        <v>19.846</v>
      </c>
      <c r="BD45" s="21">
        <f t="shared" si="282"/>
        <v>25.567999999999998</v>
      </c>
      <c r="BE45" s="21">
        <f t="shared" si="282"/>
        <v>24.192</v>
      </c>
      <c r="BF45" s="21">
        <f t="shared" si="282"/>
        <v>29.054000000000002</v>
      </c>
      <c r="BG45" s="21">
        <f t="shared" si="282"/>
        <v>28.548000000000002</v>
      </c>
      <c r="BH45" s="21">
        <f t="shared" si="282"/>
        <v>26.185000000000002</v>
      </c>
      <c r="BI45" s="21">
        <f t="shared" si="282"/>
        <v>36.475999999999999</v>
      </c>
      <c r="BJ45" s="21">
        <f t="shared" si="282"/>
        <v>41.805999999999997</v>
      </c>
      <c r="BK45" s="21">
        <f t="shared" si="282"/>
        <v>41.507000000000005</v>
      </c>
      <c r="BL45" s="21">
        <f t="shared" si="282"/>
        <v>36.627000000000002</v>
      </c>
      <c r="BM45" s="21">
        <f t="shared" si="282"/>
        <v>36.283999999999999</v>
      </c>
      <c r="BN45" s="21">
        <f t="shared" si="282"/>
        <v>27.164999999999999</v>
      </c>
      <c r="BO45" s="21">
        <f t="shared" ref="BO45:CJ45" si="283">+SUM(BO39:BO44)</f>
        <v>20.440999999999999</v>
      </c>
      <c r="BP45" s="21">
        <f t="shared" si="283"/>
        <v>20.635999999999999</v>
      </c>
      <c r="BQ45" s="21">
        <f t="shared" si="283"/>
        <v>31.253</v>
      </c>
      <c r="BR45" s="21">
        <f t="shared" si="283"/>
        <v>22.868000000000002</v>
      </c>
      <c r="BS45" s="21">
        <f t="shared" si="283"/>
        <v>25.312999999999999</v>
      </c>
      <c r="BT45" s="21">
        <f t="shared" si="283"/>
        <v>25.36</v>
      </c>
      <c r="BU45" s="21">
        <f t="shared" si="283"/>
        <v>30.997</v>
      </c>
      <c r="BV45" s="21">
        <f t="shared" si="283"/>
        <v>24.213000000000001</v>
      </c>
      <c r="BW45" s="21">
        <f t="shared" si="283"/>
        <v>27.257999999999999</v>
      </c>
      <c r="BX45" s="21">
        <f t="shared" si="283"/>
        <v>47.887</v>
      </c>
      <c r="BY45" s="21">
        <f t="shared" si="283"/>
        <v>52.942999999999998</v>
      </c>
      <c r="BZ45" s="21">
        <f t="shared" si="283"/>
        <v>181.36799999999999</v>
      </c>
      <c r="CA45" s="21">
        <f t="shared" si="283"/>
        <v>212.88200000000001</v>
      </c>
      <c r="CB45" s="21">
        <f t="shared" si="283"/>
        <v>185.45</v>
      </c>
      <c r="CC45" s="21">
        <f t="shared" si="283"/>
        <v>240.67099999999999</v>
      </c>
      <c r="CD45" s="21">
        <f t="shared" si="283"/>
        <v>142.042</v>
      </c>
      <c r="CE45" s="21">
        <f t="shared" si="283"/>
        <v>94.374000000000009</v>
      </c>
      <c r="CF45" s="21">
        <f t="shared" si="283"/>
        <v>83.012</v>
      </c>
      <c r="CG45" s="21">
        <f t="shared" si="283"/>
        <v>74.552999999999997</v>
      </c>
      <c r="CH45" s="21">
        <f t="shared" si="283"/>
        <v>122.536</v>
      </c>
      <c r="CI45" s="21">
        <f t="shared" si="283"/>
        <v>80.010000000000005</v>
      </c>
      <c r="CJ45" s="21">
        <f t="shared" si="283"/>
        <v>86.344000000000008</v>
      </c>
      <c r="CK45" s="21">
        <f t="shared" ref="CK45:DA45" si="284">+SUM(CK39:CK44)</f>
        <v>127.1546</v>
      </c>
      <c r="CL45" s="21">
        <f t="shared" si="284"/>
        <v>185.29499999999999</v>
      </c>
      <c r="CM45" s="20">
        <f t="shared" si="284"/>
        <v>169.61171566279745</v>
      </c>
      <c r="CN45" s="20">
        <f t="shared" si="284"/>
        <v>219.99594653253683</v>
      </c>
      <c r="CO45" s="20">
        <f t="shared" si="284"/>
        <v>223.43755021406417</v>
      </c>
      <c r="CP45" s="20">
        <f t="shared" si="284"/>
        <v>224.50918146106875</v>
      </c>
      <c r="CQ45" s="20">
        <f t="shared" si="284"/>
        <v>223.23767464552799</v>
      </c>
      <c r="CR45" s="20">
        <f t="shared" si="284"/>
        <v>276.31116463689415</v>
      </c>
      <c r="CS45" s="20">
        <f t="shared" si="284"/>
        <v>276.81902680543732</v>
      </c>
      <c r="CT45" s="20">
        <f t="shared" si="284"/>
        <v>274.80750017384264</v>
      </c>
      <c r="CU45" s="20">
        <f t="shared" si="284"/>
        <v>270.63143840523838</v>
      </c>
      <c r="CV45" s="20">
        <f t="shared" si="284"/>
        <v>327.65628470850777</v>
      </c>
      <c r="CW45" s="20">
        <f t="shared" si="284"/>
        <v>325.89976316580828</v>
      </c>
      <c r="CX45" s="20">
        <f t="shared" si="284"/>
        <v>321.38179926778241</v>
      </c>
      <c r="CY45" s="20">
        <f t="shared" si="284"/>
        <v>314.79205392732842</v>
      </c>
      <c r="CZ45" s="20">
        <f t="shared" si="284"/>
        <v>376.66613096150695</v>
      </c>
      <c r="DA45" s="20">
        <f t="shared" si="284"/>
        <v>373.01397387354439</v>
      </c>
      <c r="DD45" s="21">
        <v>51.953959314932504</v>
      </c>
      <c r="DE45" s="21">
        <v>231.74784470540692</v>
      </c>
    </row>
    <row r="46" spans="1:109" s="43" customFormat="1" x14ac:dyDescent="0.2">
      <c r="A46" s="42" t="s">
        <v>349</v>
      </c>
      <c r="B46" s="43">
        <f t="shared" ref="B46:AE46" si="285">B45/B29</f>
        <v>0.30637883774056107</v>
      </c>
      <c r="C46" s="43">
        <f t="shared" si="285"/>
        <v>0.26446226479015239</v>
      </c>
      <c r="D46" s="43" t="e">
        <f t="shared" si="285"/>
        <v>#DIV/0!</v>
      </c>
      <c r="E46" s="43" t="e">
        <f t="shared" si="285"/>
        <v>#DIV/0!</v>
      </c>
      <c r="F46" s="43" t="e">
        <f t="shared" si="285"/>
        <v>#DIV/0!</v>
      </c>
      <c r="G46" s="43" t="e">
        <f t="shared" si="285"/>
        <v>#DIV/0!</v>
      </c>
      <c r="H46" s="43" t="e">
        <f t="shared" si="285"/>
        <v>#DIV/0!</v>
      </c>
      <c r="I46" s="43" t="e">
        <f t="shared" si="285"/>
        <v>#DIV/0!</v>
      </c>
      <c r="J46" s="43" t="e">
        <f t="shared" si="285"/>
        <v>#DIV/0!</v>
      </c>
      <c r="K46" s="43" t="e">
        <f t="shared" si="285"/>
        <v>#DIV/0!</v>
      </c>
      <c r="L46" s="43" t="e">
        <f t="shared" si="285"/>
        <v>#DIV/0!</v>
      </c>
      <c r="M46" s="43" t="e">
        <f t="shared" si="285"/>
        <v>#DIV/0!</v>
      </c>
      <c r="N46" s="43" t="e">
        <f t="shared" si="285"/>
        <v>#DIV/0!</v>
      </c>
      <c r="O46" s="43" t="e">
        <f t="shared" si="285"/>
        <v>#DIV/0!</v>
      </c>
      <c r="P46" s="43" t="e">
        <f t="shared" si="285"/>
        <v>#DIV/0!</v>
      </c>
      <c r="Q46" s="43" t="e">
        <f t="shared" si="285"/>
        <v>#DIV/0!</v>
      </c>
      <c r="R46" s="43" t="e">
        <f t="shared" si="285"/>
        <v>#DIV/0!</v>
      </c>
      <c r="S46" s="43" t="e">
        <f t="shared" si="285"/>
        <v>#DIV/0!</v>
      </c>
      <c r="T46" s="43" t="e">
        <f t="shared" si="285"/>
        <v>#DIV/0!</v>
      </c>
      <c r="U46" s="43" t="e">
        <f t="shared" si="285"/>
        <v>#DIV/0!</v>
      </c>
      <c r="V46" s="43" t="e">
        <f t="shared" si="285"/>
        <v>#DIV/0!</v>
      </c>
      <c r="W46" s="43" t="e">
        <f t="shared" si="285"/>
        <v>#DIV/0!</v>
      </c>
      <c r="X46" s="43" t="e">
        <f t="shared" si="285"/>
        <v>#DIV/0!</v>
      </c>
      <c r="Y46" s="43">
        <f t="shared" si="285"/>
        <v>0.21545172373289928</v>
      </c>
      <c r="Z46" s="43">
        <f t="shared" si="285"/>
        <v>0.38031749870088444</v>
      </c>
      <c r="AA46" s="43">
        <f t="shared" ref="AA46" si="286">AA45/AA29</f>
        <v>0.48485156942998053</v>
      </c>
      <c r="AB46" s="51">
        <f t="shared" si="285"/>
        <v>0.50767472060174812</v>
      </c>
      <c r="AC46" s="51">
        <f t="shared" si="285"/>
        <v>0.44752688348199976</v>
      </c>
      <c r="AD46" s="51">
        <f t="shared" si="285"/>
        <v>0.40340262099312951</v>
      </c>
      <c r="AE46" s="51">
        <f t="shared" si="285"/>
        <v>0.36814256267720424</v>
      </c>
      <c r="AI46" s="43">
        <f t="shared" ref="AI46:BN46" si="287">AI45/AI29</f>
        <v>0.37578470499406752</v>
      </c>
      <c r="AJ46" s="43">
        <f t="shared" si="287"/>
        <v>0.31563461886655803</v>
      </c>
      <c r="AK46" s="43">
        <f t="shared" si="287"/>
        <v>0.23636167280357107</v>
      </c>
      <c r="AL46" s="43">
        <f t="shared" si="287"/>
        <v>0.27803195023253008</v>
      </c>
      <c r="AM46" s="43">
        <f t="shared" si="287"/>
        <v>0.4019845753303532</v>
      </c>
      <c r="AN46" s="43">
        <f t="shared" si="287"/>
        <v>0.35321164832102547</v>
      </c>
      <c r="AO46" s="43">
        <f t="shared" si="287"/>
        <v>0.21032141670227411</v>
      </c>
      <c r="AP46" s="43">
        <f t="shared" si="287"/>
        <v>0.36858335527058034</v>
      </c>
      <c r="AQ46" s="43">
        <f t="shared" si="287"/>
        <v>0.39549030896181159</v>
      </c>
      <c r="AR46" s="43">
        <f t="shared" si="287"/>
        <v>0.38480520451656325</v>
      </c>
      <c r="AS46" s="43">
        <f t="shared" si="287"/>
        <v>0.35357953297708805</v>
      </c>
      <c r="AT46" s="43">
        <f t="shared" si="287"/>
        <v>0.35892228540481996</v>
      </c>
      <c r="AU46" s="43">
        <f t="shared" si="287"/>
        <v>0.36982052688314393</v>
      </c>
      <c r="AV46" s="43">
        <f t="shared" si="287"/>
        <v>0.56873583421989915</v>
      </c>
      <c r="AW46" s="43">
        <f t="shared" si="287"/>
        <v>0.50887163246713818</v>
      </c>
      <c r="AX46" s="43">
        <f t="shared" si="287"/>
        <v>0.43486932708593862</v>
      </c>
      <c r="AY46" s="43">
        <f t="shared" si="287"/>
        <v>0.87616500845491374</v>
      </c>
      <c r="AZ46" s="43">
        <f t="shared" si="287"/>
        <v>0.48592484217941412</v>
      </c>
      <c r="BA46" s="43">
        <f t="shared" si="287"/>
        <v>0.46167142340314338</v>
      </c>
      <c r="BB46" s="43">
        <f t="shared" si="287"/>
        <v>0.51564185544768071</v>
      </c>
      <c r="BC46" s="43">
        <f t="shared" si="287"/>
        <v>0.37546587963751255</v>
      </c>
      <c r="BD46" s="43">
        <f t="shared" si="287"/>
        <v>0.42702296450939453</v>
      </c>
      <c r="BE46" s="43">
        <f t="shared" si="287"/>
        <v>0.20702580120662359</v>
      </c>
      <c r="BF46" s="43">
        <f t="shared" si="287"/>
        <v>0.38350559009490626</v>
      </c>
      <c r="BG46" s="43">
        <f t="shared" si="287"/>
        <v>0.50418565221998524</v>
      </c>
      <c r="BH46" s="43">
        <f t="shared" si="287"/>
        <v>0.33031839741649005</v>
      </c>
      <c r="BI46" s="43">
        <f t="shared" si="287"/>
        <v>0.15376184534448453</v>
      </c>
      <c r="BJ46" s="43">
        <f t="shared" si="287"/>
        <v>0.33955214788703797</v>
      </c>
      <c r="BK46" s="43">
        <f t="shared" si="287"/>
        <v>0.38498710742575182</v>
      </c>
      <c r="BL46" s="43">
        <f t="shared" si="287"/>
        <v>0.41731610609789449</v>
      </c>
      <c r="BM46" s="43">
        <f t="shared" si="287"/>
        <v>0.31942109108835931</v>
      </c>
      <c r="BN46" s="43">
        <f t="shared" si="287"/>
        <v>0.43784149702625597</v>
      </c>
      <c r="BO46" s="43">
        <f t="shared" ref="BO46:CJ46" si="288">BO45/BO29</f>
        <v>1.4839201451905626</v>
      </c>
      <c r="BP46" s="43">
        <f t="shared" si="288"/>
        <v>1.1838678216969765</v>
      </c>
      <c r="BQ46" s="43">
        <f t="shared" si="288"/>
        <v>0.29756543430861954</v>
      </c>
      <c r="BR46" s="43">
        <f t="shared" si="288"/>
        <v>0.36988871635610771</v>
      </c>
      <c r="BS46" s="43">
        <f t="shared" si="288"/>
        <v>0.26015148867945859</v>
      </c>
      <c r="BT46" s="43">
        <f t="shared" si="288"/>
        <v>0.27531102763966386</v>
      </c>
      <c r="BU46" s="43">
        <f t="shared" si="288"/>
        <v>0.23823504546118315</v>
      </c>
      <c r="BV46" s="43">
        <f t="shared" si="288"/>
        <v>0.38276581618135258</v>
      </c>
      <c r="BW46" s="43">
        <f t="shared" si="288"/>
        <v>0.72788933988464</v>
      </c>
      <c r="BX46" s="43">
        <f t="shared" si="288"/>
        <v>1.1216067455205527</v>
      </c>
      <c r="BY46" s="43">
        <f t="shared" si="288"/>
        <v>0.25095631976868199</v>
      </c>
      <c r="BZ46" s="43">
        <f t="shared" si="288"/>
        <v>0.94171157979999376</v>
      </c>
      <c r="CA46" s="43">
        <f t="shared" si="288"/>
        <v>0.96257008500633034</v>
      </c>
      <c r="CB46" s="43">
        <f t="shared" si="288"/>
        <v>0.96808377356914654</v>
      </c>
      <c r="CC46" s="43">
        <f t="shared" si="288"/>
        <v>0.94788560985888315</v>
      </c>
      <c r="CD46" s="43">
        <f t="shared" si="288"/>
        <v>0.96585160202360887</v>
      </c>
      <c r="CE46" s="43">
        <f t="shared" si="288"/>
        <v>1.0116522130629133</v>
      </c>
      <c r="CF46" s="43">
        <f t="shared" si="288"/>
        <v>1.0917316569564817</v>
      </c>
      <c r="CG46" s="43">
        <f t="shared" si="288"/>
        <v>1.0306058972338572</v>
      </c>
      <c r="CH46" s="43">
        <f t="shared" si="288"/>
        <v>0.55471253961068356</v>
      </c>
      <c r="CI46" s="43">
        <f t="shared" si="288"/>
        <v>0.97432962322511518</v>
      </c>
      <c r="CJ46" s="43">
        <f t="shared" si="288"/>
        <v>0.89029118205064761</v>
      </c>
      <c r="CK46" s="43">
        <f t="shared" ref="CK46:DA46" si="289">CK45/CK29</f>
        <v>0.55669234699394821</v>
      </c>
      <c r="CL46" s="43">
        <f t="shared" si="289"/>
        <v>0.53783993242713712</v>
      </c>
      <c r="CM46" s="51">
        <f t="shared" si="289"/>
        <v>0.57108321771985671</v>
      </c>
      <c r="CN46" s="51">
        <f t="shared" si="289"/>
        <v>0.48184494498661068</v>
      </c>
      <c r="CO46" s="51">
        <f t="shared" si="289"/>
        <v>0.47093441243679118</v>
      </c>
      <c r="CP46" s="51">
        <f t="shared" si="289"/>
        <v>0.48525158465325741</v>
      </c>
      <c r="CQ46" s="51">
        <f t="shared" si="289"/>
        <v>0.47902445551294504</v>
      </c>
      <c r="CR46" s="51">
        <f t="shared" si="289"/>
        <v>0.42664095174322786</v>
      </c>
      <c r="CS46" s="51">
        <f t="shared" si="289"/>
        <v>0.41934149677501892</v>
      </c>
      <c r="CT46" s="51">
        <f t="shared" si="289"/>
        <v>0.43086152244673692</v>
      </c>
      <c r="CU46" s="51">
        <f t="shared" si="289"/>
        <v>0.42658995682514239</v>
      </c>
      <c r="CV46" s="51">
        <f t="shared" si="289"/>
        <v>0.38749207073666553</v>
      </c>
      <c r="CW46" s="51">
        <f t="shared" si="289"/>
        <v>0.38143407777576077</v>
      </c>
      <c r="CX46" s="51">
        <f t="shared" si="289"/>
        <v>0.39096522139294199</v>
      </c>
      <c r="CY46" s="51">
        <f t="shared" si="289"/>
        <v>0.38727454239495918</v>
      </c>
      <c r="CZ46" s="51">
        <f t="shared" si="289"/>
        <v>0.35480638035299794</v>
      </c>
      <c r="DA46" s="51">
        <f t="shared" si="289"/>
        <v>0.34927127649570755</v>
      </c>
      <c r="DD46" s="43">
        <v>0.97043404399336319</v>
      </c>
      <c r="DE46" s="43">
        <v>0.82789322707975654</v>
      </c>
    </row>
    <row r="47" spans="1:109" s="25" customFormat="1" x14ac:dyDescent="0.2">
      <c r="A47" s="33" t="s">
        <v>13</v>
      </c>
      <c r="B47" s="25">
        <f t="shared" ref="B47:AE47" si="290">B35-B45</f>
        <v>-3.3921743639999953</v>
      </c>
      <c r="C47" s="25">
        <f t="shared" si="290"/>
        <v>15.030995734000015</v>
      </c>
      <c r="D47" s="25">
        <f t="shared" si="290"/>
        <v>0</v>
      </c>
      <c r="E47" s="25">
        <f t="shared" si="290"/>
        <v>0</v>
      </c>
      <c r="F47" s="25">
        <f t="shared" si="290"/>
        <v>0</v>
      </c>
      <c r="G47" s="25">
        <f t="shared" si="290"/>
        <v>0</v>
      </c>
      <c r="H47" s="25">
        <f t="shared" si="290"/>
        <v>0</v>
      </c>
      <c r="I47" s="25">
        <f t="shared" si="290"/>
        <v>0</v>
      </c>
      <c r="J47" s="25">
        <f t="shared" si="290"/>
        <v>0</v>
      </c>
      <c r="K47" s="25">
        <f t="shared" si="290"/>
        <v>0</v>
      </c>
      <c r="L47" s="25">
        <f t="shared" si="290"/>
        <v>0</v>
      </c>
      <c r="M47" s="25">
        <f t="shared" si="290"/>
        <v>0</v>
      </c>
      <c r="N47" s="25">
        <f t="shared" si="290"/>
        <v>0</v>
      </c>
      <c r="O47" s="25">
        <f t="shared" si="290"/>
        <v>0</v>
      </c>
      <c r="P47" s="25">
        <f t="shared" si="290"/>
        <v>0</v>
      </c>
      <c r="Q47" s="25">
        <f t="shared" si="290"/>
        <v>0</v>
      </c>
      <c r="R47" s="25">
        <f t="shared" si="290"/>
        <v>0</v>
      </c>
      <c r="S47" s="25">
        <f t="shared" si="290"/>
        <v>0</v>
      </c>
      <c r="T47" s="25">
        <f t="shared" si="290"/>
        <v>0</v>
      </c>
      <c r="U47" s="25">
        <f t="shared" si="290"/>
        <v>0</v>
      </c>
      <c r="V47" s="25">
        <f t="shared" si="290"/>
        <v>0</v>
      </c>
      <c r="W47" s="25">
        <f t="shared" si="290"/>
        <v>0</v>
      </c>
      <c r="X47" s="25">
        <f t="shared" si="290"/>
        <v>0</v>
      </c>
      <c r="Y47" s="25">
        <f t="shared" si="290"/>
        <v>25.367499999999978</v>
      </c>
      <c r="Z47" s="25">
        <f t="shared" si="290"/>
        <v>-3.7890000000000157</v>
      </c>
      <c r="AA47" s="25">
        <f t="shared" ref="AA47" si="291">AA35-AA45</f>
        <v>22.440200000000004</v>
      </c>
      <c r="AB47" s="26">
        <f t="shared" si="290"/>
        <v>69.856837471460949</v>
      </c>
      <c r="AC47" s="26">
        <f t="shared" si="290"/>
        <v>233.86841804203527</v>
      </c>
      <c r="AD47" s="26">
        <f t="shared" si="290"/>
        <v>441.95177281979409</v>
      </c>
      <c r="AE47" s="26">
        <f t="shared" si="290"/>
        <v>692.48928752609481</v>
      </c>
      <c r="AI47" s="25">
        <f t="shared" ref="AI47:BN47" si="292">AI35-AI45</f>
        <v>6.840999999999994</v>
      </c>
      <c r="AJ47" s="25">
        <f t="shared" si="292"/>
        <v>-5.512999999999991</v>
      </c>
      <c r="AK47" s="25">
        <f t="shared" si="292"/>
        <v>2.4860000000000042</v>
      </c>
      <c r="AL47" s="25">
        <f t="shared" si="292"/>
        <v>-5.6060000000000159</v>
      </c>
      <c r="AM47" s="25">
        <f t="shared" si="292"/>
        <v>-18.026999999999994</v>
      </c>
      <c r="AN47" s="25">
        <f t="shared" si="292"/>
        <v>-12.499999999999993</v>
      </c>
      <c r="AO47" s="25">
        <f t="shared" si="292"/>
        <v>12.230000000000011</v>
      </c>
      <c r="AP47" s="25">
        <f t="shared" si="292"/>
        <v>-8.1840000000000188</v>
      </c>
      <c r="AQ47" s="25">
        <f t="shared" si="292"/>
        <v>-4.2390000000000008</v>
      </c>
      <c r="AR47" s="25">
        <f t="shared" si="292"/>
        <v>-4.2569999999999979</v>
      </c>
      <c r="AS47" s="25">
        <f t="shared" si="292"/>
        <v>-3.0590000000000011</v>
      </c>
      <c r="AT47" s="25">
        <f t="shared" si="292"/>
        <v>3.1219999999999928</v>
      </c>
      <c r="AU47" s="25">
        <f t="shared" si="292"/>
        <v>1.0519999999999996</v>
      </c>
      <c r="AV47" s="25">
        <f t="shared" si="292"/>
        <v>-2.0560000000000009</v>
      </c>
      <c r="AW47" s="25">
        <f t="shared" si="292"/>
        <v>6.2389999999999901</v>
      </c>
      <c r="AX47" s="25">
        <f t="shared" si="292"/>
        <v>-0.9269999999999996</v>
      </c>
      <c r="AY47" s="25">
        <f t="shared" si="292"/>
        <v>-9.7580000000000044</v>
      </c>
      <c r="AZ47" s="25">
        <f t="shared" si="292"/>
        <v>4.9000000000006594E-2</v>
      </c>
      <c r="BA47" s="25">
        <f t="shared" si="292"/>
        <v>8.6610000000000049</v>
      </c>
      <c r="BB47" s="25">
        <f t="shared" si="292"/>
        <v>0.99499999999999389</v>
      </c>
      <c r="BC47" s="25">
        <f t="shared" si="292"/>
        <v>-0.94699999999999918</v>
      </c>
      <c r="BD47" s="25">
        <f t="shared" si="292"/>
        <v>2.8870000000000005</v>
      </c>
      <c r="BE47" s="25">
        <f t="shared" si="292"/>
        <v>5.5609999999999999</v>
      </c>
      <c r="BF47" s="25">
        <f t="shared" si="292"/>
        <v>-3.688999999999993</v>
      </c>
      <c r="BG47" s="25">
        <f t="shared" si="292"/>
        <v>-3.6340000000000003</v>
      </c>
      <c r="BH47" s="25">
        <f t="shared" si="292"/>
        <v>7.4510000000000005</v>
      </c>
      <c r="BI47" s="25">
        <f t="shared" si="292"/>
        <v>23.935999999999979</v>
      </c>
      <c r="BJ47" s="25">
        <f t="shared" si="292"/>
        <v>3.8439999999999941</v>
      </c>
      <c r="BK47" s="25">
        <f t="shared" si="292"/>
        <v>4.6819999999999879</v>
      </c>
      <c r="BL47" s="25">
        <f t="shared" si="292"/>
        <v>10.682999999999993</v>
      </c>
      <c r="BM47" s="25">
        <f t="shared" si="292"/>
        <v>5.5460000000000136</v>
      </c>
      <c r="BN47" s="25">
        <f t="shared" si="292"/>
        <v>1.2199999999999989</v>
      </c>
      <c r="BO47" s="25">
        <f t="shared" ref="BO47:CJ47" si="293">BO35-BO45</f>
        <v>-11.146999999999998</v>
      </c>
      <c r="BP47" s="25">
        <f t="shared" si="293"/>
        <v>-9.868999999999998</v>
      </c>
      <c r="BQ47" s="25">
        <f t="shared" si="293"/>
        <v>1.3940000000000055</v>
      </c>
      <c r="BR47" s="25">
        <f t="shared" si="293"/>
        <v>-7.6650000000000063</v>
      </c>
      <c r="BS47" s="25">
        <f t="shared" si="293"/>
        <v>-0.79099999999999326</v>
      </c>
      <c r="BT47" s="25">
        <f t="shared" si="293"/>
        <v>4.0080000000000027</v>
      </c>
      <c r="BU47" s="25">
        <f t="shared" si="293"/>
        <v>6.0139999999999958</v>
      </c>
      <c r="BV47" s="25">
        <f t="shared" si="293"/>
        <v>0.257000000000005</v>
      </c>
      <c r="BW47" s="25">
        <f t="shared" si="293"/>
        <v>-7.1280000000000001</v>
      </c>
      <c r="BX47" s="25">
        <f t="shared" si="293"/>
        <v>-4.5420000000000016</v>
      </c>
      <c r="BY47" s="25">
        <f t="shared" si="293"/>
        <v>7.659000000000006</v>
      </c>
      <c r="BZ47" s="25">
        <f t="shared" si="293"/>
        <v>10.656000000000006</v>
      </c>
      <c r="CA47" s="25">
        <f t="shared" si="293"/>
        <v>7.1829999999999927</v>
      </c>
      <c r="CB47" s="25">
        <f t="shared" si="293"/>
        <v>6.1570000000000107</v>
      </c>
      <c r="CC47" s="25">
        <f t="shared" si="293"/>
        <v>12.721000000000004</v>
      </c>
      <c r="CD47" s="25">
        <f t="shared" si="293"/>
        <v>4.7579999999999814</v>
      </c>
      <c r="CE47" s="25">
        <f t="shared" si="293"/>
        <v>0.57899999999999352</v>
      </c>
      <c r="CF47" s="25">
        <f t="shared" si="293"/>
        <v>-8.6439999999999912</v>
      </c>
      <c r="CG47" s="25">
        <f t="shared" si="293"/>
        <v>-0.48000000000000398</v>
      </c>
      <c r="CH47" s="25">
        <f t="shared" si="293"/>
        <v>-1.4909999999999997</v>
      </c>
      <c r="CI47" s="25">
        <f t="shared" si="293"/>
        <v>1.9309999999999832</v>
      </c>
      <c r="CJ47" s="25">
        <f t="shared" si="293"/>
        <v>11.317999999999984</v>
      </c>
      <c r="CK47" s="25">
        <f t="shared" ref="CK47:CL47" si="294">CK35-CK45</f>
        <v>-19.658299999999997</v>
      </c>
      <c r="CL47" s="25">
        <f t="shared" si="294"/>
        <v>4.9120000000000061</v>
      </c>
      <c r="CM47" s="26">
        <f t="shared" ref="CM47:DA47" si="295">CM35-CM45</f>
        <v>-5.6387361001053478</v>
      </c>
      <c r="CN47" s="26">
        <f t="shared" si="295"/>
        <v>32.075242958838032</v>
      </c>
      <c r="CO47" s="26">
        <f t="shared" si="295"/>
        <v>38.508330612728116</v>
      </c>
      <c r="CP47" s="26">
        <f t="shared" si="295"/>
        <v>30.927335202701215</v>
      </c>
      <c r="CQ47" s="26">
        <f t="shared" si="295"/>
        <v>34.053946361334795</v>
      </c>
      <c r="CR47" s="26">
        <f t="shared" si="295"/>
        <v>81.251144186541069</v>
      </c>
      <c r="CS47" s="26">
        <f t="shared" si="295"/>
        <v>87.635992291458081</v>
      </c>
      <c r="CT47" s="26">
        <f t="shared" si="295"/>
        <v>77.325485337998941</v>
      </c>
      <c r="CU47" s="26">
        <f t="shared" si="295"/>
        <v>79.622847421936058</v>
      </c>
      <c r="CV47" s="26">
        <f t="shared" si="295"/>
        <v>139.18743584284903</v>
      </c>
      <c r="CW47" s="26">
        <f t="shared" si="295"/>
        <v>145.81600421700961</v>
      </c>
      <c r="CX47" s="26">
        <f t="shared" si="295"/>
        <v>132.45425081098199</v>
      </c>
      <c r="CY47" s="26">
        <f t="shared" si="295"/>
        <v>133.97467445802545</v>
      </c>
      <c r="CZ47" s="26">
        <f t="shared" si="295"/>
        <v>209.44637640751876</v>
      </c>
      <c r="DA47" s="26">
        <f t="shared" si="295"/>
        <v>216.61398584956885</v>
      </c>
      <c r="DD47" s="25">
        <v>1.7100932038980119</v>
      </c>
      <c r="DE47" s="25">
        <v>16.271033970077326</v>
      </c>
    </row>
    <row r="48" spans="1:109" s="159" customFormat="1" x14ac:dyDescent="0.2">
      <c r="A48" s="156" t="s">
        <v>14</v>
      </c>
      <c r="B48" s="157">
        <f t="shared" ref="B48:AE48" si="296">B47/B29</f>
        <v>-4.0077421482049451E-2</v>
      </c>
      <c r="C48" s="157">
        <f t="shared" si="296"/>
        <v>0.12226268496630989</v>
      </c>
      <c r="D48" s="157" t="e">
        <f t="shared" si="296"/>
        <v>#DIV/0!</v>
      </c>
      <c r="E48" s="157" t="e">
        <f t="shared" si="296"/>
        <v>#DIV/0!</v>
      </c>
      <c r="F48" s="157" t="e">
        <f t="shared" si="296"/>
        <v>#DIV/0!</v>
      </c>
      <c r="G48" s="157" t="e">
        <f t="shared" si="296"/>
        <v>#DIV/0!</v>
      </c>
      <c r="H48" s="157" t="e">
        <f t="shared" si="296"/>
        <v>#DIV/0!</v>
      </c>
      <c r="I48" s="157" t="e">
        <f t="shared" si="296"/>
        <v>#DIV/0!</v>
      </c>
      <c r="J48" s="157" t="e">
        <f t="shared" si="296"/>
        <v>#DIV/0!</v>
      </c>
      <c r="K48" s="157" t="e">
        <f t="shared" si="296"/>
        <v>#DIV/0!</v>
      </c>
      <c r="L48" s="157" t="e">
        <f t="shared" si="296"/>
        <v>#DIV/0!</v>
      </c>
      <c r="M48" s="157" t="e">
        <f t="shared" si="296"/>
        <v>#DIV/0!</v>
      </c>
      <c r="N48" s="157" t="e">
        <f t="shared" si="296"/>
        <v>#DIV/0!</v>
      </c>
      <c r="O48" s="157" t="e">
        <f t="shared" si="296"/>
        <v>#DIV/0!</v>
      </c>
      <c r="P48" s="157" t="e">
        <f t="shared" si="296"/>
        <v>#DIV/0!</v>
      </c>
      <c r="Q48" s="157" t="e">
        <f t="shared" si="296"/>
        <v>#DIV/0!</v>
      </c>
      <c r="R48" s="157" t="e">
        <f t="shared" si="296"/>
        <v>#DIV/0!</v>
      </c>
      <c r="S48" s="157" t="e">
        <f t="shared" si="296"/>
        <v>#DIV/0!</v>
      </c>
      <c r="T48" s="157" t="e">
        <f t="shared" si="296"/>
        <v>#DIV/0!</v>
      </c>
      <c r="U48" s="157" t="e">
        <f t="shared" si="296"/>
        <v>#DIV/0!</v>
      </c>
      <c r="V48" s="157" t="e">
        <f t="shared" si="296"/>
        <v>#DIV/0!</v>
      </c>
      <c r="W48" s="157" t="e">
        <f t="shared" si="296"/>
        <v>#DIV/0!</v>
      </c>
      <c r="X48" s="157" t="e">
        <f t="shared" si="296"/>
        <v>#DIV/0!</v>
      </c>
      <c r="Y48" s="157">
        <f t="shared" si="296"/>
        <v>3.8054239160486024E-2</v>
      </c>
      <c r="Z48" s="157">
        <f t="shared" si="296"/>
        <v>-9.747225552188472E-3</v>
      </c>
      <c r="AA48" s="157">
        <f t="shared" ref="AA48" si="297">AA47/AA29</f>
        <v>6.2753149654301468E-2</v>
      </c>
      <c r="AB48" s="158">
        <f t="shared" si="296"/>
        <v>4.4422853683410618E-2</v>
      </c>
      <c r="AC48" s="158">
        <f t="shared" si="296"/>
        <v>0.10457069080315889</v>
      </c>
      <c r="AD48" s="158">
        <f t="shared" si="296"/>
        <v>0.1486949532920292</v>
      </c>
      <c r="AE48" s="158">
        <f t="shared" si="296"/>
        <v>0.18395501160795427</v>
      </c>
      <c r="AI48" s="157">
        <f t="shared" ref="AI48:BN48" si="298">AI47/AI29</f>
        <v>7.3789235249703322E-2</v>
      </c>
      <c r="AJ48" s="157">
        <f t="shared" si="298"/>
        <v>-4.9909469491218453E-2</v>
      </c>
      <c r="AK48" s="157">
        <f t="shared" si="298"/>
        <v>1.2784646082323679E-2</v>
      </c>
      <c r="AL48" s="157">
        <f t="shared" si="298"/>
        <v>-4.2323488554689981E-2</v>
      </c>
      <c r="AM48" s="157">
        <f t="shared" si="298"/>
        <v>-0.17710861128850022</v>
      </c>
      <c r="AN48" s="157">
        <f t="shared" si="298"/>
        <v>-0.10245145849896313</v>
      </c>
      <c r="AO48" s="157">
        <f t="shared" si="298"/>
        <v>9.6773172545854588E-2</v>
      </c>
      <c r="AP48" s="157">
        <f t="shared" si="298"/>
        <v>-0.10259110225264213</v>
      </c>
      <c r="AQ48" s="157">
        <f t="shared" si="298"/>
        <v>-8.1347150259067372E-2</v>
      </c>
      <c r="AR48" s="157">
        <f t="shared" si="298"/>
        <v>-7.9581993569131801E-2</v>
      </c>
      <c r="AS48" s="157">
        <f t="shared" si="298"/>
        <v>-5.5980528511821996E-2</v>
      </c>
      <c r="AT48" s="157">
        <f t="shared" si="298"/>
        <v>5.283644733279165E-2</v>
      </c>
      <c r="AU48" s="157">
        <f t="shared" si="298"/>
        <v>1.9895228549274727E-2</v>
      </c>
      <c r="AV48" s="157">
        <f t="shared" si="298"/>
        <v>-4.7550765530320574E-2</v>
      </c>
      <c r="AW48" s="157">
        <f t="shared" si="298"/>
        <v>0.13533035443147781</v>
      </c>
      <c r="AX48" s="157">
        <f t="shared" si="298"/>
        <v>-1.4673990470612439E-2</v>
      </c>
      <c r="AY48" s="157">
        <f t="shared" si="298"/>
        <v>-0.38373510558810825</v>
      </c>
      <c r="AZ48" s="157">
        <f t="shared" si="298"/>
        <v>1.32758947682155E-3</v>
      </c>
      <c r="BA48" s="157">
        <f t="shared" si="298"/>
        <v>0.17407645616432857</v>
      </c>
      <c r="BB48" s="157">
        <f t="shared" si="298"/>
        <v>2.3852331295696846E-2</v>
      </c>
      <c r="BC48" s="157">
        <f t="shared" si="298"/>
        <v>-1.7916264638553062E-2</v>
      </c>
      <c r="BD48" s="157">
        <f t="shared" si="298"/>
        <v>4.8217118997912325E-2</v>
      </c>
      <c r="BE48" s="157">
        <f t="shared" si="298"/>
        <v>4.7588892216849941E-2</v>
      </c>
      <c r="BF48" s="157">
        <f t="shared" si="298"/>
        <v>-4.8693884554970271E-2</v>
      </c>
      <c r="BG48" s="157">
        <f t="shared" si="298"/>
        <v>-6.41800007064392E-2</v>
      </c>
      <c r="BH48" s="157">
        <f t="shared" si="298"/>
        <v>9.3992834796649508E-2</v>
      </c>
      <c r="BI48" s="157">
        <f t="shared" si="298"/>
        <v>0.10090041479782813</v>
      </c>
      <c r="BJ48" s="157">
        <f t="shared" si="298"/>
        <v>3.1221318865181358E-2</v>
      </c>
      <c r="BK48" s="157">
        <f t="shared" si="298"/>
        <v>4.3426642180050719E-2</v>
      </c>
      <c r="BL48" s="157">
        <f t="shared" si="298"/>
        <v>0.1217186218211648</v>
      </c>
      <c r="BM48" s="157">
        <f t="shared" si="298"/>
        <v>4.8823431021277841E-2</v>
      </c>
      <c r="BN48" s="157">
        <f t="shared" si="298"/>
        <v>1.9663781570846008E-2</v>
      </c>
      <c r="BO48" s="157">
        <f t="shared" ref="BO48:CJ48" si="299">BO47/BO29</f>
        <v>-0.80921960072595267</v>
      </c>
      <c r="BP48" s="157">
        <f t="shared" si="299"/>
        <v>-0.56617520509437191</v>
      </c>
      <c r="BQ48" s="157">
        <f t="shared" si="299"/>
        <v>1.3272524731264751E-2</v>
      </c>
      <c r="BR48" s="157">
        <f t="shared" si="299"/>
        <v>-0.12398097826086966</v>
      </c>
      <c r="BS48" s="157">
        <f t="shared" si="299"/>
        <v>-8.1294128528996961E-3</v>
      </c>
      <c r="BT48" s="157">
        <f t="shared" si="299"/>
        <v>4.3511301213713466E-2</v>
      </c>
      <c r="BU48" s="157">
        <f t="shared" si="299"/>
        <v>4.6222071923204003E-2</v>
      </c>
      <c r="BV48" s="157">
        <f t="shared" si="299"/>
        <v>4.0627272439850296E-3</v>
      </c>
      <c r="BW48" s="157">
        <f t="shared" si="299"/>
        <v>-0.19034394360179449</v>
      </c>
      <c r="BX48" s="157">
        <f t="shared" si="299"/>
        <v>-0.10638248038411996</v>
      </c>
      <c r="BY48" s="157">
        <f t="shared" si="299"/>
        <v>3.6304600289147518E-2</v>
      </c>
      <c r="BZ48" s="157">
        <f t="shared" si="299"/>
        <v>5.5328826443191412E-2</v>
      </c>
      <c r="CA48" s="157">
        <f t="shared" si="299"/>
        <v>3.247874841743531E-2</v>
      </c>
      <c r="CB48" s="157">
        <f t="shared" si="299"/>
        <v>3.214069449374627E-2</v>
      </c>
      <c r="CC48" s="157">
        <f t="shared" si="299"/>
        <v>5.010181053394408E-2</v>
      </c>
      <c r="CD48" s="157">
        <f t="shared" si="299"/>
        <v>3.2353261165206856E-2</v>
      </c>
      <c r="CE48" s="157">
        <f t="shared" si="299"/>
        <v>6.206652588249097E-3</v>
      </c>
      <c r="CF48" s="157">
        <f t="shared" si="299"/>
        <v>-0.11368149716585334</v>
      </c>
      <c r="CG48" s="157">
        <f t="shared" si="299"/>
        <v>-6.6354248745490538E-3</v>
      </c>
      <c r="CH48" s="157">
        <f t="shared" si="299"/>
        <v>-6.7496604798551367E-3</v>
      </c>
      <c r="CI48" s="157">
        <f t="shared" si="299"/>
        <v>2.3514941912856906E-2</v>
      </c>
      <c r="CJ48" s="157">
        <f t="shared" si="299"/>
        <v>0.11669966179988435</v>
      </c>
      <c r="CK48" s="157">
        <f t="shared" ref="CK48:CL48" si="300">CK47/CK29</f>
        <v>-8.6065507381652959E-2</v>
      </c>
      <c r="CL48" s="157">
        <f t="shared" si="300"/>
        <v>1.4257641858021537E-2</v>
      </c>
      <c r="CM48" s="158">
        <f t="shared" ref="CM48:DA48" si="301">CM47/CM29</f>
        <v>-1.8985643434698142E-2</v>
      </c>
      <c r="CN48" s="158">
        <f t="shared" si="301"/>
        <v>7.0252629298547933E-2</v>
      </c>
      <c r="CO48" s="158">
        <f t="shared" si="301"/>
        <v>8.1163161848367429E-2</v>
      </c>
      <c r="CP48" s="158">
        <f t="shared" si="301"/>
        <v>6.6845989631901234E-2</v>
      </c>
      <c r="CQ48" s="158">
        <f t="shared" si="301"/>
        <v>7.3073118772213563E-2</v>
      </c>
      <c r="CR48" s="158">
        <f t="shared" si="301"/>
        <v>0.12545662254193077</v>
      </c>
      <c r="CS48" s="158">
        <f t="shared" si="301"/>
        <v>0.13275607751013963</v>
      </c>
      <c r="CT48" s="158">
        <f t="shared" si="301"/>
        <v>0.12123605183842166</v>
      </c>
      <c r="CU48" s="158">
        <f t="shared" si="301"/>
        <v>0.12550761746001621</v>
      </c>
      <c r="CV48" s="158">
        <f t="shared" si="301"/>
        <v>0.16460550354849313</v>
      </c>
      <c r="CW48" s="158">
        <f t="shared" si="301"/>
        <v>0.17066349650939783</v>
      </c>
      <c r="CX48" s="158">
        <f t="shared" si="301"/>
        <v>0.16113235289221661</v>
      </c>
      <c r="CY48" s="158">
        <f t="shared" si="301"/>
        <v>0.16482303189019942</v>
      </c>
      <c r="CZ48" s="158">
        <f t="shared" si="301"/>
        <v>0.1972911939321606</v>
      </c>
      <c r="DA48" s="158">
        <f t="shared" si="301"/>
        <v>0.20282629778945108</v>
      </c>
      <c r="DD48" s="157">
        <v>3.1942371387031807E-2</v>
      </c>
      <c r="DE48" s="159">
        <v>5.812644703787994E-2</v>
      </c>
    </row>
    <row r="49" spans="1:109" s="37" customFormat="1" x14ac:dyDescent="0.2">
      <c r="A49" s="38" t="s">
        <v>448</v>
      </c>
      <c r="B49" s="38"/>
      <c r="C49" s="38">
        <f t="shared" ref="C49:E49" si="302">+IF(B47&lt;0,1-C47/B47,C47/B47-1)</f>
        <v>5.4310799272345527</v>
      </c>
      <c r="D49" s="38">
        <f t="shared" si="302"/>
        <v>-1</v>
      </c>
      <c r="E49" s="38" t="e">
        <f t="shared" si="302"/>
        <v>#DIV/0!</v>
      </c>
      <c r="F49" s="38" t="e">
        <f t="shared" ref="F49:Y49" si="303">+IF(E47&lt;0,1-F47/E47,F47/E47-1)</f>
        <v>#DIV/0!</v>
      </c>
      <c r="G49" s="38" t="e">
        <f t="shared" si="303"/>
        <v>#DIV/0!</v>
      </c>
      <c r="H49" s="38" t="e">
        <f t="shared" si="303"/>
        <v>#DIV/0!</v>
      </c>
      <c r="I49" s="38" t="e">
        <f t="shared" si="303"/>
        <v>#DIV/0!</v>
      </c>
      <c r="J49" s="38" t="e">
        <f t="shared" si="303"/>
        <v>#DIV/0!</v>
      </c>
      <c r="K49" s="38" t="e">
        <f t="shared" si="303"/>
        <v>#DIV/0!</v>
      </c>
      <c r="L49" s="38" t="e">
        <f t="shared" si="303"/>
        <v>#DIV/0!</v>
      </c>
      <c r="M49" s="38" t="e">
        <f t="shared" si="303"/>
        <v>#DIV/0!</v>
      </c>
      <c r="N49" s="38" t="e">
        <f t="shared" si="303"/>
        <v>#DIV/0!</v>
      </c>
      <c r="O49" s="38" t="e">
        <f t="shared" si="303"/>
        <v>#DIV/0!</v>
      </c>
      <c r="P49" s="38" t="e">
        <f t="shared" si="303"/>
        <v>#DIV/0!</v>
      </c>
      <c r="Q49" s="38" t="e">
        <f t="shared" si="303"/>
        <v>#DIV/0!</v>
      </c>
      <c r="R49" s="38" t="e">
        <f t="shared" si="303"/>
        <v>#DIV/0!</v>
      </c>
      <c r="S49" s="38" t="e">
        <f t="shared" si="303"/>
        <v>#DIV/0!</v>
      </c>
      <c r="T49" s="38" t="e">
        <f t="shared" si="303"/>
        <v>#DIV/0!</v>
      </c>
      <c r="U49" s="38" t="e">
        <f t="shared" si="303"/>
        <v>#DIV/0!</v>
      </c>
      <c r="V49" s="38" t="e">
        <f t="shared" si="303"/>
        <v>#DIV/0!</v>
      </c>
      <c r="W49" s="38" t="e">
        <f t="shared" si="303"/>
        <v>#DIV/0!</v>
      </c>
      <c r="X49" s="38" t="e">
        <f t="shared" si="303"/>
        <v>#DIV/0!</v>
      </c>
      <c r="Y49" s="38" t="e">
        <f t="shared" si="303"/>
        <v>#DIV/0!</v>
      </c>
      <c r="Z49" s="38">
        <f t="shared" ref="Z49:AE49" si="304">+IF(Y47&lt;0,1-Z47/Y47,Z47/Y47-1)</f>
        <v>-1.1493643441411261</v>
      </c>
      <c r="AA49" s="38">
        <f t="shared" si="304"/>
        <v>6.9224597519134106</v>
      </c>
      <c r="AB49" s="39">
        <f t="shared" si="304"/>
        <v>2.1130220528988573</v>
      </c>
      <c r="AC49" s="39">
        <f t="shared" si="304"/>
        <v>2.3478243004856756</v>
      </c>
      <c r="AD49" s="39">
        <f t="shared" si="304"/>
        <v>0.88974542402881496</v>
      </c>
      <c r="AE49" s="39">
        <f t="shared" si="304"/>
        <v>0.56688881030568328</v>
      </c>
      <c r="AI49" s="38"/>
      <c r="AJ49" s="38"/>
      <c r="AK49" s="38"/>
      <c r="AL49" s="38"/>
      <c r="AM49" s="38">
        <f>+IF(AI47&lt;0,1-AM47/AI47,AM47/AI47-1)</f>
        <v>-3.635141061248357</v>
      </c>
      <c r="AN49" s="38">
        <f t="shared" ref="AN49" si="305">+IF(AJ47&lt;0,1-AN47/AJ47,AN47/AJ47-1)</f>
        <v>-1.2673680391801221</v>
      </c>
      <c r="AO49" s="38">
        <f t="shared" ref="AO49" si="306">+IF(AK47&lt;0,1-AO47/AK47,AO47/AK47-1)</f>
        <v>3.9195494770715973</v>
      </c>
      <c r="AP49" s="38">
        <f t="shared" ref="AP49" si="307">+IF(AL47&lt;0,1-AP47/AL47,AP47/AL47-1)</f>
        <v>-0.4598644309668205</v>
      </c>
      <c r="AQ49" s="38">
        <f t="shared" ref="AQ49" si="308">+IF(AM47&lt;0,1-AQ47/AM47,AQ47/AM47-1)</f>
        <v>0.764852720918622</v>
      </c>
      <c r="AR49" s="38">
        <f t="shared" ref="AR49" si="309">+IF(AN47&lt;0,1-AR47/AN47,AR47/AN47-1)</f>
        <v>0.65944000000000003</v>
      </c>
      <c r="AS49" s="38">
        <f t="shared" ref="AS49" si="310">+IF(AO47&lt;0,1-AS47/AO47,AS47/AO47-1)</f>
        <v>-1.2501226492232216</v>
      </c>
      <c r="AT49" s="38">
        <f t="shared" ref="AT49" si="311">+IF(AP47&lt;0,1-AT47/AP47,AT47/AP47-1)</f>
        <v>1.3814760508308876</v>
      </c>
      <c r="AU49" s="38">
        <f t="shared" ref="AU49" si="312">+IF(AQ47&lt;0,1-AU47/AQ47,AU47/AQ47-1)</f>
        <v>1.2481717386175983</v>
      </c>
      <c r="AV49" s="38">
        <f t="shared" ref="AV49" si="313">+IF(AR47&lt;0,1-AV47/AR47,AV47/AR47-1)</f>
        <v>0.51703077284472587</v>
      </c>
      <c r="AW49" s="38">
        <f t="shared" ref="AW49" si="314">+IF(AS47&lt;0,1-AW47/AS47,AW47/AS47-1)</f>
        <v>3.0395554102647884</v>
      </c>
      <c r="AX49" s="38">
        <f t="shared" ref="AX49" si="315">+IF(AT47&lt;0,1-AX47/AT47,AX47/AT47-1)</f>
        <v>-1.2969250480461247</v>
      </c>
      <c r="AY49" s="38">
        <f t="shared" ref="AY49" si="316">+IF(AU47&lt;0,1-AY47/AU47,AY47/AU47-1)</f>
        <v>-10.275665399239552</v>
      </c>
      <c r="AZ49" s="38">
        <f t="shared" ref="AZ49" si="317">+IF(AV47&lt;0,1-AZ47/AV47,AZ47/AV47-1)</f>
        <v>1.023832684824906</v>
      </c>
      <c r="BA49" s="38">
        <f t="shared" ref="BA49" si="318">+IF(AW47&lt;0,1-BA47/AW47,BA47/AW47-1)</f>
        <v>0.38820323769835219</v>
      </c>
      <c r="BB49" s="38">
        <f t="shared" ref="BB49" si="319">+IF(AX47&lt;0,1-BB47/AX47,BB47/AX47-1)</f>
        <v>2.0733549083063583</v>
      </c>
      <c r="BC49" s="38">
        <f t="shared" ref="BC49" si="320">+IF(AY47&lt;0,1-BC47/AY47,BC47/AY47-1)</f>
        <v>0.90295142447222809</v>
      </c>
      <c r="BD49" s="38">
        <f t="shared" ref="BD49" si="321">+IF(AZ47&lt;0,1-BD47/AZ47,BD47/AZ47-1)</f>
        <v>57.918367346930857</v>
      </c>
      <c r="BE49" s="38">
        <f t="shared" ref="BE49" si="322">+IF(BA47&lt;0,1-BE47/BA47,BE47/BA47-1)</f>
        <v>-0.35792633645075667</v>
      </c>
      <c r="BF49" s="38">
        <f t="shared" ref="BF49" si="323">+IF(BB47&lt;0,1-BF47/BB47,BF47/BB47-1)</f>
        <v>-4.7075376884422262</v>
      </c>
      <c r="BG49" s="38">
        <f t="shared" ref="BG49" si="324">+IF(BC47&lt;0,1-BG47/BC47,BG47/BC47-1)</f>
        <v>-2.8373812038014821</v>
      </c>
      <c r="BH49" s="38">
        <f t="shared" ref="BH49" si="325">+IF(BD47&lt;0,1-BH47/BD47,BH47/BD47-1)</f>
        <v>1.5808798060270175</v>
      </c>
      <c r="BI49" s="38">
        <f t="shared" ref="BI49" si="326">+IF(BE47&lt;0,1-BI47/BE47,BI47/BE47-1)</f>
        <v>3.304261823413051</v>
      </c>
      <c r="BJ49" s="38">
        <f t="shared" ref="BJ49" si="327">+IF(BF47&lt;0,1-BJ47/BF47,BJ47/BF47-1)</f>
        <v>2.0420168067226894</v>
      </c>
      <c r="BK49" s="38">
        <f t="shared" ref="BK49" si="328">+IF(BG47&lt;0,1-BK47/BG47,BK47/BG47-1)</f>
        <v>2.2883874518436951</v>
      </c>
      <c r="BL49" s="38">
        <f t="shared" ref="BL49" si="329">+IF(BH47&lt;0,1-BL47/BH47,BL47/BH47-1)</f>
        <v>0.43376727955978955</v>
      </c>
      <c r="BM49" s="38">
        <f t="shared" ref="BM49" si="330">+IF(BI47&lt;0,1-BM47/BI47,BM47/BI47-1)</f>
        <v>-0.76829879679144308</v>
      </c>
      <c r="BN49" s="38">
        <f t="shared" ref="BN49" si="331">+IF(BJ47&lt;0,1-BN47/BJ47,BN47/BJ47-1)</f>
        <v>-0.68262226847034313</v>
      </c>
      <c r="BO49" s="38">
        <f t="shared" ref="BO49" si="332">+IF(BK47&lt;0,1-BO47/BK47,BO47/BK47-1)</f>
        <v>-3.3808201623237992</v>
      </c>
      <c r="BP49" s="38">
        <f t="shared" ref="BP49" si="333">+IF(BL47&lt;0,1-BP47/BL47,BP47/BL47-1)</f>
        <v>-1.9238041748572503</v>
      </c>
      <c r="BQ49" s="38">
        <f t="shared" ref="BQ49" si="334">+IF(BM47&lt;0,1-BQ47/BM47,BQ47/BM47-1)</f>
        <v>-0.74864767399927845</v>
      </c>
      <c r="BR49" s="38">
        <f t="shared" ref="BR49" si="335">+IF(BN47&lt;0,1-BR47/BN47,BR47/BN47-1)</f>
        <v>-7.2827868852459128</v>
      </c>
      <c r="BS49" s="38">
        <f t="shared" ref="BS49" si="336">+IF(BO47&lt;0,1-BS47/BO47,BS47/BO47-1)</f>
        <v>0.92903920337310542</v>
      </c>
      <c r="BT49" s="38">
        <f t="shared" ref="BT49" si="337">+IF(BP47&lt;0,1-BT47/BP47,BT47/BP47-1)</f>
        <v>1.4061201742831091</v>
      </c>
      <c r="BU49" s="38">
        <f t="shared" ref="BU49" si="338">+IF(BQ47&lt;0,1-BU47/BQ47,BU47/BQ47-1)</f>
        <v>3.3142037302725766</v>
      </c>
      <c r="BV49" s="38">
        <f t="shared" ref="BV49" si="339">+IF(BR47&lt;0,1-BV47/BR47,BV47/BR47-1)</f>
        <v>1.0335290280495766</v>
      </c>
      <c r="BW49" s="38">
        <f t="shared" ref="BW49" si="340">+IF(BS47&lt;0,1-BW47/BS47,BW47/BS47-1)</f>
        <v>-8.0113780025285219</v>
      </c>
      <c r="BX49" s="38">
        <f t="shared" ref="BX49" si="341">+IF(BT47&lt;0,1-BX47/BT47,BX47/BT47-1)</f>
        <v>-2.1332335329341312</v>
      </c>
      <c r="BY49" s="38">
        <f t="shared" ref="BY49" si="342">+IF(BU47&lt;0,1-BY47/BU47,BY47/BU47-1)</f>
        <v>0.27352843365480739</v>
      </c>
      <c r="BZ49" s="38">
        <f t="shared" ref="BZ49" si="343">+IF(BV47&lt;0,1-BZ47/BV47,BZ47/BV47-1)</f>
        <v>40.463035019454466</v>
      </c>
      <c r="CA49" s="38">
        <f t="shared" ref="CA49" si="344">+IF(BW47&lt;0,1-CA47/BW47,CA47/BW47-1)</f>
        <v>2.0077160493827151</v>
      </c>
      <c r="CB49" s="38">
        <f t="shared" ref="CB49" si="345">+IF(BX47&lt;0,1-CB47/BX47,CB47/BX47-1)</f>
        <v>2.3555702333773687</v>
      </c>
      <c r="CC49" s="38">
        <f t="shared" ref="CC49" si="346">+IF(BY47&lt;0,1-CC47/BY47,CC47/BY47-1)</f>
        <v>0.66092179135657303</v>
      </c>
      <c r="CD49" s="38">
        <f t="shared" ref="CD49" si="347">+IF(BZ47&lt;0,1-CD47/BZ47,CD47/BZ47-1)</f>
        <v>-0.55349099099099297</v>
      </c>
      <c r="CE49" s="38">
        <f t="shared" ref="CE49" si="348">+IF(CA47&lt;0,1-CE47/CA47,CE47/CA47-1)</f>
        <v>-0.9193930112766262</v>
      </c>
      <c r="CF49" s="38">
        <f t="shared" ref="CF49" si="349">+IF(CB47&lt;0,1-CF47/CB47,CF47/CB47-1)</f>
        <v>-2.4039304856261126</v>
      </c>
      <c r="CG49" s="38">
        <f t="shared" ref="CG49" si="350">+IF(CC47&lt;0,1-CG47/CC47,CG47/CC47-1)</f>
        <v>-1.0377328826350132</v>
      </c>
      <c r="CH49" s="38">
        <f t="shared" ref="CH49:CL49" si="351">+IF(CD47&lt;0,1-CH47/CD47,CH47/CD47-1)</f>
        <v>-1.3133669609079457</v>
      </c>
      <c r="CI49" s="38">
        <f t="shared" si="351"/>
        <v>2.3350604490500948</v>
      </c>
      <c r="CJ49" s="38">
        <f t="shared" si="351"/>
        <v>2.3093475242943073</v>
      </c>
      <c r="CK49" s="38">
        <f t="shared" si="351"/>
        <v>-39.954791666666324</v>
      </c>
      <c r="CL49" s="38">
        <f t="shared" si="351"/>
        <v>4.2944332662642566</v>
      </c>
      <c r="CM49" s="39">
        <f t="shared" ref="CM49" si="352">+IF(CI47&lt;0,1-CM47/CI47,CM47/CI47-1)</f>
        <v>-3.9201119109815625</v>
      </c>
      <c r="CN49" s="39">
        <f t="shared" ref="CN49" si="353">+IF(CJ47&lt;0,1-CN47/CJ47,CN47/CJ47-1)</f>
        <v>1.8340027353629687</v>
      </c>
      <c r="CO49" s="39">
        <f t="shared" ref="CO49" si="354">+IF(CK47&lt;0,1-CO47/CK47,CO47/CK47-1)</f>
        <v>2.9588840648849657</v>
      </c>
      <c r="CP49" s="39">
        <f t="shared" ref="CP49" si="355">+IF(CL47&lt;0,1-CP47/CL47,CP47/CL47-1)</f>
        <v>5.2962815966411192</v>
      </c>
      <c r="CQ49" s="39">
        <f t="shared" ref="CQ49" si="356">+IF(CM47&lt;0,1-CQ47/CM47,CQ47/CM47-1)</f>
        <v>7.0392871304437481</v>
      </c>
      <c r="CR49" s="39">
        <f t="shared" ref="CR49" si="357">+IF(CN47&lt;0,1-CR47/CN47,CR47/CN47-1)</f>
        <v>1.5331419715451626</v>
      </c>
      <c r="CS49" s="39">
        <f t="shared" ref="CS49" si="358">+IF(CO47&lt;0,1-CS47/CO47,CS47/CO47-1)</f>
        <v>1.2757671105714423</v>
      </c>
      <c r="CT49" s="39">
        <f t="shared" ref="CT49" si="359">+IF(CP47&lt;0,1-CT47/CP47,CT47/CP47-1)</f>
        <v>1.5002311007786173</v>
      </c>
      <c r="CU49" s="39">
        <f t="shared" ref="CU49" si="360">+IF(CQ47&lt;0,1-CU47/CQ47,CU47/CQ47-1)</f>
        <v>1.3381386279606251</v>
      </c>
      <c r="CV49" s="39">
        <f t="shared" ref="CV49" si="361">+IF(CR47&lt;0,1-CV47/CR47,CV47/CR47-1)</f>
        <v>0.71305200974517313</v>
      </c>
      <c r="CW49" s="39">
        <f t="shared" ref="CW49" si="362">+IF(CS47&lt;0,1-CW47/CS47,CW47/CS47-1)</f>
        <v>0.66388261722486774</v>
      </c>
      <c r="CX49" s="39">
        <f t="shared" ref="CX49" si="363">+IF(CT47&lt;0,1-CX47/CT47,CX47/CT47-1)</f>
        <v>0.7129443188362623</v>
      </c>
      <c r="CY49" s="39">
        <f t="shared" ref="CY49" si="364">+IF(CU47&lt;0,1-CY47/CU47,CY47/CU47-1)</f>
        <v>0.68261596760122245</v>
      </c>
      <c r="CZ49" s="39">
        <f t="shared" ref="CZ49" si="365">+IF(CV47&lt;0,1-CZ47/CV47,CZ47/CV47-1)</f>
        <v>0.50477932968027583</v>
      </c>
      <c r="DA49" s="39">
        <f t="shared" ref="DA49" si="366">+IF(CW47&lt;0,1-DA47/CW47,DA47/CW47-1)</f>
        <v>0.48552956866925712</v>
      </c>
      <c r="DD49" s="38">
        <v>4.5626941747874952</v>
      </c>
      <c r="DE49" s="37">
        <v>11.912832977919068</v>
      </c>
    </row>
    <row r="50" spans="1:109" s="37" customFormat="1" x14ac:dyDescent="0.2">
      <c r="A50" s="38" t="s">
        <v>449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9"/>
      <c r="AC50" s="39"/>
      <c r="AD50" s="39"/>
      <c r="AE50" s="39"/>
      <c r="AI50" s="38"/>
      <c r="AJ50" s="38">
        <f>+IF(AI47&lt;0,1-AJ47/AI47,AJ47/AI47-1)</f>
        <v>-1.8058763338693167</v>
      </c>
      <c r="AK50" s="38">
        <f t="shared" ref="AK50:AM50" si="367">+IF(AJ47&lt;0,1-AK47/AJ47,AK47/AJ47-1)</f>
        <v>1.4509341556321438</v>
      </c>
      <c r="AL50" s="38">
        <f t="shared" si="367"/>
        <v>-3.2550281576830273</v>
      </c>
      <c r="AM50" s="38">
        <f t="shared" si="367"/>
        <v>-2.2156617909382703</v>
      </c>
      <c r="AN50" s="38">
        <f t="shared" ref="AN50" si="368">+IF(AM47&lt;0,1-AN47/AM47,AN47/AM47-1)</f>
        <v>0.30659566206246203</v>
      </c>
      <c r="AO50" s="38">
        <f t="shared" ref="AO50" si="369">+IF(AN47&lt;0,1-AO47/AN47,AO47/AN47-1)</f>
        <v>1.9784000000000015</v>
      </c>
      <c r="AP50" s="38">
        <f t="shared" ref="AP50" si="370">+IF(AO47&lt;0,1-AP47/AO47,AP47/AO47-1)</f>
        <v>-1.6691741618969755</v>
      </c>
      <c r="AQ50" s="38">
        <f t="shared" ref="AQ50" si="371">+IF(AP47&lt;0,1-AQ47/AP47,AQ47/AP47-1)</f>
        <v>0.48203812316715655</v>
      </c>
      <c r="AR50" s="38">
        <f t="shared" ref="AR50" si="372">+IF(AQ47&lt;0,1-AR47/AQ47,AR47/AQ47-1)</f>
        <v>-4.246284501060904E-3</v>
      </c>
      <c r="AS50" s="38">
        <f t="shared" ref="AS50" si="373">+IF(AR47&lt;0,1-AS47/AR47,AS47/AR47-1)</f>
        <v>0.28141883955837388</v>
      </c>
      <c r="AT50" s="38">
        <f t="shared" ref="AT50" si="374">+IF(AS47&lt;0,1-AT47/AS47,AT47/AS47-1)</f>
        <v>2.0205949656750546</v>
      </c>
      <c r="AU50" s="38">
        <f t="shared" ref="AU50" si="375">+IF(AT47&lt;0,1-AU47/AT47,AU47/AT47-1)</f>
        <v>-0.6630365150544516</v>
      </c>
      <c r="AV50" s="38">
        <f t="shared" ref="AV50" si="376">+IF(AU47&lt;0,1-AV47/AU47,AV47/AU47-1)</f>
        <v>-2.9543726235741463</v>
      </c>
      <c r="AW50" s="38">
        <f t="shared" ref="AW50" si="377">+IF(AV47&lt;0,1-AW47/AV47,AW47/AV47-1)</f>
        <v>4.0345330739299552</v>
      </c>
      <c r="AX50" s="38">
        <f t="shared" ref="AX50" si="378">+IF(AW47&lt;0,1-AX47/AW47,AX47/AW47-1)</f>
        <v>-1.1485815034460654</v>
      </c>
      <c r="AY50" s="38">
        <f t="shared" ref="AY50" si="379">+IF(AX47&lt;0,1-AY47/AX47,AY47/AX47-1)</f>
        <v>-9.5264293419633326</v>
      </c>
      <c r="AZ50" s="38">
        <f t="shared" ref="AZ50" si="380">+IF(AY47&lt;0,1-AZ47/AY47,AZ47/AY47-1)</f>
        <v>1.0050215208034441</v>
      </c>
      <c r="BA50" s="38">
        <f t="shared" ref="BA50" si="381">+IF(AZ47&lt;0,1-BA47/AZ47,BA47/AZ47-1)</f>
        <v>175.75510204079265</v>
      </c>
      <c r="BB50" s="38">
        <f t="shared" ref="BB50" si="382">+IF(BA47&lt;0,1-BB47/BA47,BB47/BA47-1)</f>
        <v>-0.88511719201016126</v>
      </c>
      <c r="BC50" s="38">
        <f t="shared" ref="BC50" si="383">+IF(BB47&lt;0,1-BC47/BB47,BC47/BB47-1)</f>
        <v>-1.9517587939698542</v>
      </c>
      <c r="BD50" s="38">
        <f t="shared" ref="BD50" si="384">+IF(BC47&lt;0,1-BD47/BC47,BD47/BC47-1)</f>
        <v>4.0485744456177439</v>
      </c>
      <c r="BE50" s="38">
        <f t="shared" ref="BE50" si="385">+IF(BD47&lt;0,1-BE47/BD47,BE47/BD47-1)</f>
        <v>0.92622099064773078</v>
      </c>
      <c r="BF50" s="38">
        <f t="shared" ref="BF50" si="386">+IF(BE47&lt;0,1-BF47/BE47,BF47/BE47-1)</f>
        <v>-1.6633698975004483</v>
      </c>
      <c r="BG50" s="38">
        <f t="shared" ref="BG50" si="387">+IF(BF47&lt;0,1-BG47/BF47,BG47/BF47-1)</f>
        <v>1.4909189482242513E-2</v>
      </c>
      <c r="BH50" s="38">
        <f t="shared" ref="BH50" si="388">+IF(BG47&lt;0,1-BH47/BG47,BH47/BG47-1)</f>
        <v>3.050357732526142</v>
      </c>
      <c r="BI50" s="38">
        <f t="shared" ref="BI50" si="389">+IF(BH47&lt;0,1-BI47/BH47,BI47/BH47-1)</f>
        <v>2.2124547040665652</v>
      </c>
      <c r="BJ50" s="38">
        <f t="shared" ref="BJ50" si="390">+IF(BI47&lt;0,1-BJ47/BI47,BJ47/BI47-1)</f>
        <v>-0.83940508021390381</v>
      </c>
      <c r="BK50" s="38">
        <f t="shared" ref="BK50" si="391">+IF(BJ47&lt;0,1-BK47/BJ47,BK47/BJ47-1)</f>
        <v>0.2180020811654515</v>
      </c>
      <c r="BL50" s="38">
        <f t="shared" ref="BL50" si="392">+IF(BK47&lt;0,1-BL47/BK47,BL47/BK47-1)</f>
        <v>1.2817172148654463</v>
      </c>
      <c r="BM50" s="38">
        <f t="shared" ref="BM50" si="393">+IF(BL47&lt;0,1-BM47/BL47,BM47/BL47-1)</f>
        <v>-0.48085743704951633</v>
      </c>
      <c r="BN50" s="38">
        <f t="shared" ref="BN50" si="394">+IF(BM47&lt;0,1-BN47/BM47,BN47/BM47-1)</f>
        <v>-0.78002163721601225</v>
      </c>
      <c r="BO50" s="38">
        <f t="shared" ref="BO50" si="395">+IF(BN47&lt;0,1-BO47/BN47,BO47/BN47-1)</f>
        <v>-10.136885245901647</v>
      </c>
      <c r="BP50" s="38">
        <f t="shared" ref="BP50" si="396">+IF(BO47&lt;0,1-BP47/BO47,BP47/BO47-1)</f>
        <v>0.11464968152866251</v>
      </c>
      <c r="BQ50" s="38">
        <f t="shared" ref="BQ50" si="397">+IF(BP47&lt;0,1-BQ47/BP47,BQ47/BP47-1)</f>
        <v>1.1412503799777085</v>
      </c>
      <c r="BR50" s="38">
        <f t="shared" ref="BR50" si="398">+IF(BQ47&lt;0,1-BR47/BQ47,BR47/BQ47-1)</f>
        <v>-6.4985652797704274</v>
      </c>
      <c r="BS50" s="38">
        <f t="shared" ref="BS50" si="399">+IF(BR47&lt;0,1-BS47/BR47,BS47/BR47-1)</f>
        <v>0.89680365296803743</v>
      </c>
      <c r="BT50" s="38">
        <f t="shared" ref="BT50" si="400">+IF(BS47&lt;0,1-BT47/BS47,BT47/BS47-1)</f>
        <v>6.0670037926675562</v>
      </c>
      <c r="BU50" s="38">
        <f t="shared" ref="BU50" si="401">+IF(BT47&lt;0,1-BU47/BT47,BU47/BT47-1)</f>
        <v>0.50049900199600583</v>
      </c>
      <c r="BV50" s="38">
        <f t="shared" ref="BV50" si="402">+IF(BU47&lt;0,1-BV47/BU47,BV47/BU47-1)</f>
        <v>-0.95726637845028184</v>
      </c>
      <c r="BW50" s="38">
        <f t="shared" ref="BW50" si="403">+IF(BV47&lt;0,1-BW47/BV47,BW47/BV47-1)</f>
        <v>-28.735408560310745</v>
      </c>
      <c r="BX50" s="38">
        <f t="shared" ref="BX50" si="404">+IF(BW47&lt;0,1-BX47/BW47,BX47/BW47-1)</f>
        <v>0.36279461279461256</v>
      </c>
      <c r="BY50" s="38">
        <f t="shared" ref="BY50" si="405">+IF(BX47&lt;0,1-BY47/BX47,BY47/BX47-1)</f>
        <v>2.6862615587846772</v>
      </c>
      <c r="BZ50" s="38">
        <f t="shared" ref="BZ50" si="406">+IF(BY47&lt;0,1-BZ47/BY47,BZ47/BY47-1)</f>
        <v>0.3913043478260867</v>
      </c>
      <c r="CA50" s="38">
        <f t="shared" ref="CA50" si="407">+IF(BZ47&lt;0,1-CA47/BZ47,CA47/BZ47-1)</f>
        <v>-0.32591966966967068</v>
      </c>
      <c r="CB50" s="38">
        <f t="shared" ref="CB50" si="408">+IF(CA47&lt;0,1-CB47/CA47,CB47/CA47-1)</f>
        <v>-0.14283725462898278</v>
      </c>
      <c r="CC50" s="38">
        <f t="shared" ref="CC50" si="409">+IF(CB47&lt;0,1-CC47/CB47,CC47/CB47-1)</f>
        <v>1.0661036218937765</v>
      </c>
      <c r="CD50" s="38">
        <f t="shared" ref="CD50" si="410">+IF(CC47&lt;0,1-CD47/CC47,CD47/CC47-1)</f>
        <v>-0.6259728008804355</v>
      </c>
      <c r="CE50" s="38">
        <f t="shared" ref="CE50" si="411">+IF(CD47&lt;0,1-CE47/CD47,CE47/CD47-1)</f>
        <v>-0.87831021437578904</v>
      </c>
      <c r="CF50" s="38">
        <f t="shared" ref="CF50" si="412">+IF(CE47&lt;0,1-CF47/CE47,CF47/CE47-1)</f>
        <v>-15.929188255613278</v>
      </c>
      <c r="CG50" s="38">
        <f t="shared" ref="CG50" si="413">+IF(CF47&lt;0,1-CG47/CF47,CG47/CF47-1)</f>
        <v>0.94447015270707957</v>
      </c>
      <c r="CH50" s="38">
        <f t="shared" ref="CH50:CI50" si="414">+IF(CG47&lt;0,1-CH47/CG47,CH47/CG47-1)</f>
        <v>-2.1062499999999735</v>
      </c>
      <c r="CI50" s="38">
        <f t="shared" si="414"/>
        <v>2.295103957075777</v>
      </c>
      <c r="CJ50" s="38">
        <f>+IF(CI47&gt;1,CJ47/CI47-1,1-CJ47/CI47)</f>
        <v>4.8612118073537456</v>
      </c>
      <c r="CK50" s="38">
        <f>+IF(CJ47&gt;1,CK47/CJ47-1,1-CK47/CJ47)</f>
        <v>-2.736905813748014</v>
      </c>
      <c r="CL50" s="38">
        <f>+IF(CK47&gt;1,CL47/CK47-1,1-CL47/CK47)</f>
        <v>1.2498690120712375</v>
      </c>
      <c r="CM50" s="39">
        <f t="shared" ref="CM50:DA50" si="415">+IF(CL47&gt;1,CM47/CL47-1,1-CM47/CL47)</f>
        <v>-2.1479511604448982</v>
      </c>
      <c r="CN50" s="39">
        <f t="shared" si="415"/>
        <v>6.6883745558226737</v>
      </c>
      <c r="CO50" s="39">
        <f t="shared" si="415"/>
        <v>0.20056239830032241</v>
      </c>
      <c r="CP50" s="39">
        <f t="shared" si="415"/>
        <v>-0.19686637383135908</v>
      </c>
      <c r="CQ50" s="39">
        <f t="shared" si="415"/>
        <v>0.10109539467727879</v>
      </c>
      <c r="CR50" s="39">
        <f t="shared" si="415"/>
        <v>1.38595384289424</v>
      </c>
      <c r="CS50" s="39">
        <f t="shared" si="415"/>
        <v>7.8581639296774863E-2</v>
      </c>
      <c r="CT50" s="39">
        <f t="shared" si="415"/>
        <v>-0.11765151148364539</v>
      </c>
      <c r="CU50" s="39">
        <f t="shared" si="415"/>
        <v>2.9710283406500171E-2</v>
      </c>
      <c r="CV50" s="39">
        <f t="shared" si="415"/>
        <v>0.7480841284822346</v>
      </c>
      <c r="CW50" s="39">
        <f t="shared" si="415"/>
        <v>4.7623324145755763E-2</v>
      </c>
      <c r="CX50" s="39">
        <f t="shared" si="415"/>
        <v>-9.1634340673209524E-2</v>
      </c>
      <c r="CY50" s="39">
        <f t="shared" si="415"/>
        <v>1.1478858834158334E-2</v>
      </c>
      <c r="CZ50" s="39">
        <f t="shared" si="415"/>
        <v>0.56332812342931837</v>
      </c>
      <c r="DA50" s="39">
        <f t="shared" si="415"/>
        <v>3.4221692277474069E-2</v>
      </c>
      <c r="DD50" s="38">
        <v>-0.84890500053913986</v>
      </c>
      <c r="DE50" s="37">
        <v>0.60955920170910205</v>
      </c>
    </row>
    <row r="51" spans="1:109" s="22" customFormat="1" x14ac:dyDescent="0.2">
      <c r="A51" s="22" t="s">
        <v>15</v>
      </c>
      <c r="B51" s="22">
        <f>'Annual Raw'!C27</f>
        <v>3.1754977379999998</v>
      </c>
      <c r="C51" s="22">
        <f>'Annual Raw'!D27</f>
        <v>2.6181707250000001</v>
      </c>
      <c r="D51" s="22">
        <f>'Annual Raw'!E27</f>
        <v>0</v>
      </c>
      <c r="E51" s="22">
        <f>'Annual Raw'!F27</f>
        <v>0</v>
      </c>
      <c r="F51" s="22">
        <f>'Annual Raw'!G27</f>
        <v>0</v>
      </c>
      <c r="G51" s="22">
        <f>'Annual Raw'!H27</f>
        <v>0</v>
      </c>
      <c r="H51" s="22">
        <f>'Annual Raw'!I27</f>
        <v>0</v>
      </c>
      <c r="I51" s="22">
        <f>'Annual Raw'!J27</f>
        <v>0</v>
      </c>
      <c r="J51" s="22">
        <f>'Annual Raw'!K27</f>
        <v>0</v>
      </c>
      <c r="K51" s="22">
        <f>'Annual Raw'!L27</f>
        <v>0</v>
      </c>
      <c r="L51" s="22">
        <f>'Annual Raw'!M27</f>
        <v>0</v>
      </c>
      <c r="M51" s="22">
        <f>'Annual Raw'!N27</f>
        <v>0</v>
      </c>
      <c r="N51" s="22">
        <f>'Annual Raw'!O27</f>
        <v>0</v>
      </c>
      <c r="O51" s="22">
        <f>'Annual Raw'!P27</f>
        <v>0</v>
      </c>
      <c r="P51" s="22">
        <f>'Annual Raw'!Q27</f>
        <v>0</v>
      </c>
      <c r="Q51" s="22">
        <f>'Annual Raw'!R27</f>
        <v>0</v>
      </c>
      <c r="R51" s="22">
        <f>'Annual Raw'!S27</f>
        <v>0</v>
      </c>
      <c r="S51" s="22">
        <f>'Annual Raw'!T27</f>
        <v>0</v>
      </c>
      <c r="T51" s="22">
        <f>'Annual Raw'!U27</f>
        <v>0</v>
      </c>
      <c r="U51" s="22">
        <f>'Annual Raw'!V27</f>
        <v>0</v>
      </c>
      <c r="V51" s="22">
        <f>'Annual Raw'!W27</f>
        <v>0</v>
      </c>
      <c r="W51" s="22">
        <f>'Annual Raw'!X27</f>
        <v>0</v>
      </c>
      <c r="X51" s="22">
        <f>'Annual Raw'!Y27</f>
        <v>0</v>
      </c>
      <c r="Y51" s="22">
        <f>'Annual Raw'!Z27</f>
        <v>3.8513999999999999</v>
      </c>
      <c r="Z51" s="22">
        <f>'Annual Raw'!AA27</f>
        <v>5.9714999999999998</v>
      </c>
      <c r="AA51" s="22">
        <f>'Annual Raw'!AB27</f>
        <v>6.1506999999999996</v>
      </c>
      <c r="AB51" s="75">
        <f>+SUM(CL51:CO51)</f>
        <v>13.107999999999999</v>
      </c>
      <c r="AC51" s="75">
        <f>+SUM(CP51:CS51)</f>
        <v>13.107999999999999</v>
      </c>
      <c r="AD51" s="75">
        <f>+SUM(CT51:CW51)</f>
        <v>13.107999999999999</v>
      </c>
      <c r="AE51" s="75">
        <f>+SUM(CX51:DA51)</f>
        <v>13.107999999999999</v>
      </c>
      <c r="AI51" s="22">
        <f>'QTR Raw'!C28</f>
        <v>1.03</v>
      </c>
      <c r="AJ51" s="22">
        <f>'QTR Raw'!D28</f>
        <v>1.1020000000000001</v>
      </c>
      <c r="AK51" s="22">
        <f>'QTR Raw'!E28</f>
        <v>1.157</v>
      </c>
      <c r="AL51" s="22">
        <f>'QTR Raw'!F28</f>
        <v>1.3149999999999999</v>
      </c>
      <c r="AM51" s="22">
        <f>'QTR Raw'!G28</f>
        <v>2.081</v>
      </c>
      <c r="AN51" s="22">
        <f>'QTR Raw'!H28</f>
        <v>2.1360000000000001</v>
      </c>
      <c r="AO51" s="22">
        <f>'QTR Raw'!I28</f>
        <v>2.2389999999999999</v>
      </c>
      <c r="AP51" s="22">
        <f>'QTR Raw'!J28</f>
        <v>1.925</v>
      </c>
      <c r="AQ51" s="22">
        <f>'QTR Raw'!K28</f>
        <v>2.984</v>
      </c>
      <c r="AR51" s="22">
        <f>'QTR Raw'!L28</f>
        <v>0.11799999999999999</v>
      </c>
      <c r="AS51" s="22">
        <f>'QTR Raw'!M28</f>
        <v>1.5049999999999999</v>
      </c>
      <c r="AT51" s="22">
        <f>'QTR Raw'!N28</f>
        <v>1.895</v>
      </c>
      <c r="AU51" s="22">
        <f>'QTR Raw'!O28</f>
        <v>1.409</v>
      </c>
      <c r="AV51" s="22">
        <f>'QTR Raw'!P28</f>
        <v>1.3939999999999999</v>
      </c>
      <c r="AW51" s="22">
        <f>'QTR Raw'!Q28</f>
        <v>1.48</v>
      </c>
      <c r="AX51" s="22">
        <f>'QTR Raw'!R28</f>
        <v>1.5089999999999999</v>
      </c>
      <c r="AY51" s="22">
        <f>'QTR Raw'!S28</f>
        <v>1.325</v>
      </c>
      <c r="AZ51" s="22">
        <f>'QTR Raw'!T28</f>
        <v>1.3580000000000001</v>
      </c>
      <c r="BA51" s="22">
        <f>'QTR Raw'!U28</f>
        <v>1.3440000000000001</v>
      </c>
      <c r="BB51" s="22">
        <f>'QTR Raw'!V28</f>
        <v>1.159</v>
      </c>
      <c r="BC51" s="22">
        <f>'QTR Raw'!W28</f>
        <v>1.2689999999999999</v>
      </c>
      <c r="BD51" s="22">
        <f>'QTR Raw'!X28</f>
        <v>1.3240000000000001</v>
      </c>
      <c r="BE51" s="22">
        <f>'QTR Raw'!Y28</f>
        <v>1.3879999999999999</v>
      </c>
      <c r="BF51" s="22">
        <f>'QTR Raw'!Z28</f>
        <v>1.9419999999999999</v>
      </c>
      <c r="BG51" s="22">
        <f>'QTR Raw'!AA28</f>
        <v>1.4330000000000001</v>
      </c>
      <c r="BH51" s="22">
        <f>'QTR Raw'!AB28</f>
        <v>1.478</v>
      </c>
      <c r="BI51" s="22">
        <f>'QTR Raw'!AC28</f>
        <v>1.4590000000000001</v>
      </c>
      <c r="BJ51" s="22">
        <f>'QTR Raw'!AD28</f>
        <v>1.405</v>
      </c>
      <c r="BK51" s="22">
        <f>'QTR Raw'!AE28</f>
        <v>1.4490000000000001</v>
      </c>
      <c r="BL51" s="22">
        <f>'QTR Raw'!AF28</f>
        <v>1.4370000000000001</v>
      </c>
      <c r="BM51" s="22">
        <f>'QTR Raw'!AG28</f>
        <v>1.41</v>
      </c>
      <c r="BN51" s="22">
        <f>'QTR Raw'!AH28</f>
        <v>1.3720000000000001</v>
      </c>
      <c r="BO51" s="22">
        <f>'QTR Raw'!AI28</f>
        <v>1.2969999999999999</v>
      </c>
      <c r="BP51" s="22">
        <f>'QTR Raw'!AJ28</f>
        <v>1.27</v>
      </c>
      <c r="BQ51" s="22">
        <f>'QTR Raw'!AK28</f>
        <v>1.2589999999999999</v>
      </c>
      <c r="BR51" s="22">
        <f>'QTR Raw'!AL28</f>
        <v>1.2070000000000001</v>
      </c>
      <c r="BS51" s="22">
        <f>'QTR Raw'!AM28</f>
        <v>1.1950000000000001</v>
      </c>
      <c r="BT51" s="22">
        <f>'QTR Raw'!AN28</f>
        <v>1.1950000000000001</v>
      </c>
      <c r="BU51" s="22">
        <f>'QTR Raw'!AO28</f>
        <v>1.1419999999999999</v>
      </c>
      <c r="BV51" s="22">
        <f>'QTR Raw'!AP28</f>
        <v>1.1299999999999999</v>
      </c>
      <c r="BW51" s="22">
        <f>'QTR Raw'!AQ28</f>
        <v>1.1100000000000001</v>
      </c>
      <c r="BX51" s="22">
        <f>'QTR Raw'!AR28</f>
        <v>1.129</v>
      </c>
      <c r="BY51" s="22">
        <f>'QTR Raw'!AS28</f>
        <v>1.133</v>
      </c>
      <c r="BZ51" s="22">
        <f>'QTR Raw'!AT28</f>
        <v>1.7749999999999999</v>
      </c>
      <c r="CA51" s="22">
        <f>'QTR Raw'!AU28</f>
        <v>1.34</v>
      </c>
      <c r="CB51" s="22">
        <f>'QTR Raw'!AV28</f>
        <v>1.2490000000000001</v>
      </c>
      <c r="CC51" s="22">
        <f>'QTR Raw'!AW28</f>
        <v>1.262</v>
      </c>
      <c r="CD51" s="22">
        <f>'QTR Raw'!AX28</f>
        <v>1.3340000000000001</v>
      </c>
      <c r="CE51" s="22">
        <f>'QTR Raw'!AY28</f>
        <v>1.552</v>
      </c>
      <c r="CF51" s="22">
        <f>'QTR Raw'!AZ28</f>
        <v>1.4690000000000001</v>
      </c>
      <c r="CG51" s="22">
        <f>'QTR Raw'!BA28</f>
        <v>1.6160000000000001</v>
      </c>
      <c r="CH51" s="22">
        <f>'QTR Raw'!BB28</f>
        <v>2.4769999999999999</v>
      </c>
      <c r="CI51" s="22">
        <f>'QTR Raw'!BC28</f>
        <v>1.534</v>
      </c>
      <c r="CJ51" s="22">
        <f>'QTR Raw'!BD28</f>
        <v>1.55</v>
      </c>
      <c r="CK51" s="22">
        <v>3.5851000000000002</v>
      </c>
      <c r="CL51" s="22">
        <f>'QTR Raw'!BF28</f>
        <v>3.2770000000000001</v>
      </c>
      <c r="CM51" s="23">
        <f t="shared" ref="CM51:DA51" si="416">CM52*CL153</f>
        <v>3.2769999999999997</v>
      </c>
      <c r="CN51" s="23">
        <f t="shared" si="416"/>
        <v>3.2769999999999997</v>
      </c>
      <c r="CO51" s="23">
        <f t="shared" si="416"/>
        <v>3.2769999999999997</v>
      </c>
      <c r="CP51" s="23">
        <f t="shared" si="416"/>
        <v>3.2769999999999997</v>
      </c>
      <c r="CQ51" s="23">
        <f t="shared" si="416"/>
        <v>3.2769999999999997</v>
      </c>
      <c r="CR51" s="23">
        <f t="shared" si="416"/>
        <v>3.2769999999999997</v>
      </c>
      <c r="CS51" s="23">
        <f t="shared" si="416"/>
        <v>3.2769999999999997</v>
      </c>
      <c r="CT51" s="23">
        <f t="shared" si="416"/>
        <v>3.2769999999999997</v>
      </c>
      <c r="CU51" s="23">
        <f t="shared" si="416"/>
        <v>3.2769999999999997</v>
      </c>
      <c r="CV51" s="23">
        <f t="shared" si="416"/>
        <v>3.2769999999999997</v>
      </c>
      <c r="CW51" s="23">
        <f t="shared" si="416"/>
        <v>3.2769999999999997</v>
      </c>
      <c r="CX51" s="23">
        <f t="shared" si="416"/>
        <v>3.2769999999999997</v>
      </c>
      <c r="CY51" s="23">
        <f t="shared" si="416"/>
        <v>3.2769999999999997</v>
      </c>
      <c r="CZ51" s="23">
        <f t="shared" si="416"/>
        <v>3.2769999999999997</v>
      </c>
      <c r="DA51" s="23">
        <f t="shared" si="416"/>
        <v>3.2769999999999997</v>
      </c>
      <c r="DD51" s="22">
        <v>1.55</v>
      </c>
      <c r="DE51" s="22">
        <v>1.7234591255166414</v>
      </c>
    </row>
    <row r="52" spans="1:109" s="45" customFormat="1" x14ac:dyDescent="0.2">
      <c r="A52" s="45" t="s">
        <v>482</v>
      </c>
      <c r="B52" s="45">
        <f t="shared" ref="B52:D52" si="417">+B51/B153</f>
        <v>0.13861311099552975</v>
      </c>
      <c r="C52" s="45">
        <f t="shared" si="417"/>
        <v>0.11175024737669804</v>
      </c>
      <c r="D52" s="45" t="e">
        <f t="shared" si="417"/>
        <v>#DIV/0!</v>
      </c>
      <c r="E52" s="45" t="e">
        <f t="shared" ref="E52:AE52" si="418">+E51/E153</f>
        <v>#DIV/0!</v>
      </c>
      <c r="F52" s="45" t="e">
        <f t="shared" si="418"/>
        <v>#DIV/0!</v>
      </c>
      <c r="G52" s="45" t="e">
        <f t="shared" si="418"/>
        <v>#DIV/0!</v>
      </c>
      <c r="H52" s="45" t="e">
        <f t="shared" si="418"/>
        <v>#DIV/0!</v>
      </c>
      <c r="I52" s="45" t="e">
        <f t="shared" si="418"/>
        <v>#DIV/0!</v>
      </c>
      <c r="J52" s="45" t="e">
        <f t="shared" si="418"/>
        <v>#DIV/0!</v>
      </c>
      <c r="K52" s="45" t="e">
        <f t="shared" si="418"/>
        <v>#DIV/0!</v>
      </c>
      <c r="L52" s="45" t="e">
        <f t="shared" si="418"/>
        <v>#DIV/0!</v>
      </c>
      <c r="M52" s="45" t="e">
        <f t="shared" si="418"/>
        <v>#DIV/0!</v>
      </c>
      <c r="N52" s="45" t="e">
        <f t="shared" si="418"/>
        <v>#DIV/0!</v>
      </c>
      <c r="O52" s="45" t="e">
        <f t="shared" si="418"/>
        <v>#DIV/0!</v>
      </c>
      <c r="P52" s="45" t="e">
        <f t="shared" si="418"/>
        <v>#DIV/0!</v>
      </c>
      <c r="Q52" s="45" t="e">
        <f t="shared" si="418"/>
        <v>#DIV/0!</v>
      </c>
      <c r="R52" s="45" t="e">
        <f t="shared" si="418"/>
        <v>#DIV/0!</v>
      </c>
      <c r="S52" s="45" t="e">
        <f t="shared" si="418"/>
        <v>#DIV/0!</v>
      </c>
      <c r="T52" s="45" t="e">
        <f t="shared" si="418"/>
        <v>#DIV/0!</v>
      </c>
      <c r="U52" s="45" t="e">
        <f t="shared" si="418"/>
        <v>#DIV/0!</v>
      </c>
      <c r="V52" s="45" t="e">
        <f t="shared" si="418"/>
        <v>#DIV/0!</v>
      </c>
      <c r="W52" s="45" t="e">
        <f t="shared" si="418"/>
        <v>#DIV/0!</v>
      </c>
      <c r="X52" s="45" t="e">
        <f t="shared" si="418"/>
        <v>#DIV/0!</v>
      </c>
      <c r="Y52" s="45">
        <f t="shared" si="418"/>
        <v>7.2675054911047879E-2</v>
      </c>
      <c r="Z52" s="45">
        <f t="shared" si="418"/>
        <v>0.11309551992878854</v>
      </c>
      <c r="AA52" s="45">
        <f t="shared" ref="AA52" si="419">+AA51/AA153</f>
        <v>0.10831786530665437</v>
      </c>
      <c r="AB52" s="109">
        <f t="shared" si="418"/>
        <v>0.25776763942421149</v>
      </c>
      <c r="AC52" s="109">
        <f t="shared" si="418"/>
        <v>0.25776763942421144</v>
      </c>
      <c r="AD52" s="109">
        <f t="shared" si="418"/>
        <v>0.25776763942421144</v>
      </c>
      <c r="AE52" s="109">
        <f t="shared" si="418"/>
        <v>0.25776763942421144</v>
      </c>
      <c r="AI52" s="45" t="e">
        <f t="shared" ref="AI52:BN52" si="420">+AI51/AH153</f>
        <v>#DIV/0!</v>
      </c>
      <c r="AJ52" s="45" t="e">
        <f t="shared" si="420"/>
        <v>#DIV/0!</v>
      </c>
      <c r="AK52" s="45" t="e">
        <f t="shared" si="420"/>
        <v>#DIV/0!</v>
      </c>
      <c r="AL52" s="45" t="e">
        <f t="shared" si="420"/>
        <v>#DIV/0!</v>
      </c>
      <c r="AM52" s="45" t="e">
        <f t="shared" si="420"/>
        <v>#DIV/0!</v>
      </c>
      <c r="AN52" s="45" t="e">
        <f t="shared" si="420"/>
        <v>#DIV/0!</v>
      </c>
      <c r="AO52" s="45" t="e">
        <f t="shared" si="420"/>
        <v>#DIV/0!</v>
      </c>
      <c r="AP52" s="45" t="e">
        <f t="shared" si="420"/>
        <v>#DIV/0!</v>
      </c>
      <c r="AQ52" s="45" t="e">
        <f t="shared" si="420"/>
        <v>#DIV/0!</v>
      </c>
      <c r="AR52" s="45" t="e">
        <f t="shared" si="420"/>
        <v>#DIV/0!</v>
      </c>
      <c r="AS52" s="45" t="e">
        <f t="shared" si="420"/>
        <v>#DIV/0!</v>
      </c>
      <c r="AT52" s="45" t="e">
        <f t="shared" si="420"/>
        <v>#DIV/0!</v>
      </c>
      <c r="AU52" s="45" t="e">
        <f t="shared" si="420"/>
        <v>#DIV/0!</v>
      </c>
      <c r="AV52" s="45" t="e">
        <f t="shared" si="420"/>
        <v>#DIV/0!</v>
      </c>
      <c r="AW52" s="45" t="e">
        <f t="shared" si="420"/>
        <v>#DIV/0!</v>
      </c>
      <c r="AX52" s="45" t="e">
        <f t="shared" si="420"/>
        <v>#DIV/0!</v>
      </c>
      <c r="AY52" s="45" t="e">
        <f t="shared" si="420"/>
        <v>#DIV/0!</v>
      </c>
      <c r="AZ52" s="45" t="e">
        <f t="shared" si="420"/>
        <v>#DIV/0!</v>
      </c>
      <c r="BA52" s="45" t="e">
        <f t="shared" si="420"/>
        <v>#DIV/0!</v>
      </c>
      <c r="BB52" s="45" t="e">
        <f t="shared" si="420"/>
        <v>#DIV/0!</v>
      </c>
      <c r="BC52" s="45" t="e">
        <f t="shared" si="420"/>
        <v>#DIV/0!</v>
      </c>
      <c r="BD52" s="45" t="e">
        <f t="shared" si="420"/>
        <v>#DIV/0!</v>
      </c>
      <c r="BE52" s="45" t="e">
        <f t="shared" si="420"/>
        <v>#DIV/0!</v>
      </c>
      <c r="BF52" s="45" t="e">
        <f t="shared" si="420"/>
        <v>#DIV/0!</v>
      </c>
      <c r="BG52" s="45" t="e">
        <f t="shared" si="420"/>
        <v>#DIV/0!</v>
      </c>
      <c r="BH52" s="45" t="e">
        <f t="shared" si="420"/>
        <v>#DIV/0!</v>
      </c>
      <c r="BI52" s="45" t="e">
        <f t="shared" si="420"/>
        <v>#DIV/0!</v>
      </c>
      <c r="BJ52" s="45" t="e">
        <f t="shared" si="420"/>
        <v>#DIV/0!</v>
      </c>
      <c r="BK52" s="45" t="e">
        <f t="shared" si="420"/>
        <v>#DIV/0!</v>
      </c>
      <c r="BL52" s="45" t="e">
        <f t="shared" si="420"/>
        <v>#DIV/0!</v>
      </c>
      <c r="BM52" s="45" t="e">
        <f t="shared" si="420"/>
        <v>#DIV/0!</v>
      </c>
      <c r="BN52" s="45" t="e">
        <f t="shared" si="420"/>
        <v>#DIV/0!</v>
      </c>
      <c r="BO52" s="45" t="e">
        <f t="shared" ref="BO52:CL52" si="421">+BO51/BN153</f>
        <v>#DIV/0!</v>
      </c>
      <c r="BP52" s="45" t="e">
        <f t="shared" si="421"/>
        <v>#DIV/0!</v>
      </c>
      <c r="BQ52" s="45" t="e">
        <f t="shared" si="421"/>
        <v>#DIV/0!</v>
      </c>
      <c r="BR52" s="45" t="e">
        <f t="shared" si="421"/>
        <v>#DIV/0!</v>
      </c>
      <c r="BS52" s="45" t="e">
        <f t="shared" si="421"/>
        <v>#DIV/0!</v>
      </c>
      <c r="BT52" s="45" t="e">
        <f t="shared" si="421"/>
        <v>#DIV/0!</v>
      </c>
      <c r="BU52" s="45" t="e">
        <f t="shared" si="421"/>
        <v>#DIV/0!</v>
      </c>
      <c r="BV52" s="45" t="e">
        <f t="shared" si="421"/>
        <v>#DIV/0!</v>
      </c>
      <c r="BW52" s="45" t="e">
        <f t="shared" si="421"/>
        <v>#DIV/0!</v>
      </c>
      <c r="BX52" s="45" t="e">
        <f t="shared" si="421"/>
        <v>#DIV/0!</v>
      </c>
      <c r="BY52" s="45" t="e">
        <f t="shared" si="421"/>
        <v>#DIV/0!</v>
      </c>
      <c r="BZ52" s="45" t="e">
        <f t="shared" si="421"/>
        <v>#DIV/0!</v>
      </c>
      <c r="CA52" s="45" t="e">
        <f t="shared" si="421"/>
        <v>#DIV/0!</v>
      </c>
      <c r="CB52" s="45" t="e">
        <f t="shared" si="421"/>
        <v>#DIV/0!</v>
      </c>
      <c r="CC52" s="45" t="e">
        <f t="shared" si="421"/>
        <v>#DIV/0!</v>
      </c>
      <c r="CD52" s="45">
        <f t="shared" si="421"/>
        <v>2.7251741537455826E-2</v>
      </c>
      <c r="CE52" s="45">
        <f t="shared" si="421"/>
        <v>3.1705174562317417E-2</v>
      </c>
      <c r="CF52" s="45">
        <f>+CF51/CE150</f>
        <v>3.0077189246739421E-2</v>
      </c>
      <c r="CG52" s="45">
        <f t="shared" si="421"/>
        <v>3.3086955631539079E-2</v>
      </c>
      <c r="CH52" s="45">
        <f t="shared" si="421"/>
        <v>4.6912434541339559E-2</v>
      </c>
      <c r="CI52" s="45">
        <f t="shared" si="421"/>
        <v>2.9052755182242589E-2</v>
      </c>
      <c r="CJ52" s="45">
        <f t="shared" si="421"/>
        <v>3.3717641940395914E-2</v>
      </c>
      <c r="CK52" s="45">
        <f t="shared" si="421"/>
        <v>7.7987818142266699E-2</v>
      </c>
      <c r="CL52" s="45">
        <f t="shared" si="421"/>
        <v>6.4441909856052859E-2</v>
      </c>
      <c r="CM52" s="46">
        <f t="shared" ref="CM52" si="422">CL52</f>
        <v>6.4441909856052859E-2</v>
      </c>
      <c r="CN52" s="46">
        <f t="shared" ref="CN52" si="423">CM52</f>
        <v>6.4441909856052859E-2</v>
      </c>
      <c r="CO52" s="46">
        <f t="shared" ref="CO52" si="424">CN52</f>
        <v>6.4441909856052859E-2</v>
      </c>
      <c r="CP52" s="46">
        <f t="shared" ref="CP52" si="425">CO52</f>
        <v>6.4441909856052859E-2</v>
      </c>
      <c r="CQ52" s="46">
        <f t="shared" ref="CQ52" si="426">CP52</f>
        <v>6.4441909856052859E-2</v>
      </c>
      <c r="CR52" s="46">
        <f t="shared" ref="CR52" si="427">CQ52</f>
        <v>6.4441909856052859E-2</v>
      </c>
      <c r="CS52" s="46">
        <f t="shared" ref="CS52" si="428">CR52</f>
        <v>6.4441909856052859E-2</v>
      </c>
      <c r="CT52" s="46">
        <f t="shared" ref="CT52" si="429">CS52</f>
        <v>6.4441909856052859E-2</v>
      </c>
      <c r="CU52" s="46">
        <f t="shared" ref="CU52" si="430">CT52</f>
        <v>6.4441909856052859E-2</v>
      </c>
      <c r="CV52" s="46">
        <f t="shared" ref="CV52" si="431">CU52</f>
        <v>6.4441909856052859E-2</v>
      </c>
      <c r="CW52" s="46">
        <f t="shared" ref="CW52" si="432">CV52</f>
        <v>6.4441909856052859E-2</v>
      </c>
      <c r="CX52" s="46">
        <f t="shared" ref="CX52" si="433">CW52</f>
        <v>6.4441909856052859E-2</v>
      </c>
      <c r="CY52" s="46">
        <f t="shared" ref="CY52" si="434">CX52</f>
        <v>6.4441909856052859E-2</v>
      </c>
      <c r="CZ52" s="46">
        <f t="shared" ref="CZ52" si="435">CY52</f>
        <v>6.4441909856052859E-2</v>
      </c>
      <c r="DA52" s="46">
        <f t="shared" ref="DA52" si="436">CZ52</f>
        <v>6.4441909856052859E-2</v>
      </c>
      <c r="DD52" s="45">
        <v>3.3717641940395914E-2</v>
      </c>
      <c r="DE52" s="45">
        <v>3.3891668479443117E-2</v>
      </c>
    </row>
    <row r="53" spans="1:109" s="25" customFormat="1" x14ac:dyDescent="0.2">
      <c r="A53" s="33" t="s">
        <v>16</v>
      </c>
      <c r="B53" s="25">
        <f>B47-B51</f>
        <v>-6.5676721019999951</v>
      </c>
      <c r="C53" s="25">
        <f t="shared" ref="C53:T53" si="437">C47-C51</f>
        <v>12.412825009000015</v>
      </c>
      <c r="D53" s="25">
        <f>D47-D51</f>
        <v>0</v>
      </c>
      <c r="E53" s="25">
        <f t="shared" si="437"/>
        <v>0</v>
      </c>
      <c r="F53" s="25">
        <f t="shared" si="437"/>
        <v>0</v>
      </c>
      <c r="G53" s="25">
        <f t="shared" si="437"/>
        <v>0</v>
      </c>
      <c r="H53" s="25">
        <f t="shared" si="437"/>
        <v>0</v>
      </c>
      <c r="I53" s="25">
        <f t="shared" si="437"/>
        <v>0</v>
      </c>
      <c r="J53" s="25">
        <f t="shared" si="437"/>
        <v>0</v>
      </c>
      <c r="K53" s="25">
        <f t="shared" si="437"/>
        <v>0</v>
      </c>
      <c r="L53" s="25">
        <f t="shared" si="437"/>
        <v>0</v>
      </c>
      <c r="M53" s="25">
        <f t="shared" si="437"/>
        <v>0</v>
      </c>
      <c r="N53" s="25">
        <f t="shared" si="437"/>
        <v>0</v>
      </c>
      <c r="O53" s="25">
        <f t="shared" si="437"/>
        <v>0</v>
      </c>
      <c r="P53" s="25">
        <f t="shared" si="437"/>
        <v>0</v>
      </c>
      <c r="Q53" s="25">
        <f t="shared" si="437"/>
        <v>0</v>
      </c>
      <c r="R53" s="25">
        <f t="shared" si="437"/>
        <v>0</v>
      </c>
      <c r="S53" s="25">
        <f t="shared" si="437"/>
        <v>0</v>
      </c>
      <c r="T53" s="25">
        <f t="shared" si="437"/>
        <v>0</v>
      </c>
      <c r="U53" s="25">
        <f t="shared" ref="U53:Z53" si="438">U47-U51</f>
        <v>0</v>
      </c>
      <c r="V53" s="25">
        <f t="shared" si="438"/>
        <v>0</v>
      </c>
      <c r="W53" s="25">
        <f t="shared" si="438"/>
        <v>0</v>
      </c>
      <c r="X53" s="25">
        <f t="shared" si="438"/>
        <v>0</v>
      </c>
      <c r="Y53" s="25">
        <f t="shared" si="438"/>
        <v>21.51609999999998</v>
      </c>
      <c r="Z53" s="25">
        <f t="shared" si="438"/>
        <v>-9.7605000000000146</v>
      </c>
      <c r="AA53" s="25">
        <f t="shared" ref="AA53" si="439">AA47-AA51</f>
        <v>16.289500000000004</v>
      </c>
      <c r="AB53" s="26">
        <f t="shared" ref="AA53:AD53" si="440">AB47-AB51</f>
        <v>56.748837471460952</v>
      </c>
      <c r="AC53" s="26">
        <f t="shared" si="440"/>
        <v>220.76041804203527</v>
      </c>
      <c r="AD53" s="26">
        <f t="shared" si="440"/>
        <v>428.84377281979408</v>
      </c>
      <c r="AE53" s="26">
        <f t="shared" ref="AE53" si="441">AE47-AE51</f>
        <v>679.38128752609487</v>
      </c>
      <c r="AI53" s="25">
        <f t="shared" ref="AI53" si="442">AI47-AI51</f>
        <v>5.8109999999999937</v>
      </c>
      <c r="AJ53" s="25">
        <f t="shared" ref="AJ53" si="443">AJ47-AJ51</f>
        <v>-6.6149999999999913</v>
      </c>
      <c r="AK53" s="25">
        <f t="shared" ref="AK53:AM53" si="444">AK47-AK51</f>
        <v>1.3290000000000042</v>
      </c>
      <c r="AL53" s="25">
        <f t="shared" si="444"/>
        <v>-6.9210000000000154</v>
      </c>
      <c r="AM53" s="25">
        <f t="shared" si="444"/>
        <v>-20.107999999999993</v>
      </c>
      <c r="AN53" s="25">
        <f t="shared" ref="AN53:AO53" si="445">AN47-AN51</f>
        <v>-14.635999999999992</v>
      </c>
      <c r="AO53" s="25">
        <f t="shared" si="445"/>
        <v>9.9910000000000103</v>
      </c>
      <c r="AP53" s="25">
        <f t="shared" ref="AP53:CD53" si="446">AP47-AP51</f>
        <v>-10.10900000000002</v>
      </c>
      <c r="AQ53" s="25">
        <f t="shared" si="446"/>
        <v>-7.2230000000000008</v>
      </c>
      <c r="AR53" s="25">
        <f t="shared" si="446"/>
        <v>-4.3749999999999982</v>
      </c>
      <c r="AS53" s="25">
        <f t="shared" si="446"/>
        <v>-4.5640000000000009</v>
      </c>
      <c r="AT53" s="25">
        <f t="shared" si="446"/>
        <v>1.2269999999999928</v>
      </c>
      <c r="AU53" s="25">
        <f t="shared" si="446"/>
        <v>-0.35700000000000043</v>
      </c>
      <c r="AV53" s="25">
        <f t="shared" si="446"/>
        <v>-3.4500000000000011</v>
      </c>
      <c r="AW53" s="25">
        <f t="shared" si="446"/>
        <v>4.7589999999999897</v>
      </c>
      <c r="AX53" s="25">
        <f t="shared" si="446"/>
        <v>-2.4359999999999995</v>
      </c>
      <c r="AY53" s="25">
        <f t="shared" si="446"/>
        <v>-11.083000000000004</v>
      </c>
      <c r="AZ53" s="25">
        <f t="shared" si="446"/>
        <v>-1.3089999999999935</v>
      </c>
      <c r="BA53" s="25">
        <f t="shared" si="446"/>
        <v>7.3170000000000046</v>
      </c>
      <c r="BB53" s="25">
        <f t="shared" si="446"/>
        <v>-0.16400000000000614</v>
      </c>
      <c r="BC53" s="25">
        <f t="shared" si="446"/>
        <v>-2.2159999999999993</v>
      </c>
      <c r="BD53" s="25">
        <f t="shared" si="446"/>
        <v>1.5630000000000004</v>
      </c>
      <c r="BE53" s="25">
        <f t="shared" si="446"/>
        <v>4.173</v>
      </c>
      <c r="BF53" s="25">
        <f t="shared" si="446"/>
        <v>-5.6309999999999931</v>
      </c>
      <c r="BG53" s="25">
        <f t="shared" si="446"/>
        <v>-5.0670000000000002</v>
      </c>
      <c r="BH53" s="25">
        <f t="shared" si="446"/>
        <v>5.9730000000000008</v>
      </c>
      <c r="BI53" s="25">
        <f t="shared" si="446"/>
        <v>22.476999999999979</v>
      </c>
      <c r="BJ53" s="25">
        <f t="shared" si="446"/>
        <v>2.4389999999999938</v>
      </c>
      <c r="BK53" s="25">
        <f t="shared" si="446"/>
        <v>3.2329999999999881</v>
      </c>
      <c r="BL53" s="25">
        <f t="shared" si="446"/>
        <v>9.2459999999999933</v>
      </c>
      <c r="BM53" s="25">
        <f t="shared" si="446"/>
        <v>4.1360000000000134</v>
      </c>
      <c r="BN53" s="25">
        <f t="shared" si="446"/>
        <v>-0.15200000000000125</v>
      </c>
      <c r="BO53" s="25">
        <f t="shared" si="446"/>
        <v>-12.443999999999999</v>
      </c>
      <c r="BP53" s="25">
        <f t="shared" si="446"/>
        <v>-11.138999999999998</v>
      </c>
      <c r="BQ53" s="25">
        <f t="shared" si="446"/>
        <v>0.13500000000000556</v>
      </c>
      <c r="BR53" s="25">
        <f t="shared" si="446"/>
        <v>-8.872000000000007</v>
      </c>
      <c r="BS53" s="25">
        <f t="shared" si="446"/>
        <v>-1.9859999999999933</v>
      </c>
      <c r="BT53" s="25">
        <f t="shared" si="446"/>
        <v>2.8130000000000024</v>
      </c>
      <c r="BU53" s="25">
        <f t="shared" si="446"/>
        <v>4.8719999999999963</v>
      </c>
      <c r="BV53" s="25">
        <f t="shared" si="446"/>
        <v>-0.87299999999999489</v>
      </c>
      <c r="BW53" s="25">
        <f t="shared" si="446"/>
        <v>-8.2379999999999995</v>
      </c>
      <c r="BX53" s="25">
        <f t="shared" si="446"/>
        <v>-5.6710000000000012</v>
      </c>
      <c r="BY53" s="25">
        <f t="shared" si="446"/>
        <v>6.526000000000006</v>
      </c>
      <c r="BZ53" s="25">
        <f t="shared" si="446"/>
        <v>8.8810000000000056</v>
      </c>
      <c r="CA53" s="25">
        <f t="shared" si="446"/>
        <v>5.8429999999999929</v>
      </c>
      <c r="CB53" s="25">
        <f t="shared" si="446"/>
        <v>4.9080000000000101</v>
      </c>
      <c r="CC53" s="25">
        <f t="shared" si="446"/>
        <v>11.459000000000003</v>
      </c>
      <c r="CD53" s="25">
        <f t="shared" si="446"/>
        <v>3.4239999999999813</v>
      </c>
      <c r="CE53" s="25">
        <f t="shared" ref="CE53:CF53" si="447">CE47-CE51</f>
        <v>-0.97300000000000653</v>
      </c>
      <c r="CF53" s="25">
        <f t="shared" si="447"/>
        <v>-10.112999999999991</v>
      </c>
      <c r="CG53" s="25">
        <f t="shared" ref="CG53:CH53" si="448">CG47-CG51</f>
        <v>-2.0960000000000041</v>
      </c>
      <c r="CH53" s="25">
        <f t="shared" si="448"/>
        <v>-3.9679999999999995</v>
      </c>
      <c r="CI53" s="25">
        <f t="shared" ref="CI53:CJ53" si="449">CI47-CI51</f>
        <v>0.39699999999998314</v>
      </c>
      <c r="CJ53" s="25">
        <f t="shared" si="449"/>
        <v>9.7679999999999829</v>
      </c>
      <c r="CK53" s="25">
        <f t="shared" ref="CK53:CL53" si="450">CK47-CK51</f>
        <v>-23.243399999999998</v>
      </c>
      <c r="CL53" s="25">
        <f t="shared" si="450"/>
        <v>1.635000000000006</v>
      </c>
      <c r="CM53" s="26">
        <f t="shared" ref="CM53:DA53" si="451">CM47-CM51</f>
        <v>-8.915736100105347</v>
      </c>
      <c r="CN53" s="26">
        <f t="shared" si="451"/>
        <v>28.798242958838031</v>
      </c>
      <c r="CO53" s="26">
        <f t="shared" si="451"/>
        <v>35.231330612728115</v>
      </c>
      <c r="CP53" s="26">
        <f t="shared" si="451"/>
        <v>27.650335202701214</v>
      </c>
      <c r="CQ53" s="26">
        <f t="shared" si="451"/>
        <v>30.776946361334794</v>
      </c>
      <c r="CR53" s="26">
        <f t="shared" si="451"/>
        <v>77.974144186541068</v>
      </c>
      <c r="CS53" s="26">
        <f t="shared" si="451"/>
        <v>84.35899229145808</v>
      </c>
      <c r="CT53" s="26">
        <f t="shared" si="451"/>
        <v>74.04848533799894</v>
      </c>
      <c r="CU53" s="26">
        <f t="shared" si="451"/>
        <v>76.345847421936057</v>
      </c>
      <c r="CV53" s="26">
        <f t="shared" si="451"/>
        <v>135.91043584284904</v>
      </c>
      <c r="CW53" s="26">
        <f t="shared" si="451"/>
        <v>142.53900421700962</v>
      </c>
      <c r="CX53" s="26">
        <f t="shared" si="451"/>
        <v>129.177250810982</v>
      </c>
      <c r="CY53" s="26">
        <f t="shared" si="451"/>
        <v>130.69767445802546</v>
      </c>
      <c r="CZ53" s="26">
        <f t="shared" si="451"/>
        <v>206.16937640751877</v>
      </c>
      <c r="DA53" s="26">
        <f t="shared" si="451"/>
        <v>213.33698584956886</v>
      </c>
      <c r="DD53" s="25">
        <v>0.16009320389801185</v>
      </c>
      <c r="DE53" s="25">
        <v>14.547574844560685</v>
      </c>
    </row>
    <row r="54" spans="1:109" s="22" customFormat="1" x14ac:dyDescent="0.2">
      <c r="A54" s="22" t="s">
        <v>17</v>
      </c>
      <c r="B54" s="22">
        <f>'Annual Raw'!C23</f>
        <v>6.8892502179999999</v>
      </c>
      <c r="C54" s="22">
        <f>'Annual Raw'!D23</f>
        <v>0.27437178200000001</v>
      </c>
      <c r="D54" s="22">
        <f>'Annual Raw'!E23</f>
        <v>0</v>
      </c>
      <c r="E54" s="22">
        <f>'Annual Raw'!F23</f>
        <v>0</v>
      </c>
      <c r="F54" s="22">
        <f>'Annual Raw'!G23</f>
        <v>0</v>
      </c>
      <c r="G54" s="22">
        <f>'Annual Raw'!H23</f>
        <v>0</v>
      </c>
      <c r="H54" s="22">
        <f>'Annual Raw'!I23</f>
        <v>0</v>
      </c>
      <c r="I54" s="22">
        <f>'Annual Raw'!J23</f>
        <v>0</v>
      </c>
      <c r="J54" s="22">
        <f>'Annual Raw'!K23</f>
        <v>0</v>
      </c>
      <c r="K54" s="22">
        <f>'Annual Raw'!L23</f>
        <v>0</v>
      </c>
      <c r="L54" s="22">
        <f>'Annual Raw'!M23</f>
        <v>0</v>
      </c>
      <c r="M54" s="22">
        <f>'Annual Raw'!N23</f>
        <v>0</v>
      </c>
      <c r="N54" s="22">
        <f>'Annual Raw'!O23</f>
        <v>0</v>
      </c>
      <c r="O54" s="22">
        <f>'Annual Raw'!P23</f>
        <v>0</v>
      </c>
      <c r="P54" s="22">
        <f>'Annual Raw'!Q23</f>
        <v>0</v>
      </c>
      <c r="Q54" s="22">
        <f>'Annual Raw'!R23</f>
        <v>0</v>
      </c>
      <c r="R54" s="22">
        <f>'Annual Raw'!S23</f>
        <v>0</v>
      </c>
      <c r="S54" s="22">
        <f>'Annual Raw'!T23</f>
        <v>0</v>
      </c>
      <c r="T54" s="22">
        <f>'Annual Raw'!U23</f>
        <v>0</v>
      </c>
      <c r="U54" s="22">
        <f>'Annual Raw'!V23</f>
        <v>0</v>
      </c>
      <c r="V54" s="22">
        <f>'Annual Raw'!W23</f>
        <v>0</v>
      </c>
      <c r="W54" s="22">
        <f>'Annual Raw'!X23</f>
        <v>0</v>
      </c>
      <c r="X54" s="22">
        <f>'Annual Raw'!Y23</f>
        <v>0</v>
      </c>
      <c r="Y54" s="22">
        <f>'Annual Raw'!Z23</f>
        <v>6.8841999999999999</v>
      </c>
      <c r="Z54" s="22">
        <f>'Annual Raw'!AA23</f>
        <v>4.8780999999999999</v>
      </c>
      <c r="AA54" s="22">
        <f>'Annual Raw'!AB23</f>
        <v>9.5062999999999995</v>
      </c>
      <c r="AB54" s="75">
        <f t="shared" ref="AB54:AB55" si="452">+SUM(CL54:CO54)</f>
        <v>9.3759999999999994</v>
      </c>
      <c r="AC54" s="75">
        <f t="shared" ref="AC54:AC55" si="453">+SUM(CP54:CS54)</f>
        <v>0</v>
      </c>
      <c r="AD54" s="75">
        <f t="shared" ref="AD54:AD55" si="454">+SUM(CT54:CW54)</f>
        <v>0</v>
      </c>
      <c r="AE54" s="75">
        <f t="shared" ref="AE54:AE55" si="455">+SUM(CX54:DA54)</f>
        <v>0</v>
      </c>
      <c r="AI54" s="22">
        <f>'QTR Raw'!C23</f>
        <v>1.4019999999999999</v>
      </c>
      <c r="AJ54" s="22">
        <f>'QTR Raw'!D23</f>
        <v>2.1110000000000002</v>
      </c>
      <c r="AK54" s="22">
        <f>'QTR Raw'!E23</f>
        <v>1.6359999999999999</v>
      </c>
      <c r="AL54" s="22">
        <f>'QTR Raw'!F23</f>
        <v>2.4689999999999999</v>
      </c>
      <c r="AM54" s="22">
        <f>'QTR Raw'!G23</f>
        <v>1.1639999999999999</v>
      </c>
      <c r="AN54" s="22">
        <f>'QTR Raw'!H23</f>
        <v>2.1589999999999998</v>
      </c>
      <c r="AO54" s="22">
        <f>'QTR Raw'!I23</f>
        <v>4.6059999999999999</v>
      </c>
      <c r="AP54" s="22">
        <f>'QTR Raw'!J23</f>
        <v>7.6020000000000003</v>
      </c>
      <c r="AQ54" s="22">
        <f>'QTR Raw'!K23</f>
        <v>5.8579999999999997</v>
      </c>
      <c r="AR54" s="22">
        <f>'QTR Raw'!L23</f>
        <v>6.6459999999999999</v>
      </c>
      <c r="AS54" s="22">
        <f>'QTR Raw'!M23</f>
        <v>6.0090000000000003</v>
      </c>
      <c r="AT54" s="22">
        <f>'QTR Raw'!N23</f>
        <v>3.0830000000000002</v>
      </c>
      <c r="AU54" s="22">
        <f>'QTR Raw'!O23</f>
        <v>2.484</v>
      </c>
      <c r="AV54" s="22">
        <f>'QTR Raw'!P23</f>
        <v>1.256</v>
      </c>
      <c r="AW54" s="22">
        <f>'QTR Raw'!Q23</f>
        <v>1.3149999999999999</v>
      </c>
      <c r="AX54" s="22">
        <f>'QTR Raw'!R23</f>
        <v>4.0570000000000004</v>
      </c>
      <c r="AY54" s="22">
        <f>'QTR Raw'!S23</f>
        <v>2.1549999999999998</v>
      </c>
      <c r="AZ54" s="22">
        <f>'QTR Raw'!T23</f>
        <v>2.5179999999999998</v>
      </c>
      <c r="BA54" s="22">
        <f>'QTR Raw'!U23</f>
        <v>2.988</v>
      </c>
      <c r="BB54" s="22">
        <f>'QTR Raw'!V23</f>
        <v>6.4749999999999996</v>
      </c>
      <c r="BC54" s="22">
        <f>'QTR Raw'!W23</f>
        <v>4.0090000000000003</v>
      </c>
      <c r="BD54" s="22">
        <f>'QTR Raw'!X23</f>
        <v>5.992</v>
      </c>
      <c r="BE54" s="22">
        <f>'QTR Raw'!Y23</f>
        <v>1.218</v>
      </c>
      <c r="BF54" s="22">
        <f>'QTR Raw'!Z23</f>
        <v>5.0540000000000003</v>
      </c>
      <c r="BG54" s="22">
        <f>'QTR Raw'!AA23</f>
        <v>10.538</v>
      </c>
      <c r="BH54" s="22">
        <f>'QTR Raw'!AB23</f>
        <v>8.9640000000000004</v>
      </c>
      <c r="BI54" s="22">
        <f>'QTR Raw'!AC23</f>
        <v>1.696</v>
      </c>
      <c r="BJ54" s="22">
        <f>'QTR Raw'!AD23</f>
        <v>0.112</v>
      </c>
      <c r="BK54" s="22">
        <f>'QTR Raw'!AE23</f>
        <v>2.6179999999999999</v>
      </c>
      <c r="BL54" s="22">
        <f>'QTR Raw'!AF23</f>
        <v>4.6879999999999997</v>
      </c>
      <c r="BM54" s="22">
        <f>'QTR Raw'!AG23</f>
        <v>2.7639999999999998</v>
      </c>
      <c r="BN54" s="22">
        <f>'QTR Raw'!AH23</f>
        <v>5.4669999999999996</v>
      </c>
      <c r="BO54" s="22">
        <f>'QTR Raw'!AI23</f>
        <v>1.7769999999999999</v>
      </c>
      <c r="BP54" s="22">
        <f>'QTR Raw'!AJ23</f>
        <v>0.28799999999999998</v>
      </c>
      <c r="BQ54" s="22">
        <f>'QTR Raw'!AK23</f>
        <v>0.46500000000000002</v>
      </c>
      <c r="BR54" s="22">
        <f>'QTR Raw'!AL23</f>
        <v>0.34399999999999997</v>
      </c>
      <c r="BS54" s="22">
        <f>'QTR Raw'!AM23</f>
        <v>1.2050000000000001</v>
      </c>
      <c r="BT54" s="22">
        <f>'QTR Raw'!AN23</f>
        <v>0.318</v>
      </c>
      <c r="BU54" s="22">
        <f>'QTR Raw'!AO23</f>
        <v>1.3879999999999999</v>
      </c>
      <c r="BV54" s="22">
        <f>'QTR Raw'!AP23</f>
        <v>3.5409999999999999</v>
      </c>
      <c r="BW54" s="22">
        <f>'QTR Raw'!AQ23</f>
        <v>4.0819999999999999</v>
      </c>
      <c r="BX54" s="22">
        <f>'QTR Raw'!AR23</f>
        <v>3.645</v>
      </c>
      <c r="BY54" s="22">
        <f>'QTR Raw'!AS23</f>
        <v>4.8049999999999997</v>
      </c>
      <c r="BZ54" s="22">
        <f>'QTR Raw'!AT23</f>
        <v>4.0789999999999997</v>
      </c>
      <c r="CA54" s="22">
        <f>'QTR Raw'!AU23</f>
        <v>0.68500000000000005</v>
      </c>
      <c r="CB54" s="22">
        <f>'QTR Raw'!AV23</f>
        <v>2.9540000000000002</v>
      </c>
      <c r="CC54" s="22">
        <f>'QTR Raw'!AW23</f>
        <v>2.5510000000000002</v>
      </c>
      <c r="CD54" s="22">
        <f>'QTR Raw'!AX23</f>
        <v>1.748</v>
      </c>
      <c r="CE54" s="22">
        <f>'QTR Raw'!AY23</f>
        <v>1.488</v>
      </c>
      <c r="CF54" s="22">
        <f>'QTR Raw'!AZ23</f>
        <v>0.52300000000000002</v>
      </c>
      <c r="CG54" s="22">
        <f>'QTR Raw'!BA23</f>
        <v>1.119</v>
      </c>
      <c r="CH54" s="22">
        <f>'QTR Raw'!BB23</f>
        <v>6.13</v>
      </c>
      <c r="CI54" s="22">
        <f>'QTR Raw'!BC23</f>
        <v>2.57</v>
      </c>
      <c r="CJ54" s="22">
        <f>'QTR Raw'!BD23</f>
        <v>2.4369999999999998</v>
      </c>
      <c r="CK54" s="22">
        <v>27.988299999999999</v>
      </c>
      <c r="CL54" s="22">
        <f>'QTR Raw'!BF23</f>
        <v>9.3759999999999994</v>
      </c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D54" s="22">
        <v>66.844499999999996</v>
      </c>
    </row>
    <row r="55" spans="1:109" s="22" customFormat="1" x14ac:dyDescent="0.2">
      <c r="A55" s="22" t="s">
        <v>18</v>
      </c>
      <c r="B55" s="22">
        <f>'Annual Raw'!C25</f>
        <v>5.0028746550000003</v>
      </c>
      <c r="C55" s="22">
        <f>'Annual Raw'!D25</f>
        <v>6.4226669129999996</v>
      </c>
      <c r="D55" s="22">
        <f>'Annual Raw'!E25</f>
        <v>0</v>
      </c>
      <c r="E55" s="22">
        <f>'Annual Raw'!F25</f>
        <v>0</v>
      </c>
      <c r="F55" s="22">
        <f>'Annual Raw'!G25</f>
        <v>0</v>
      </c>
      <c r="G55" s="22">
        <f>'Annual Raw'!H25</f>
        <v>0</v>
      </c>
      <c r="H55" s="22">
        <f>'Annual Raw'!I25</f>
        <v>0</v>
      </c>
      <c r="I55" s="22">
        <f>'Annual Raw'!J25</f>
        <v>0</v>
      </c>
      <c r="J55" s="22">
        <f>'Annual Raw'!K25</f>
        <v>0</v>
      </c>
      <c r="K55" s="22">
        <f>'Annual Raw'!L25</f>
        <v>0</v>
      </c>
      <c r="L55" s="22">
        <f>'Annual Raw'!M25</f>
        <v>0</v>
      </c>
      <c r="M55" s="22">
        <f>'Annual Raw'!N25</f>
        <v>0</v>
      </c>
      <c r="N55" s="22">
        <f>'Annual Raw'!O25</f>
        <v>0</v>
      </c>
      <c r="O55" s="22">
        <f>'Annual Raw'!P25</f>
        <v>0</v>
      </c>
      <c r="P55" s="22">
        <f>'Annual Raw'!Q25</f>
        <v>0</v>
      </c>
      <c r="Q55" s="22">
        <f>'Annual Raw'!R25</f>
        <v>0</v>
      </c>
      <c r="R55" s="22">
        <f>'Annual Raw'!S25</f>
        <v>0</v>
      </c>
      <c r="S55" s="22">
        <f>'Annual Raw'!T25</f>
        <v>0</v>
      </c>
      <c r="T55" s="22">
        <f>'Annual Raw'!U25</f>
        <v>0</v>
      </c>
      <c r="U55" s="22">
        <f>'Annual Raw'!V25</f>
        <v>0</v>
      </c>
      <c r="V55" s="22">
        <f>'Annual Raw'!W25</f>
        <v>0</v>
      </c>
      <c r="W55" s="22">
        <f>'Annual Raw'!X25</f>
        <v>0</v>
      </c>
      <c r="X55" s="22">
        <f>'Annual Raw'!Y25</f>
        <v>0</v>
      </c>
      <c r="Y55" s="22">
        <f>'Annual Raw'!Z25</f>
        <v>2.3300999999999998</v>
      </c>
      <c r="Z55" s="22">
        <f>'Annual Raw'!AA25</f>
        <v>2.2831000000000001</v>
      </c>
      <c r="AA55" s="22">
        <f>'Annual Raw'!AB25</f>
        <v>3.0327999999999999</v>
      </c>
      <c r="AB55" s="75">
        <f t="shared" si="452"/>
        <v>-0.82450312418313842</v>
      </c>
      <c r="AC55" s="75">
        <f t="shared" si="453"/>
        <v>-17.228692989222104</v>
      </c>
      <c r="AD55" s="75">
        <f t="shared" si="454"/>
        <v>-29.33354101475512</v>
      </c>
      <c r="AE55" s="75">
        <f t="shared" si="455"/>
        <v>-48.921049728246004</v>
      </c>
      <c r="AI55" s="22">
        <f>'QTR Raw'!C25</f>
        <v>0.57299999999999995</v>
      </c>
      <c r="AJ55" s="22">
        <f>'QTR Raw'!D25</f>
        <v>1.0189999999999999</v>
      </c>
      <c r="AK55" s="22">
        <f>'QTR Raw'!E25</f>
        <v>0.45100000000000001</v>
      </c>
      <c r="AL55" s="22">
        <f>'QTR Raw'!F25</f>
        <v>1.105</v>
      </c>
      <c r="AM55" s="22">
        <f>'QTR Raw'!G25</f>
        <v>1.9470000000000001</v>
      </c>
      <c r="AN55" s="22">
        <f>'QTR Raw'!H25</f>
        <v>1.766</v>
      </c>
      <c r="AO55" s="22">
        <f>'QTR Raw'!I25</f>
        <v>1.6419999999999999</v>
      </c>
      <c r="AP55" s="22">
        <f>'QTR Raw'!J25</f>
        <v>1.347</v>
      </c>
      <c r="AQ55" s="22">
        <f>'QTR Raw'!K25</f>
        <v>1.2709999999999999</v>
      </c>
      <c r="AR55" s="22">
        <f>'QTR Raw'!L25</f>
        <v>0.98199999999999998</v>
      </c>
      <c r="AS55" s="22">
        <f>'QTR Raw'!M25</f>
        <v>1.151</v>
      </c>
      <c r="AT55" s="22">
        <f>'QTR Raw'!N25</f>
        <v>0.89100000000000001</v>
      </c>
      <c r="AU55" s="22">
        <f>'QTR Raw'!O25</f>
        <v>0.745</v>
      </c>
      <c r="AV55" s="22">
        <f>'QTR Raw'!P25</f>
        <v>0.63600000000000001</v>
      </c>
      <c r="AW55" s="22">
        <f>'QTR Raw'!Q25</f>
        <v>0.628</v>
      </c>
      <c r="AX55" s="22">
        <f>'QTR Raw'!R25</f>
        <v>0.36499999999999999</v>
      </c>
      <c r="AY55" s="22">
        <f>'QTR Raw'!S25</f>
        <v>0.29599999999999999</v>
      </c>
      <c r="AZ55" s="22">
        <f>'QTR Raw'!T25</f>
        <v>0.39400000000000002</v>
      </c>
      <c r="BA55" s="22">
        <f>'QTR Raw'!U25</f>
        <v>0.17799999999999999</v>
      </c>
      <c r="BB55" s="22">
        <f>'QTR Raw'!V25</f>
        <v>0.16400000000000001</v>
      </c>
      <c r="BC55" s="22">
        <f>'QTR Raw'!W25</f>
        <v>0.36799999999999999</v>
      </c>
      <c r="BD55" s="22">
        <f>'QTR Raw'!X25</f>
        <v>0.27500000000000002</v>
      </c>
      <c r="BE55" s="22">
        <f>'QTR Raw'!Y25</f>
        <v>0.251</v>
      </c>
      <c r="BF55" s="22">
        <f>'QTR Raw'!Z25</f>
        <v>1.6E-2</v>
      </c>
      <c r="BG55" s="22">
        <f>'QTR Raw'!AA25</f>
        <v>0.56200000000000006</v>
      </c>
      <c r="BH55" s="22">
        <f>'QTR Raw'!AB25</f>
        <v>-4.2999999999999997E-2</v>
      </c>
      <c r="BI55" s="22">
        <f>'QTR Raw'!AC25</f>
        <v>-1.101</v>
      </c>
      <c r="BJ55" s="22">
        <f>'QTR Raw'!AD25</f>
        <v>0.67800000000000005</v>
      </c>
      <c r="BK55" s="22">
        <f>'QTR Raw'!AE25</f>
        <v>0.58699999999999997</v>
      </c>
      <c r="BL55" s="22">
        <f>'QTR Raw'!AF25</f>
        <v>0.57899999999999996</v>
      </c>
      <c r="BM55" s="22">
        <f>'QTR Raw'!AG25</f>
        <v>1.2969999999999999</v>
      </c>
      <c r="BN55" s="22">
        <f>'QTR Raw'!AH25</f>
        <v>0.624</v>
      </c>
      <c r="BO55" s="22">
        <f>'QTR Raw'!AI25</f>
        <v>0.80700000000000005</v>
      </c>
      <c r="BP55" s="22">
        <f>'QTR Raw'!AJ25</f>
        <v>0.57599999999999996</v>
      </c>
      <c r="BQ55" s="22">
        <f>'QTR Raw'!AK25</f>
        <v>-0.73299999999999998</v>
      </c>
      <c r="BR55" s="22">
        <f>'QTR Raw'!AL25</f>
        <v>0.111</v>
      </c>
      <c r="BS55" s="22">
        <f>'QTR Raw'!AM25</f>
        <v>0.36199999999999999</v>
      </c>
      <c r="BT55" s="22">
        <f>'QTR Raw'!AN25</f>
        <v>1.0449999999999999</v>
      </c>
      <c r="BU55" s="22">
        <f>'QTR Raw'!AO25</f>
        <v>0.30399999999999999</v>
      </c>
      <c r="BV55" s="22">
        <f>'QTR Raw'!AP25</f>
        <v>5.1379999999999999</v>
      </c>
      <c r="BW55" s="22">
        <f>'QTR Raw'!AQ25</f>
        <v>1.139</v>
      </c>
      <c r="BX55" s="22">
        <f>'QTR Raw'!AR25</f>
        <v>0.91500000000000004</v>
      </c>
      <c r="BY55" s="22">
        <f>'QTR Raw'!AS25</f>
        <v>4.2999999999999997E-2</v>
      </c>
      <c r="BZ55" s="22">
        <f>'QTR Raw'!AT25</f>
        <v>-0.16600000000000001</v>
      </c>
      <c r="CA55" s="22">
        <f>'QTR Raw'!AU25</f>
        <v>0.74</v>
      </c>
      <c r="CB55" s="22">
        <f>'QTR Raw'!AV25</f>
        <v>0.47899999999999998</v>
      </c>
      <c r="CC55" s="22">
        <f>'QTR Raw'!AW25</f>
        <v>1.111</v>
      </c>
      <c r="CD55" s="22">
        <f>'QTR Raw'!AX25</f>
        <v>0.45900000000000002</v>
      </c>
      <c r="CE55" s="22">
        <f>'QTR Raw'!AY25</f>
        <v>0.53</v>
      </c>
      <c r="CF55" s="22">
        <f>'QTR Raw'!AZ25</f>
        <v>0.45700000000000002</v>
      </c>
      <c r="CG55" s="22">
        <f>'QTR Raw'!BA25</f>
        <v>0.83699999999999997</v>
      </c>
      <c r="CH55" s="22">
        <f>'QTR Raw'!BB25</f>
        <v>4.3470000000000004</v>
      </c>
      <c r="CI55" s="22">
        <f>'QTR Raw'!BC25</f>
        <v>0.65100000000000002</v>
      </c>
      <c r="CJ55" s="22">
        <f>'QTR Raw'!BD25</f>
        <v>0.28799999999999998</v>
      </c>
      <c r="CK55" s="22">
        <v>5.6601999999999997</v>
      </c>
      <c r="CL55" s="22">
        <f>'QTR Raw'!BF25</f>
        <v>7.0389999999999997</v>
      </c>
      <c r="CM55" s="23">
        <f t="shared" ref="CM55:DA55" si="456">CM56*CL187</f>
        <v>-1.9302975798158353</v>
      </c>
      <c r="CN55" s="23">
        <f t="shared" si="456"/>
        <v>-2.5836903709561443</v>
      </c>
      <c r="CO55" s="23">
        <f t="shared" si="456"/>
        <v>-3.3495151734111581</v>
      </c>
      <c r="CP55" s="23">
        <f t="shared" si="456"/>
        <v>-3.7066852604385656</v>
      </c>
      <c r="CQ55" s="23">
        <f t="shared" si="456"/>
        <v>-3.910693687531225</v>
      </c>
      <c r="CR55" s="23">
        <f t="shared" si="456"/>
        <v>-4.1901298806444034</v>
      </c>
      <c r="CS55" s="23">
        <f t="shared" si="456"/>
        <v>-5.4211841606079121</v>
      </c>
      <c r="CT55" s="23">
        <f t="shared" si="456"/>
        <v>-6.1568483621995282</v>
      </c>
      <c r="CU55" s="23">
        <f t="shared" si="456"/>
        <v>-6.7043540522022278</v>
      </c>
      <c r="CV55" s="23">
        <f t="shared" si="456"/>
        <v>-7.3358694818584409</v>
      </c>
      <c r="CW55" s="23">
        <f t="shared" si="456"/>
        <v>-9.1364691184949223</v>
      </c>
      <c r="CX55" s="23">
        <f t="shared" si="456"/>
        <v>-10.339102833724066</v>
      </c>
      <c r="CY55" s="23">
        <f t="shared" si="456"/>
        <v>-11.312583118879784</v>
      </c>
      <c r="CZ55" s="23">
        <f t="shared" si="456"/>
        <v>-12.381408982117726</v>
      </c>
      <c r="DA55" s="23">
        <f t="shared" si="456"/>
        <v>-14.887954793524425</v>
      </c>
      <c r="DD55" s="22">
        <v>-1.9053624588882097</v>
      </c>
      <c r="DE55" s="22">
        <v>-2.0618059082836306</v>
      </c>
    </row>
    <row r="56" spans="1:109" s="45" customFormat="1" x14ac:dyDescent="0.2">
      <c r="A56" s="45" t="s">
        <v>481</v>
      </c>
      <c r="B56" s="45">
        <f t="shared" ref="B56:D56" si="457">+B55/B147</f>
        <v>0.16003087201263511</v>
      </c>
      <c r="C56" s="45">
        <f t="shared" si="457"/>
        <v>0.19135030417036381</v>
      </c>
      <c r="D56" s="45" t="e">
        <f t="shared" si="457"/>
        <v>#DIV/0!</v>
      </c>
      <c r="E56" s="45" t="e">
        <f t="shared" ref="E56:AE56" si="458">+E55/E147</f>
        <v>#DIV/0!</v>
      </c>
      <c r="F56" s="45" t="e">
        <f t="shared" si="458"/>
        <v>#DIV/0!</v>
      </c>
      <c r="G56" s="45" t="e">
        <f t="shared" si="458"/>
        <v>#DIV/0!</v>
      </c>
      <c r="H56" s="45" t="e">
        <f t="shared" si="458"/>
        <v>#DIV/0!</v>
      </c>
      <c r="I56" s="45" t="e">
        <f t="shared" si="458"/>
        <v>#DIV/0!</v>
      </c>
      <c r="J56" s="45" t="e">
        <f t="shared" si="458"/>
        <v>#DIV/0!</v>
      </c>
      <c r="K56" s="45" t="e">
        <f t="shared" si="458"/>
        <v>#DIV/0!</v>
      </c>
      <c r="L56" s="45" t="e">
        <f t="shared" si="458"/>
        <v>#DIV/0!</v>
      </c>
      <c r="M56" s="45" t="e">
        <f t="shared" si="458"/>
        <v>#DIV/0!</v>
      </c>
      <c r="N56" s="45" t="e">
        <f t="shared" si="458"/>
        <v>#DIV/0!</v>
      </c>
      <c r="O56" s="45" t="e">
        <f t="shared" si="458"/>
        <v>#DIV/0!</v>
      </c>
      <c r="P56" s="45" t="e">
        <f t="shared" si="458"/>
        <v>#DIV/0!</v>
      </c>
      <c r="Q56" s="45" t="e">
        <f t="shared" si="458"/>
        <v>#DIV/0!</v>
      </c>
      <c r="R56" s="45" t="e">
        <f t="shared" si="458"/>
        <v>#DIV/0!</v>
      </c>
      <c r="S56" s="45" t="e">
        <f t="shared" si="458"/>
        <v>#DIV/0!</v>
      </c>
      <c r="T56" s="45" t="e">
        <f t="shared" si="458"/>
        <v>#DIV/0!</v>
      </c>
      <c r="U56" s="45" t="e">
        <f t="shared" si="458"/>
        <v>#DIV/0!</v>
      </c>
      <c r="V56" s="45" t="e">
        <f t="shared" si="458"/>
        <v>#DIV/0!</v>
      </c>
      <c r="W56" s="45" t="e">
        <f t="shared" si="458"/>
        <v>#DIV/0!</v>
      </c>
      <c r="X56" s="45" t="e">
        <f t="shared" si="458"/>
        <v>#DIV/0!</v>
      </c>
      <c r="Y56" s="45" t="e">
        <f t="shared" si="458"/>
        <v>#DIV/0!</v>
      </c>
      <c r="Z56" s="45" t="e">
        <f t="shared" si="458"/>
        <v>#DIV/0!</v>
      </c>
      <c r="AA56" s="45" t="e">
        <f t="shared" ref="AA56" si="459">+AA55/AA147</f>
        <v>#DIV/0!</v>
      </c>
      <c r="AB56" s="109" t="e">
        <f t="shared" si="458"/>
        <v>#DIV/0!</v>
      </c>
      <c r="AC56" s="109" t="e">
        <f t="shared" si="458"/>
        <v>#DIV/0!</v>
      </c>
      <c r="AD56" s="109" t="e">
        <f t="shared" si="458"/>
        <v>#DIV/0!</v>
      </c>
      <c r="AE56" s="109" t="e">
        <f t="shared" si="458"/>
        <v>#DIV/0!</v>
      </c>
      <c r="AI56" s="45" t="e">
        <f t="shared" ref="AI56:BN56" si="460">(AI55-AI54)/AH187</f>
        <v>#DIV/0!</v>
      </c>
      <c r="AJ56" s="45" t="e">
        <f t="shared" si="460"/>
        <v>#DIV/0!</v>
      </c>
      <c r="AK56" s="45">
        <f t="shared" si="460"/>
        <v>-0.31880548829701449</v>
      </c>
      <c r="AL56" s="45" t="e">
        <f t="shared" si="460"/>
        <v>#DIV/0!</v>
      </c>
      <c r="AM56" s="45">
        <f t="shared" si="460"/>
        <v>0.22781495490253023</v>
      </c>
      <c r="AN56" s="45" t="e">
        <f t="shared" si="460"/>
        <v>#DIV/0!</v>
      </c>
      <c r="AO56" s="45">
        <f t="shared" si="460"/>
        <v>-0.16014696347525401</v>
      </c>
      <c r="AP56" s="45" t="e">
        <f t="shared" si="460"/>
        <v>#DIV/0!</v>
      </c>
      <c r="AQ56" s="45">
        <f t="shared" si="460"/>
        <v>-2.9105329949238223</v>
      </c>
      <c r="AR56" s="45" t="e">
        <f t="shared" si="460"/>
        <v>#DIV/0!</v>
      </c>
      <c r="AS56" s="45">
        <f t="shared" si="460"/>
        <v>1.1520037941664687</v>
      </c>
      <c r="AT56" s="45" t="e">
        <f t="shared" si="460"/>
        <v>#DIV/0!</v>
      </c>
      <c r="AU56" s="45">
        <f t="shared" si="460"/>
        <v>0.22366559485530565</v>
      </c>
      <c r="AV56" s="45" t="e">
        <f t="shared" si="460"/>
        <v>#DIV/0!</v>
      </c>
      <c r="AW56" s="45">
        <f t="shared" si="460"/>
        <v>-0.24518201284796565</v>
      </c>
      <c r="AX56" s="45" t="e">
        <f t="shared" si="460"/>
        <v>#DIV/0!</v>
      </c>
      <c r="AY56" s="45">
        <f t="shared" si="460"/>
        <v>0.17383579577333078</v>
      </c>
      <c r="AZ56" s="45" t="e">
        <f t="shared" si="460"/>
        <v>#DIV/0!</v>
      </c>
      <c r="BA56" s="45">
        <f t="shared" si="460"/>
        <v>133.80952380948477</v>
      </c>
      <c r="BB56" s="45" t="e">
        <f t="shared" si="460"/>
        <v>#DIV/0!</v>
      </c>
      <c r="BC56" s="45">
        <f t="shared" si="460"/>
        <v>0.79497816593886583</v>
      </c>
      <c r="BD56" s="45" t="e">
        <f t="shared" si="460"/>
        <v>#DIV/0!</v>
      </c>
      <c r="BE56" s="45">
        <f t="shared" si="460"/>
        <v>0.21379615299579927</v>
      </c>
      <c r="BF56" s="45" t="e">
        <f t="shared" si="460"/>
        <v>#DIV/0!</v>
      </c>
      <c r="BG56" s="45">
        <f t="shared" si="460"/>
        <v>-9.9959919839680076</v>
      </c>
      <c r="BH56" s="45" t="e">
        <f t="shared" si="460"/>
        <v>#DIV/0!</v>
      </c>
      <c r="BI56" s="45">
        <f t="shared" si="460"/>
        <v>0.26811733128834353</v>
      </c>
      <c r="BJ56" s="45" t="e">
        <f t="shared" si="460"/>
        <v>#DIV/0!</v>
      </c>
      <c r="BK56" s="45">
        <f t="shared" si="460"/>
        <v>0.37068808176674611</v>
      </c>
      <c r="BL56" s="45" t="e">
        <f t="shared" si="460"/>
        <v>#DIV/0!</v>
      </c>
      <c r="BM56" s="45">
        <f t="shared" si="460"/>
        <v>0.14975500204164977</v>
      </c>
      <c r="BN56" s="45" t="e">
        <f t="shared" si="460"/>
        <v>#DIV/0!</v>
      </c>
      <c r="BO56" s="45">
        <f t="shared" ref="BO56:CL56" si="461">(BO55-BO54)/BN187</f>
        <v>0.21431727794962441</v>
      </c>
      <c r="BP56" s="45" t="e">
        <f t="shared" si="461"/>
        <v>#DIV/0!</v>
      </c>
      <c r="BQ56" s="45">
        <f t="shared" si="461"/>
        <v>-0.10548560359249803</v>
      </c>
      <c r="BR56" s="45" t="e">
        <f t="shared" si="461"/>
        <v>#DIV/0!</v>
      </c>
      <c r="BS56" s="45">
        <f t="shared" si="461"/>
        <v>-9.4084821428571358E-2</v>
      </c>
      <c r="BT56" s="45" t="e">
        <f t="shared" si="461"/>
        <v>#DIV/0!</v>
      </c>
      <c r="BU56" s="45">
        <f t="shared" si="461"/>
        <v>0.4929513415188716</v>
      </c>
      <c r="BV56" s="45" t="e">
        <f t="shared" si="461"/>
        <v>#DIV/0!</v>
      </c>
      <c r="BW56" s="45">
        <f t="shared" si="461"/>
        <v>-1.1992665036674841</v>
      </c>
      <c r="BX56" s="45" t="e">
        <f t="shared" si="461"/>
        <v>#DIV/0!</v>
      </c>
      <c r="BY56" s="45">
        <f t="shared" si="461"/>
        <v>-1.6164290563475892</v>
      </c>
      <c r="BZ56" s="45" t="e">
        <f t="shared" si="461"/>
        <v>#DIV/0!</v>
      </c>
      <c r="CA56" s="45">
        <f t="shared" si="461"/>
        <v>-5.6162565097518545E-3</v>
      </c>
      <c r="CB56" s="45" t="e">
        <f t="shared" si="461"/>
        <v>#DIV/0!</v>
      </c>
      <c r="CC56" s="45">
        <f t="shared" si="461"/>
        <v>0.20618556701030899</v>
      </c>
      <c r="CD56" s="45">
        <f t="shared" si="461"/>
        <v>9.8800444563676079E-3</v>
      </c>
      <c r="CE56" s="45">
        <f t="shared" si="461"/>
        <v>1.0000660312104363E-2</v>
      </c>
      <c r="CF56" s="45">
        <f t="shared" si="461"/>
        <v>8.5176677077149416E-4</v>
      </c>
      <c r="CG56" s="45">
        <f t="shared" si="461"/>
        <v>3.4090643127632318E-3</v>
      </c>
      <c r="CH56" s="45">
        <f t="shared" si="461"/>
        <v>2.8516091680114375E-2</v>
      </c>
      <c r="CI56" s="45">
        <f t="shared" si="461"/>
        <v>-2.1777265559506702E-2</v>
      </c>
      <c r="CJ56" s="45">
        <f t="shared" si="461"/>
        <v>1.7361447729843271E-2</v>
      </c>
      <c r="CK56" s="45">
        <f t="shared" si="461"/>
        <v>0.20345112776227811</v>
      </c>
      <c r="CL56" s="45">
        <f t="shared" si="461"/>
        <v>1.031774413583926E-2</v>
      </c>
      <c r="CM56" s="46">
        <f t="shared" ref="CM56" si="462">+CL56</f>
        <v>1.031774413583926E-2</v>
      </c>
      <c r="CN56" s="46">
        <f t="shared" ref="CN56" si="463">+CM56</f>
        <v>1.031774413583926E-2</v>
      </c>
      <c r="CO56" s="46">
        <f t="shared" ref="CO56" si="464">+CN56</f>
        <v>1.031774413583926E-2</v>
      </c>
      <c r="CP56" s="46">
        <f t="shared" ref="CP56" si="465">+CO56</f>
        <v>1.031774413583926E-2</v>
      </c>
      <c r="CQ56" s="46">
        <f t="shared" ref="CQ56" si="466">+CP56</f>
        <v>1.031774413583926E-2</v>
      </c>
      <c r="CR56" s="46">
        <f t="shared" ref="CR56" si="467">+CQ56</f>
        <v>1.031774413583926E-2</v>
      </c>
      <c r="CS56" s="46">
        <f t="shared" ref="CS56" si="468">+CR56</f>
        <v>1.031774413583926E-2</v>
      </c>
      <c r="CT56" s="46">
        <f t="shared" ref="CT56" si="469">+CS56</f>
        <v>1.031774413583926E-2</v>
      </c>
      <c r="CU56" s="46">
        <f t="shared" ref="CU56" si="470">+CT56</f>
        <v>1.031774413583926E-2</v>
      </c>
      <c r="CV56" s="46">
        <f t="shared" ref="CV56" si="471">+CU56</f>
        <v>1.031774413583926E-2</v>
      </c>
      <c r="CW56" s="46">
        <f t="shared" ref="CW56" si="472">+CV56</f>
        <v>1.031774413583926E-2</v>
      </c>
      <c r="CX56" s="46">
        <f t="shared" ref="CX56" si="473">+CW56</f>
        <v>1.031774413583926E-2</v>
      </c>
      <c r="CY56" s="46">
        <f t="shared" ref="CY56" si="474">+CX56</f>
        <v>1.031774413583926E-2</v>
      </c>
      <c r="CZ56" s="46">
        <f t="shared" ref="CZ56" si="475">+CY56</f>
        <v>1.031774413583926E-2</v>
      </c>
      <c r="DA56" s="46">
        <f t="shared" ref="DA56" si="476">+CZ56</f>
        <v>1.031774413583926E-2</v>
      </c>
      <c r="DD56" s="45">
        <v>1.7361447729843271E-2</v>
      </c>
      <c r="DE56" s="45">
        <v>9.1027752757518923E-3</v>
      </c>
    </row>
    <row r="57" spans="1:109" s="25" customFormat="1" x14ac:dyDescent="0.2">
      <c r="A57" s="25" t="s">
        <v>20</v>
      </c>
      <c r="B57" s="25">
        <f>B53+B54-B55</f>
        <v>-4.6812965389999954</v>
      </c>
      <c r="C57" s="25">
        <f t="shared" ref="C57:T57" si="477">C53+C54-C55</f>
        <v>6.2645298780000145</v>
      </c>
      <c r="D57" s="25">
        <f>D53+D54-D55</f>
        <v>0</v>
      </c>
      <c r="E57" s="25">
        <f t="shared" si="477"/>
        <v>0</v>
      </c>
      <c r="F57" s="25">
        <f t="shared" si="477"/>
        <v>0</v>
      </c>
      <c r="G57" s="25">
        <f t="shared" si="477"/>
        <v>0</v>
      </c>
      <c r="H57" s="25">
        <f t="shared" si="477"/>
        <v>0</v>
      </c>
      <c r="I57" s="25">
        <f t="shared" si="477"/>
        <v>0</v>
      </c>
      <c r="J57" s="25">
        <f t="shared" si="477"/>
        <v>0</v>
      </c>
      <c r="K57" s="25">
        <f t="shared" si="477"/>
        <v>0</v>
      </c>
      <c r="L57" s="25">
        <f t="shared" si="477"/>
        <v>0</v>
      </c>
      <c r="M57" s="25">
        <f t="shared" si="477"/>
        <v>0</v>
      </c>
      <c r="N57" s="25">
        <f t="shared" si="477"/>
        <v>0</v>
      </c>
      <c r="O57" s="25">
        <f t="shared" si="477"/>
        <v>0</v>
      </c>
      <c r="P57" s="25">
        <f t="shared" si="477"/>
        <v>0</v>
      </c>
      <c r="Q57" s="25">
        <f t="shared" si="477"/>
        <v>0</v>
      </c>
      <c r="R57" s="25">
        <f t="shared" si="477"/>
        <v>0</v>
      </c>
      <c r="S57" s="25">
        <f t="shared" si="477"/>
        <v>0</v>
      </c>
      <c r="T57" s="25">
        <f t="shared" si="477"/>
        <v>0</v>
      </c>
      <c r="U57" s="25">
        <f t="shared" ref="U57:Z57" si="478">U53+U54-U55</f>
        <v>0</v>
      </c>
      <c r="V57" s="25">
        <f t="shared" si="478"/>
        <v>0</v>
      </c>
      <c r="W57" s="25">
        <f t="shared" si="478"/>
        <v>0</v>
      </c>
      <c r="X57" s="25">
        <f t="shared" si="478"/>
        <v>0</v>
      </c>
      <c r="Y57" s="25">
        <f t="shared" si="478"/>
        <v>26.070199999999979</v>
      </c>
      <c r="Z57" s="25">
        <f t="shared" si="478"/>
        <v>-7.1655000000000149</v>
      </c>
      <c r="AA57" s="25">
        <f t="shared" ref="AA57" si="479">AA53+AA54-AA55</f>
        <v>22.763000000000005</v>
      </c>
      <c r="AB57" s="26">
        <f t="shared" ref="AB57:AD57" si="480">AB53+AB54-AB55</f>
        <v>66.949340595644088</v>
      </c>
      <c r="AC57" s="26">
        <f t="shared" si="480"/>
        <v>237.98911103125738</v>
      </c>
      <c r="AD57" s="26">
        <f t="shared" si="480"/>
        <v>458.17731383454918</v>
      </c>
      <c r="AE57" s="26">
        <f t="shared" ref="AE57" si="481">AE53+AE54-AE55</f>
        <v>728.30233725434084</v>
      </c>
      <c r="AI57" s="25">
        <f>AI53+AI54-AI55</f>
        <v>6.6399999999999935</v>
      </c>
      <c r="AJ57" s="25">
        <f t="shared" ref="AJ57" si="482">AJ53+AJ54-AJ55</f>
        <v>-5.5229999999999908</v>
      </c>
      <c r="AK57" s="25">
        <f t="shared" ref="AK57:AM57" si="483">AK53+AK54-AK55</f>
        <v>2.5140000000000042</v>
      </c>
      <c r="AL57" s="25">
        <f t="shared" si="483"/>
        <v>-5.5570000000000164</v>
      </c>
      <c r="AM57" s="25">
        <f t="shared" si="483"/>
        <v>-20.890999999999991</v>
      </c>
      <c r="AN57" s="25">
        <f t="shared" ref="AN57:AO57" si="484">AN53+AN54-AN55</f>
        <v>-14.242999999999993</v>
      </c>
      <c r="AO57" s="25">
        <f t="shared" si="484"/>
        <v>12.955000000000011</v>
      </c>
      <c r="AP57" s="25">
        <f t="shared" ref="AP57:CD57" si="485">AP53+AP54-AP55</f>
        <v>-3.8540000000000192</v>
      </c>
      <c r="AQ57" s="25">
        <f t="shared" si="485"/>
        <v>-2.636000000000001</v>
      </c>
      <c r="AR57" s="25">
        <f t="shared" si="485"/>
        <v>1.2890000000000017</v>
      </c>
      <c r="AS57" s="25">
        <f t="shared" si="485"/>
        <v>0.29399999999999937</v>
      </c>
      <c r="AT57" s="25">
        <f t="shared" si="485"/>
        <v>3.4189999999999934</v>
      </c>
      <c r="AU57" s="25">
        <f t="shared" si="485"/>
        <v>1.3819999999999997</v>
      </c>
      <c r="AV57" s="25">
        <f t="shared" si="485"/>
        <v>-2.830000000000001</v>
      </c>
      <c r="AW57" s="25">
        <f t="shared" si="485"/>
        <v>5.4459999999999891</v>
      </c>
      <c r="AX57" s="25">
        <f t="shared" si="485"/>
        <v>1.2560000000000009</v>
      </c>
      <c r="AY57" s="25">
        <f t="shared" si="485"/>
        <v>-9.2240000000000038</v>
      </c>
      <c r="AZ57" s="25">
        <f t="shared" si="485"/>
        <v>0.81500000000000627</v>
      </c>
      <c r="BA57" s="25">
        <f t="shared" si="485"/>
        <v>10.127000000000004</v>
      </c>
      <c r="BB57" s="25">
        <f t="shared" si="485"/>
        <v>6.146999999999994</v>
      </c>
      <c r="BC57" s="25">
        <f t="shared" si="485"/>
        <v>1.4250000000000012</v>
      </c>
      <c r="BD57" s="25">
        <f t="shared" si="485"/>
        <v>7.28</v>
      </c>
      <c r="BE57" s="25">
        <f t="shared" si="485"/>
        <v>5.14</v>
      </c>
      <c r="BF57" s="25">
        <f t="shared" si="485"/>
        <v>-0.59299999999999287</v>
      </c>
      <c r="BG57" s="25">
        <f t="shared" si="485"/>
        <v>4.9089999999999998</v>
      </c>
      <c r="BH57" s="25">
        <f t="shared" si="485"/>
        <v>14.98</v>
      </c>
      <c r="BI57" s="25">
        <f t="shared" si="485"/>
        <v>25.27399999999998</v>
      </c>
      <c r="BJ57" s="25">
        <f t="shared" si="485"/>
        <v>1.872999999999994</v>
      </c>
      <c r="BK57" s="25">
        <f t="shared" si="485"/>
        <v>5.2639999999999887</v>
      </c>
      <c r="BL57" s="25">
        <f t="shared" si="485"/>
        <v>13.354999999999993</v>
      </c>
      <c r="BM57" s="25">
        <f t="shared" si="485"/>
        <v>5.6030000000000131</v>
      </c>
      <c r="BN57" s="25">
        <f t="shared" si="485"/>
        <v>4.6909999999999989</v>
      </c>
      <c r="BO57" s="25">
        <f t="shared" si="485"/>
        <v>-11.474</v>
      </c>
      <c r="BP57" s="25">
        <f t="shared" si="485"/>
        <v>-11.426999999999998</v>
      </c>
      <c r="BQ57" s="25">
        <f t="shared" si="485"/>
        <v>1.3330000000000055</v>
      </c>
      <c r="BR57" s="25">
        <f t="shared" si="485"/>
        <v>-8.6390000000000082</v>
      </c>
      <c r="BS57" s="25">
        <f t="shared" si="485"/>
        <v>-1.1429999999999931</v>
      </c>
      <c r="BT57" s="25">
        <f t="shared" si="485"/>
        <v>2.0860000000000025</v>
      </c>
      <c r="BU57" s="25">
        <f t="shared" si="485"/>
        <v>5.955999999999996</v>
      </c>
      <c r="BV57" s="25">
        <f t="shared" si="485"/>
        <v>-2.4699999999999949</v>
      </c>
      <c r="BW57" s="25">
        <f t="shared" si="485"/>
        <v>-5.2949999999999999</v>
      </c>
      <c r="BX57" s="25">
        <f t="shared" si="485"/>
        <v>-2.9410000000000012</v>
      </c>
      <c r="BY57" s="25">
        <f t="shared" si="485"/>
        <v>11.288000000000007</v>
      </c>
      <c r="BZ57" s="25">
        <f t="shared" si="485"/>
        <v>13.126000000000005</v>
      </c>
      <c r="CA57" s="25">
        <f t="shared" si="485"/>
        <v>5.7879999999999932</v>
      </c>
      <c r="CB57" s="25">
        <f t="shared" si="485"/>
        <v>7.3830000000000107</v>
      </c>
      <c r="CC57" s="25">
        <f t="shared" si="485"/>
        <v>12.899000000000003</v>
      </c>
      <c r="CD57" s="25">
        <f t="shared" si="485"/>
        <v>4.7129999999999814</v>
      </c>
      <c r="CE57" s="25">
        <f t="shared" ref="CE57:CF57" si="486">CE53+CE54-CE55</f>
        <v>-1.5000000000006564E-2</v>
      </c>
      <c r="CF57" s="25">
        <f t="shared" si="486"/>
        <v>-10.046999999999992</v>
      </c>
      <c r="CG57" s="25">
        <f t="shared" ref="CG57:CH57" si="487">CG53+CG54-CG55</f>
        <v>-1.8140000000000041</v>
      </c>
      <c r="CH57" s="25">
        <f t="shared" si="487"/>
        <v>-2.1850000000000001</v>
      </c>
      <c r="CI57" s="25">
        <f t="shared" ref="CI57:CJ57" si="488">CI53+CI54-CI55</f>
        <v>2.315999999999983</v>
      </c>
      <c r="CJ57" s="25">
        <f t="shared" si="488"/>
        <v>11.916999999999982</v>
      </c>
      <c r="CK57" s="25">
        <f t="shared" ref="CK57:CL57" si="489">CK53+CK54-CK55</f>
        <v>-0.91529999999999845</v>
      </c>
      <c r="CL57" s="25">
        <f t="shared" si="489"/>
        <v>3.9720000000000066</v>
      </c>
      <c r="CM57" s="26">
        <f t="shared" ref="CM57:DA57" si="490">CM53+CM54-CM55</f>
        <v>-6.9854385202895113</v>
      </c>
      <c r="CN57" s="26">
        <f t="shared" si="490"/>
        <v>31.381933329794176</v>
      </c>
      <c r="CO57" s="26">
        <f t="shared" si="490"/>
        <v>38.580845786139271</v>
      </c>
      <c r="CP57" s="26">
        <f t="shared" si="490"/>
        <v>31.357020463139779</v>
      </c>
      <c r="CQ57" s="26">
        <f t="shared" si="490"/>
        <v>34.687640048866015</v>
      </c>
      <c r="CR57" s="26">
        <f t="shared" si="490"/>
        <v>82.164274067185474</v>
      </c>
      <c r="CS57" s="26">
        <f t="shared" si="490"/>
        <v>89.780176452065987</v>
      </c>
      <c r="CT57" s="26">
        <f t="shared" si="490"/>
        <v>80.205333700198466</v>
      </c>
      <c r="CU57" s="26">
        <f t="shared" si="490"/>
        <v>83.050201474138291</v>
      </c>
      <c r="CV57" s="26">
        <f t="shared" si="490"/>
        <v>143.24630532470749</v>
      </c>
      <c r="CW57" s="26">
        <f t="shared" si="490"/>
        <v>151.67547333550453</v>
      </c>
      <c r="CX57" s="26">
        <f t="shared" si="490"/>
        <v>139.51635364470607</v>
      </c>
      <c r="CY57" s="26">
        <f t="shared" si="490"/>
        <v>142.01025757690525</v>
      </c>
      <c r="CZ57" s="26">
        <f t="shared" si="490"/>
        <v>218.5507853896365</v>
      </c>
      <c r="DA57" s="26">
        <f t="shared" si="490"/>
        <v>228.22494064309328</v>
      </c>
      <c r="DD57" s="25">
        <v>2.0654556627862215</v>
      </c>
      <c r="DE57" s="25">
        <v>16.609380752844316</v>
      </c>
    </row>
    <row r="58" spans="1:109" s="22" customFormat="1" x14ac:dyDescent="0.2">
      <c r="A58" s="22" t="s">
        <v>21</v>
      </c>
      <c r="B58" s="22">
        <f>'Annual Raw'!C30</f>
        <v>0</v>
      </c>
      <c r="C58" s="22">
        <f>'Annual Raw'!D30</f>
        <v>0.25</v>
      </c>
      <c r="D58" s="22">
        <f>'Annual Raw'!E30</f>
        <v>0</v>
      </c>
      <c r="E58" s="22">
        <f>'Annual Raw'!F30</f>
        <v>0</v>
      </c>
      <c r="F58" s="22">
        <f>'Annual Raw'!G30</f>
        <v>0</v>
      </c>
      <c r="G58" s="22">
        <f>'Annual Raw'!H30</f>
        <v>0</v>
      </c>
      <c r="H58" s="22">
        <f>'Annual Raw'!I30</f>
        <v>0</v>
      </c>
      <c r="I58" s="22">
        <f>'Annual Raw'!J30</f>
        <v>0</v>
      </c>
      <c r="J58" s="22">
        <f>'Annual Raw'!K30</f>
        <v>0</v>
      </c>
      <c r="K58" s="22">
        <f>'Annual Raw'!L30</f>
        <v>0</v>
      </c>
      <c r="L58" s="22">
        <f>'Annual Raw'!M30</f>
        <v>0</v>
      </c>
      <c r="M58" s="22">
        <f>'Annual Raw'!N30</f>
        <v>0</v>
      </c>
      <c r="N58" s="22">
        <f>'Annual Raw'!O30</f>
        <v>0</v>
      </c>
      <c r="O58" s="22">
        <f>'Annual Raw'!P30</f>
        <v>0</v>
      </c>
      <c r="P58" s="22">
        <f>'Annual Raw'!Q30</f>
        <v>0</v>
      </c>
      <c r="Q58" s="22">
        <f>'Annual Raw'!R30</f>
        <v>0</v>
      </c>
      <c r="R58" s="22">
        <f>'Annual Raw'!S30</f>
        <v>0</v>
      </c>
      <c r="S58" s="22">
        <f>'Annual Raw'!T30</f>
        <v>0</v>
      </c>
      <c r="T58" s="22">
        <f>'Annual Raw'!U30</f>
        <v>0</v>
      </c>
      <c r="U58" s="22">
        <f>'Annual Raw'!V30</f>
        <v>0</v>
      </c>
      <c r="V58" s="22">
        <f>'Annual Raw'!W30</f>
        <v>0</v>
      </c>
      <c r="W58" s="22">
        <f>'Annual Raw'!X30</f>
        <v>0</v>
      </c>
      <c r="X58" s="22">
        <f>'Annual Raw'!Y30</f>
        <v>0</v>
      </c>
      <c r="Y58" s="22">
        <f>'Annual Raw'!Z30</f>
        <v>4.431</v>
      </c>
      <c r="Z58" s="22">
        <f>'Annual Raw'!AA30</f>
        <v>-1.7834000000000001</v>
      </c>
      <c r="AA58" s="22">
        <f>'Annual Raw'!AB30</f>
        <v>1.0405</v>
      </c>
      <c r="AB58" s="23">
        <f>+SUM(CL58:CO58)</f>
        <v>14.747335148910985</v>
      </c>
      <c r="AC58" s="23">
        <f>+SUM(CP58:CS58)</f>
        <v>59.497277757814317</v>
      </c>
      <c r="AD58" s="23">
        <f>+SUM(CT58:CW58)</f>
        <v>114.5443284586372</v>
      </c>
      <c r="AE58" s="23">
        <f>+SUM(CX58:DA58)</f>
        <v>182.0755843135853</v>
      </c>
      <c r="AI58" s="22">
        <f>'QTR Raw'!C29</f>
        <v>2.1749999999999998</v>
      </c>
      <c r="AJ58" s="22">
        <f>'QTR Raw'!D29</f>
        <v>-1.806</v>
      </c>
      <c r="AK58" s="22">
        <f>'QTR Raw'!E29</f>
        <v>0.81899999999999995</v>
      </c>
      <c r="AL58" s="22">
        <f>'QTR Raw'!F29</f>
        <v>-2.12</v>
      </c>
      <c r="AM58" s="22">
        <f>'QTR Raw'!G29</f>
        <v>-7.133</v>
      </c>
      <c r="AN58" s="22">
        <f>'QTR Raw'!H29</f>
        <v>4.2649999999999997</v>
      </c>
      <c r="AO58" s="22">
        <f>'QTR Raw'!I29</f>
        <v>1.4239999999999999</v>
      </c>
      <c r="AP58" s="22">
        <f>'QTR Raw'!J29</f>
        <v>-2.278</v>
      </c>
      <c r="AQ58" s="22">
        <f>'QTR Raw'!K29</f>
        <v>0</v>
      </c>
      <c r="AR58" s="22">
        <f>'QTR Raw'!L29</f>
        <v>0.41499999999999998</v>
      </c>
      <c r="AS58" s="22">
        <f>'QTR Raw'!M29</f>
        <v>0.17499999999999999</v>
      </c>
      <c r="AT58" s="22">
        <f>'QTR Raw'!N29</f>
        <v>-2.1339999999999999</v>
      </c>
      <c r="AU58" s="22">
        <f>'QTR Raw'!O29</f>
        <v>0.44600000000000001</v>
      </c>
      <c r="AV58" s="22">
        <f>'QTR Raw'!P29</f>
        <v>-2.8000000000000001E-2</v>
      </c>
      <c r="AW58" s="22">
        <f>'QTR Raw'!Q29</f>
        <v>1.1499999999999999</v>
      </c>
      <c r="AX58" s="22">
        <f>'QTR Raw'!R29</f>
        <v>4.9009999999999998</v>
      </c>
      <c r="AY58" s="22">
        <f>'QTR Raw'!S29</f>
        <v>-0.876</v>
      </c>
      <c r="AZ58" s="22">
        <f>'QTR Raw'!T29</f>
        <v>0.79400000000000004</v>
      </c>
      <c r="BA58" s="22">
        <f>'QTR Raw'!U29</f>
        <v>0.58699999999999997</v>
      </c>
      <c r="BB58" s="22">
        <f>'QTR Raw'!V29</f>
        <v>1.5669999999999999</v>
      </c>
      <c r="BC58" s="22">
        <f>'QTR Raw'!W29</f>
        <v>1.232</v>
      </c>
      <c r="BD58" s="22">
        <f>'QTR Raw'!X29</f>
        <v>2.7570000000000001</v>
      </c>
      <c r="BE58" s="22">
        <f>'QTR Raw'!Y29</f>
        <v>2.1389999999999998</v>
      </c>
      <c r="BF58" s="22">
        <f>'QTR Raw'!Z29</f>
        <v>0.40500000000000003</v>
      </c>
      <c r="BG58" s="22">
        <f>'QTR Raw'!AA29</f>
        <v>1.571</v>
      </c>
      <c r="BH58" s="22">
        <f>'QTR Raw'!AB29</f>
        <v>4.548</v>
      </c>
      <c r="BI58" s="22">
        <f>'QTR Raw'!AC29</f>
        <v>9.4239999999999995</v>
      </c>
      <c r="BJ58" s="22">
        <f>'QTR Raw'!AD29</f>
        <v>-3.6059999999999999</v>
      </c>
      <c r="BK58" s="22">
        <f>'QTR Raw'!AE29</f>
        <v>1.492</v>
      </c>
      <c r="BL58" s="22">
        <f>'QTR Raw'!AF29</f>
        <v>3.5590000000000002</v>
      </c>
      <c r="BM58" s="22">
        <f>'QTR Raw'!AG29</f>
        <v>-4.7E-2</v>
      </c>
      <c r="BN58" s="22">
        <f>'QTR Raw'!AH29</f>
        <v>0.16500000000000001</v>
      </c>
      <c r="BO58" s="22">
        <f>'QTR Raw'!AI29</f>
        <v>-1.377</v>
      </c>
      <c r="BP58" s="22">
        <f>'QTR Raw'!AJ29</f>
        <v>-7.0000000000000007E-2</v>
      </c>
      <c r="BQ58" s="22">
        <f>'QTR Raw'!AK29</f>
        <v>-2.1000000000000001E-2</v>
      </c>
      <c r="BR58" s="22">
        <f>'QTR Raw'!AL29</f>
        <v>0.32100000000000001</v>
      </c>
      <c r="BS58" s="22">
        <f>'QTR Raw'!AM29</f>
        <v>-9.6000000000000002E-2</v>
      </c>
      <c r="BT58" s="22">
        <f>'QTR Raw'!AN29</f>
        <v>-0.113</v>
      </c>
      <c r="BU58" s="22">
        <f>'QTR Raw'!AO29</f>
        <v>1.2999999999999999E-2</v>
      </c>
      <c r="BV58" s="22">
        <f>'QTR Raw'!AP29</f>
        <v>-1.6E-2</v>
      </c>
      <c r="BW58" s="22">
        <f>'QTR Raw'!AQ29</f>
        <v>0.05</v>
      </c>
      <c r="BX58" s="22">
        <f>'QTR Raw'!AR29</f>
        <v>5.0000000000000001E-3</v>
      </c>
      <c r="BY58" s="22">
        <f>'QTR Raw'!AS29</f>
        <v>-9.6000000000000002E-2</v>
      </c>
      <c r="BZ58" s="22">
        <f>'QTR Raw'!AT29</f>
        <v>3.3330000000000002</v>
      </c>
      <c r="CA58" s="22">
        <f>'QTR Raw'!AU29</f>
        <v>1.4510000000000001</v>
      </c>
      <c r="CB58" s="22">
        <f>'QTR Raw'!AV29</f>
        <v>0.39900000000000002</v>
      </c>
      <c r="CC58" s="22">
        <f>'QTR Raw'!AW29</f>
        <v>2.58</v>
      </c>
      <c r="CD58" s="22">
        <f>'QTR Raw'!AX29</f>
        <v>1.0940000000000001</v>
      </c>
      <c r="CE58" s="22">
        <f>'QTR Raw'!AY29</f>
        <v>1.2E-2</v>
      </c>
      <c r="CF58" s="22">
        <f>'QTR Raw'!AZ29</f>
        <v>-2.5499999999999998</v>
      </c>
      <c r="CG58" s="22">
        <f>'QTR Raw'!BA29</f>
        <v>-0.34</v>
      </c>
      <c r="CH58" s="22">
        <f>'QTR Raw'!BB29</f>
        <v>0.72899999999999998</v>
      </c>
      <c r="CI58" s="22">
        <f>'QTR Raw'!BC29</f>
        <v>0.59799999999999998</v>
      </c>
      <c r="CJ58" s="22">
        <f>'QTR Raw'!BD29</f>
        <v>2.9969999999999999</v>
      </c>
      <c r="CK58" s="22">
        <v>-3.4020000000000001</v>
      </c>
      <c r="CL58" s="22">
        <f>'QTR Raw'!BF29</f>
        <v>-0.997</v>
      </c>
      <c r="CM58" s="23">
        <f t="shared" ref="CM58:DA58" si="491">+CM57*CM59</f>
        <v>-1.7463596300723778</v>
      </c>
      <c r="CN58" s="23">
        <f t="shared" si="491"/>
        <v>7.845483332448544</v>
      </c>
      <c r="CO58" s="23">
        <f t="shared" si="491"/>
        <v>9.6452114465348178</v>
      </c>
      <c r="CP58" s="23">
        <f t="shared" si="491"/>
        <v>7.8392551157849448</v>
      </c>
      <c r="CQ58" s="23">
        <f t="shared" si="491"/>
        <v>8.6719100122165038</v>
      </c>
      <c r="CR58" s="23">
        <f t="shared" si="491"/>
        <v>20.541068516796368</v>
      </c>
      <c r="CS58" s="23">
        <f t="shared" si="491"/>
        <v>22.445044113016497</v>
      </c>
      <c r="CT58" s="23">
        <f t="shared" si="491"/>
        <v>20.051333425049616</v>
      </c>
      <c r="CU58" s="23">
        <f t="shared" si="491"/>
        <v>20.762550368534573</v>
      </c>
      <c r="CV58" s="23">
        <f t="shared" si="491"/>
        <v>35.811576331176873</v>
      </c>
      <c r="CW58" s="23">
        <f t="shared" si="491"/>
        <v>37.918868333876134</v>
      </c>
      <c r="CX58" s="23">
        <f t="shared" si="491"/>
        <v>34.879088411176518</v>
      </c>
      <c r="CY58" s="23">
        <f t="shared" si="491"/>
        <v>35.502564394226312</v>
      </c>
      <c r="CZ58" s="23">
        <f t="shared" si="491"/>
        <v>54.637696347409126</v>
      </c>
      <c r="DA58" s="23">
        <f t="shared" si="491"/>
        <v>57.056235160773319</v>
      </c>
      <c r="DD58" s="22">
        <v>0.49840793949791701</v>
      </c>
      <c r="DE58" s="22">
        <v>-0.2603048350919126</v>
      </c>
    </row>
    <row r="59" spans="1:109" s="89" customFormat="1" x14ac:dyDescent="0.2">
      <c r="A59" s="89" t="s">
        <v>106</v>
      </c>
      <c r="B59" s="89">
        <f t="shared" ref="B59:E59" si="492">B58/B57</f>
        <v>0</v>
      </c>
      <c r="C59" s="89">
        <f t="shared" si="492"/>
        <v>3.9907224463556053E-2</v>
      </c>
      <c r="D59" s="89" t="e">
        <f t="shared" si="492"/>
        <v>#DIV/0!</v>
      </c>
      <c r="E59" s="89" t="e">
        <f t="shared" si="492"/>
        <v>#DIV/0!</v>
      </c>
      <c r="F59" s="89" t="e">
        <f t="shared" ref="F59:T59" si="493">F58/F57</f>
        <v>#DIV/0!</v>
      </c>
      <c r="G59" s="89" t="e">
        <f t="shared" si="493"/>
        <v>#DIV/0!</v>
      </c>
      <c r="H59" s="89" t="e">
        <f t="shared" si="493"/>
        <v>#DIV/0!</v>
      </c>
      <c r="I59" s="89" t="e">
        <f t="shared" si="493"/>
        <v>#DIV/0!</v>
      </c>
      <c r="J59" s="89" t="e">
        <f t="shared" si="493"/>
        <v>#DIV/0!</v>
      </c>
      <c r="K59" s="89" t="e">
        <f t="shared" si="493"/>
        <v>#DIV/0!</v>
      </c>
      <c r="L59" s="89" t="e">
        <f t="shared" si="493"/>
        <v>#DIV/0!</v>
      </c>
      <c r="M59" s="89" t="e">
        <f t="shared" si="493"/>
        <v>#DIV/0!</v>
      </c>
      <c r="N59" s="89" t="e">
        <f t="shared" si="493"/>
        <v>#DIV/0!</v>
      </c>
      <c r="O59" s="89" t="e">
        <f t="shared" si="493"/>
        <v>#DIV/0!</v>
      </c>
      <c r="P59" s="89" t="e">
        <f t="shared" si="493"/>
        <v>#DIV/0!</v>
      </c>
      <c r="Q59" s="89" t="e">
        <f t="shared" si="493"/>
        <v>#DIV/0!</v>
      </c>
      <c r="R59" s="89" t="e">
        <f t="shared" si="493"/>
        <v>#DIV/0!</v>
      </c>
      <c r="S59" s="89" t="e">
        <f t="shared" si="493"/>
        <v>#DIV/0!</v>
      </c>
      <c r="T59" s="89" t="e">
        <f t="shared" si="493"/>
        <v>#DIV/0!</v>
      </c>
      <c r="U59" s="89" t="e">
        <f t="shared" ref="U59:Z59" si="494">U58/U57</f>
        <v>#DIV/0!</v>
      </c>
      <c r="V59" s="89" t="e">
        <f t="shared" si="494"/>
        <v>#DIV/0!</v>
      </c>
      <c r="W59" s="89" t="e">
        <f t="shared" si="494"/>
        <v>#DIV/0!</v>
      </c>
      <c r="X59" s="89" t="e">
        <f t="shared" si="494"/>
        <v>#DIV/0!</v>
      </c>
      <c r="Y59" s="89">
        <f t="shared" si="494"/>
        <v>0.16996417365421071</v>
      </c>
      <c r="Z59" s="89">
        <f t="shared" si="494"/>
        <v>0.24888702812085639</v>
      </c>
      <c r="AA59" s="89">
        <f t="shared" ref="AA59" si="495">AA58/AA57</f>
        <v>4.5710143654175625E-2</v>
      </c>
      <c r="AB59" s="90">
        <f t="shared" ref="AA59:AD59" si="496">AB58/AB57</f>
        <v>0.22027603285864905</v>
      </c>
      <c r="AC59" s="90">
        <f t="shared" si="496"/>
        <v>0.24999999999999989</v>
      </c>
      <c r="AD59" s="90">
        <f t="shared" si="496"/>
        <v>0.24999999999999978</v>
      </c>
      <c r="AE59" s="90">
        <f t="shared" ref="AE59" si="497">AE58/AE57</f>
        <v>0.25000000000000011</v>
      </c>
      <c r="AI59" s="89">
        <f t="shared" ref="AI59" si="498">AI58/AI57</f>
        <v>0.32756024096385572</v>
      </c>
      <c r="AJ59" s="89">
        <f t="shared" ref="AJ59" si="499">AJ58/AJ57</f>
        <v>0.32699619771863175</v>
      </c>
      <c r="AK59" s="89">
        <f t="shared" ref="AK59:AM59" si="500">AK58/AK57</f>
        <v>0.32577565632458177</v>
      </c>
      <c r="AL59" s="89">
        <f t="shared" si="500"/>
        <v>0.38150080978945361</v>
      </c>
      <c r="AM59" s="89">
        <f t="shared" si="500"/>
        <v>0.34143889713273673</v>
      </c>
      <c r="AN59" s="89">
        <f t="shared" ref="AN59:AO59" si="501">AN58/AN57</f>
        <v>-0.29944534157129832</v>
      </c>
      <c r="AO59" s="89">
        <f t="shared" si="501"/>
        <v>0.10991895021227316</v>
      </c>
      <c r="AP59" s="89">
        <f t="shared" ref="AP59:CD59" si="502">AP58/AP57</f>
        <v>0.59107420861442361</v>
      </c>
      <c r="AQ59" s="89">
        <f t="shared" si="502"/>
        <v>0</v>
      </c>
      <c r="AR59" s="89">
        <f t="shared" si="502"/>
        <v>0.32195500387897552</v>
      </c>
      <c r="AS59" s="89">
        <f t="shared" si="502"/>
        <v>0.59523809523809645</v>
      </c>
      <c r="AT59" s="89">
        <f t="shared" si="502"/>
        <v>-0.62415911085112719</v>
      </c>
      <c r="AU59" s="89">
        <f t="shared" si="502"/>
        <v>0.32272069464544145</v>
      </c>
      <c r="AV59" s="89">
        <f t="shared" si="502"/>
        <v>9.8939929328621876E-3</v>
      </c>
      <c r="AW59" s="89">
        <f t="shared" si="502"/>
        <v>0.21116415717958176</v>
      </c>
      <c r="AX59" s="89">
        <f t="shared" si="502"/>
        <v>3.9020700636942647</v>
      </c>
      <c r="AY59" s="89">
        <f t="shared" si="502"/>
        <v>9.4969644405897613E-2</v>
      </c>
      <c r="AZ59" s="89">
        <f t="shared" si="502"/>
        <v>0.97423312883434843</v>
      </c>
      <c r="BA59" s="89">
        <f t="shared" si="502"/>
        <v>5.7963858990816602E-2</v>
      </c>
      <c r="BB59" s="89">
        <f t="shared" si="502"/>
        <v>0.25492109972344257</v>
      </c>
      <c r="BC59" s="89">
        <f t="shared" si="502"/>
        <v>0.8645614035087712</v>
      </c>
      <c r="BD59" s="89">
        <f t="shared" si="502"/>
        <v>0.3787087912087912</v>
      </c>
      <c r="BE59" s="89">
        <f t="shared" si="502"/>
        <v>0.41614785992217895</v>
      </c>
      <c r="BF59" s="89">
        <f t="shared" si="502"/>
        <v>-0.68296795952783285</v>
      </c>
      <c r="BG59" s="89">
        <f t="shared" si="502"/>
        <v>0.32002444489712772</v>
      </c>
      <c r="BH59" s="89">
        <f t="shared" si="502"/>
        <v>0.3036048064085447</v>
      </c>
      <c r="BI59" s="89">
        <f t="shared" si="502"/>
        <v>0.37287330853841921</v>
      </c>
      <c r="BJ59" s="89">
        <f t="shared" si="502"/>
        <v>-1.9252536038441064</v>
      </c>
      <c r="BK59" s="89">
        <f t="shared" si="502"/>
        <v>0.28343465045592764</v>
      </c>
      <c r="BL59" s="89">
        <f t="shared" si="502"/>
        <v>0.26649195058030717</v>
      </c>
      <c r="BM59" s="89">
        <f t="shared" si="502"/>
        <v>-8.3883633767624297E-3</v>
      </c>
      <c r="BN59" s="89">
        <f t="shared" si="502"/>
        <v>3.5173736943082505E-2</v>
      </c>
      <c r="BO59" s="89">
        <f t="shared" si="502"/>
        <v>0.1200104584277497</v>
      </c>
      <c r="BP59" s="89">
        <f t="shared" si="502"/>
        <v>6.125842303316708E-3</v>
      </c>
      <c r="BQ59" s="89">
        <f t="shared" si="502"/>
        <v>-1.5753938484621092E-2</v>
      </c>
      <c r="BR59" s="89">
        <f t="shared" si="502"/>
        <v>-3.7157078365551537E-2</v>
      </c>
      <c r="BS59" s="89">
        <f t="shared" si="502"/>
        <v>8.398950131233647E-2</v>
      </c>
      <c r="BT59" s="89">
        <f t="shared" si="502"/>
        <v>-5.4170661553211825E-2</v>
      </c>
      <c r="BU59" s="89">
        <f t="shared" si="502"/>
        <v>2.1826729348556092E-3</v>
      </c>
      <c r="BV59" s="89">
        <f t="shared" si="502"/>
        <v>6.4777327935222808E-3</v>
      </c>
      <c r="BW59" s="89">
        <f t="shared" si="502"/>
        <v>-9.4428706326723337E-3</v>
      </c>
      <c r="BX59" s="89">
        <f t="shared" si="502"/>
        <v>-1.7001020061203666E-3</v>
      </c>
      <c r="BY59" s="89">
        <f t="shared" si="502"/>
        <v>-8.5046066619418794E-3</v>
      </c>
      <c r="BZ59" s="89">
        <f t="shared" si="502"/>
        <v>0.25392351058966928</v>
      </c>
      <c r="CA59" s="89">
        <f t="shared" si="502"/>
        <v>0.25069108500345572</v>
      </c>
      <c r="CB59" s="89">
        <f t="shared" si="502"/>
        <v>5.4043071921982856E-2</v>
      </c>
      <c r="CC59" s="89">
        <f t="shared" si="502"/>
        <v>0.20001550507791299</v>
      </c>
      <c r="CD59" s="89">
        <f t="shared" si="502"/>
        <v>0.23212391258222032</v>
      </c>
      <c r="CE59" s="89">
        <f t="shared" ref="CE59:CF59" si="503">CE58/CE57</f>
        <v>-0.79999999999964999</v>
      </c>
      <c r="CF59" s="89">
        <f t="shared" si="503"/>
        <v>0.25380710659898498</v>
      </c>
      <c r="CG59" s="89">
        <f t="shared" ref="CG59:CH59" si="504">CG58/CG57</f>
        <v>0.18743109151047369</v>
      </c>
      <c r="CH59" s="89">
        <f t="shared" si="504"/>
        <v>-0.33363844393592673</v>
      </c>
      <c r="CI59" s="89">
        <f t="shared" ref="CI59:CJ59" si="505">CI58/CI57</f>
        <v>0.25820379965457874</v>
      </c>
      <c r="CJ59" s="89">
        <f t="shared" si="505"/>
        <v>0.25148946882604717</v>
      </c>
      <c r="CK59" s="89">
        <f t="shared" ref="CK59:CL59" si="506">CK58/CK57</f>
        <v>3.7168141592920421</v>
      </c>
      <c r="CL59" s="89">
        <f t="shared" si="506"/>
        <v>-0.25100704934541751</v>
      </c>
      <c r="CM59" s="90">
        <v>0.25</v>
      </c>
      <c r="CN59" s="90">
        <v>0.25</v>
      </c>
      <c r="CO59" s="90">
        <v>0.25</v>
      </c>
      <c r="CP59" s="90">
        <v>0.25</v>
      </c>
      <c r="CQ59" s="90">
        <v>0.25</v>
      </c>
      <c r="CR59" s="90">
        <v>0.25</v>
      </c>
      <c r="CS59" s="90">
        <v>0.25</v>
      </c>
      <c r="CT59" s="90">
        <v>0.25</v>
      </c>
      <c r="CU59" s="90">
        <v>0.25</v>
      </c>
      <c r="CV59" s="90">
        <v>0.25</v>
      </c>
      <c r="CW59" s="90">
        <v>0.25</v>
      </c>
      <c r="CX59" s="90">
        <v>0.25</v>
      </c>
      <c r="CY59" s="90">
        <v>0.25</v>
      </c>
      <c r="CZ59" s="90">
        <v>0.25</v>
      </c>
      <c r="DA59" s="90">
        <v>0.25</v>
      </c>
      <c r="DD59" s="89">
        <v>0.24130653031088722</v>
      </c>
      <c r="DE59" s="89">
        <v>-1.5672157738170704E-2</v>
      </c>
    </row>
    <row r="60" spans="1:109" s="25" customFormat="1" x14ac:dyDescent="0.2">
      <c r="A60" s="25" t="s">
        <v>22</v>
      </c>
      <c r="B60" s="25">
        <f t="shared" ref="B60:E60" si="507">B57-B58</f>
        <v>-4.6812965389999954</v>
      </c>
      <c r="C60" s="25">
        <f t="shared" si="507"/>
        <v>6.0145298780000145</v>
      </c>
      <c r="D60" s="25">
        <f t="shared" si="507"/>
        <v>0</v>
      </c>
      <c r="E60" s="25">
        <f t="shared" si="507"/>
        <v>0</v>
      </c>
      <c r="F60" s="25">
        <f t="shared" ref="F60:T60" si="508">F57-F58</f>
        <v>0</v>
      </c>
      <c r="G60" s="25">
        <f t="shared" si="508"/>
        <v>0</v>
      </c>
      <c r="H60" s="25">
        <f t="shared" si="508"/>
        <v>0</v>
      </c>
      <c r="I60" s="25">
        <f t="shared" si="508"/>
        <v>0</v>
      </c>
      <c r="J60" s="25">
        <f t="shared" si="508"/>
        <v>0</v>
      </c>
      <c r="K60" s="25">
        <f t="shared" si="508"/>
        <v>0</v>
      </c>
      <c r="L60" s="25">
        <f t="shared" si="508"/>
        <v>0</v>
      </c>
      <c r="M60" s="25">
        <f t="shared" si="508"/>
        <v>0</v>
      </c>
      <c r="N60" s="25">
        <f t="shared" si="508"/>
        <v>0</v>
      </c>
      <c r="O60" s="25">
        <f t="shared" si="508"/>
        <v>0</v>
      </c>
      <c r="P60" s="25">
        <f t="shared" si="508"/>
        <v>0</v>
      </c>
      <c r="Q60" s="25">
        <f t="shared" si="508"/>
        <v>0</v>
      </c>
      <c r="R60" s="25">
        <f t="shared" si="508"/>
        <v>0</v>
      </c>
      <c r="S60" s="25">
        <f t="shared" si="508"/>
        <v>0</v>
      </c>
      <c r="T60" s="25">
        <f t="shared" si="508"/>
        <v>0</v>
      </c>
      <c r="U60" s="25">
        <f t="shared" ref="U60:Z60" si="509">U57-U58</f>
        <v>0</v>
      </c>
      <c r="V60" s="25">
        <f t="shared" si="509"/>
        <v>0</v>
      </c>
      <c r="W60" s="25">
        <f t="shared" si="509"/>
        <v>0</v>
      </c>
      <c r="X60" s="25">
        <f t="shared" si="509"/>
        <v>0</v>
      </c>
      <c r="Y60" s="25">
        <f t="shared" si="509"/>
        <v>21.639199999999978</v>
      </c>
      <c r="Z60" s="25">
        <f t="shared" si="509"/>
        <v>-5.3821000000000145</v>
      </c>
      <c r="AA60" s="25">
        <f t="shared" ref="AA60" si="510">AA57-AA58</f>
        <v>21.722500000000004</v>
      </c>
      <c r="AB60" s="26">
        <f t="shared" ref="AA60:AD60" si="511">AB57-AB58</f>
        <v>52.202005446733104</v>
      </c>
      <c r="AC60" s="26">
        <f t="shared" si="511"/>
        <v>178.49183327344306</v>
      </c>
      <c r="AD60" s="26">
        <f t="shared" si="511"/>
        <v>343.63298537591197</v>
      </c>
      <c r="AE60" s="26">
        <f t="shared" ref="AE60" si="512">AE57-AE58</f>
        <v>546.22675294075555</v>
      </c>
      <c r="AI60" s="25">
        <f>AI57-AI58</f>
        <v>4.4649999999999936</v>
      </c>
      <c r="AJ60" s="25">
        <f t="shared" ref="AJ60" si="513">AJ57-AJ58</f>
        <v>-3.7169999999999908</v>
      </c>
      <c r="AK60" s="25">
        <f t="shared" ref="AK60:AM60" si="514">AK57-AK58</f>
        <v>1.6950000000000043</v>
      </c>
      <c r="AL60" s="25">
        <f t="shared" si="514"/>
        <v>-3.4370000000000163</v>
      </c>
      <c r="AM60" s="25">
        <f t="shared" si="514"/>
        <v>-13.757999999999992</v>
      </c>
      <c r="AN60" s="25">
        <f t="shared" ref="AN60:AO60" si="515">AN57-AN58</f>
        <v>-18.507999999999992</v>
      </c>
      <c r="AO60" s="25">
        <f t="shared" si="515"/>
        <v>11.531000000000011</v>
      </c>
      <c r="AP60" s="25">
        <f t="shared" ref="AP60:CD60" si="516">AP57-AP58</f>
        <v>-1.5760000000000192</v>
      </c>
      <c r="AQ60" s="25">
        <f t="shared" si="516"/>
        <v>-2.636000000000001</v>
      </c>
      <c r="AR60" s="25">
        <f t="shared" si="516"/>
        <v>0.87400000000000166</v>
      </c>
      <c r="AS60" s="25">
        <f t="shared" si="516"/>
        <v>0.11899999999999938</v>
      </c>
      <c r="AT60" s="25">
        <f t="shared" si="516"/>
        <v>5.5529999999999937</v>
      </c>
      <c r="AU60" s="25">
        <f t="shared" si="516"/>
        <v>0.93599999999999972</v>
      </c>
      <c r="AV60" s="25">
        <f t="shared" si="516"/>
        <v>-2.8020000000000009</v>
      </c>
      <c r="AW60" s="25">
        <f t="shared" si="516"/>
        <v>4.2959999999999887</v>
      </c>
      <c r="AX60" s="25">
        <f t="shared" si="516"/>
        <v>-3.6449999999999987</v>
      </c>
      <c r="AY60" s="25">
        <f t="shared" si="516"/>
        <v>-8.3480000000000043</v>
      </c>
      <c r="AZ60" s="25">
        <f t="shared" si="516"/>
        <v>2.1000000000006236E-2</v>
      </c>
      <c r="BA60" s="25">
        <f t="shared" si="516"/>
        <v>9.5400000000000045</v>
      </c>
      <c r="BB60" s="25">
        <f t="shared" si="516"/>
        <v>4.5799999999999939</v>
      </c>
      <c r="BC60" s="25">
        <f t="shared" si="516"/>
        <v>0.19300000000000117</v>
      </c>
      <c r="BD60" s="25">
        <f t="shared" si="516"/>
        <v>4.5229999999999997</v>
      </c>
      <c r="BE60" s="25">
        <f t="shared" si="516"/>
        <v>3.0009999999999999</v>
      </c>
      <c r="BF60" s="25">
        <f t="shared" si="516"/>
        <v>-0.99799999999999289</v>
      </c>
      <c r="BG60" s="25">
        <f t="shared" si="516"/>
        <v>3.3380000000000001</v>
      </c>
      <c r="BH60" s="25">
        <f t="shared" si="516"/>
        <v>10.432</v>
      </c>
      <c r="BI60" s="25">
        <f t="shared" si="516"/>
        <v>15.84999999999998</v>
      </c>
      <c r="BJ60" s="25">
        <f t="shared" si="516"/>
        <v>5.4789999999999939</v>
      </c>
      <c r="BK60" s="25">
        <f t="shared" si="516"/>
        <v>3.7719999999999887</v>
      </c>
      <c r="BL60" s="25">
        <f t="shared" si="516"/>
        <v>9.7959999999999923</v>
      </c>
      <c r="BM60" s="25">
        <f t="shared" si="516"/>
        <v>5.6500000000000128</v>
      </c>
      <c r="BN60" s="25">
        <f t="shared" si="516"/>
        <v>4.5259999999999989</v>
      </c>
      <c r="BO60" s="25">
        <f t="shared" si="516"/>
        <v>-10.097</v>
      </c>
      <c r="BP60" s="25">
        <f t="shared" si="516"/>
        <v>-11.356999999999998</v>
      </c>
      <c r="BQ60" s="25">
        <f t="shared" si="516"/>
        <v>1.3540000000000054</v>
      </c>
      <c r="BR60" s="25">
        <f t="shared" si="516"/>
        <v>-8.960000000000008</v>
      </c>
      <c r="BS60" s="25">
        <f t="shared" si="516"/>
        <v>-1.046999999999993</v>
      </c>
      <c r="BT60" s="25">
        <f t="shared" si="516"/>
        <v>2.1990000000000025</v>
      </c>
      <c r="BU60" s="25">
        <f t="shared" si="516"/>
        <v>5.9429999999999961</v>
      </c>
      <c r="BV60" s="25">
        <f t="shared" si="516"/>
        <v>-2.4539999999999949</v>
      </c>
      <c r="BW60" s="25">
        <f t="shared" si="516"/>
        <v>-5.3449999999999998</v>
      </c>
      <c r="BX60" s="25">
        <f t="shared" si="516"/>
        <v>-2.9460000000000011</v>
      </c>
      <c r="BY60" s="25">
        <f t="shared" si="516"/>
        <v>11.384000000000007</v>
      </c>
      <c r="BZ60" s="25">
        <f t="shared" si="516"/>
        <v>9.7930000000000046</v>
      </c>
      <c r="CA60" s="25">
        <f t="shared" si="516"/>
        <v>4.3369999999999926</v>
      </c>
      <c r="CB60" s="25">
        <f t="shared" si="516"/>
        <v>6.9840000000000106</v>
      </c>
      <c r="CC60" s="25">
        <f t="shared" si="516"/>
        <v>10.319000000000003</v>
      </c>
      <c r="CD60" s="25">
        <f t="shared" si="516"/>
        <v>3.6189999999999811</v>
      </c>
      <c r="CE60" s="25">
        <f t="shared" ref="CE60:CF60" si="517">CE57-CE58</f>
        <v>-2.7000000000006564E-2</v>
      </c>
      <c r="CF60" s="25">
        <f t="shared" si="517"/>
        <v>-7.4969999999999919</v>
      </c>
      <c r="CG60" s="25">
        <f t="shared" ref="CG60:CH60" si="518">CG57-CG58</f>
        <v>-1.474000000000004</v>
      </c>
      <c r="CH60" s="25">
        <f t="shared" si="518"/>
        <v>-2.9140000000000001</v>
      </c>
      <c r="CI60" s="25">
        <f t="shared" ref="CI60:CJ60" si="519">CI57-CI58</f>
        <v>1.7179999999999831</v>
      </c>
      <c r="CJ60" s="25">
        <f t="shared" si="519"/>
        <v>8.9199999999999822</v>
      </c>
      <c r="CK60" s="25">
        <f t="shared" ref="CK60:CL60" si="520">CK57-CK58</f>
        <v>2.4867000000000017</v>
      </c>
      <c r="CL60" s="25">
        <f t="shared" si="520"/>
        <v>4.9690000000000065</v>
      </c>
      <c r="CM60" s="26">
        <f t="shared" ref="CM60:DA60" si="521">CM57-CM58</f>
        <v>-5.239078890217133</v>
      </c>
      <c r="CN60" s="26">
        <f t="shared" si="521"/>
        <v>23.536449997345631</v>
      </c>
      <c r="CO60" s="26">
        <f t="shared" si="521"/>
        <v>28.935634339604455</v>
      </c>
      <c r="CP60" s="26">
        <f t="shared" si="521"/>
        <v>23.517765347354835</v>
      </c>
      <c r="CQ60" s="26">
        <f t="shared" si="521"/>
        <v>26.015730036649511</v>
      </c>
      <c r="CR60" s="26">
        <f t="shared" si="521"/>
        <v>61.623205550389102</v>
      </c>
      <c r="CS60" s="26">
        <f t="shared" si="521"/>
        <v>67.335132339049494</v>
      </c>
      <c r="CT60" s="26">
        <f t="shared" si="521"/>
        <v>60.154000275148846</v>
      </c>
      <c r="CU60" s="26">
        <f t="shared" si="521"/>
        <v>62.287651105603715</v>
      </c>
      <c r="CV60" s="26">
        <f t="shared" si="521"/>
        <v>107.43472899353063</v>
      </c>
      <c r="CW60" s="26">
        <f t="shared" si="521"/>
        <v>113.7566050016284</v>
      </c>
      <c r="CX60" s="26">
        <f t="shared" si="521"/>
        <v>104.63726523352955</v>
      </c>
      <c r="CY60" s="26">
        <f t="shared" si="521"/>
        <v>106.50769318267893</v>
      </c>
      <c r="CZ60" s="26">
        <f t="shared" si="521"/>
        <v>163.91308904222737</v>
      </c>
      <c r="DA60" s="26">
        <f t="shared" si="521"/>
        <v>171.16870548231995</v>
      </c>
      <c r="DD60" s="25">
        <v>1.5670477232883044</v>
      </c>
      <c r="DE60" s="25">
        <v>16.869685587936228</v>
      </c>
    </row>
    <row r="61" spans="1:109" s="44" customFormat="1" x14ac:dyDescent="0.2">
      <c r="A61" s="44" t="s">
        <v>107</v>
      </c>
      <c r="B61" s="44">
        <f t="shared" ref="B61:AE61" si="522">+B60/B29</f>
        <v>-5.5307974869172265E-2</v>
      </c>
      <c r="C61" s="44">
        <f t="shared" si="522"/>
        <v>4.8922412374252176E-2</v>
      </c>
      <c r="D61" s="44" t="e">
        <f t="shared" si="522"/>
        <v>#DIV/0!</v>
      </c>
      <c r="E61" s="44" t="e">
        <f t="shared" si="522"/>
        <v>#DIV/0!</v>
      </c>
      <c r="F61" s="44" t="e">
        <f t="shared" si="522"/>
        <v>#DIV/0!</v>
      </c>
      <c r="G61" s="44" t="e">
        <f t="shared" si="522"/>
        <v>#DIV/0!</v>
      </c>
      <c r="H61" s="44" t="e">
        <f t="shared" si="522"/>
        <v>#DIV/0!</v>
      </c>
      <c r="I61" s="44" t="e">
        <f t="shared" si="522"/>
        <v>#DIV/0!</v>
      </c>
      <c r="J61" s="44" t="e">
        <f t="shared" si="522"/>
        <v>#DIV/0!</v>
      </c>
      <c r="K61" s="44" t="e">
        <f t="shared" si="522"/>
        <v>#DIV/0!</v>
      </c>
      <c r="L61" s="44" t="e">
        <f t="shared" si="522"/>
        <v>#DIV/0!</v>
      </c>
      <c r="M61" s="44" t="e">
        <f t="shared" si="522"/>
        <v>#DIV/0!</v>
      </c>
      <c r="N61" s="44" t="e">
        <f t="shared" si="522"/>
        <v>#DIV/0!</v>
      </c>
      <c r="O61" s="44" t="e">
        <f t="shared" si="522"/>
        <v>#DIV/0!</v>
      </c>
      <c r="P61" s="44" t="e">
        <f t="shared" si="522"/>
        <v>#DIV/0!</v>
      </c>
      <c r="Q61" s="44" t="e">
        <f t="shared" si="522"/>
        <v>#DIV/0!</v>
      </c>
      <c r="R61" s="44" t="e">
        <f t="shared" si="522"/>
        <v>#DIV/0!</v>
      </c>
      <c r="S61" s="44" t="e">
        <f t="shared" si="522"/>
        <v>#DIV/0!</v>
      </c>
      <c r="T61" s="44" t="e">
        <f t="shared" si="522"/>
        <v>#DIV/0!</v>
      </c>
      <c r="U61" s="44" t="e">
        <f t="shared" si="522"/>
        <v>#DIV/0!</v>
      </c>
      <c r="V61" s="44" t="e">
        <f t="shared" si="522"/>
        <v>#DIV/0!</v>
      </c>
      <c r="W61" s="44" t="e">
        <f t="shared" si="522"/>
        <v>#DIV/0!</v>
      </c>
      <c r="X61" s="44" t="e">
        <f t="shared" si="522"/>
        <v>#DIV/0!</v>
      </c>
      <c r="Y61" s="44">
        <f t="shared" si="522"/>
        <v>3.2461349839029825E-2</v>
      </c>
      <c r="Z61" s="44">
        <f t="shared" si="522"/>
        <v>-1.384548499457205E-2</v>
      </c>
      <c r="AA61" s="44">
        <f t="shared" ref="AA61" si="523">+AA60/AA29</f>
        <v>6.0746129417989306E-2</v>
      </c>
      <c r="AB61" s="47">
        <f t="shared" si="522"/>
        <v>3.3195920884454708E-2</v>
      </c>
      <c r="AC61" s="47">
        <f t="shared" si="522"/>
        <v>7.9809896797486235E-2</v>
      </c>
      <c r="AD61" s="47">
        <f t="shared" si="522"/>
        <v>0.11561553511610505</v>
      </c>
      <c r="AE61" s="47">
        <f t="shared" si="522"/>
        <v>0.14510137627797667</v>
      </c>
      <c r="AI61" s="44">
        <f t="shared" ref="AI61:BN61" si="524">+AI60/AI29</f>
        <v>4.8160931938302169E-2</v>
      </c>
      <c r="AJ61" s="44">
        <f t="shared" si="524"/>
        <v>-3.3650190114068355E-2</v>
      </c>
      <c r="AK61" s="44">
        <f t="shared" si="524"/>
        <v>8.7168041470388792E-3</v>
      </c>
      <c r="AL61" s="44">
        <f t="shared" si="524"/>
        <v>-2.5948239415353149E-2</v>
      </c>
      <c r="AM61" s="44">
        <f t="shared" si="524"/>
        <v>-0.13516726433167944</v>
      </c>
      <c r="AN61" s="44">
        <f t="shared" si="524"/>
        <v>-0.1516937275119048</v>
      </c>
      <c r="AO61" s="44">
        <f t="shared" si="524"/>
        <v>9.124214657614467E-2</v>
      </c>
      <c r="AP61" s="44">
        <f t="shared" si="524"/>
        <v>-1.9756057814047604E-2</v>
      </c>
      <c r="AQ61" s="44">
        <f t="shared" si="524"/>
        <v>-5.0585300326232992E-2</v>
      </c>
      <c r="AR61" s="44">
        <f t="shared" si="524"/>
        <v>1.6338891796904242E-2</v>
      </c>
      <c r="AS61" s="44">
        <f t="shared" si="524"/>
        <v>2.1777322304369993E-3</v>
      </c>
      <c r="AT61" s="44">
        <f t="shared" si="524"/>
        <v>9.3978472786352463E-2</v>
      </c>
      <c r="AU61" s="44">
        <f t="shared" si="524"/>
        <v>1.7701458100875613E-2</v>
      </c>
      <c r="AV61" s="44">
        <f t="shared" si="524"/>
        <v>-6.4804107498034155E-2</v>
      </c>
      <c r="AW61" s="44">
        <f t="shared" si="524"/>
        <v>9.3184677454340142E-2</v>
      </c>
      <c r="AX61" s="44">
        <f t="shared" si="524"/>
        <v>-5.7698700394155707E-2</v>
      </c>
      <c r="AY61" s="44">
        <f t="shared" si="524"/>
        <v>-0.32828660191120396</v>
      </c>
      <c r="AZ61" s="44">
        <f t="shared" si="524"/>
        <v>5.6896691863789954E-4</v>
      </c>
      <c r="BA61" s="44">
        <f t="shared" si="524"/>
        <v>0.19174337741689118</v>
      </c>
      <c r="BB61" s="44">
        <f t="shared" si="524"/>
        <v>0.10979264053697697</v>
      </c>
      <c r="BC61" s="44">
        <f t="shared" si="524"/>
        <v>3.6513612198952111E-3</v>
      </c>
      <c r="BD61" s="44">
        <f t="shared" si="524"/>
        <v>7.5540709812108559E-2</v>
      </c>
      <c r="BE61" s="44">
        <f t="shared" si="524"/>
        <v>2.5681400025672839E-2</v>
      </c>
      <c r="BF61" s="44">
        <f t="shared" si="524"/>
        <v>-1.3173352340975896E-2</v>
      </c>
      <c r="BG61" s="44">
        <f t="shared" si="524"/>
        <v>5.8952350676415528E-2</v>
      </c>
      <c r="BH61" s="44">
        <f t="shared" si="524"/>
        <v>0.131597537592088</v>
      </c>
      <c r="BI61" s="44">
        <f t="shared" si="524"/>
        <v>6.6814487572926767E-2</v>
      </c>
      <c r="BJ61" s="44">
        <f t="shared" si="524"/>
        <v>4.4500938101542334E-2</v>
      </c>
      <c r="BK61" s="44">
        <f t="shared" si="524"/>
        <v>3.4986179902424447E-2</v>
      </c>
      <c r="BL61" s="44">
        <f t="shared" si="524"/>
        <v>0.11161243277732194</v>
      </c>
      <c r="BM61" s="44">
        <f t="shared" si="524"/>
        <v>4.9738980394918815E-2</v>
      </c>
      <c r="BN61" s="44">
        <f t="shared" si="524"/>
        <v>7.2949406057089425E-2</v>
      </c>
      <c r="BO61" s="44">
        <f t="shared" ref="BO61:CT61" si="525">+BO60/BO29</f>
        <v>-0.7329945553539019</v>
      </c>
      <c r="BP61" s="44">
        <f t="shared" si="525"/>
        <v>-0.65154035913028496</v>
      </c>
      <c r="BQ61" s="44">
        <f t="shared" si="525"/>
        <v>1.2891677536680397E-2</v>
      </c>
      <c r="BR61" s="44">
        <f t="shared" si="525"/>
        <v>-0.1449275362318842</v>
      </c>
      <c r="BS61" s="44">
        <f t="shared" si="525"/>
        <v>-1.0760423839426039E-2</v>
      </c>
      <c r="BT61" s="44">
        <f t="shared" si="525"/>
        <v>2.3872592656925141E-2</v>
      </c>
      <c r="BU61" s="44">
        <f t="shared" si="525"/>
        <v>4.5676384010575562E-2</v>
      </c>
      <c r="BV61" s="44">
        <f t="shared" si="525"/>
        <v>-3.8793512283031309E-2</v>
      </c>
      <c r="BW61" s="44">
        <f t="shared" si="525"/>
        <v>-0.14273125400555436</v>
      </c>
      <c r="BX61" s="44">
        <f t="shared" si="525"/>
        <v>-6.9001053987586394E-2</v>
      </c>
      <c r="BY61" s="44">
        <f t="shared" si="525"/>
        <v>5.3961557604341986E-2</v>
      </c>
      <c r="BZ61" s="44">
        <f t="shared" si="525"/>
        <v>5.0847897649978741E-2</v>
      </c>
      <c r="CA61" s="44">
        <f t="shared" si="525"/>
        <v>1.9610236932537495E-2</v>
      </c>
      <c r="CB61" s="44">
        <f t="shared" si="525"/>
        <v>3.6457789563801191E-2</v>
      </c>
      <c r="CC61" s="44">
        <f t="shared" si="525"/>
        <v>4.0641504826646406E-2</v>
      </c>
      <c r="CD61" s="44">
        <f t="shared" si="525"/>
        <v>2.4608333786650581E-2</v>
      </c>
      <c r="CE61" s="44">
        <f t="shared" si="525"/>
        <v>-2.8942939530702627E-4</v>
      </c>
      <c r="CF61" s="44">
        <f t="shared" si="525"/>
        <v>-9.8596735799676358E-2</v>
      </c>
      <c r="CG61" s="44">
        <f t="shared" si="525"/>
        <v>-2.037628388559427E-2</v>
      </c>
      <c r="CH61" s="44">
        <f t="shared" si="525"/>
        <v>-1.3191489361702127E-2</v>
      </c>
      <c r="CI61" s="44">
        <f t="shared" si="525"/>
        <v>2.0921113519569195E-2</v>
      </c>
      <c r="CJ61" s="44">
        <f t="shared" si="525"/>
        <v>9.1973933844757716E-2</v>
      </c>
      <c r="CK61" s="44">
        <f t="shared" ref="CK61:CL61" si="526">+CK60/CK29</f>
        <v>1.08869585470746E-2</v>
      </c>
      <c r="CL61" s="44">
        <f t="shared" si="526"/>
        <v>1.4423090877953793E-2</v>
      </c>
      <c r="CM61" s="47">
        <f t="shared" si="525"/>
        <v>-1.7639996263357351E-2</v>
      </c>
      <c r="CN61" s="47">
        <f t="shared" si="525"/>
        <v>5.1550583694385595E-2</v>
      </c>
      <c r="CO61" s="47">
        <f t="shared" si="525"/>
        <v>6.0987000363870489E-2</v>
      </c>
      <c r="CP61" s="47">
        <f t="shared" si="525"/>
        <v>5.0831029840471414E-2</v>
      </c>
      <c r="CQ61" s="47">
        <f t="shared" si="525"/>
        <v>5.5824676257563099E-2</v>
      </c>
      <c r="CR61" s="47">
        <f t="shared" si="525"/>
        <v>9.5149912237661685E-2</v>
      </c>
      <c r="CS61" s="47">
        <f t="shared" si="525"/>
        <v>0.10200315891019661</v>
      </c>
      <c r="CT61" s="47">
        <f t="shared" si="525"/>
        <v>9.4313452592874519E-2</v>
      </c>
      <c r="CU61" s="47">
        <f t="shared" ref="CU61:DA61" si="527">+CU60/CU29</f>
        <v>9.818255614520173E-2</v>
      </c>
      <c r="CV61" s="47">
        <f t="shared" si="527"/>
        <v>0.12705419535526677</v>
      </c>
      <c r="CW61" s="47">
        <f t="shared" si="527"/>
        <v>0.13314107779090875</v>
      </c>
      <c r="CX61" s="47">
        <f t="shared" si="527"/>
        <v>0.12729262099218053</v>
      </c>
      <c r="CY61" s="47">
        <f t="shared" si="527"/>
        <v>0.13103163699420117</v>
      </c>
      <c r="CZ61" s="47">
        <f t="shared" si="527"/>
        <v>0.15440042264244536</v>
      </c>
      <c r="DA61" s="47">
        <f t="shared" si="527"/>
        <v>0.1602736531264515</v>
      </c>
      <c r="DD61" s="44">
        <v>2.9270463296609248E-2</v>
      </c>
      <c r="DE61" s="44">
        <v>6.0265062913405103E-2</v>
      </c>
    </row>
    <row r="62" spans="1:109" s="38" customFormat="1" x14ac:dyDescent="0.2">
      <c r="A62" s="38" t="s">
        <v>450</v>
      </c>
      <c r="C62" s="38">
        <f t="shared" ref="C62:E62" si="528">+IF(B60&lt;0,1-C60/B60,C60/B60-1)</f>
        <v>2.2848000180917447</v>
      </c>
      <c r="D62" s="38">
        <f t="shared" si="528"/>
        <v>-1</v>
      </c>
      <c r="E62" s="38" t="e">
        <f t="shared" si="528"/>
        <v>#DIV/0!</v>
      </c>
      <c r="F62" s="38" t="e">
        <f t="shared" ref="F62:AE62" si="529">+IF(E60&lt;0,1-F60/E60,F60/E60-1)</f>
        <v>#DIV/0!</v>
      </c>
      <c r="G62" s="38" t="e">
        <f t="shared" si="529"/>
        <v>#DIV/0!</v>
      </c>
      <c r="H62" s="38" t="e">
        <f t="shared" si="529"/>
        <v>#DIV/0!</v>
      </c>
      <c r="I62" s="38" t="e">
        <f t="shared" si="529"/>
        <v>#DIV/0!</v>
      </c>
      <c r="J62" s="38" t="e">
        <f t="shared" si="529"/>
        <v>#DIV/0!</v>
      </c>
      <c r="K62" s="38" t="e">
        <f t="shared" si="529"/>
        <v>#DIV/0!</v>
      </c>
      <c r="L62" s="38" t="e">
        <f t="shared" si="529"/>
        <v>#DIV/0!</v>
      </c>
      <c r="M62" s="38" t="e">
        <f t="shared" si="529"/>
        <v>#DIV/0!</v>
      </c>
      <c r="N62" s="38" t="e">
        <f t="shared" si="529"/>
        <v>#DIV/0!</v>
      </c>
      <c r="O62" s="38" t="e">
        <f t="shared" si="529"/>
        <v>#DIV/0!</v>
      </c>
      <c r="P62" s="38" t="e">
        <f t="shared" si="529"/>
        <v>#DIV/0!</v>
      </c>
      <c r="Q62" s="38" t="e">
        <f t="shared" si="529"/>
        <v>#DIV/0!</v>
      </c>
      <c r="R62" s="38" t="e">
        <f t="shared" si="529"/>
        <v>#DIV/0!</v>
      </c>
      <c r="S62" s="38" t="e">
        <f t="shared" si="529"/>
        <v>#DIV/0!</v>
      </c>
      <c r="T62" s="38" t="e">
        <f t="shared" si="529"/>
        <v>#DIV/0!</v>
      </c>
      <c r="U62" s="38" t="e">
        <f t="shared" si="529"/>
        <v>#DIV/0!</v>
      </c>
      <c r="V62" s="38" t="e">
        <f t="shared" si="529"/>
        <v>#DIV/0!</v>
      </c>
      <c r="W62" s="38" t="e">
        <f t="shared" si="529"/>
        <v>#DIV/0!</v>
      </c>
      <c r="X62" s="38" t="e">
        <f t="shared" si="529"/>
        <v>#DIV/0!</v>
      </c>
      <c r="Y62" s="38" t="e">
        <f t="shared" si="529"/>
        <v>#DIV/0!</v>
      </c>
      <c r="Z62" s="38">
        <f t="shared" ref="Z62:AA62" si="530">+IF(Y60&lt;0,1-Z60/Y60,Z60/Y60-1)</f>
        <v>-1.2487199157085298</v>
      </c>
      <c r="AA62" s="38">
        <f t="shared" si="530"/>
        <v>5.0360639898924111</v>
      </c>
      <c r="AB62" s="39">
        <f t="shared" si="529"/>
        <v>1.4031306454935248</v>
      </c>
      <c r="AC62" s="39">
        <f t="shared" si="529"/>
        <v>2.4192524165680958</v>
      </c>
      <c r="AD62" s="39">
        <f t="shared" si="529"/>
        <v>0.92520284583260803</v>
      </c>
      <c r="AE62" s="39">
        <f t="shared" si="529"/>
        <v>0.58956437881892887</v>
      </c>
      <c r="AM62" s="38">
        <f>+IF(AI60&lt;0,1-AM60/AI60,AM60/AI60-1)</f>
        <v>-4.0812989921612566</v>
      </c>
      <c r="AN62" s="38">
        <f t="shared" ref="AN62" si="531">+IF(AJ60&lt;0,1-AN60/AJ60,AN60/AJ60-1)</f>
        <v>-3.9792843691148878</v>
      </c>
      <c r="AO62" s="38">
        <f t="shared" ref="AO62" si="532">+IF(AK60&lt;0,1-AO60/AK60,AO60/AK60-1)</f>
        <v>5.8029498525073642</v>
      </c>
      <c r="AP62" s="38">
        <f t="shared" ref="AP62" si="533">+IF(AL60&lt;0,1-AP60/AL60,AP60/AL60-1)</f>
        <v>0.54146057608379061</v>
      </c>
      <c r="AQ62" s="38">
        <f t="shared" ref="AQ62" si="534">+IF(AM60&lt;0,1-AQ60/AM60,AQ60/AM60-1)</f>
        <v>0.80840238406745146</v>
      </c>
      <c r="AR62" s="38">
        <f t="shared" ref="AR62" si="535">+IF(AN60&lt;0,1-AR60/AN60,AR60/AN60-1)</f>
        <v>1.0472228225632161</v>
      </c>
      <c r="AS62" s="38">
        <f t="shared" ref="AS62" si="536">+IF(AO60&lt;0,1-AS60/AO60,AS60/AO60-1)</f>
        <v>-0.98967999306218024</v>
      </c>
      <c r="AT62" s="38">
        <f t="shared" ref="AT62" si="537">+IF(AP60&lt;0,1-AT60/AP60,AT60/AP60-1)</f>
        <v>4.5234771573603592</v>
      </c>
      <c r="AU62" s="38">
        <f t="shared" ref="AU62" si="538">+IF(AQ60&lt;0,1-AU60/AQ60,AU60/AQ60-1)</f>
        <v>1.3550834597875567</v>
      </c>
      <c r="AV62" s="38">
        <f t="shared" ref="AV62" si="539">+IF(AR60&lt;0,1-AV60/AR60,AV60/AR60-1)</f>
        <v>-4.2059496567505672</v>
      </c>
      <c r="AW62" s="38">
        <f t="shared" ref="AW62" si="540">+IF(AS60&lt;0,1-AW60/AS60,AW60/AS60-1)</f>
        <v>35.100840336134546</v>
      </c>
      <c r="AX62" s="38">
        <f t="shared" ref="AX62" si="541">+IF(AT60&lt;0,1-AX60/AT60,AX60/AT60-1)</f>
        <v>-1.6564019448946521</v>
      </c>
      <c r="AY62" s="38">
        <f t="shared" ref="AY62" si="542">+IF(AU60&lt;0,1-AY60/AU60,AY60/AU60-1)</f>
        <v>-9.9188034188034262</v>
      </c>
      <c r="AZ62" s="38">
        <f t="shared" ref="AZ62" si="543">+IF(AV60&lt;0,1-AZ60/AV60,AZ60/AV60-1)</f>
        <v>1.0074946466809445</v>
      </c>
      <c r="BA62" s="38">
        <f t="shared" ref="BA62" si="544">+IF(AW60&lt;0,1-BA60/AW60,BA60/AW60-1)</f>
        <v>1.2206703910614594</v>
      </c>
      <c r="BB62" s="38">
        <f t="shared" ref="BB62" si="545">+IF(AX60&lt;0,1-BB60/AX60,BB60/AX60-1)</f>
        <v>2.2565157750342921</v>
      </c>
      <c r="BC62" s="38">
        <f t="shared" ref="BC62" si="546">+IF(AY60&lt;0,1-BC60/AY60,BC60/AY60-1)</f>
        <v>1.0231193100143747</v>
      </c>
      <c r="BD62" s="38">
        <f t="shared" ref="BD62" si="547">+IF(AZ60&lt;0,1-BD60/AZ60,BD60/AZ60-1)</f>
        <v>214.3809523808884</v>
      </c>
      <c r="BE62" s="38">
        <f t="shared" ref="BE62" si="548">+IF(BA60&lt;0,1-BE60/BA60,BE60/BA60-1)</f>
        <v>-0.68542976939203371</v>
      </c>
      <c r="BF62" s="38">
        <f t="shared" ref="BF62" si="549">+IF(BB60&lt;0,1-BF60/BB60,BF60/BB60-1)</f>
        <v>-1.2179039301310031</v>
      </c>
      <c r="BG62" s="38">
        <f t="shared" ref="BG62" si="550">+IF(BC60&lt;0,1-BG60/BC60,BG60/BC60-1)</f>
        <v>16.295336787564661</v>
      </c>
      <c r="BH62" s="38">
        <f t="shared" ref="BH62" si="551">+IF(BD60&lt;0,1-BH60/BD60,BH60/BD60-1)</f>
        <v>1.3064337828874644</v>
      </c>
      <c r="BI62" s="38">
        <f t="shared" ref="BI62" si="552">+IF(BE60&lt;0,1-BI60/BE60,BI60/BE60-1)</f>
        <v>4.2815728090636389</v>
      </c>
      <c r="BJ62" s="38">
        <f t="shared" ref="BJ62" si="553">+IF(BF60&lt;0,1-BJ60/BF60,BJ60/BF60-1)</f>
        <v>6.4899799599198724</v>
      </c>
      <c r="BK62" s="38">
        <f t="shared" ref="BK62" si="554">+IF(BG60&lt;0,1-BK60/BG60,BK60/BG60-1)</f>
        <v>0.13001797483522726</v>
      </c>
      <c r="BL62" s="38">
        <f t="shared" ref="BL62" si="555">+IF(BH60&lt;0,1-BL60/BH60,BL60/BH60-1)</f>
        <v>-6.0966257668712442E-2</v>
      </c>
      <c r="BM62" s="38">
        <f t="shared" ref="BM62" si="556">+IF(BI60&lt;0,1-BM60/BI60,BM60/BI60-1)</f>
        <v>-0.64353312302838983</v>
      </c>
      <c r="BN62" s="38">
        <f t="shared" ref="BN62" si="557">+IF(BJ60&lt;0,1-BN60/BJ60,BN60/BJ60-1)</f>
        <v>-0.17393684979010693</v>
      </c>
      <c r="BO62" s="38">
        <f t="shared" ref="BO62" si="558">+IF(BK60&lt;0,1-BO60/BK60,BO60/BK60-1)</f>
        <v>-3.6768292682926909</v>
      </c>
      <c r="BP62" s="38">
        <f t="shared" ref="BP62" si="559">+IF(BL60&lt;0,1-BP60/BL60,BP60/BL60-1)</f>
        <v>-2.1593507554103724</v>
      </c>
      <c r="BQ62" s="38">
        <f t="shared" ref="BQ62" si="560">+IF(BM60&lt;0,1-BQ60/BM60,BQ60/BM60-1)</f>
        <v>-0.76035398230088458</v>
      </c>
      <c r="BR62" s="38">
        <f t="shared" ref="BR62" si="561">+IF(BN60&lt;0,1-BR60/BN60,BR60/BN60-1)</f>
        <v>-2.9796730004418936</v>
      </c>
      <c r="BS62" s="38">
        <f t="shared" ref="BS62" si="562">+IF(BO60&lt;0,1-BS60/BO60,BS60/BO60-1)</f>
        <v>0.89630583341586678</v>
      </c>
      <c r="BT62" s="38">
        <f t="shared" ref="BT62" si="563">+IF(BP60&lt;0,1-BT60/BP60,BT60/BP60-1)</f>
        <v>1.1936250770449945</v>
      </c>
      <c r="BU62" s="38">
        <f t="shared" ref="BU62" si="564">+IF(BQ60&lt;0,1-BU60/BQ60,BU60/BQ60-1)</f>
        <v>3.3892171344165227</v>
      </c>
      <c r="BV62" s="38">
        <f t="shared" ref="BV62" si="565">+IF(BR60&lt;0,1-BV60/BR60,BV60/BR60-1)</f>
        <v>0.72611607142857226</v>
      </c>
      <c r="BW62" s="38">
        <f t="shared" ref="BW62" si="566">+IF(BS60&lt;0,1-BW60/BS60,BW60/BS60-1)</f>
        <v>-4.1050620821394794</v>
      </c>
      <c r="BX62" s="38">
        <f t="shared" ref="BX62" si="567">+IF(BT60&lt;0,1-BX60/BT60,BX60/BT60-1)</f>
        <v>-2.3396998635743511</v>
      </c>
      <c r="BY62" s="38">
        <f t="shared" ref="BY62" si="568">+IF(BU60&lt;0,1-BY60/BU60,BY60/BU60-1)</f>
        <v>0.91553087666162125</v>
      </c>
      <c r="BZ62" s="38">
        <f t="shared" ref="BZ62" si="569">+IF(BV60&lt;0,1-BZ60/BV60,BZ60/BV60-1)</f>
        <v>4.9906275468622763</v>
      </c>
      <c r="CA62" s="38">
        <f t="shared" ref="CA62" si="570">+IF(BW60&lt;0,1-CA60/BW60,CA60/BW60-1)</f>
        <v>1.8114125350795123</v>
      </c>
      <c r="CB62" s="38">
        <f t="shared" ref="CB62" si="571">+IF(BX60&lt;0,1-CB60/BX60,CB60/BX60-1)</f>
        <v>3.3706720977596767</v>
      </c>
      <c r="CC62" s="38">
        <f t="shared" ref="CC62" si="572">+IF(BY60&lt;0,1-CC60/BY60,CC60/BY60-1)</f>
        <v>-9.3552354181307473E-2</v>
      </c>
      <c r="CD62" s="38">
        <f t="shared" ref="CD62" si="573">+IF(BZ60&lt;0,1-CD60/BZ60,CD60/BZ60-1)</f>
        <v>-0.63045032165832948</v>
      </c>
      <c r="CE62" s="38">
        <f t="shared" ref="CE62" si="574">+IF(CA60&lt;0,1-CE60/CA60,CE60/CA60-1)</f>
        <v>-1.0062255014987334</v>
      </c>
      <c r="CF62" s="38">
        <f t="shared" ref="CF62" si="575">+IF(CB60&lt;0,1-CF60/CB60,CF60/CB60-1)</f>
        <v>-2.0734536082474202</v>
      </c>
      <c r="CG62" s="38">
        <f t="shared" ref="CG62" si="576">+IF(CC60&lt;0,1-CG60/CC60,CG60/CC60-1)</f>
        <v>-1.1428432987692609</v>
      </c>
      <c r="CH62" s="38">
        <f t="shared" ref="CH62:CL62" si="577">+IF(CD60&lt;0,1-CH60/CD60,CH60/CD60-1)</f>
        <v>-1.8051948051948095</v>
      </c>
      <c r="CI62" s="38">
        <f t="shared" si="577"/>
        <v>64.629629629613532</v>
      </c>
      <c r="CJ62" s="38">
        <f t="shared" si="577"/>
        <v>2.1898092570361465</v>
      </c>
      <c r="CK62" s="38">
        <f t="shared" si="577"/>
        <v>2.6870420624151934</v>
      </c>
      <c r="CL62" s="38">
        <f t="shared" si="577"/>
        <v>2.7052161976664397</v>
      </c>
      <c r="CM62" s="39">
        <f t="shared" ref="CM62" si="578">+CM60/CI60-1</f>
        <v>-4.0495220548412014</v>
      </c>
      <c r="CN62" s="39">
        <f t="shared" ref="CN62" si="579">+CN60/CJ60-1</f>
        <v>1.6386154705544485</v>
      </c>
      <c r="CO62" s="39">
        <f t="shared" ref="CO62" si="580">+CO60/CK60-1</f>
        <v>10.636158096917375</v>
      </c>
      <c r="CP62" s="39">
        <f t="shared" ref="CP62" si="581">+CP60/CL60-1</f>
        <v>3.7328970310635547</v>
      </c>
      <c r="CQ62" s="39">
        <f t="shared" ref="CQ62" si="582">+CQ60/CM60-1</f>
        <v>-5.9657068698141504</v>
      </c>
      <c r="CR62" s="39">
        <f t="shared" ref="CR62" si="583">+CR60/CN60-1</f>
        <v>1.6182030661947224</v>
      </c>
      <c r="CS62" s="39">
        <f t="shared" ref="CS62" si="584">+CS60/CO60-1</f>
        <v>1.3270660511108034</v>
      </c>
      <c r="CT62" s="39">
        <f t="shared" ref="CT62" si="585">+CT60/CP60-1</f>
        <v>1.5578110584352216</v>
      </c>
      <c r="CU62" s="39">
        <f t="shared" ref="CU62" si="586">+CU60/CQ60-1</f>
        <v>1.3942303759247325</v>
      </c>
      <c r="CV62" s="39">
        <f t="shared" ref="CV62" si="587">+CV60/CR60-1</f>
        <v>0.74341350849854093</v>
      </c>
      <c r="CW62" s="39">
        <f t="shared" ref="CW62" si="588">+CW60/CS60-1</f>
        <v>0.68940939224467557</v>
      </c>
      <c r="CX62" s="39">
        <f t="shared" ref="CX62" si="589">+CX60/CT60-1</f>
        <v>0.73948972229462639</v>
      </c>
      <c r="CY62" s="39">
        <f t="shared" ref="CY62" si="590">+CY60/CU60-1</f>
        <v>0.709932728111768</v>
      </c>
      <c r="CZ62" s="39">
        <f t="shared" ref="CZ62" si="591">+CZ60/CV60-1</f>
        <v>0.52569928344211392</v>
      </c>
      <c r="DA62" s="39">
        <f t="shared" ref="DA62" si="592">+DA60/CW60-1</f>
        <v>0.50469245702146015</v>
      </c>
      <c r="DD62" s="38">
        <v>2.0631259995171645</v>
      </c>
      <c r="DE62" s="38">
        <v>6.7891851708772224</v>
      </c>
    </row>
    <row r="63" spans="1:109" s="38" customFormat="1" x14ac:dyDescent="0.2">
      <c r="A63" s="38" t="s">
        <v>451</v>
      </c>
      <c r="AB63" s="39"/>
      <c r="AC63" s="39"/>
      <c r="AD63" s="39"/>
      <c r="AE63" s="39"/>
      <c r="AJ63" s="38">
        <f>+IF(AI60&lt;0,1-AJ60/AI60,AJ60/AI60-1)</f>
        <v>-1.8324748040313541</v>
      </c>
      <c r="AK63" s="38">
        <f t="shared" ref="AK63:AM63" si="593">+IF(AJ60&lt;0,1-AK60/AJ60,AK60/AJ60-1)</f>
        <v>1.4560129136400346</v>
      </c>
      <c r="AL63" s="38">
        <f t="shared" si="593"/>
        <v>-3.0277286135693262</v>
      </c>
      <c r="AM63" s="38">
        <f t="shared" si="593"/>
        <v>-3.0029095141111224</v>
      </c>
      <c r="AN63" s="38">
        <f t="shared" ref="AN63" si="594">+IF(AM60&lt;0,1-AN60/AM60,AN60/AM60-1)</f>
        <v>-0.34525367059165601</v>
      </c>
      <c r="AO63" s="38">
        <f t="shared" ref="AO63" si="595">+IF(AN60&lt;0,1-AO60/AN60,AO60/AN60-1)</f>
        <v>1.6230278798357476</v>
      </c>
      <c r="AP63" s="38">
        <f t="shared" ref="AP63" si="596">+IF(AO60&lt;0,1-AP60/AO60,AP60/AO60-1)</f>
        <v>-1.1366750498655813</v>
      </c>
      <c r="AQ63" s="38">
        <f t="shared" ref="AQ63" si="597">+IF(AP60&lt;0,1-AQ60/AP60,AQ60/AP60-1)</f>
        <v>-0.67258883248728996</v>
      </c>
      <c r="AR63" s="38">
        <f t="shared" ref="AR63" si="598">+IF(AQ60&lt;0,1-AR60/AQ60,AR60/AQ60-1)</f>
        <v>1.3315629742033388</v>
      </c>
      <c r="AS63" s="38">
        <f t="shared" ref="AS63" si="599">+IF(AR60&lt;0,1-AS60/AR60,AS60/AR60-1)</f>
        <v>-0.86384439359267828</v>
      </c>
      <c r="AT63" s="38">
        <f t="shared" ref="AT63" si="600">+IF(AS60&lt;0,1-AT60/AS60,AT60/AS60-1)</f>
        <v>45.663865546218673</v>
      </c>
      <c r="AU63" s="38">
        <f t="shared" ref="AU63" si="601">+IF(AT60&lt;0,1-AU60/AT60,AU60/AT60-1)</f>
        <v>-0.83144246353322515</v>
      </c>
      <c r="AV63" s="38">
        <f t="shared" ref="AV63" si="602">+IF(AU60&lt;0,1-AV60/AU60,AV60/AU60-1)</f>
        <v>-3.9935897435897454</v>
      </c>
      <c r="AW63" s="38">
        <f t="shared" ref="AW63" si="603">+IF(AV60&lt;0,1-AW60/AV60,AW60/AV60-1)</f>
        <v>2.5331905781584538</v>
      </c>
      <c r="AX63" s="38">
        <f t="shared" ref="AX63" si="604">+IF(AW60&lt;0,1-AX60/AW60,AX60/AW60-1)</f>
        <v>-1.84846368715084</v>
      </c>
      <c r="AY63" s="38">
        <f t="shared" ref="AY63" si="605">+IF(AX60&lt;0,1-AY60/AX60,AY60/AX60-1)</f>
        <v>-1.2902606310013738</v>
      </c>
      <c r="AZ63" s="38">
        <f t="shared" ref="AZ63" si="606">+IF(AY60&lt;0,1-AZ60/AY60,AZ60/AY60-1)</f>
        <v>1.0025155725922383</v>
      </c>
      <c r="BA63" s="38">
        <f t="shared" ref="BA63" si="607">+IF(AZ60&lt;0,1-BA60/AZ60,BA60/AZ60-1)</f>
        <v>453.28571428557962</v>
      </c>
      <c r="BB63" s="38">
        <f t="shared" ref="BB63" si="608">+IF(BA60&lt;0,1-BB60/BA60,BB60/BA60-1)</f>
        <v>-0.51991614255765284</v>
      </c>
      <c r="BC63" s="38">
        <f t="shared" ref="BC63" si="609">+IF(BB60&lt;0,1-BC60/BB60,BC60/BB60-1)</f>
        <v>-0.95786026200873331</v>
      </c>
      <c r="BD63" s="38">
        <f t="shared" ref="BD63" si="610">+IF(BC60&lt;0,1-BD60/BC60,BD60/BC60-1)</f>
        <v>22.435233160621618</v>
      </c>
      <c r="BE63" s="38">
        <f t="shared" ref="BE63" si="611">+IF(BD60&lt;0,1-BE60/BD60,BE60/BD60-1)</f>
        <v>-0.33650232146805215</v>
      </c>
      <c r="BF63" s="38">
        <f t="shared" ref="BF63" si="612">+IF(BE60&lt;0,1-BF60/BE60,BF60/BE60-1)</f>
        <v>-1.3325558147284216</v>
      </c>
      <c r="BG63" s="38">
        <f t="shared" ref="BG63" si="613">+IF(BF60&lt;0,1-BG60/BF60,BG60/BF60-1)</f>
        <v>4.3446893787575389</v>
      </c>
      <c r="BH63" s="38">
        <f t="shared" ref="BH63" si="614">+IF(BG60&lt;0,1-BH60/BG60,BH60/BG60-1)</f>
        <v>2.1252246854403833</v>
      </c>
      <c r="BI63" s="38">
        <f t="shared" ref="BI63" si="615">+IF(BH60&lt;0,1-BI60/BH60,BI60/BH60-1)</f>
        <v>0.51936349693251338</v>
      </c>
      <c r="BJ63" s="38">
        <f t="shared" ref="BJ63" si="616">+IF(BI60&lt;0,1-BJ60/BI60,BJ60/BI60-1)</f>
        <v>-0.6543217665615142</v>
      </c>
      <c r="BK63" s="38">
        <f t="shared" ref="BK63" si="617">+IF(BJ60&lt;0,1-BK60/BJ60,BK60/BJ60-1)</f>
        <v>-0.31155320313926027</v>
      </c>
      <c r="BL63" s="38">
        <f t="shared" ref="BL63" si="618">+IF(BK60&lt;0,1-BL60/BK60,BL60/BK60-1)</f>
        <v>1.5970307529162304</v>
      </c>
      <c r="BM63" s="38">
        <f t="shared" ref="BM63" si="619">+IF(BL60&lt;0,1-BM60/BL60,BM60/BL60-1)</f>
        <v>-0.42323397305022281</v>
      </c>
      <c r="BN63" s="38">
        <f t="shared" ref="BN63" si="620">+IF(BM60&lt;0,1-BN60/BM60,BN60/BM60-1)</f>
        <v>-0.19893805309734713</v>
      </c>
      <c r="BO63" s="38">
        <f t="shared" ref="BO63" si="621">+IF(BN60&lt;0,1-BO60/BN60,BO60/BN60-1)</f>
        <v>-3.2308882015024309</v>
      </c>
      <c r="BP63" s="38">
        <f t="shared" ref="BP63" si="622">+IF(BO60&lt;0,1-BP60/BO60,BP60/BO60-1)</f>
        <v>-0.12478954144795473</v>
      </c>
      <c r="BQ63" s="38">
        <f t="shared" ref="BQ63" si="623">+IF(BP60&lt;0,1-BQ60/BP60,BQ60/BP60-1)</f>
        <v>1.1192216254292511</v>
      </c>
      <c r="BR63" s="38">
        <f t="shared" ref="BR63" si="624">+IF(BQ60&lt;0,1-BR60/BQ60,BR60/BQ60-1)</f>
        <v>-7.6174298375184435</v>
      </c>
      <c r="BS63" s="38">
        <f t="shared" ref="BS63" si="625">+IF(BR60&lt;0,1-BS60/BR60,BS60/BR60-1)</f>
        <v>0.88314732142857233</v>
      </c>
      <c r="BT63" s="38">
        <f t="shared" ref="BT63" si="626">+IF(BS60&lt;0,1-BT60/BS60,BT60/BS60-1)</f>
        <v>3.1002865329513059</v>
      </c>
      <c r="BU63" s="38">
        <f t="shared" ref="BU63" si="627">+IF(BT60&lt;0,1-BU60/BT60,BU60/BT60-1)</f>
        <v>1.7025920873124099</v>
      </c>
      <c r="BV63" s="38">
        <f t="shared" ref="BV63" si="628">+IF(BU60&lt;0,1-BV60/BU60,BV60/BU60-1)</f>
        <v>-1.4129227662796562</v>
      </c>
      <c r="BW63" s="38">
        <f t="shared" ref="BW63" si="629">+IF(BV60&lt;0,1-BW60/BV60,BW60/BV60-1)</f>
        <v>-1.1780766096169564</v>
      </c>
      <c r="BX63" s="38">
        <f t="shared" ref="BX63" si="630">+IF(BW60&lt;0,1-BX60/BW60,BX60/BW60-1)</f>
        <v>0.44883068288119721</v>
      </c>
      <c r="BY63" s="38">
        <f t="shared" ref="BY63" si="631">+IF(BX60&lt;0,1-BY60/BX60,BY60/BX60-1)</f>
        <v>4.8642226748133073</v>
      </c>
      <c r="BZ63" s="38">
        <f t="shared" ref="BZ63" si="632">+IF(BY60&lt;0,1-BZ60/BY60,BZ60/BY60-1)</f>
        <v>-0.13975755446240357</v>
      </c>
      <c r="CA63" s="38">
        <f t="shared" ref="CA63" si="633">+IF(BZ60&lt;0,1-CA60/BZ60,CA60/BZ60-1)</f>
        <v>-0.55713264576738575</v>
      </c>
      <c r="CB63" s="38">
        <f t="shared" ref="CB63" si="634">+IF(CA60&lt;0,1-CB60/CA60,CB60/CA60-1)</f>
        <v>0.61032972100530847</v>
      </c>
      <c r="CC63" s="38">
        <f t="shared" ref="CC63" si="635">+IF(CB60&lt;0,1-CC60/CB60,CC60/CB60-1)</f>
        <v>0.47752004581901297</v>
      </c>
      <c r="CD63" s="38">
        <f t="shared" ref="CD63" si="636">+IF(CC60&lt;0,1-CD60/CC60,CD60/CC60-1)</f>
        <v>-0.64928772167845916</v>
      </c>
      <c r="CE63" s="38">
        <f t="shared" ref="CE63" si="637">+IF(CD60&lt;0,1-CE60/CD60,CE60/CD60-1)</f>
        <v>-1.0074606244819029</v>
      </c>
      <c r="CF63" s="38">
        <f t="shared" ref="CF63" si="638">+IF(CE60&lt;0,1-CF60/CE60,CF60/CE60-1)</f>
        <v>-276.66666666659887</v>
      </c>
      <c r="CG63" s="38">
        <f t="shared" ref="CG63" si="639">+IF(CF60&lt;0,1-CG60/CF60,CG60/CF60-1)</f>
        <v>0.80338802187541614</v>
      </c>
      <c r="CH63" s="38">
        <f t="shared" ref="CH63:CL63" si="640">+IF(CG60&lt;0,1-CH60/CG60,CH60/CG60-1)</f>
        <v>-0.97693351424694175</v>
      </c>
      <c r="CI63" s="38">
        <f t="shared" si="640"/>
        <v>1.5895676046671183</v>
      </c>
      <c r="CJ63" s="38">
        <f t="shared" si="640"/>
        <v>4.1920838183935212</v>
      </c>
      <c r="CK63" s="38">
        <f t="shared" si="640"/>
        <v>-0.72122197309416958</v>
      </c>
      <c r="CL63" s="38">
        <f t="shared" si="640"/>
        <v>0.99823058672135878</v>
      </c>
      <c r="CM63" s="39">
        <f t="shared" ref="CM63" si="641">+CM60/CL60-1</f>
        <v>-2.0543527651875886</v>
      </c>
      <c r="CN63" s="39">
        <f t="shared" ref="CN63" si="642">+CN60/CM60-1</f>
        <v>-5.492478638047416</v>
      </c>
      <c r="CO63" s="39">
        <f t="shared" ref="CO63" si="643">+CO60/CN60-1</f>
        <v>0.2293967162791215</v>
      </c>
      <c r="CP63" s="39">
        <f t="shared" ref="CP63" si="644">+CP60/CO60-1</f>
        <v>-0.18723864590845118</v>
      </c>
      <c r="CQ63" s="39">
        <f t="shared" ref="CQ63" si="645">+CQ60/CP60-1</f>
        <v>0.10621607335561056</v>
      </c>
      <c r="CR63" s="39">
        <f t="shared" ref="CR63" si="646">+CR60/CQ60-1</f>
        <v>1.3686902294718526</v>
      </c>
      <c r="CS63" s="39">
        <f t="shared" ref="CS63" si="647">+CS60/CR60-1</f>
        <v>9.2691166219676324E-2</v>
      </c>
      <c r="CT63" s="39">
        <f t="shared" ref="CT63" si="648">+CT60/CS60-1</f>
        <v>-0.10664762679520434</v>
      </c>
      <c r="CU63" s="39">
        <f t="shared" ref="CU63" si="649">+CU60/CT60-1</f>
        <v>3.5469807838138578E-2</v>
      </c>
      <c r="CV63" s="39">
        <f t="shared" ref="CV63" si="650">+CV60/CU60-1</f>
        <v>0.72481586777744544</v>
      </c>
      <c r="CW63" s="39">
        <f t="shared" ref="CW63" si="651">+CW60/CV60-1</f>
        <v>5.8843877276206102E-2</v>
      </c>
      <c r="CX63" s="39">
        <f t="shared" ref="CX63" si="652">+CX60/CW60-1</f>
        <v>-8.0165365061380944E-2</v>
      </c>
      <c r="CY63" s="39">
        <f t="shared" ref="CY63" si="653">+CY60/CX60-1</f>
        <v>1.7875352007479917E-2</v>
      </c>
      <c r="CZ63" s="39">
        <f t="shared" ref="CZ63" si="654">+CZ60/CY60-1</f>
        <v>0.53897886757427327</v>
      </c>
      <c r="DA63" s="39">
        <f t="shared" ref="DA63" si="655">+DA60/CZ60-1</f>
        <v>4.4265021680016003E-2</v>
      </c>
      <c r="DD63" s="38">
        <v>-0.82432200411566059</v>
      </c>
      <c r="DE63" s="38">
        <v>0.42600892543839541</v>
      </c>
    </row>
    <row r="64" spans="1:109" s="74" customFormat="1" x14ac:dyDescent="0.2">
      <c r="A64" s="22" t="s">
        <v>23</v>
      </c>
      <c r="B64" s="74">
        <f>'Annual Raw'!C32</f>
        <v>0</v>
      </c>
      <c r="C64" s="74">
        <f>'Annual Raw'!D32</f>
        <v>0</v>
      </c>
      <c r="D64" s="74">
        <f>'Annual Raw'!E32</f>
        <v>0</v>
      </c>
      <c r="E64" s="74">
        <f>'Annual Raw'!F32</f>
        <v>0</v>
      </c>
      <c r="F64" s="74">
        <f>'Annual Raw'!G32</f>
        <v>0</v>
      </c>
      <c r="G64" s="74">
        <f>'Annual Raw'!H32</f>
        <v>0</v>
      </c>
      <c r="H64" s="74">
        <f>'Annual Raw'!I32</f>
        <v>0</v>
      </c>
      <c r="I64" s="74">
        <f>'Annual Raw'!J32</f>
        <v>0</v>
      </c>
      <c r="J64" s="74">
        <f>'Annual Raw'!K32</f>
        <v>0</v>
      </c>
      <c r="K64" s="74">
        <f>'Annual Raw'!L32</f>
        <v>0</v>
      </c>
      <c r="L64" s="74">
        <f>'Annual Raw'!M32</f>
        <v>0</v>
      </c>
      <c r="M64" s="74">
        <f>'Annual Raw'!N32</f>
        <v>0</v>
      </c>
      <c r="N64" s="74">
        <f>'Annual Raw'!O32</f>
        <v>0</v>
      </c>
      <c r="O64" s="74">
        <f>'Annual Raw'!P32</f>
        <v>0</v>
      </c>
      <c r="P64" s="74">
        <f>'Annual Raw'!Q32</f>
        <v>0</v>
      </c>
      <c r="Q64" s="74">
        <f>'Annual Raw'!R32</f>
        <v>0</v>
      </c>
      <c r="R64" s="74">
        <f>'Annual Raw'!S32</f>
        <v>0</v>
      </c>
      <c r="S64" s="74">
        <f>'Annual Raw'!T32</f>
        <v>0</v>
      </c>
      <c r="T64" s="74">
        <f>'Annual Raw'!U32</f>
        <v>0</v>
      </c>
      <c r="U64" s="74">
        <f>'Annual Raw'!V32</f>
        <v>0</v>
      </c>
      <c r="V64" s="74">
        <f>'Annual Raw'!W32</f>
        <v>0</v>
      </c>
      <c r="W64" s="74">
        <f>'Annual Raw'!X32</f>
        <v>0</v>
      </c>
      <c r="X64" s="74">
        <f>'Annual Raw'!Y32</f>
        <v>0</v>
      </c>
      <c r="Y64" s="74">
        <f>'Annual Raw'!Z32</f>
        <v>0</v>
      </c>
      <c r="Z64" s="74">
        <f>'Annual Raw'!AA32</f>
        <v>0</v>
      </c>
      <c r="AA64" s="74">
        <f>'Annual Raw'!AB32</f>
        <v>0</v>
      </c>
      <c r="AB64" s="75">
        <f t="shared" ref="AB64:AB66" si="656">+SUM(CL64:CO64)</f>
        <v>0</v>
      </c>
      <c r="AC64" s="75">
        <f t="shared" ref="AC64:AC66" si="657">+SUM(CP64:CS64)</f>
        <v>0</v>
      </c>
      <c r="AD64" s="75">
        <f t="shared" ref="AD64:AD66" si="658">+SUM(CT64:CW64)</f>
        <v>0</v>
      </c>
      <c r="AE64" s="75">
        <f t="shared" ref="AE64:AE66" si="659">+SUM(CX64:DA64)</f>
        <v>0</v>
      </c>
      <c r="AI64" s="74">
        <f>'QTR Raw'!C34</f>
        <v>0</v>
      </c>
      <c r="AJ64" s="74">
        <f>'QTR Raw'!D34</f>
        <v>0</v>
      </c>
      <c r="AK64" s="74">
        <f>'QTR Raw'!E34</f>
        <v>0</v>
      </c>
      <c r="AL64" s="74">
        <f>'QTR Raw'!F34</f>
        <v>0</v>
      </c>
      <c r="AM64" s="74">
        <f>'QTR Raw'!G34</f>
        <v>0</v>
      </c>
      <c r="AN64" s="74">
        <f>'QTR Raw'!H34</f>
        <v>0</v>
      </c>
      <c r="AO64" s="74">
        <f>'QTR Raw'!I34</f>
        <v>0</v>
      </c>
      <c r="AP64" s="74">
        <f>'QTR Raw'!J34</f>
        <v>0</v>
      </c>
      <c r="AQ64" s="74">
        <f>'QTR Raw'!K34</f>
        <v>0</v>
      </c>
      <c r="AR64" s="74">
        <f>'QTR Raw'!L34</f>
        <v>0</v>
      </c>
      <c r="AS64" s="74">
        <f>'QTR Raw'!M34</f>
        <v>0</v>
      </c>
      <c r="AT64" s="74">
        <f>'QTR Raw'!N34</f>
        <v>0</v>
      </c>
      <c r="AU64" s="74">
        <f>'QTR Raw'!O34</f>
        <v>0</v>
      </c>
      <c r="AV64" s="74">
        <f>'QTR Raw'!P34</f>
        <v>0</v>
      </c>
      <c r="AW64" s="74">
        <f>'QTR Raw'!Q34</f>
        <v>0</v>
      </c>
      <c r="AX64" s="74">
        <f>'QTR Raw'!R34</f>
        <v>0</v>
      </c>
      <c r="AY64" s="74">
        <f>'QTR Raw'!S34</f>
        <v>0</v>
      </c>
      <c r="AZ64" s="74">
        <f>'QTR Raw'!T34</f>
        <v>0</v>
      </c>
      <c r="BA64" s="74">
        <f>'QTR Raw'!U34</f>
        <v>0</v>
      </c>
      <c r="BB64" s="74">
        <f>'QTR Raw'!V34</f>
        <v>0</v>
      </c>
      <c r="BC64" s="74">
        <f>'QTR Raw'!W34</f>
        <v>0</v>
      </c>
      <c r="BD64" s="74">
        <f>'QTR Raw'!X34</f>
        <v>0</v>
      </c>
      <c r="BE64" s="74">
        <f>'QTR Raw'!Y34</f>
        <v>0</v>
      </c>
      <c r="BF64" s="74">
        <f>'QTR Raw'!Z34</f>
        <v>0</v>
      </c>
      <c r="BG64" s="74">
        <f>'QTR Raw'!AA34</f>
        <v>0</v>
      </c>
      <c r="BH64" s="74">
        <f>'QTR Raw'!AB34</f>
        <v>0</v>
      </c>
      <c r="BI64" s="74">
        <f>'QTR Raw'!AC34</f>
        <v>0</v>
      </c>
      <c r="BJ64" s="74">
        <f>'QTR Raw'!AD34</f>
        <v>0</v>
      </c>
      <c r="BK64" s="74">
        <f>'QTR Raw'!AE34</f>
        <v>0</v>
      </c>
      <c r="BL64" s="74">
        <f>'QTR Raw'!AF34</f>
        <v>0</v>
      </c>
      <c r="BM64" s="74">
        <f>'QTR Raw'!AG34</f>
        <v>0</v>
      </c>
      <c r="BN64" s="74">
        <f>'QTR Raw'!AH34</f>
        <v>0</v>
      </c>
      <c r="BO64" s="74">
        <f>'QTR Raw'!AI34</f>
        <v>0</v>
      </c>
      <c r="BP64" s="74">
        <f>'QTR Raw'!AJ34</f>
        <v>0</v>
      </c>
      <c r="BQ64" s="74">
        <f>'QTR Raw'!AK34</f>
        <v>0</v>
      </c>
      <c r="BR64" s="74">
        <f>'QTR Raw'!AL34</f>
        <v>0</v>
      </c>
      <c r="BS64" s="74">
        <f>'QTR Raw'!AM34</f>
        <v>0</v>
      </c>
      <c r="BT64" s="74">
        <f>'QTR Raw'!AN34</f>
        <v>0</v>
      </c>
      <c r="BU64" s="74">
        <f>'QTR Raw'!AO34</f>
        <v>0</v>
      </c>
      <c r="BV64" s="74">
        <f>'QTR Raw'!AP34</f>
        <v>0</v>
      </c>
      <c r="BW64" s="74">
        <f>'QTR Raw'!AQ34</f>
        <v>0</v>
      </c>
      <c r="BX64" s="74">
        <f>'QTR Raw'!AR34</f>
        <v>0</v>
      </c>
      <c r="BY64" s="74">
        <f>'QTR Raw'!AS34</f>
        <v>0</v>
      </c>
      <c r="BZ64" s="74">
        <f>'QTR Raw'!AT34</f>
        <v>0</v>
      </c>
      <c r="CA64" s="74">
        <f>'QTR Raw'!AU34</f>
        <v>0</v>
      </c>
      <c r="CB64" s="74">
        <f>'QTR Raw'!AV34</f>
        <v>0</v>
      </c>
      <c r="CC64" s="74">
        <f>'QTR Raw'!AW34</f>
        <v>0</v>
      </c>
      <c r="CD64" s="74">
        <f>'QTR Raw'!AX34</f>
        <v>0</v>
      </c>
      <c r="CE64" s="74">
        <f>'QTR Raw'!AY34</f>
        <v>0</v>
      </c>
      <c r="CF64" s="74">
        <f>'QTR Raw'!AZ34</f>
        <v>0</v>
      </c>
      <c r="CG64" s="74">
        <f>'QTR Raw'!BA34</f>
        <v>0</v>
      </c>
      <c r="CH64" s="74">
        <f>'QTR Raw'!BB34</f>
        <v>0</v>
      </c>
      <c r="CI64" s="74">
        <f>'QTR Raw'!BC34</f>
        <v>0</v>
      </c>
      <c r="CJ64" s="74">
        <f>'QTR Raw'!BD34</f>
        <v>0</v>
      </c>
      <c r="CK64" s="74">
        <f>'QTR Raw'!BE34</f>
        <v>0</v>
      </c>
      <c r="CL64" s="74">
        <f>'QTR Raw'!BF34</f>
        <v>0</v>
      </c>
      <c r="CM64" s="75">
        <f t="shared" ref="CM64:CM65" si="660">+CL64</f>
        <v>0</v>
      </c>
      <c r="CN64" s="75">
        <f t="shared" ref="CN64:CN65" si="661">+CM64</f>
        <v>0</v>
      </c>
      <c r="CO64" s="75">
        <f t="shared" ref="CO64:CO65" si="662">+CN64</f>
        <v>0</v>
      </c>
      <c r="CP64" s="75">
        <f t="shared" ref="CP64:CP65" si="663">+CO64</f>
        <v>0</v>
      </c>
      <c r="CQ64" s="75">
        <f t="shared" ref="CQ64:CQ65" si="664">+CP64</f>
        <v>0</v>
      </c>
      <c r="CR64" s="75">
        <f t="shared" ref="CR64:CR65" si="665">+CQ64</f>
        <v>0</v>
      </c>
      <c r="CS64" s="75">
        <f t="shared" ref="CS64:CS65" si="666">+CR64</f>
        <v>0</v>
      </c>
      <c r="CT64" s="75">
        <f t="shared" ref="CT64:CT65" si="667">+CS64</f>
        <v>0</v>
      </c>
      <c r="CU64" s="75">
        <f t="shared" ref="CU64:CU65" si="668">+CT64</f>
        <v>0</v>
      </c>
      <c r="CV64" s="75">
        <f t="shared" ref="CV64:CV65" si="669">+CU64</f>
        <v>0</v>
      </c>
      <c r="CW64" s="75">
        <f t="shared" ref="CW64:CW65" si="670">+CV64</f>
        <v>0</v>
      </c>
      <c r="CX64" s="75">
        <f t="shared" ref="CX64:CX65" si="671">+CW64</f>
        <v>0</v>
      </c>
      <c r="CY64" s="75">
        <f t="shared" ref="CY64:CY65" si="672">+CX64</f>
        <v>0</v>
      </c>
      <c r="CZ64" s="75">
        <f t="shared" ref="CZ64:CZ65" si="673">+CY64</f>
        <v>0</v>
      </c>
      <c r="DA64" s="75">
        <f t="shared" ref="DA64:DA65" si="674">+CZ64</f>
        <v>0</v>
      </c>
      <c r="DD64" s="74">
        <v>0</v>
      </c>
      <c r="DE64" s="74">
        <v>0</v>
      </c>
    </row>
    <row r="65" spans="1:109" s="74" customFormat="1" x14ac:dyDescent="0.2">
      <c r="A65" s="22" t="s">
        <v>24</v>
      </c>
      <c r="B65" s="74">
        <f>'Annual Raw'!C33+'Annual Raw'!C28</f>
        <v>0</v>
      </c>
      <c r="C65" s="74">
        <f>'Annual Raw'!D33+'Annual Raw'!D28</f>
        <v>0</v>
      </c>
      <c r="D65" s="74">
        <f>'Annual Raw'!E33+'Annual Raw'!E28</f>
        <v>0</v>
      </c>
      <c r="E65" s="74">
        <f>'Annual Raw'!F33+'Annual Raw'!F28</f>
        <v>0</v>
      </c>
      <c r="F65" s="74">
        <f>'Annual Raw'!G33+'Annual Raw'!G28</f>
        <v>0</v>
      </c>
      <c r="G65" s="74">
        <f>'Annual Raw'!H33+'Annual Raw'!H28</f>
        <v>0</v>
      </c>
      <c r="H65" s="74">
        <f>'Annual Raw'!I33+'Annual Raw'!I28</f>
        <v>0</v>
      </c>
      <c r="I65" s="74">
        <f>'Annual Raw'!J33+'Annual Raw'!J28</f>
        <v>0</v>
      </c>
      <c r="J65" s="74">
        <f>'Annual Raw'!K33+'Annual Raw'!K28</f>
        <v>0</v>
      </c>
      <c r="K65" s="74">
        <f>'Annual Raw'!L33+'Annual Raw'!L28</f>
        <v>0</v>
      </c>
      <c r="L65" s="74">
        <f>'Annual Raw'!M33+'Annual Raw'!M28</f>
        <v>0</v>
      </c>
      <c r="M65" s="74">
        <f>'Annual Raw'!N33+'Annual Raw'!N28</f>
        <v>0</v>
      </c>
      <c r="N65" s="74">
        <f>'Annual Raw'!O33+'Annual Raw'!O28</f>
        <v>0</v>
      </c>
      <c r="O65" s="74">
        <f>'Annual Raw'!P33+'Annual Raw'!P28</f>
        <v>0</v>
      </c>
      <c r="P65" s="74">
        <f>'Annual Raw'!Q33+'Annual Raw'!Q28</f>
        <v>0</v>
      </c>
      <c r="Q65" s="74">
        <f>'Annual Raw'!R33+'Annual Raw'!R28</f>
        <v>0</v>
      </c>
      <c r="R65" s="74">
        <f>'Annual Raw'!S33+'Annual Raw'!S28</f>
        <v>0</v>
      </c>
      <c r="S65" s="74">
        <f>'Annual Raw'!T33+'Annual Raw'!T28</f>
        <v>0</v>
      </c>
      <c r="T65" s="74">
        <f>'Annual Raw'!U33+'Annual Raw'!U28</f>
        <v>0</v>
      </c>
      <c r="U65" s="74">
        <f>'Annual Raw'!V33+'Annual Raw'!V28</f>
        <v>0</v>
      </c>
      <c r="V65" s="74">
        <f>'Annual Raw'!W33+'Annual Raw'!W28</f>
        <v>0</v>
      </c>
      <c r="W65" s="74">
        <f>'Annual Raw'!X33+'Annual Raw'!X28</f>
        <v>0</v>
      </c>
      <c r="X65" s="74">
        <f>'Annual Raw'!Y33+'Annual Raw'!Y28</f>
        <v>0</v>
      </c>
      <c r="Y65" s="74">
        <f>'Annual Raw'!Z33+'Annual Raw'!Z28</f>
        <v>0</v>
      </c>
      <c r="Z65" s="74">
        <f>'Annual Raw'!AA33+'Annual Raw'!AA28</f>
        <v>0</v>
      </c>
      <c r="AA65" s="74">
        <f>'Annual Raw'!AB33+'Annual Raw'!AB28</f>
        <v>0</v>
      </c>
      <c r="AB65" s="75">
        <f t="shared" si="656"/>
        <v>0</v>
      </c>
      <c r="AC65" s="75">
        <f t="shared" si="657"/>
        <v>0</v>
      </c>
      <c r="AD65" s="75">
        <f t="shared" si="658"/>
        <v>0</v>
      </c>
      <c r="AE65" s="75">
        <f t="shared" si="659"/>
        <v>0</v>
      </c>
      <c r="AI65" s="74">
        <f>'QTR Raw'!C35</f>
        <v>0</v>
      </c>
      <c r="AJ65" s="74">
        <f>'QTR Raw'!D35</f>
        <v>0</v>
      </c>
      <c r="AK65" s="74">
        <f>'QTR Raw'!E35</f>
        <v>0</v>
      </c>
      <c r="AL65" s="74">
        <f>'QTR Raw'!F35</f>
        <v>0</v>
      </c>
      <c r="AM65" s="74">
        <f>'QTR Raw'!G35</f>
        <v>0</v>
      </c>
      <c r="AN65" s="74">
        <f>'QTR Raw'!H35</f>
        <v>0</v>
      </c>
      <c r="AO65" s="74">
        <f>'QTR Raw'!I35</f>
        <v>0</v>
      </c>
      <c r="AP65" s="74">
        <f>'QTR Raw'!J35</f>
        <v>0</v>
      </c>
      <c r="AQ65" s="74">
        <f>'QTR Raw'!K35</f>
        <v>0</v>
      </c>
      <c r="AR65" s="74">
        <f>'QTR Raw'!L35</f>
        <v>0</v>
      </c>
      <c r="AS65" s="74">
        <f>'QTR Raw'!M35</f>
        <v>0</v>
      </c>
      <c r="AT65" s="74">
        <f>'QTR Raw'!N35</f>
        <v>0</v>
      </c>
      <c r="AU65" s="74">
        <f>'QTR Raw'!O35</f>
        <v>0</v>
      </c>
      <c r="AV65" s="74">
        <f>'QTR Raw'!P35</f>
        <v>0</v>
      </c>
      <c r="AW65" s="74">
        <f>'QTR Raw'!Q35</f>
        <v>0</v>
      </c>
      <c r="AX65" s="74">
        <f>'QTR Raw'!R35</f>
        <v>0</v>
      </c>
      <c r="AY65" s="74">
        <f>'QTR Raw'!S35</f>
        <v>0</v>
      </c>
      <c r="AZ65" s="74">
        <f>'QTR Raw'!T35</f>
        <v>0</v>
      </c>
      <c r="BA65" s="74">
        <f>'QTR Raw'!U35</f>
        <v>0</v>
      </c>
      <c r="BB65" s="74">
        <f>'QTR Raw'!V35</f>
        <v>0</v>
      </c>
      <c r="BC65" s="74">
        <f>'QTR Raw'!W35</f>
        <v>0</v>
      </c>
      <c r="BD65" s="74">
        <f>'QTR Raw'!X35</f>
        <v>0</v>
      </c>
      <c r="BE65" s="74">
        <f>'QTR Raw'!Y35</f>
        <v>0</v>
      </c>
      <c r="BF65" s="74">
        <f>'QTR Raw'!Z35</f>
        <v>0</v>
      </c>
      <c r="BG65" s="74">
        <f>'QTR Raw'!AA35</f>
        <v>0</v>
      </c>
      <c r="BH65" s="74">
        <f>'QTR Raw'!AB35</f>
        <v>0</v>
      </c>
      <c r="BI65" s="74">
        <f>'QTR Raw'!AC35</f>
        <v>0</v>
      </c>
      <c r="BJ65" s="74">
        <f>'QTR Raw'!AD35</f>
        <v>0</v>
      </c>
      <c r="BK65" s="74">
        <f>'QTR Raw'!AE35</f>
        <v>0</v>
      </c>
      <c r="BL65" s="74">
        <f>'QTR Raw'!AF35</f>
        <v>0</v>
      </c>
      <c r="BM65" s="74">
        <f>'QTR Raw'!AG35</f>
        <v>0</v>
      </c>
      <c r="BN65" s="74">
        <f>'QTR Raw'!AH35</f>
        <v>0</v>
      </c>
      <c r="BO65" s="74">
        <f>'QTR Raw'!AI35</f>
        <v>0</v>
      </c>
      <c r="BP65" s="74">
        <f>'QTR Raw'!AJ35</f>
        <v>0</v>
      </c>
      <c r="BQ65" s="74">
        <f>'QTR Raw'!AK35</f>
        <v>0</v>
      </c>
      <c r="BR65" s="74">
        <f>'QTR Raw'!AL35</f>
        <v>0</v>
      </c>
      <c r="BS65" s="74">
        <f>'QTR Raw'!AM35</f>
        <v>0</v>
      </c>
      <c r="BT65" s="74">
        <f>'QTR Raw'!AN35</f>
        <v>0</v>
      </c>
      <c r="BU65" s="74">
        <f>'QTR Raw'!AO35</f>
        <v>0</v>
      </c>
      <c r="BV65" s="74">
        <f>'QTR Raw'!AP35</f>
        <v>0</v>
      </c>
      <c r="BW65" s="74">
        <f>'QTR Raw'!AQ35</f>
        <v>0</v>
      </c>
      <c r="BX65" s="74">
        <f>'QTR Raw'!AR35</f>
        <v>0</v>
      </c>
      <c r="BY65" s="74">
        <f>'QTR Raw'!AS35</f>
        <v>0</v>
      </c>
      <c r="BZ65" s="74">
        <f>'QTR Raw'!AT35</f>
        <v>0</v>
      </c>
      <c r="CA65" s="74">
        <f>'QTR Raw'!AU35</f>
        <v>0</v>
      </c>
      <c r="CB65" s="74">
        <f>'QTR Raw'!AV35</f>
        <v>0</v>
      </c>
      <c r="CC65" s="74">
        <f>'QTR Raw'!AW35</f>
        <v>0</v>
      </c>
      <c r="CD65" s="74">
        <f>'QTR Raw'!AX35</f>
        <v>0</v>
      </c>
      <c r="CE65" s="74">
        <f>'QTR Raw'!AY35</f>
        <v>0</v>
      </c>
      <c r="CF65" s="74">
        <f>'QTR Raw'!AZ35</f>
        <v>0</v>
      </c>
      <c r="CG65" s="74">
        <f>'QTR Raw'!BA35</f>
        <v>0</v>
      </c>
      <c r="CH65" s="74">
        <f>'QTR Raw'!BB35</f>
        <v>0</v>
      </c>
      <c r="CI65" s="74">
        <f>'QTR Raw'!BC35</f>
        <v>0</v>
      </c>
      <c r="CJ65" s="74">
        <f>'QTR Raw'!BD35</f>
        <v>0</v>
      </c>
      <c r="CK65" s="74">
        <f>'QTR Raw'!BE35</f>
        <v>0</v>
      </c>
      <c r="CL65" s="74">
        <f>'QTR Raw'!BF35</f>
        <v>0</v>
      </c>
      <c r="CM65" s="75">
        <f t="shared" si="660"/>
        <v>0</v>
      </c>
      <c r="CN65" s="75">
        <f t="shared" si="661"/>
        <v>0</v>
      </c>
      <c r="CO65" s="75">
        <f t="shared" si="662"/>
        <v>0</v>
      </c>
      <c r="CP65" s="75">
        <f t="shared" si="663"/>
        <v>0</v>
      </c>
      <c r="CQ65" s="75">
        <f t="shared" si="664"/>
        <v>0</v>
      </c>
      <c r="CR65" s="75">
        <f t="shared" si="665"/>
        <v>0</v>
      </c>
      <c r="CS65" s="75">
        <f t="shared" si="666"/>
        <v>0</v>
      </c>
      <c r="CT65" s="75">
        <f t="shared" si="667"/>
        <v>0</v>
      </c>
      <c r="CU65" s="75">
        <f t="shared" si="668"/>
        <v>0</v>
      </c>
      <c r="CV65" s="75">
        <f t="shared" si="669"/>
        <v>0</v>
      </c>
      <c r="CW65" s="75">
        <f t="shared" si="670"/>
        <v>0</v>
      </c>
      <c r="CX65" s="75">
        <f t="shared" si="671"/>
        <v>0</v>
      </c>
      <c r="CY65" s="75">
        <f t="shared" si="672"/>
        <v>0</v>
      </c>
      <c r="CZ65" s="75">
        <f t="shared" si="673"/>
        <v>0</v>
      </c>
      <c r="DA65" s="75">
        <f t="shared" si="674"/>
        <v>0</v>
      </c>
      <c r="DD65" s="74">
        <v>0</v>
      </c>
      <c r="DE65" s="74">
        <v>0</v>
      </c>
    </row>
    <row r="66" spans="1:109" s="22" customFormat="1" x14ac:dyDescent="0.2">
      <c r="A66" s="22" t="s">
        <v>19</v>
      </c>
      <c r="B66" s="74">
        <f>'Annual Raw'!C29+'Annual Raw'!C31+'Annual Raw'!C34+'Annual Raw'!C36</f>
        <v>0</v>
      </c>
      <c r="C66" s="74">
        <f>'Annual Raw'!D29+'Annual Raw'!D31+'Annual Raw'!D34+'Annual Raw'!D36</f>
        <v>0</v>
      </c>
      <c r="D66" s="74">
        <f>'Annual Raw'!E29+'Annual Raw'!E31+'Annual Raw'!E34+'Annual Raw'!E36</f>
        <v>0</v>
      </c>
      <c r="E66" s="74">
        <f>'Annual Raw'!F29+'Annual Raw'!F31+'Annual Raw'!F34+'Annual Raw'!F36</f>
        <v>0</v>
      </c>
      <c r="F66" s="74">
        <f>'Annual Raw'!G29+'Annual Raw'!G31+'Annual Raw'!G34+'Annual Raw'!G36</f>
        <v>0</v>
      </c>
      <c r="G66" s="74">
        <f>'Annual Raw'!H29+'Annual Raw'!H31+'Annual Raw'!H34+'Annual Raw'!H36</f>
        <v>0</v>
      </c>
      <c r="H66" s="74">
        <f>'Annual Raw'!I29+'Annual Raw'!I31+'Annual Raw'!I34+'Annual Raw'!I36</f>
        <v>0</v>
      </c>
      <c r="I66" s="74">
        <f>'Annual Raw'!J29+'Annual Raw'!J31+'Annual Raw'!J34+'Annual Raw'!J36</f>
        <v>0</v>
      </c>
      <c r="J66" s="74">
        <f>'Annual Raw'!K29+'Annual Raw'!K31+'Annual Raw'!K34+'Annual Raw'!K36</f>
        <v>0</v>
      </c>
      <c r="K66" s="74">
        <f>'Annual Raw'!L29+'Annual Raw'!L31+'Annual Raw'!L34+'Annual Raw'!L36</f>
        <v>0</v>
      </c>
      <c r="L66" s="74">
        <f>'Annual Raw'!M29+'Annual Raw'!M31+'Annual Raw'!M34+'Annual Raw'!M36</f>
        <v>0</v>
      </c>
      <c r="M66" s="74">
        <f>'Annual Raw'!N29+'Annual Raw'!N31+'Annual Raw'!N34+'Annual Raw'!N36</f>
        <v>0</v>
      </c>
      <c r="N66" s="74">
        <f>'Annual Raw'!O29+'Annual Raw'!O31+'Annual Raw'!O34+'Annual Raw'!O36</f>
        <v>0</v>
      </c>
      <c r="O66" s="74">
        <f>'Annual Raw'!P29+'Annual Raw'!P31+'Annual Raw'!P34+'Annual Raw'!P36</f>
        <v>0</v>
      </c>
      <c r="P66" s="74">
        <f>'Annual Raw'!Q29+'Annual Raw'!Q31+'Annual Raw'!Q34+'Annual Raw'!Q36</f>
        <v>0</v>
      </c>
      <c r="Q66" s="74">
        <f>'Annual Raw'!R29+'Annual Raw'!R31+'Annual Raw'!R34+'Annual Raw'!R36</f>
        <v>0</v>
      </c>
      <c r="R66" s="74">
        <f>'Annual Raw'!S29+'Annual Raw'!S31+'Annual Raw'!S34+'Annual Raw'!S36</f>
        <v>0</v>
      </c>
      <c r="S66" s="74">
        <f>'Annual Raw'!T29+'Annual Raw'!T31+'Annual Raw'!T34+'Annual Raw'!T36</f>
        <v>0</v>
      </c>
      <c r="T66" s="74">
        <f>'Annual Raw'!U29+'Annual Raw'!U31+'Annual Raw'!U34+'Annual Raw'!U36</f>
        <v>0</v>
      </c>
      <c r="U66" s="74">
        <f>'Annual Raw'!V29+'Annual Raw'!V31+'Annual Raw'!V34+'Annual Raw'!V36</f>
        <v>0</v>
      </c>
      <c r="V66" s="74">
        <f>'Annual Raw'!W29+'Annual Raw'!W31+'Annual Raw'!W34+'Annual Raw'!W36</f>
        <v>0</v>
      </c>
      <c r="W66" s="74">
        <f>'Annual Raw'!X29+'Annual Raw'!X31+'Annual Raw'!X34+'Annual Raw'!X36</f>
        <v>0</v>
      </c>
      <c r="X66" s="74">
        <f>'Annual Raw'!Y29+'Annual Raw'!Y31+'Annual Raw'!Y34+'Annual Raw'!Y36</f>
        <v>0</v>
      </c>
      <c r="Y66" s="74">
        <f>'Annual Raw'!Z29+'Annual Raw'!Z31+'Annual Raw'!Z34+'Annual Raw'!Z36</f>
        <v>0</v>
      </c>
      <c r="Z66" s="74">
        <f>'Annual Raw'!AA29+'Annual Raw'!AA31+'Annual Raw'!AA34+'Annual Raw'!AA36</f>
        <v>0</v>
      </c>
      <c r="AA66" s="74">
        <f>'Annual Raw'!AB29+'Annual Raw'!AB31+'Annual Raw'!AB34+'Annual Raw'!AB36</f>
        <v>-11.4086</v>
      </c>
      <c r="AB66" s="75">
        <f t="shared" si="656"/>
        <v>2.3919999999999999</v>
      </c>
      <c r="AC66" s="75">
        <f t="shared" si="657"/>
        <v>0</v>
      </c>
      <c r="AD66" s="75">
        <f t="shared" si="658"/>
        <v>0</v>
      </c>
      <c r="AE66" s="75">
        <f t="shared" si="659"/>
        <v>0</v>
      </c>
      <c r="AI66" s="74">
        <f>'QTR Raw'!C26+'QTR Raw'!C31+'QTR Raw'!C32+'QTR Raw'!C33+'QTR Raw'!C36+'QTR Raw'!C37+'QTR Raw'!C39</f>
        <v>0</v>
      </c>
      <c r="AJ66" s="74">
        <f>'QTR Raw'!D26+'QTR Raw'!D31+'QTR Raw'!D32+'QTR Raw'!D33+'QTR Raw'!D36+'QTR Raw'!D37+'QTR Raw'!D39</f>
        <v>0</v>
      </c>
      <c r="AK66" s="74">
        <f>'QTR Raw'!E26+'QTR Raw'!E31+'QTR Raw'!E32+'QTR Raw'!E33+'QTR Raw'!E36+'QTR Raw'!E37+'QTR Raw'!E39</f>
        <v>0</v>
      </c>
      <c r="AL66" s="74">
        <f>'QTR Raw'!F26+'QTR Raw'!F31+'QTR Raw'!F32+'QTR Raw'!F33+'QTR Raw'!F36+'QTR Raw'!F37+'QTR Raw'!F39</f>
        <v>0</v>
      </c>
      <c r="AM66" s="74">
        <f>'QTR Raw'!G26+'QTR Raw'!G31+'QTR Raw'!G32+'QTR Raw'!G33+'QTR Raw'!G36+'QTR Raw'!G37+'QTR Raw'!G39</f>
        <v>0</v>
      </c>
      <c r="AN66" s="74">
        <f>'QTR Raw'!H26+'QTR Raw'!H31+'QTR Raw'!H32+'QTR Raw'!H33+'QTR Raw'!H36+'QTR Raw'!H37+'QTR Raw'!H39</f>
        <v>0</v>
      </c>
      <c r="AO66" s="74">
        <f>'QTR Raw'!I26+'QTR Raw'!I31+'QTR Raw'!I32+'QTR Raw'!I33+'QTR Raw'!I36+'QTR Raw'!I37+'QTR Raw'!I39</f>
        <v>0</v>
      </c>
      <c r="AP66" s="74">
        <f>'QTR Raw'!J26+'QTR Raw'!J31+'QTR Raw'!J32+'QTR Raw'!J33+'QTR Raw'!J36+'QTR Raw'!J37+'QTR Raw'!J39</f>
        <v>0</v>
      </c>
      <c r="AQ66" s="74">
        <f>'QTR Raw'!K26+'QTR Raw'!K31+'QTR Raw'!K32+'QTR Raw'!K33+'QTR Raw'!K36+'QTR Raw'!K37+'QTR Raw'!K39</f>
        <v>0</v>
      </c>
      <c r="AR66" s="74">
        <f>'QTR Raw'!L26+'QTR Raw'!L31+'QTR Raw'!L32+'QTR Raw'!L33+'QTR Raw'!L36+'QTR Raw'!L37+'QTR Raw'!L39</f>
        <v>3.343</v>
      </c>
      <c r="AS66" s="74">
        <f>'QTR Raw'!M26+'QTR Raw'!M31+'QTR Raw'!M32+'QTR Raw'!M33+'QTR Raw'!M36+'QTR Raw'!M37+'QTR Raw'!M39</f>
        <v>0</v>
      </c>
      <c r="AT66" s="74">
        <f>'QTR Raw'!N26+'QTR Raw'!N31+'QTR Raw'!N32+'QTR Raw'!N33+'QTR Raw'!N36+'QTR Raw'!N37+'QTR Raw'!N39</f>
        <v>2.222</v>
      </c>
      <c r="AU66" s="74">
        <f>'QTR Raw'!O26+'QTR Raw'!O31+'QTR Raw'!O32+'QTR Raw'!O33+'QTR Raw'!O36+'QTR Raw'!O37+'QTR Raw'!O39</f>
        <v>0</v>
      </c>
      <c r="AV66" s="74">
        <f>'QTR Raw'!P26+'QTR Raw'!P31+'QTR Raw'!P32+'QTR Raw'!P33+'QTR Raw'!P36+'QTR Raw'!P37+'QTR Raw'!P39</f>
        <v>0</v>
      </c>
      <c r="AW66" s="74">
        <f>'QTR Raw'!Q26+'QTR Raw'!Q31+'QTR Raw'!Q32+'QTR Raw'!Q33+'QTR Raw'!Q36+'QTR Raw'!Q37+'QTR Raw'!Q39</f>
        <v>0</v>
      </c>
      <c r="AX66" s="74">
        <f>'QTR Raw'!R26+'QTR Raw'!R31+'QTR Raw'!R32+'QTR Raw'!R33+'QTR Raw'!R36+'QTR Raw'!R37+'QTR Raw'!R39</f>
        <v>14.339</v>
      </c>
      <c r="AY66" s="74">
        <f>'QTR Raw'!S26+'QTR Raw'!S31+'QTR Raw'!S32+'QTR Raw'!S33+'QTR Raw'!S36+'QTR Raw'!S37+'QTR Raw'!S39</f>
        <v>0</v>
      </c>
      <c r="AZ66" s="74">
        <f>'QTR Raw'!T26+'QTR Raw'!T31+'QTR Raw'!T32+'QTR Raw'!T33+'QTR Raw'!T36+'QTR Raw'!T37+'QTR Raw'!T39</f>
        <v>0</v>
      </c>
      <c r="BA66" s="74">
        <f>'QTR Raw'!U26+'QTR Raw'!U31+'QTR Raw'!U32+'QTR Raw'!U33+'QTR Raw'!U36+'QTR Raw'!U37+'QTR Raw'!U39</f>
        <v>0</v>
      </c>
      <c r="BB66" s="74">
        <f>'QTR Raw'!V26+'QTR Raw'!V31+'QTR Raw'!V32+'QTR Raw'!V33+'QTR Raw'!V36+'QTR Raw'!V37+'QTR Raw'!V39</f>
        <v>0</v>
      </c>
      <c r="BC66" s="74">
        <f>'QTR Raw'!W26+'QTR Raw'!W31+'QTR Raw'!W32+'QTR Raw'!W33+'QTR Raw'!W36+'QTR Raw'!W37+'QTR Raw'!W39</f>
        <v>0</v>
      </c>
      <c r="BD66" s="74">
        <f>'QTR Raw'!X26+'QTR Raw'!X31+'QTR Raw'!X32+'QTR Raw'!X33+'QTR Raw'!X36+'QTR Raw'!X37+'QTR Raw'!X39</f>
        <v>0</v>
      </c>
      <c r="BE66" s="74">
        <f>'QTR Raw'!Y26+'QTR Raw'!Y31+'QTR Raw'!Y32+'QTR Raw'!Y33+'QTR Raw'!Y36+'QTR Raw'!Y37+'QTR Raw'!Y39</f>
        <v>0</v>
      </c>
      <c r="BF66" s="74">
        <f>'QTR Raw'!Z26+'QTR Raw'!Z31+'QTR Raw'!Z32+'QTR Raw'!Z33+'QTR Raw'!Z36+'QTR Raw'!Z37+'QTR Raw'!Z39</f>
        <v>0</v>
      </c>
      <c r="BG66" s="74">
        <f>'QTR Raw'!AA26+'QTR Raw'!AA31+'QTR Raw'!AA32+'QTR Raw'!AA33+'QTR Raw'!AA36+'QTR Raw'!AA37+'QTR Raw'!AA39</f>
        <v>0</v>
      </c>
      <c r="BH66" s="74">
        <f>'QTR Raw'!AB26+'QTR Raw'!AB31+'QTR Raw'!AB32+'QTR Raw'!AB33+'QTR Raw'!AB36+'QTR Raw'!AB37+'QTR Raw'!AB39</f>
        <v>0</v>
      </c>
      <c r="BI66" s="74">
        <f>'QTR Raw'!AC26+'QTR Raw'!AC31+'QTR Raw'!AC32+'QTR Raw'!AC33+'QTR Raw'!AC36+'QTR Raw'!AC37+'QTR Raw'!AC39</f>
        <v>0</v>
      </c>
      <c r="BJ66" s="74">
        <f>'QTR Raw'!AD26+'QTR Raw'!AD31+'QTR Raw'!AD32+'QTR Raw'!AD33+'QTR Raw'!AD36+'QTR Raw'!AD37+'QTR Raw'!AD39</f>
        <v>0</v>
      </c>
      <c r="BK66" s="74">
        <f>'QTR Raw'!AE26+'QTR Raw'!AE31+'QTR Raw'!AE32+'QTR Raw'!AE33+'QTR Raw'!AE36+'QTR Raw'!AE37+'QTR Raw'!AE39</f>
        <v>0</v>
      </c>
      <c r="BL66" s="74">
        <f>'QTR Raw'!AF26+'QTR Raw'!AF31+'QTR Raw'!AF32+'QTR Raw'!AF33+'QTR Raw'!AF36+'QTR Raw'!AF37+'QTR Raw'!AF39</f>
        <v>0</v>
      </c>
      <c r="BM66" s="74">
        <f>'QTR Raw'!AG26+'QTR Raw'!AG31+'QTR Raw'!AG32+'QTR Raw'!AG33+'QTR Raw'!AG36+'QTR Raw'!AG37+'QTR Raw'!AG39</f>
        <v>0</v>
      </c>
      <c r="BN66" s="74">
        <f>'QTR Raw'!AH26+'QTR Raw'!AH31+'QTR Raw'!AH32+'QTR Raw'!AH33+'QTR Raw'!AH36+'QTR Raw'!AH37+'QTR Raw'!AH39</f>
        <v>0</v>
      </c>
      <c r="BO66" s="74">
        <f>'QTR Raw'!AI26+'QTR Raw'!AI31+'QTR Raw'!AI32+'QTR Raw'!AI33+'QTR Raw'!AI36+'QTR Raw'!AI37+'QTR Raw'!AI39</f>
        <v>0</v>
      </c>
      <c r="BP66" s="74">
        <f>'QTR Raw'!AJ26+'QTR Raw'!AJ31+'QTR Raw'!AJ32+'QTR Raw'!AJ33+'QTR Raw'!AJ36+'QTR Raw'!AJ37+'QTR Raw'!AJ39</f>
        <v>0</v>
      </c>
      <c r="BQ66" s="74">
        <f>'QTR Raw'!AK26+'QTR Raw'!AK31+'QTR Raw'!AK32+'QTR Raw'!AK33+'QTR Raw'!AK36+'QTR Raw'!AK37+'QTR Raw'!AK39</f>
        <v>0</v>
      </c>
      <c r="BR66" s="74">
        <f>'QTR Raw'!AL26+'QTR Raw'!AL31+'QTR Raw'!AL32+'QTR Raw'!AL33+'QTR Raw'!AL36+'QTR Raw'!AL37+'QTR Raw'!AL39</f>
        <v>0</v>
      </c>
      <c r="BS66" s="74">
        <f>'QTR Raw'!AM26+'QTR Raw'!AM31+'QTR Raw'!AM32+'QTR Raw'!AM33+'QTR Raw'!AM36+'QTR Raw'!AM37+'QTR Raw'!AM39</f>
        <v>0</v>
      </c>
      <c r="BT66" s="74">
        <f>'QTR Raw'!AN26+'QTR Raw'!AN31+'QTR Raw'!AN32+'QTR Raw'!AN33+'QTR Raw'!AN36+'QTR Raw'!AN37+'QTR Raw'!AN39</f>
        <v>0</v>
      </c>
      <c r="BU66" s="74">
        <f>'QTR Raw'!AO26+'QTR Raw'!AO31+'QTR Raw'!AO32+'QTR Raw'!AO33+'QTR Raw'!AO36+'QTR Raw'!AO37+'QTR Raw'!AO39</f>
        <v>0</v>
      </c>
      <c r="BV66" s="74">
        <f>'QTR Raw'!AP26+'QTR Raw'!AP31+'QTR Raw'!AP32+'QTR Raw'!AP33+'QTR Raw'!AP36+'QTR Raw'!AP37+'QTR Raw'!AP39</f>
        <v>0</v>
      </c>
      <c r="BW66" s="74">
        <f>'QTR Raw'!AQ26+'QTR Raw'!AQ31+'QTR Raw'!AQ32+'QTR Raw'!AQ33+'QTR Raw'!AQ36+'QTR Raw'!AQ37+'QTR Raw'!AQ39</f>
        <v>0</v>
      </c>
      <c r="BX66" s="74">
        <f>'QTR Raw'!AR26+'QTR Raw'!AR31+'QTR Raw'!AR32+'QTR Raw'!AR33+'QTR Raw'!AR36+'QTR Raw'!AR37+'QTR Raw'!AR39</f>
        <v>0</v>
      </c>
      <c r="BY66" s="74">
        <f>'QTR Raw'!AS26+'QTR Raw'!AS31+'QTR Raw'!AS32+'QTR Raw'!AS33+'QTR Raw'!AS36+'QTR Raw'!AS37+'QTR Raw'!AS39</f>
        <v>0</v>
      </c>
      <c r="BZ66" s="74">
        <f>'QTR Raw'!AT26+'QTR Raw'!AT31+'QTR Raw'!AT32+'QTR Raw'!AT33+'QTR Raw'!AT36+'QTR Raw'!AT37+'QTR Raw'!AT39</f>
        <v>0</v>
      </c>
      <c r="CA66" s="74">
        <f>'QTR Raw'!AU26+'QTR Raw'!AU31+'QTR Raw'!AU32+'QTR Raw'!AU33+'QTR Raw'!AU36+'QTR Raw'!AU37+'QTR Raw'!AU39</f>
        <v>0</v>
      </c>
      <c r="CB66" s="74">
        <f>'QTR Raw'!AV26+'QTR Raw'!AV31+'QTR Raw'!AV32+'QTR Raw'!AV33+'QTR Raw'!AV36+'QTR Raw'!AV37+'QTR Raw'!AV39</f>
        <v>0</v>
      </c>
      <c r="CC66" s="74">
        <f>'QTR Raw'!AW26+'QTR Raw'!AW31+'QTR Raw'!AW32+'QTR Raw'!AW33+'QTR Raw'!AW36+'QTR Raw'!AW37+'QTR Raw'!AW39</f>
        <v>0</v>
      </c>
      <c r="CD66" s="74">
        <f>'QTR Raw'!AX26+'QTR Raw'!AX31+'QTR Raw'!AX32+'QTR Raw'!AX33+'QTR Raw'!AX36+'QTR Raw'!AX37+'QTR Raw'!AX39</f>
        <v>0</v>
      </c>
      <c r="CE66" s="74">
        <f>'QTR Raw'!AY26+'QTR Raw'!AY31+'QTR Raw'!AY32+'QTR Raw'!AY33+'QTR Raw'!AY36+'QTR Raw'!AY37+'QTR Raw'!AY39</f>
        <v>0</v>
      </c>
      <c r="CF66" s="74">
        <f>'QTR Raw'!AZ26+'QTR Raw'!AZ31+'QTR Raw'!AZ32+'QTR Raw'!AZ33+'QTR Raw'!AZ36+'QTR Raw'!AZ37+'QTR Raw'!AZ39</f>
        <v>0</v>
      </c>
      <c r="CG66" s="74">
        <f>'QTR Raw'!BA26+'QTR Raw'!BA31+'QTR Raw'!BA32+'QTR Raw'!BA33+'QTR Raw'!BA36+'QTR Raw'!BA37+'QTR Raw'!BA39</f>
        <v>0</v>
      </c>
      <c r="CH66" s="74">
        <f>'QTR Raw'!BB26+'QTR Raw'!BB31+'QTR Raw'!BB32+'QTR Raw'!BB33+'QTR Raw'!BB36+'QTR Raw'!BB37+'QTR Raw'!BB39</f>
        <v>0</v>
      </c>
      <c r="CI66" s="74">
        <f>'QTR Raw'!BC26+'QTR Raw'!BC31+'QTR Raw'!BC32+'QTR Raw'!BC33+'QTR Raw'!BC36+'QTR Raw'!BC37+'QTR Raw'!BC39</f>
        <v>0</v>
      </c>
      <c r="CJ66" s="74">
        <f>'QTR Raw'!BD26+'QTR Raw'!BD31+'QTR Raw'!BD32+'QTR Raw'!BD33+'QTR Raw'!BD36+'QTR Raw'!BD37+'QTR Raw'!BD39</f>
        <v>0</v>
      </c>
      <c r="CK66" s="74">
        <f>'QTR Raw'!BE26+'QTR Raw'!BE31+'QTR Raw'!BE32+'QTR Raw'!BE33+'QTR Raw'!BE36+'QTR Raw'!BE37+'QTR Raw'!BE39</f>
        <v>-11.409000000000001</v>
      </c>
      <c r="CL66" s="74">
        <f>'QTR Raw'!BF26+'QTR Raw'!BF31+'QTR Raw'!BF32+'QTR Raw'!BF33+'QTR Raw'!BF36+'QTR Raw'!BF37+'QTR Raw'!BF39</f>
        <v>2.3919999999999999</v>
      </c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D66" s="74">
        <v>-11.409000000000001</v>
      </c>
    </row>
    <row r="67" spans="1:109" s="25" customFormat="1" x14ac:dyDescent="0.2">
      <c r="A67" s="34" t="s">
        <v>25</v>
      </c>
      <c r="B67" s="25">
        <f>B60+B64+B65+B66</f>
        <v>-4.6812965389999954</v>
      </c>
      <c r="C67" s="25">
        <f>C60+C64+C65+C66</f>
        <v>6.0145298780000145</v>
      </c>
      <c r="D67" s="25">
        <f>D60+D64+D65+D66</f>
        <v>0</v>
      </c>
      <c r="E67" s="25">
        <f t="shared" ref="E67:U67" si="675">E60+E64+E65+E66</f>
        <v>0</v>
      </c>
      <c r="F67" s="25">
        <f t="shared" si="675"/>
        <v>0</v>
      </c>
      <c r="G67" s="25">
        <f t="shared" si="675"/>
        <v>0</v>
      </c>
      <c r="H67" s="25">
        <f t="shared" si="675"/>
        <v>0</v>
      </c>
      <c r="I67" s="25">
        <f t="shared" si="675"/>
        <v>0</v>
      </c>
      <c r="J67" s="25">
        <f t="shared" si="675"/>
        <v>0</v>
      </c>
      <c r="K67" s="25">
        <f t="shared" si="675"/>
        <v>0</v>
      </c>
      <c r="L67" s="25">
        <f t="shared" si="675"/>
        <v>0</v>
      </c>
      <c r="M67" s="25">
        <f t="shared" si="675"/>
        <v>0</v>
      </c>
      <c r="N67" s="25">
        <f t="shared" si="675"/>
        <v>0</v>
      </c>
      <c r="O67" s="25">
        <f t="shared" si="675"/>
        <v>0</v>
      </c>
      <c r="P67" s="25">
        <f t="shared" si="675"/>
        <v>0</v>
      </c>
      <c r="Q67" s="25">
        <f t="shared" si="675"/>
        <v>0</v>
      </c>
      <c r="R67" s="25">
        <f t="shared" si="675"/>
        <v>0</v>
      </c>
      <c r="S67" s="25">
        <f t="shared" si="675"/>
        <v>0</v>
      </c>
      <c r="T67" s="25">
        <f t="shared" si="675"/>
        <v>0</v>
      </c>
      <c r="U67" s="25">
        <f t="shared" si="675"/>
        <v>0</v>
      </c>
      <c r="V67" s="25">
        <f>V60+V64+V65+V66</f>
        <v>0</v>
      </c>
      <c r="W67" s="25">
        <f>W60+W64+W65+W66</f>
        <v>0</v>
      </c>
      <c r="X67" s="25">
        <f>X60+X64+X65+X66</f>
        <v>0</v>
      </c>
      <c r="Y67" s="25">
        <f>Y60+Y64+Y65+Y66</f>
        <v>21.639199999999978</v>
      </c>
      <c r="Z67" s="25">
        <f>Z60+Z64+Z65+Z66</f>
        <v>-5.3821000000000145</v>
      </c>
      <c r="AA67" s="25">
        <f>AA60+AA64+AA65+AA66</f>
        <v>10.313900000000004</v>
      </c>
      <c r="AB67" s="26">
        <f t="shared" ref="AA67:AD67" si="676">AB60+AB64+AB65+AB66</f>
        <v>54.594005446733107</v>
      </c>
      <c r="AC67" s="26">
        <f t="shared" si="676"/>
        <v>178.49183327344306</v>
      </c>
      <c r="AD67" s="26">
        <f t="shared" si="676"/>
        <v>343.63298537591197</v>
      </c>
      <c r="AE67" s="26">
        <f t="shared" ref="AE67" si="677">AE60+AE64+AE65+AE66</f>
        <v>546.22675294075555</v>
      </c>
      <c r="AI67" s="25">
        <f t="shared" ref="AI67" si="678">AI60+AI64+AI65+AI66</f>
        <v>4.4649999999999936</v>
      </c>
      <c r="AJ67" s="25">
        <f t="shared" ref="AJ67" si="679">AJ60+AJ64+AJ65+AJ66</f>
        <v>-3.7169999999999908</v>
      </c>
      <c r="AK67" s="25">
        <f t="shared" ref="AK67:AM67" si="680">AK60+AK64+AK65+AK66</f>
        <v>1.6950000000000043</v>
      </c>
      <c r="AL67" s="25">
        <f t="shared" si="680"/>
        <v>-3.4370000000000163</v>
      </c>
      <c r="AM67" s="25">
        <f t="shared" si="680"/>
        <v>-13.757999999999992</v>
      </c>
      <c r="AN67" s="25">
        <f t="shared" ref="AN67:AO67" si="681">AN60+AN64+AN65+AN66</f>
        <v>-18.507999999999992</v>
      </c>
      <c r="AO67" s="25">
        <f t="shared" si="681"/>
        <v>11.531000000000011</v>
      </c>
      <c r="AP67" s="25">
        <f t="shared" ref="AP67:CD67" si="682">AP60+AP64+AP65+AP66</f>
        <v>-1.5760000000000192</v>
      </c>
      <c r="AQ67" s="25">
        <f t="shared" si="682"/>
        <v>-2.636000000000001</v>
      </c>
      <c r="AR67" s="25">
        <f t="shared" si="682"/>
        <v>4.2170000000000014</v>
      </c>
      <c r="AS67" s="25">
        <f t="shared" si="682"/>
        <v>0.11899999999999938</v>
      </c>
      <c r="AT67" s="25">
        <f t="shared" si="682"/>
        <v>7.7749999999999932</v>
      </c>
      <c r="AU67" s="25">
        <f t="shared" si="682"/>
        <v>0.93599999999999972</v>
      </c>
      <c r="AV67" s="25">
        <f t="shared" si="682"/>
        <v>-2.8020000000000009</v>
      </c>
      <c r="AW67" s="25">
        <f t="shared" si="682"/>
        <v>4.2959999999999887</v>
      </c>
      <c r="AX67" s="25">
        <f t="shared" si="682"/>
        <v>10.694000000000003</v>
      </c>
      <c r="AY67" s="25">
        <f t="shared" si="682"/>
        <v>-8.3480000000000043</v>
      </c>
      <c r="AZ67" s="25">
        <f t="shared" si="682"/>
        <v>2.1000000000006236E-2</v>
      </c>
      <c r="BA67" s="25">
        <f t="shared" si="682"/>
        <v>9.5400000000000045</v>
      </c>
      <c r="BB67" s="25">
        <f t="shared" si="682"/>
        <v>4.5799999999999939</v>
      </c>
      <c r="BC67" s="25">
        <f t="shared" si="682"/>
        <v>0.19300000000000117</v>
      </c>
      <c r="BD67" s="25">
        <f t="shared" si="682"/>
        <v>4.5229999999999997</v>
      </c>
      <c r="BE67" s="25">
        <f t="shared" si="682"/>
        <v>3.0009999999999999</v>
      </c>
      <c r="BF67" s="25">
        <f t="shared" si="682"/>
        <v>-0.99799999999999289</v>
      </c>
      <c r="BG67" s="25">
        <f t="shared" si="682"/>
        <v>3.3380000000000001</v>
      </c>
      <c r="BH67" s="25">
        <f t="shared" si="682"/>
        <v>10.432</v>
      </c>
      <c r="BI67" s="25">
        <f t="shared" si="682"/>
        <v>15.84999999999998</v>
      </c>
      <c r="BJ67" s="25">
        <f t="shared" si="682"/>
        <v>5.4789999999999939</v>
      </c>
      <c r="BK67" s="25">
        <f t="shared" si="682"/>
        <v>3.7719999999999887</v>
      </c>
      <c r="BL67" s="25">
        <f t="shared" si="682"/>
        <v>9.7959999999999923</v>
      </c>
      <c r="BM67" s="25">
        <f t="shared" si="682"/>
        <v>5.6500000000000128</v>
      </c>
      <c r="BN67" s="25">
        <f t="shared" si="682"/>
        <v>4.5259999999999989</v>
      </c>
      <c r="BO67" s="25">
        <f t="shared" si="682"/>
        <v>-10.097</v>
      </c>
      <c r="BP67" s="25">
        <f t="shared" si="682"/>
        <v>-11.356999999999998</v>
      </c>
      <c r="BQ67" s="25">
        <f t="shared" si="682"/>
        <v>1.3540000000000054</v>
      </c>
      <c r="BR67" s="25">
        <f t="shared" si="682"/>
        <v>-8.960000000000008</v>
      </c>
      <c r="BS67" s="25">
        <f t="shared" si="682"/>
        <v>-1.046999999999993</v>
      </c>
      <c r="BT67" s="25">
        <f t="shared" si="682"/>
        <v>2.1990000000000025</v>
      </c>
      <c r="BU67" s="25">
        <f t="shared" si="682"/>
        <v>5.9429999999999961</v>
      </c>
      <c r="BV67" s="25">
        <f t="shared" si="682"/>
        <v>-2.4539999999999949</v>
      </c>
      <c r="BW67" s="25">
        <f t="shared" si="682"/>
        <v>-5.3449999999999998</v>
      </c>
      <c r="BX67" s="25">
        <f t="shared" si="682"/>
        <v>-2.9460000000000011</v>
      </c>
      <c r="BY67" s="25">
        <f t="shared" si="682"/>
        <v>11.384000000000007</v>
      </c>
      <c r="BZ67" s="25">
        <f t="shared" si="682"/>
        <v>9.7930000000000046</v>
      </c>
      <c r="CA67" s="25">
        <f t="shared" si="682"/>
        <v>4.3369999999999926</v>
      </c>
      <c r="CB67" s="25">
        <f t="shared" si="682"/>
        <v>6.9840000000000106</v>
      </c>
      <c r="CC67" s="25">
        <f t="shared" si="682"/>
        <v>10.319000000000003</v>
      </c>
      <c r="CD67" s="25">
        <f t="shared" si="682"/>
        <v>3.6189999999999811</v>
      </c>
      <c r="CE67" s="25">
        <f t="shared" ref="CE67:CF67" si="683">CE60+CE64+CE65+CE66</f>
        <v>-2.7000000000006564E-2</v>
      </c>
      <c r="CF67" s="25">
        <f t="shared" si="683"/>
        <v>-7.4969999999999919</v>
      </c>
      <c r="CG67" s="25">
        <f t="shared" ref="CG67:CH67" si="684">CG60+CG64+CG65+CG66</f>
        <v>-1.474000000000004</v>
      </c>
      <c r="CH67" s="25">
        <f t="shared" si="684"/>
        <v>-2.9140000000000001</v>
      </c>
      <c r="CI67" s="25">
        <f t="shared" ref="CI67:CJ67" si="685">CI60+CI64+CI65+CI66</f>
        <v>1.7179999999999831</v>
      </c>
      <c r="CJ67" s="25">
        <f t="shared" si="685"/>
        <v>8.9199999999999822</v>
      </c>
      <c r="CK67" s="25">
        <f t="shared" ref="CK67:CL67" si="686">CK60+CK64+CK65+CK66</f>
        <v>-8.9222999999999999</v>
      </c>
      <c r="CL67" s="25">
        <f t="shared" si="686"/>
        <v>7.361000000000006</v>
      </c>
      <c r="CM67" s="26">
        <f t="shared" ref="CM67:DA67" si="687">CM60+CM64+CM65+CM66</f>
        <v>-5.239078890217133</v>
      </c>
      <c r="CN67" s="26">
        <f t="shared" si="687"/>
        <v>23.536449997345631</v>
      </c>
      <c r="CO67" s="26">
        <f t="shared" si="687"/>
        <v>28.935634339604455</v>
      </c>
      <c r="CP67" s="26">
        <f t="shared" si="687"/>
        <v>23.517765347354835</v>
      </c>
      <c r="CQ67" s="26">
        <f t="shared" si="687"/>
        <v>26.015730036649511</v>
      </c>
      <c r="CR67" s="26">
        <f t="shared" si="687"/>
        <v>61.623205550389102</v>
      </c>
      <c r="CS67" s="26">
        <f t="shared" si="687"/>
        <v>67.335132339049494</v>
      </c>
      <c r="CT67" s="26">
        <f t="shared" si="687"/>
        <v>60.154000275148846</v>
      </c>
      <c r="CU67" s="26">
        <f t="shared" si="687"/>
        <v>62.287651105603715</v>
      </c>
      <c r="CV67" s="26">
        <f t="shared" si="687"/>
        <v>107.43472899353063</v>
      </c>
      <c r="CW67" s="26">
        <f t="shared" si="687"/>
        <v>113.7566050016284</v>
      </c>
      <c r="CX67" s="26">
        <f t="shared" si="687"/>
        <v>104.63726523352955</v>
      </c>
      <c r="CY67" s="26">
        <f t="shared" si="687"/>
        <v>106.50769318267893</v>
      </c>
      <c r="CZ67" s="26">
        <f t="shared" si="687"/>
        <v>163.91308904222737</v>
      </c>
      <c r="DA67" s="26">
        <f t="shared" si="687"/>
        <v>171.16870548231995</v>
      </c>
      <c r="DD67" s="25">
        <v>1.5670477232883044</v>
      </c>
      <c r="DE67" s="25">
        <v>16.869685587936228</v>
      </c>
    </row>
    <row r="68" spans="1:109" s="24" customFormat="1" x14ac:dyDescent="0.2">
      <c r="A68" s="143" t="s">
        <v>486</v>
      </c>
      <c r="AB68" s="16"/>
      <c r="AC68" s="16"/>
      <c r="AD68" s="16"/>
      <c r="AE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</row>
    <row r="69" spans="1:109" s="1" customFormat="1" x14ac:dyDescent="0.2">
      <c r="A69" s="1" t="s">
        <v>484</v>
      </c>
      <c r="AB69" s="19"/>
      <c r="AC69" s="19"/>
      <c r="AD69" s="19"/>
      <c r="AE69" s="19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D69" s="117"/>
    </row>
    <row r="70" spans="1:109" s="21" customFormat="1" x14ac:dyDescent="0.2">
      <c r="A70" s="21" t="s">
        <v>434</v>
      </c>
      <c r="B70" s="21">
        <f>'Annual Raw'!C35</f>
        <v>-4.6812965389999999</v>
      </c>
      <c r="C70" s="21">
        <f>'Annual Raw'!D35</f>
        <v>6.0145298780000003</v>
      </c>
      <c r="D70" s="21">
        <f>'Annual Raw'!E35</f>
        <v>0</v>
      </c>
      <c r="E70" s="21">
        <f>'Annual Raw'!F35</f>
        <v>0</v>
      </c>
      <c r="F70" s="21">
        <f>'Annual Raw'!G35</f>
        <v>0</v>
      </c>
      <c r="G70" s="21">
        <f>'Annual Raw'!H35</f>
        <v>0</v>
      </c>
      <c r="H70" s="21">
        <f>'Annual Raw'!I35</f>
        <v>0</v>
      </c>
      <c r="I70" s="21">
        <f>'Annual Raw'!J35</f>
        <v>0</v>
      </c>
      <c r="J70" s="21">
        <f>'Annual Raw'!K35</f>
        <v>0</v>
      </c>
      <c r="K70" s="21">
        <f>'Annual Raw'!L35</f>
        <v>0</v>
      </c>
      <c r="L70" s="21">
        <f>'Annual Raw'!M35</f>
        <v>0</v>
      </c>
      <c r="M70" s="21">
        <f>'Annual Raw'!N35</f>
        <v>0</v>
      </c>
      <c r="N70" s="21">
        <f>'Annual Raw'!O35</f>
        <v>0</v>
      </c>
      <c r="O70" s="21">
        <f>'Annual Raw'!P35</f>
        <v>0</v>
      </c>
      <c r="P70" s="21">
        <f>'Annual Raw'!Q35</f>
        <v>0</v>
      </c>
      <c r="Q70" s="21">
        <f>'Annual Raw'!R35</f>
        <v>0</v>
      </c>
      <c r="R70" s="21">
        <f>'Annual Raw'!S35</f>
        <v>0</v>
      </c>
      <c r="S70" s="21">
        <f>'Annual Raw'!T35</f>
        <v>0</v>
      </c>
      <c r="T70" s="21">
        <f>'Annual Raw'!U35</f>
        <v>0</v>
      </c>
      <c r="U70" s="21">
        <f>'Annual Raw'!V35</f>
        <v>0</v>
      </c>
      <c r="V70" s="21">
        <f>'Annual Raw'!W35</f>
        <v>0</v>
      </c>
      <c r="W70" s="21">
        <f>'Annual Raw'!X35</f>
        <v>0</v>
      </c>
      <c r="X70" s="21">
        <f>'Annual Raw'!Y35</f>
        <v>0</v>
      </c>
      <c r="Y70" s="21">
        <f>'Annual Raw'!Z35</f>
        <v>21.639199999999999</v>
      </c>
      <c r="Z70" s="21">
        <f>'Annual Raw'!AA35</f>
        <v>-5.3821000000000003</v>
      </c>
      <c r="AA70" s="21">
        <f>'Annual Raw'!AB35</f>
        <v>10.3139</v>
      </c>
      <c r="AB70" s="20">
        <f t="shared" ref="AA70:AD70" si="688">+AB67</f>
        <v>54.594005446733107</v>
      </c>
      <c r="AC70" s="20">
        <f t="shared" si="688"/>
        <v>178.49183327344306</v>
      </c>
      <c r="AD70" s="20">
        <f t="shared" si="688"/>
        <v>343.63298537591197</v>
      </c>
      <c r="AE70" s="20">
        <f t="shared" ref="AE70" si="689">+AE67</f>
        <v>546.22675294075555</v>
      </c>
      <c r="AI70" s="21">
        <f>'QTR Raw'!C42</f>
        <v>4.4660000000000002</v>
      </c>
      <c r="AJ70" s="21">
        <f>'QTR Raw'!D42</f>
        <v>-3.7170000000000001</v>
      </c>
      <c r="AK70" s="21">
        <f>'QTR Raw'!E42</f>
        <v>1.6950000000000001</v>
      </c>
      <c r="AL70" s="21">
        <f>'QTR Raw'!F42</f>
        <v>-3.4369999999999998</v>
      </c>
      <c r="AM70" s="21">
        <f>'QTR Raw'!G42</f>
        <v>-13.757999999999999</v>
      </c>
      <c r="AN70" s="21">
        <f>'QTR Raw'!H42</f>
        <v>-18.510000000000002</v>
      </c>
      <c r="AO70" s="21">
        <f>'QTR Raw'!I42</f>
        <v>11.531000000000001</v>
      </c>
      <c r="AP70" s="21">
        <f>'QTR Raw'!J42</f>
        <v>-1.5760000000000001</v>
      </c>
      <c r="AQ70" s="21">
        <f>'QTR Raw'!K42</f>
        <v>-2.637</v>
      </c>
      <c r="AR70" s="21">
        <f>'QTR Raw'!L42</f>
        <v>4.2160000000000002</v>
      </c>
      <c r="AS70" s="21">
        <f>'QTR Raw'!M42</f>
        <v>0.11899999999999999</v>
      </c>
      <c r="AT70" s="21">
        <f>'QTR Raw'!N42</f>
        <v>7.7759999999999998</v>
      </c>
      <c r="AU70" s="21">
        <f>'QTR Raw'!O42</f>
        <v>0.93600000000000005</v>
      </c>
      <c r="AV70" s="21">
        <f>'QTR Raw'!P42</f>
        <v>-2.8039999999999998</v>
      </c>
      <c r="AW70" s="21">
        <f>'QTR Raw'!Q42</f>
        <v>4.2960000000000003</v>
      </c>
      <c r="AX70" s="21">
        <f>'QTR Raw'!R42</f>
        <v>10.694000000000001</v>
      </c>
      <c r="AY70" s="21">
        <f>'QTR Raw'!S42</f>
        <v>-8.3480000000000008</v>
      </c>
      <c r="AZ70" s="21">
        <f>'QTR Raw'!T42</f>
        <v>2.1000000000000001E-2</v>
      </c>
      <c r="BA70" s="21">
        <f>'QTR Raw'!U42</f>
        <v>9.5389999999999997</v>
      </c>
      <c r="BB70" s="21">
        <f>'QTR Raw'!V42</f>
        <v>4.5789999999999997</v>
      </c>
      <c r="BC70" s="21">
        <f>'QTR Raw'!W42</f>
        <v>0.19400000000000001</v>
      </c>
      <c r="BD70" s="21">
        <f>'QTR Raw'!X42</f>
        <v>4.5229999999999997</v>
      </c>
      <c r="BE70" s="21">
        <f>'QTR Raw'!Y42</f>
        <v>3.0009999999999999</v>
      </c>
      <c r="BF70" s="21">
        <f>'QTR Raw'!Z42</f>
        <v>-0.999</v>
      </c>
      <c r="BG70" s="21">
        <f>'QTR Raw'!AA42</f>
        <v>3.3380000000000001</v>
      </c>
      <c r="BH70" s="21">
        <f>'QTR Raw'!AB42</f>
        <v>10.432</v>
      </c>
      <c r="BI70" s="21">
        <f>'QTR Raw'!AC42</f>
        <v>15.85</v>
      </c>
      <c r="BJ70" s="21">
        <f>'QTR Raw'!AD42</f>
        <v>5.4789999999999903</v>
      </c>
      <c r="BK70" s="21">
        <f>'QTR Raw'!AE42</f>
        <v>3.7719999999999998</v>
      </c>
      <c r="BL70" s="21">
        <f>'QTR Raw'!AF42</f>
        <v>9.7959999999999994</v>
      </c>
      <c r="BM70" s="21">
        <f>'QTR Raw'!AG42</f>
        <v>5.6499999999999897</v>
      </c>
      <c r="BN70" s="21">
        <f>'QTR Raw'!AH42</f>
        <v>4.5250000000000004</v>
      </c>
      <c r="BO70" s="21">
        <f>'QTR Raw'!AI42</f>
        <v>-10.098000000000001</v>
      </c>
      <c r="BP70" s="21">
        <f>'QTR Raw'!AJ42</f>
        <v>-11.356999999999999</v>
      </c>
      <c r="BQ70" s="21">
        <f>'QTR Raw'!AK42</f>
        <v>1.3540000000000101</v>
      </c>
      <c r="BR70" s="21">
        <f>'QTR Raw'!AL42</f>
        <v>-8.9600000000000009</v>
      </c>
      <c r="BS70" s="21">
        <f>'QTR Raw'!AM42</f>
        <v>-1.0469999999999999</v>
      </c>
      <c r="BT70" s="21">
        <f>'QTR Raw'!AN42</f>
        <v>2.1989999999999998</v>
      </c>
      <c r="BU70" s="21">
        <f>'QTR Raw'!AO42</f>
        <v>5.94300000000002</v>
      </c>
      <c r="BV70" s="21">
        <f>'QTR Raw'!AP42</f>
        <v>-2.4540000000000002</v>
      </c>
      <c r="BW70" s="21">
        <f>'QTR Raw'!AQ42</f>
        <v>-5.3460000000000001</v>
      </c>
      <c r="BX70" s="21">
        <f>'QTR Raw'!AR42</f>
        <v>-2.9460000000000002</v>
      </c>
      <c r="BY70" s="21">
        <f>'QTR Raw'!AS42</f>
        <v>11.384</v>
      </c>
      <c r="BZ70" s="21">
        <f>'QTR Raw'!AT42</f>
        <v>9.7929999999999904</v>
      </c>
      <c r="CA70" s="21">
        <f>'QTR Raw'!AU42</f>
        <v>4.3369999999999802</v>
      </c>
      <c r="CB70" s="21">
        <f>'QTR Raw'!AV42</f>
        <v>6.9840000000000098</v>
      </c>
      <c r="CC70" s="21">
        <f>'QTR Raw'!AW42</f>
        <v>10.319000000000001</v>
      </c>
      <c r="CD70" s="21">
        <f>'QTR Raw'!AX42</f>
        <v>3.6179999999999999</v>
      </c>
      <c r="CE70" s="21">
        <f>'QTR Raw'!AY42</f>
        <v>-2.7000000000004101E-2</v>
      </c>
      <c r="CF70" s="21">
        <f>'QTR Raw'!AZ42</f>
        <v>-7.4969999999999999</v>
      </c>
      <c r="CG70" s="21">
        <f>'QTR Raw'!BA42</f>
        <v>-1.474</v>
      </c>
      <c r="CH70" s="21">
        <f>'QTR Raw'!BB42</f>
        <v>-2.9140000000000001</v>
      </c>
      <c r="CI70" s="21">
        <f>'QTR Raw'!BC42</f>
        <v>1.718</v>
      </c>
      <c r="CJ70" s="21">
        <f>'QTR Raw'!BD42</f>
        <v>8.9190000000000094</v>
      </c>
      <c r="CK70" s="21">
        <v>-8.9219000000000008</v>
      </c>
      <c r="CL70" s="21">
        <f>'QTR Raw'!BF42</f>
        <v>7.3609999999999998</v>
      </c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D70" s="117">
        <v>-29.175899999999992</v>
      </c>
    </row>
    <row r="71" spans="1:109" s="24" customFormat="1" x14ac:dyDescent="0.2">
      <c r="A71" s="35" t="s">
        <v>435</v>
      </c>
      <c r="B71" s="24">
        <f t="shared" ref="B71:V71" si="690">B70-B67</f>
        <v>0</v>
      </c>
      <c r="C71" s="24">
        <f>C70-C67</f>
        <v>-1.4210854715202004E-14</v>
      </c>
      <c r="D71" s="24">
        <f t="shared" si="690"/>
        <v>0</v>
      </c>
      <c r="E71" s="24">
        <f t="shared" si="690"/>
        <v>0</v>
      </c>
      <c r="F71" s="24">
        <f t="shared" si="690"/>
        <v>0</v>
      </c>
      <c r="G71" s="24">
        <f t="shared" si="690"/>
        <v>0</v>
      </c>
      <c r="H71" s="24">
        <f t="shared" si="690"/>
        <v>0</v>
      </c>
      <c r="I71" s="24">
        <f t="shared" si="690"/>
        <v>0</v>
      </c>
      <c r="J71" s="24">
        <f t="shared" si="690"/>
        <v>0</v>
      </c>
      <c r="K71" s="24">
        <f t="shared" si="690"/>
        <v>0</v>
      </c>
      <c r="L71" s="24">
        <f t="shared" si="690"/>
        <v>0</v>
      </c>
      <c r="M71" s="24">
        <f t="shared" si="690"/>
        <v>0</v>
      </c>
      <c r="N71" s="24">
        <f t="shared" si="690"/>
        <v>0</v>
      </c>
      <c r="O71" s="24">
        <f t="shared" si="690"/>
        <v>0</v>
      </c>
      <c r="P71" s="24">
        <f t="shared" si="690"/>
        <v>0</v>
      </c>
      <c r="Q71" s="24">
        <f t="shared" si="690"/>
        <v>0</v>
      </c>
      <c r="R71" s="24">
        <f t="shared" si="690"/>
        <v>0</v>
      </c>
      <c r="S71" s="24">
        <f t="shared" si="690"/>
        <v>0</v>
      </c>
      <c r="T71" s="24">
        <f t="shared" si="690"/>
        <v>0</v>
      </c>
      <c r="U71" s="24">
        <f t="shared" si="690"/>
        <v>0</v>
      </c>
      <c r="V71" s="24">
        <f t="shared" si="690"/>
        <v>0</v>
      </c>
      <c r="W71" s="24">
        <f t="shared" ref="W71" si="691">W70-W67</f>
        <v>0</v>
      </c>
      <c r="X71" s="24">
        <f t="shared" ref="X71:Y71" si="692">X70-X67</f>
        <v>0</v>
      </c>
      <c r="Y71" s="24">
        <f t="shared" si="692"/>
        <v>0</v>
      </c>
      <c r="Z71" s="24">
        <f t="shared" ref="Z71:AA71" si="693">Z70-Z67</f>
        <v>1.4210854715202004E-14</v>
      </c>
      <c r="AA71" s="24">
        <f t="shared" si="693"/>
        <v>0</v>
      </c>
      <c r="AB71" s="16">
        <f t="shared" ref="AA71:AD71" si="694">AB70-AB67</f>
        <v>0</v>
      </c>
      <c r="AC71" s="16">
        <f t="shared" si="694"/>
        <v>0</v>
      </c>
      <c r="AD71" s="16">
        <f t="shared" si="694"/>
        <v>0</v>
      </c>
      <c r="AE71" s="16">
        <f t="shared" ref="AE71" si="695">AE70-AE67</f>
        <v>0</v>
      </c>
      <c r="AI71" s="24">
        <f t="shared" ref="AI71" si="696">AI70-AI67</f>
        <v>1.0000000000065512E-3</v>
      </c>
      <c r="AJ71" s="24">
        <f t="shared" ref="AJ71" si="697">AJ70-AJ67</f>
        <v>-9.3258734068513149E-15</v>
      </c>
      <c r="AK71" s="24">
        <f t="shared" ref="AK71:AM71" si="698">AK70-AK67</f>
        <v>-4.2188474935755949E-15</v>
      </c>
      <c r="AL71" s="24">
        <f t="shared" si="698"/>
        <v>1.6431300764452317E-14</v>
      </c>
      <c r="AM71" s="24">
        <f t="shared" si="698"/>
        <v>0</v>
      </c>
      <c r="AN71" s="24">
        <f t="shared" ref="AN71:AO71" si="699">AN70-AN67</f>
        <v>-2.0000000000095497E-3</v>
      </c>
      <c r="AO71" s="24">
        <f t="shared" si="699"/>
        <v>0</v>
      </c>
      <c r="AP71" s="24">
        <f t="shared" ref="AP71:CD71" si="700">AP70-AP67</f>
        <v>1.9095836023552692E-14</v>
      </c>
      <c r="AQ71" s="24">
        <f t="shared" si="700"/>
        <v>-9.9999999999900169E-4</v>
      </c>
      <c r="AR71" s="24">
        <f t="shared" si="700"/>
        <v>-1.0000000000012221E-3</v>
      </c>
      <c r="AS71" s="24">
        <f t="shared" si="700"/>
        <v>6.106226635438361E-16</v>
      </c>
      <c r="AT71" s="24">
        <f t="shared" si="700"/>
        <v>1.0000000000065512E-3</v>
      </c>
      <c r="AU71" s="24">
        <f t="shared" si="700"/>
        <v>0</v>
      </c>
      <c r="AV71" s="24">
        <f t="shared" si="700"/>
        <v>-1.9999999999988916E-3</v>
      </c>
      <c r="AW71" s="24">
        <f t="shared" si="700"/>
        <v>1.1546319456101628E-14</v>
      </c>
      <c r="AX71" s="24">
        <f t="shared" si="700"/>
        <v>0</v>
      </c>
      <c r="AY71" s="24">
        <f t="shared" si="700"/>
        <v>0</v>
      </c>
      <c r="AZ71" s="24">
        <f t="shared" si="700"/>
        <v>-6.2345961726606447E-15</v>
      </c>
      <c r="BA71" s="24">
        <f t="shared" si="700"/>
        <v>-1.0000000000047748E-3</v>
      </c>
      <c r="BB71" s="24">
        <f t="shared" si="700"/>
        <v>-9.9999999999411671E-4</v>
      </c>
      <c r="BC71" s="24">
        <f t="shared" si="700"/>
        <v>9.9999999999883515E-4</v>
      </c>
      <c r="BD71" s="24">
        <f t="shared" si="700"/>
        <v>0</v>
      </c>
      <c r="BE71" s="24">
        <f t="shared" si="700"/>
        <v>0</v>
      </c>
      <c r="BF71" s="24">
        <f t="shared" si="700"/>
        <v>-1.0000000000071063E-3</v>
      </c>
      <c r="BG71" s="24">
        <f t="shared" si="700"/>
        <v>0</v>
      </c>
      <c r="BH71" s="24">
        <f t="shared" si="700"/>
        <v>0</v>
      </c>
      <c r="BI71" s="24">
        <f t="shared" si="700"/>
        <v>1.9539925233402755E-14</v>
      </c>
      <c r="BJ71" s="24">
        <f t="shared" si="700"/>
        <v>0</v>
      </c>
      <c r="BK71" s="24">
        <f t="shared" si="700"/>
        <v>1.1102230246251565E-14</v>
      </c>
      <c r="BL71" s="24">
        <f t="shared" si="700"/>
        <v>0</v>
      </c>
      <c r="BM71" s="24">
        <f t="shared" si="700"/>
        <v>-2.3092638912203256E-14</v>
      </c>
      <c r="BN71" s="24">
        <f t="shared" si="700"/>
        <v>-9.999999999985576E-4</v>
      </c>
      <c r="BO71" s="24">
        <f t="shared" si="700"/>
        <v>-1.0000000000012221E-3</v>
      </c>
      <c r="BP71" s="24">
        <f t="shared" si="700"/>
        <v>0</v>
      </c>
      <c r="BQ71" s="24">
        <f t="shared" si="700"/>
        <v>4.6629367034256575E-15</v>
      </c>
      <c r="BR71" s="24">
        <f t="shared" si="700"/>
        <v>0</v>
      </c>
      <c r="BS71" s="24">
        <f t="shared" si="700"/>
        <v>-6.8833827526759706E-15</v>
      </c>
      <c r="BT71" s="24">
        <f t="shared" si="700"/>
        <v>0</v>
      </c>
      <c r="BU71" s="24">
        <f t="shared" si="700"/>
        <v>2.3980817331903381E-14</v>
      </c>
      <c r="BV71" s="24">
        <f t="shared" si="700"/>
        <v>-5.3290705182007514E-15</v>
      </c>
      <c r="BW71" s="24">
        <f t="shared" si="700"/>
        <v>-1.000000000000334E-3</v>
      </c>
      <c r="BX71" s="24">
        <f t="shared" si="700"/>
        <v>0</v>
      </c>
      <c r="BY71" s="24">
        <f t="shared" si="700"/>
        <v>0</v>
      </c>
      <c r="BZ71" s="24">
        <f t="shared" si="700"/>
        <v>-1.4210854715202004E-14</v>
      </c>
      <c r="CA71" s="24">
        <f t="shared" si="700"/>
        <v>-1.2434497875801753E-14</v>
      </c>
      <c r="CB71" s="24">
        <f t="shared" si="700"/>
        <v>0</v>
      </c>
      <c r="CC71" s="24">
        <f t="shared" si="700"/>
        <v>0</v>
      </c>
      <c r="CD71" s="24">
        <f t="shared" si="700"/>
        <v>-9.9999999998123812E-4</v>
      </c>
      <c r="CE71" s="24">
        <f t="shared" ref="CE71:CF71" si="701">CE70-CE67</f>
        <v>2.4633073358870661E-15</v>
      </c>
      <c r="CF71" s="24">
        <f t="shared" si="701"/>
        <v>-7.9936057773011271E-15</v>
      </c>
      <c r="CG71" s="24">
        <f t="shared" ref="CG71:CH71" si="702">CG70-CG67</f>
        <v>3.9968028886505635E-15</v>
      </c>
      <c r="CH71" s="24">
        <f t="shared" si="702"/>
        <v>0</v>
      </c>
      <c r="CI71" s="24">
        <f t="shared" ref="CI71:CJ71" si="703">CI70-CI67</f>
        <v>1.6875389974302379E-14</v>
      </c>
      <c r="CJ71" s="24">
        <f t="shared" si="703"/>
        <v>-9.9999999997280042E-4</v>
      </c>
      <c r="CK71" s="24">
        <f t="shared" ref="CK71:CL71" si="704">CK70-CK67</f>
        <v>3.9999999999906777E-4</v>
      </c>
      <c r="CL71" s="24">
        <f t="shared" si="704"/>
        <v>0</v>
      </c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D71" s="117">
        <v>0</v>
      </c>
    </row>
    <row r="72" spans="1:109" s="1" customFormat="1" x14ac:dyDescent="0.2">
      <c r="A72" s="142" t="s">
        <v>487</v>
      </c>
      <c r="AB72" s="19"/>
      <c r="AC72" s="19"/>
      <c r="AD72" s="19"/>
      <c r="AE72" s="19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D72" s="117"/>
    </row>
    <row r="73" spans="1:109" s="37" customFormat="1" x14ac:dyDescent="0.2">
      <c r="A73" s="37" t="s">
        <v>350</v>
      </c>
      <c r="B73" s="38">
        <f t="shared" ref="B73:AE73" si="705">(B67-B66)/B139</f>
        <v>-0.10275730298222717</v>
      </c>
      <c r="C73" s="38">
        <f t="shared" si="705"/>
        <v>0.11978513279648223</v>
      </c>
      <c r="D73" s="38" t="e">
        <f t="shared" si="705"/>
        <v>#DIV/0!</v>
      </c>
      <c r="E73" s="38" t="e">
        <f t="shared" si="705"/>
        <v>#DIV/0!</v>
      </c>
      <c r="F73" s="38" t="e">
        <f t="shared" si="705"/>
        <v>#DIV/0!</v>
      </c>
      <c r="G73" s="38" t="e">
        <f t="shared" si="705"/>
        <v>#DIV/0!</v>
      </c>
      <c r="H73" s="38" t="e">
        <f t="shared" si="705"/>
        <v>#DIV/0!</v>
      </c>
      <c r="I73" s="38" t="e">
        <f t="shared" si="705"/>
        <v>#DIV/0!</v>
      </c>
      <c r="J73" s="38" t="e">
        <f t="shared" si="705"/>
        <v>#DIV/0!</v>
      </c>
      <c r="K73" s="38" t="e">
        <f t="shared" si="705"/>
        <v>#DIV/0!</v>
      </c>
      <c r="L73" s="38" t="e">
        <f t="shared" si="705"/>
        <v>#DIV/0!</v>
      </c>
      <c r="M73" s="38" t="e">
        <f t="shared" si="705"/>
        <v>#DIV/0!</v>
      </c>
      <c r="N73" s="38" t="e">
        <f t="shared" si="705"/>
        <v>#DIV/0!</v>
      </c>
      <c r="O73" s="38" t="e">
        <f t="shared" si="705"/>
        <v>#DIV/0!</v>
      </c>
      <c r="P73" s="38" t="e">
        <f t="shared" si="705"/>
        <v>#DIV/0!</v>
      </c>
      <c r="Q73" s="38" t="e">
        <f t="shared" si="705"/>
        <v>#DIV/0!</v>
      </c>
      <c r="R73" s="38" t="e">
        <f t="shared" si="705"/>
        <v>#DIV/0!</v>
      </c>
      <c r="S73" s="38" t="e">
        <f t="shared" si="705"/>
        <v>#DIV/0!</v>
      </c>
      <c r="T73" s="38" t="e">
        <f t="shared" si="705"/>
        <v>#DIV/0!</v>
      </c>
      <c r="U73" s="38" t="e">
        <f t="shared" si="705"/>
        <v>#DIV/0!</v>
      </c>
      <c r="V73" s="38" t="e">
        <f t="shared" si="705"/>
        <v>#DIV/0!</v>
      </c>
      <c r="W73" s="38" t="e">
        <f t="shared" si="705"/>
        <v>#DIV/0!</v>
      </c>
      <c r="X73" s="38" t="e">
        <f t="shared" si="705"/>
        <v>#DIV/0!</v>
      </c>
      <c r="Y73" s="38">
        <f t="shared" si="705"/>
        <v>0.1023652255689781</v>
      </c>
      <c r="Z73" s="38">
        <f t="shared" si="705"/>
        <v>-2.6756423137363563E-2</v>
      </c>
      <c r="AA73" s="38">
        <f t="shared" ref="AA73" si="706">(AA67-AA66)/AA139</f>
        <v>0.10336974175290528</v>
      </c>
      <c r="AB73" s="39">
        <f t="shared" si="705"/>
        <v>0.19718364712555977</v>
      </c>
      <c r="AC73" s="39">
        <f t="shared" si="705"/>
        <v>0.40270716833694548</v>
      </c>
      <c r="AD73" s="39">
        <f t="shared" si="705"/>
        <v>0.43671269610514646</v>
      </c>
      <c r="AE73" s="39">
        <f t="shared" si="705"/>
        <v>0.40974497314343578</v>
      </c>
      <c r="AF73" s="38"/>
      <c r="AG73" s="38"/>
      <c r="AH73" s="38"/>
      <c r="AI73" s="38"/>
      <c r="AJ73" s="38"/>
      <c r="AK73" s="38"/>
      <c r="AL73" s="38">
        <f t="shared" ref="AL73:BQ73" si="707">(SUM(AI67:AL67)-SUM(AI66:AL66))/AL139</f>
        <v>0.2892057026476591</v>
      </c>
      <c r="AM73" s="38" t="e">
        <f t="shared" si="707"/>
        <v>#DIV/0!</v>
      </c>
      <c r="AN73" s="38">
        <f t="shared" si="707"/>
        <v>1.8374756861897563</v>
      </c>
      <c r="AO73" s="38" t="e">
        <f t="shared" si="707"/>
        <v>#DIV/0!</v>
      </c>
      <c r="AP73" s="38">
        <f t="shared" si="707"/>
        <v>14.156725888324694</v>
      </c>
      <c r="AQ73" s="38" t="e">
        <f t="shared" si="707"/>
        <v>#DIV/0!</v>
      </c>
      <c r="AR73" s="38">
        <f t="shared" si="707"/>
        <v>1.9428503675598738</v>
      </c>
      <c r="AS73" s="38" t="e">
        <f t="shared" si="707"/>
        <v>#DIV/0!</v>
      </c>
      <c r="AT73" s="38">
        <f t="shared" si="707"/>
        <v>0.50289389067524071</v>
      </c>
      <c r="AU73" s="38" t="e">
        <f t="shared" si="707"/>
        <v>#DIV/0!</v>
      </c>
      <c r="AV73" s="38">
        <f t="shared" si="707"/>
        <v>-1.3583154889364706</v>
      </c>
      <c r="AW73" s="38" t="e">
        <f t="shared" si="707"/>
        <v>#DIV/0!</v>
      </c>
      <c r="AX73" s="38">
        <f t="shared" si="707"/>
        <v>-0.11361511127735274</v>
      </c>
      <c r="AY73" s="38" t="e">
        <f t="shared" si="707"/>
        <v>#DIV/0!</v>
      </c>
      <c r="AZ73" s="38">
        <f t="shared" si="707"/>
        <v>-365.52380952370135</v>
      </c>
      <c r="BA73" s="38" t="e">
        <f t="shared" si="707"/>
        <v>#DIV/0!</v>
      </c>
      <c r="BB73" s="38">
        <f t="shared" si="707"/>
        <v>1.2648471615720542</v>
      </c>
      <c r="BC73" s="38" t="e">
        <f t="shared" si="707"/>
        <v>#DIV/0!</v>
      </c>
      <c r="BD73" s="38">
        <f t="shared" si="707"/>
        <v>4.1644925934114525</v>
      </c>
      <c r="BE73" s="38" t="e">
        <f t="shared" si="707"/>
        <v>#DIV/0!</v>
      </c>
      <c r="BF73" s="38">
        <f t="shared" si="707"/>
        <v>-6.7324649298597752</v>
      </c>
      <c r="BG73" s="38" t="e">
        <f t="shared" si="707"/>
        <v>#DIV/0!</v>
      </c>
      <c r="BH73" s="38">
        <f t="shared" si="707"/>
        <v>1.5119823619631907</v>
      </c>
      <c r="BI73" s="38" t="e">
        <f t="shared" si="707"/>
        <v>#DIV/0!</v>
      </c>
      <c r="BJ73" s="38">
        <f t="shared" si="707"/>
        <v>6.4060960029202434</v>
      </c>
      <c r="BK73" s="38" t="e">
        <f t="shared" si="707"/>
        <v>#DIV/0!</v>
      </c>
      <c r="BL73" s="38">
        <f t="shared" si="707"/>
        <v>3.5623723968966901</v>
      </c>
      <c r="BM73" s="38" t="e">
        <f t="shared" si="707"/>
        <v>#DIV/0!</v>
      </c>
      <c r="BN73" s="38">
        <f t="shared" si="707"/>
        <v>5.2461334511710112</v>
      </c>
      <c r="BO73" s="38" t="e">
        <f t="shared" si="707"/>
        <v>#DIV/0!</v>
      </c>
      <c r="BP73" s="38">
        <f t="shared" si="707"/>
        <v>0.99304393765959209</v>
      </c>
      <c r="BQ73" s="38" t="e">
        <f t="shared" si="707"/>
        <v>#DIV/0!</v>
      </c>
      <c r="BR73" s="38">
        <f t="shared" ref="BR73:CW73" si="708">(SUM(BO67:BR67)-SUM(BO66:BR66))/BR139</f>
        <v>3.2433035714285685</v>
      </c>
      <c r="BS73" s="38" t="e">
        <f t="shared" si="708"/>
        <v>#DIV/0!</v>
      </c>
      <c r="BT73" s="38">
        <f t="shared" si="708"/>
        <v>-2.9349704411095887</v>
      </c>
      <c r="BU73" s="38" t="e">
        <f t="shared" si="708"/>
        <v>#DIV/0!</v>
      </c>
      <c r="BV73" s="38">
        <f t="shared" si="708"/>
        <v>-1.8911980440097882</v>
      </c>
      <c r="BW73" s="38" t="e">
        <f t="shared" si="708"/>
        <v>#DIV/0!</v>
      </c>
      <c r="BX73" s="38">
        <f t="shared" si="708"/>
        <v>1.6300067888662586</v>
      </c>
      <c r="BY73" s="38" t="e">
        <f t="shared" si="708"/>
        <v>#DIV/0!</v>
      </c>
      <c r="BZ73" s="38">
        <f t="shared" si="708"/>
        <v>1.3158378433575009</v>
      </c>
      <c r="CA73" s="38" t="e">
        <f t="shared" si="708"/>
        <v>#DIV/0!</v>
      </c>
      <c r="CB73" s="38">
        <f t="shared" si="708"/>
        <v>4.6532073310423785</v>
      </c>
      <c r="CC73" s="38">
        <f t="shared" si="708"/>
        <v>0.14869531486527404</v>
      </c>
      <c r="CD73" s="38">
        <f t="shared" si="708"/>
        <v>0.11747771044272151</v>
      </c>
      <c r="CE73" s="38">
        <f t="shared" si="708"/>
        <v>9.8702390681020463E-2</v>
      </c>
      <c r="CF73" s="38">
        <f t="shared" si="708"/>
        <v>3.1410381978452431E-2</v>
      </c>
      <c r="CG73" s="38">
        <f t="shared" si="708"/>
        <v>-2.6741011883071437E-2</v>
      </c>
      <c r="CH73" s="38">
        <f t="shared" si="708"/>
        <v>-6.0089478439267617E-2</v>
      </c>
      <c r="CI73" s="38">
        <f t="shared" si="708"/>
        <v>-5.01982353841521E-2</v>
      </c>
      <c r="CJ73" s="38">
        <f t="shared" si="708"/>
        <v>2.9556836614536109E-2</v>
      </c>
      <c r="CK73" s="38">
        <f t="shared" si="708"/>
        <v>4.8589062737931926E-2</v>
      </c>
      <c r="CL73" s="38">
        <f t="shared" si="708"/>
        <v>8.3187512930737104E-2</v>
      </c>
      <c r="CM73" s="39">
        <f t="shared" si="708"/>
        <v>5.2465421917741818E-2</v>
      </c>
      <c r="CN73" s="39">
        <f t="shared" si="708"/>
        <v>0.10921464015062217</v>
      </c>
      <c r="CO73" s="39">
        <f t="shared" si="708"/>
        <v>0.19718364712555919</v>
      </c>
      <c r="CP73" s="39">
        <f t="shared" si="708"/>
        <v>0.24544442110970882</v>
      </c>
      <c r="CQ73" s="39">
        <f t="shared" si="708"/>
        <v>0.32457788711771662</v>
      </c>
      <c r="CR73" s="39">
        <f t="shared" si="708"/>
        <v>0.37269036487030427</v>
      </c>
      <c r="CS73" s="39">
        <f t="shared" si="708"/>
        <v>0.4027071683369452</v>
      </c>
      <c r="CT73" s="39">
        <f t="shared" si="708"/>
        <v>0.42736387530954278</v>
      </c>
      <c r="CU73" s="39">
        <f t="shared" si="708"/>
        <v>0.4444275408423638</v>
      </c>
      <c r="CV73" s="39">
        <f t="shared" si="708"/>
        <v>0.44155217153271326</v>
      </c>
      <c r="CW73" s="39">
        <f t="shared" si="708"/>
        <v>0.43671269610514601</v>
      </c>
      <c r="CX73" s="39">
        <f t="shared" ref="CX73:DA73" si="709">(SUM(CU67:CX67)-SUM(CU66:CX66))/CX139</f>
        <v>0.43535189169318517</v>
      </c>
      <c r="CY73" s="39">
        <f t="shared" si="709"/>
        <v>0.43319931967167891</v>
      </c>
      <c r="CZ73" s="39">
        <f t="shared" si="709"/>
        <v>0.42069530243146724</v>
      </c>
      <c r="DA73" s="39">
        <f t="shared" si="709"/>
        <v>0.40974497314343594</v>
      </c>
      <c r="DD73" s="119">
        <v>-8.4546311100959309E-2</v>
      </c>
      <c r="DE73" s="37">
        <v>0.17328332204314759</v>
      </c>
    </row>
    <row r="74" spans="1:109" s="37" customFormat="1" x14ac:dyDescent="0.2">
      <c r="A74" s="37" t="s">
        <v>351</v>
      </c>
      <c r="B74" s="38">
        <f t="shared" ref="B74:AE74" si="710">+B53/B148</f>
        <v>-8.5495679417790599E-2</v>
      </c>
      <c r="C74" s="38">
        <f t="shared" si="710"/>
        <v>0.14816691478910196</v>
      </c>
      <c r="D74" s="38" t="e">
        <f t="shared" si="710"/>
        <v>#DIV/0!</v>
      </c>
      <c r="E74" s="38" t="e">
        <f t="shared" si="710"/>
        <v>#DIV/0!</v>
      </c>
      <c r="F74" s="38" t="e">
        <f t="shared" si="710"/>
        <v>#DIV/0!</v>
      </c>
      <c r="G74" s="38" t="e">
        <f t="shared" si="710"/>
        <v>#DIV/0!</v>
      </c>
      <c r="H74" s="38" t="e">
        <f t="shared" si="710"/>
        <v>#DIV/0!</v>
      </c>
      <c r="I74" s="38" t="e">
        <f t="shared" si="710"/>
        <v>#DIV/0!</v>
      </c>
      <c r="J74" s="38" t="e">
        <f t="shared" si="710"/>
        <v>#DIV/0!</v>
      </c>
      <c r="K74" s="38" t="e">
        <f t="shared" si="710"/>
        <v>#DIV/0!</v>
      </c>
      <c r="L74" s="38" t="e">
        <f t="shared" si="710"/>
        <v>#DIV/0!</v>
      </c>
      <c r="M74" s="38" t="e">
        <f t="shared" si="710"/>
        <v>#DIV/0!</v>
      </c>
      <c r="N74" s="38" t="e">
        <f t="shared" si="710"/>
        <v>#DIV/0!</v>
      </c>
      <c r="O74" s="38" t="e">
        <f t="shared" si="710"/>
        <v>#DIV/0!</v>
      </c>
      <c r="P74" s="38" t="e">
        <f t="shared" si="710"/>
        <v>#DIV/0!</v>
      </c>
      <c r="Q74" s="38" t="e">
        <f t="shared" si="710"/>
        <v>#DIV/0!</v>
      </c>
      <c r="R74" s="38" t="e">
        <f t="shared" si="710"/>
        <v>#DIV/0!</v>
      </c>
      <c r="S74" s="38" t="e">
        <f t="shared" si="710"/>
        <v>#DIV/0!</v>
      </c>
      <c r="T74" s="38" t="e">
        <f t="shared" si="710"/>
        <v>#DIV/0!</v>
      </c>
      <c r="U74" s="38" t="e">
        <f t="shared" si="710"/>
        <v>#DIV/0!</v>
      </c>
      <c r="V74" s="38" t="e">
        <f t="shared" si="710"/>
        <v>#DIV/0!</v>
      </c>
      <c r="W74" s="38" t="e">
        <f t="shared" si="710"/>
        <v>#DIV/0!</v>
      </c>
      <c r="X74" s="38" t="e">
        <f t="shared" si="710"/>
        <v>#DIV/0!</v>
      </c>
      <c r="Y74" s="38">
        <f t="shared" si="710"/>
        <v>0.10178289538729206</v>
      </c>
      <c r="Z74" s="38">
        <f t="shared" si="710"/>
        <v>-4.8523079844714281E-2</v>
      </c>
      <c r="AA74" s="38">
        <f t="shared" ref="AA74" si="711">+AA53/AA148</f>
        <v>7.7516004524522994E-2</v>
      </c>
      <c r="AB74" s="39">
        <f t="shared" si="710"/>
        <v>0.21435848387427395</v>
      </c>
      <c r="AC74" s="39">
        <f t="shared" si="710"/>
        <v>0.49807210335721069</v>
      </c>
      <c r="AD74" s="39">
        <f t="shared" si="710"/>
        <v>0.54500449085573521</v>
      </c>
      <c r="AE74" s="39">
        <f t="shared" si="710"/>
        <v>0.50962913462740123</v>
      </c>
      <c r="AF74" s="38"/>
      <c r="AG74" s="38"/>
      <c r="AH74" s="38"/>
      <c r="AI74" s="38"/>
      <c r="AJ74" s="38"/>
      <c r="AK74" s="38"/>
      <c r="AL74" s="38">
        <f t="shared" ref="AL74:BQ74" si="712">+SUM(AI53:AL53)/AL148</f>
        <v>1.8609252254873374</v>
      </c>
      <c r="AM74" s="38" t="e">
        <f t="shared" si="712"/>
        <v>#DIV/0!</v>
      </c>
      <c r="AN74" s="38">
        <f t="shared" si="712"/>
        <v>2.1793818889129035</v>
      </c>
      <c r="AO74" s="38" t="e">
        <f t="shared" si="712"/>
        <v>#DIV/0!</v>
      </c>
      <c r="AP74" s="38">
        <f t="shared" si="712"/>
        <v>22.120558375634246</v>
      </c>
      <c r="AQ74" s="38" t="e">
        <f t="shared" si="712"/>
        <v>#DIV/0!</v>
      </c>
      <c r="AR74" s="38">
        <f t="shared" si="712"/>
        <v>-2.7782783969646681</v>
      </c>
      <c r="AS74" s="38" t="e">
        <f t="shared" si="712"/>
        <v>#DIV/0!</v>
      </c>
      <c r="AT74" s="38">
        <f t="shared" si="712"/>
        <v>-1.9209003215434108</v>
      </c>
      <c r="AU74" s="38" t="e">
        <f t="shared" si="712"/>
        <v>#DIV/0!</v>
      </c>
      <c r="AV74" s="38">
        <f t="shared" si="712"/>
        <v>2.5496074232690962</v>
      </c>
      <c r="AW74" s="38" t="e">
        <f t="shared" si="712"/>
        <v>#DIV/0!</v>
      </c>
      <c r="AX74" s="38">
        <f t="shared" si="712"/>
        <v>-0.13876940340377883</v>
      </c>
      <c r="AY74" s="38" t="e">
        <f t="shared" si="712"/>
        <v>#DIV/0!</v>
      </c>
      <c r="AZ74" s="38">
        <f t="shared" si="712"/>
        <v>-479.47619047604849</v>
      </c>
      <c r="BA74" s="38" t="e">
        <f t="shared" si="712"/>
        <v>#DIV/0!</v>
      </c>
      <c r="BB74" s="38">
        <f t="shared" si="712"/>
        <v>-1.1438864628820973</v>
      </c>
      <c r="BC74" s="38" t="e">
        <f t="shared" si="712"/>
        <v>#DIV/0!</v>
      </c>
      <c r="BD74" s="38">
        <f t="shared" si="712"/>
        <v>1.437099270395755</v>
      </c>
      <c r="BE74" s="38" t="e">
        <f t="shared" si="712"/>
        <v>#DIV/0!</v>
      </c>
      <c r="BF74" s="38">
        <f t="shared" si="712"/>
        <v>2.1152304609218504</v>
      </c>
      <c r="BG74" s="38" t="e">
        <f t="shared" si="712"/>
        <v>#DIV/0!</v>
      </c>
      <c r="BH74" s="38">
        <f t="shared" si="712"/>
        <v>-5.2914110429447131E-2</v>
      </c>
      <c r="BI74" s="38" t="e">
        <f t="shared" si="712"/>
        <v>#DIV/0!</v>
      </c>
      <c r="BJ74" s="38">
        <f t="shared" si="712"/>
        <v>4.7129038145647018</v>
      </c>
      <c r="BK74" s="38" t="e">
        <f t="shared" si="712"/>
        <v>#DIV/0!</v>
      </c>
      <c r="BL74" s="38">
        <f t="shared" si="712"/>
        <v>3.8173744385463437</v>
      </c>
      <c r="BM74" s="38" t="e">
        <f t="shared" si="712"/>
        <v>#DIV/0!</v>
      </c>
      <c r="BN74" s="38">
        <f t="shared" si="712"/>
        <v>3.6374281926646042</v>
      </c>
      <c r="BO74" s="38" t="e">
        <f t="shared" si="712"/>
        <v>#DIV/0!</v>
      </c>
      <c r="BP74" s="38">
        <f t="shared" si="712"/>
        <v>1.7257198203750979</v>
      </c>
      <c r="BQ74" s="38" t="e">
        <f t="shared" si="712"/>
        <v>#DIV/0!</v>
      </c>
      <c r="BR74" s="38">
        <f t="shared" ref="BR74:CW74" si="713">+SUM(BO53:BR53)/BR148</f>
        <v>3.6071428571428541</v>
      </c>
      <c r="BS74" s="38" t="e">
        <f t="shared" si="713"/>
        <v>#DIV/0!</v>
      </c>
      <c r="BT74" s="38">
        <f t="shared" si="713"/>
        <v>-3.5970895861755272</v>
      </c>
      <c r="BU74" s="38" t="e">
        <f t="shared" si="713"/>
        <v>#DIV/0!</v>
      </c>
      <c r="BV74" s="38">
        <f t="shared" si="713"/>
        <v>-1.966585167074173</v>
      </c>
      <c r="BW74" s="38" t="e">
        <f t="shared" si="713"/>
        <v>#DIV/0!</v>
      </c>
      <c r="BX74" s="38">
        <f t="shared" si="713"/>
        <v>3.3638832315003384</v>
      </c>
      <c r="BY74" s="38" t="e">
        <f t="shared" si="713"/>
        <v>#DIV/0!</v>
      </c>
      <c r="BZ74" s="38">
        <f t="shared" si="713"/>
        <v>0.15296640457469726</v>
      </c>
      <c r="CA74" s="38" t="e">
        <f t="shared" si="713"/>
        <v>#DIV/0!</v>
      </c>
      <c r="CB74" s="38">
        <f t="shared" si="713"/>
        <v>3.7454180985108785</v>
      </c>
      <c r="CC74" s="38">
        <f t="shared" si="713"/>
        <v>0.14707746745382991</v>
      </c>
      <c r="CD74" s="38">
        <f t="shared" si="713"/>
        <v>0.11922180725637289</v>
      </c>
      <c r="CE74" s="38">
        <f t="shared" si="713"/>
        <v>8.8891198269224356E-2</v>
      </c>
      <c r="CF74" s="38">
        <f t="shared" si="713"/>
        <v>1.859451518119485E-2</v>
      </c>
      <c r="CG74" s="38">
        <f t="shared" si="713"/>
        <v>-4.8510651413833539E-2</v>
      </c>
      <c r="CH74" s="38">
        <f t="shared" si="713"/>
        <v>-8.6512303159288054E-2</v>
      </c>
      <c r="CI74" s="38">
        <f t="shared" si="713"/>
        <v>-7.7911690209690146E-2</v>
      </c>
      <c r="CJ74" s="38">
        <f t="shared" si="713"/>
        <v>1.9394013912993956E-2</v>
      </c>
      <c r="CK74" s="38">
        <f t="shared" si="713"/>
        <v>-8.1117709760925999E-2</v>
      </c>
      <c r="CL74" s="38">
        <f t="shared" si="713"/>
        <v>-5.2612123859221746E-2</v>
      </c>
      <c r="CM74" s="39">
        <f t="shared" si="713"/>
        <v>-9.7783647943045893E-2</v>
      </c>
      <c r="CN74" s="39">
        <f t="shared" si="713"/>
        <v>-7.3192357361122878E-3</v>
      </c>
      <c r="CO74" s="39">
        <f t="shared" si="713"/>
        <v>0.21435848387427339</v>
      </c>
      <c r="CP74" s="39">
        <f t="shared" si="713"/>
        <v>0.28712060974933146</v>
      </c>
      <c r="CQ74" s="39">
        <f t="shared" si="713"/>
        <v>0.38965307007445099</v>
      </c>
      <c r="CR74" s="39">
        <f t="shared" si="713"/>
        <v>0.45659796067807257</v>
      </c>
      <c r="CS74" s="39">
        <f t="shared" si="713"/>
        <v>0.49807210335721042</v>
      </c>
      <c r="CT74" s="39">
        <f t="shared" si="713"/>
        <v>0.53072535803004628</v>
      </c>
      <c r="CU74" s="39">
        <f t="shared" si="713"/>
        <v>0.55284290389486757</v>
      </c>
      <c r="CV74" s="39">
        <f t="shared" si="713"/>
        <v>0.55067647628171101</v>
      </c>
      <c r="CW74" s="39">
        <f t="shared" si="713"/>
        <v>0.54500449085573466</v>
      </c>
      <c r="CX74" s="39">
        <f t="shared" ref="CX74:DA74" si="714">+SUM(CU53:CX53)/CX148</f>
        <v>0.54287435759732838</v>
      </c>
      <c r="CY74" s="39">
        <f t="shared" si="714"/>
        <v>0.53939896538054677</v>
      </c>
      <c r="CZ74" s="39">
        <f t="shared" si="714"/>
        <v>0.52377345204180537</v>
      </c>
      <c r="DA74" s="39">
        <f t="shared" si="714"/>
        <v>0.50962913462740145</v>
      </c>
      <c r="DD74" s="119">
        <v>-0.23667723085122577</v>
      </c>
      <c r="DE74" s="37">
        <v>0.14652673806168243</v>
      </c>
    </row>
    <row r="75" spans="1:109" s="1" customFormat="1" x14ac:dyDescent="0.2">
      <c r="A75" s="142" t="s">
        <v>488</v>
      </c>
      <c r="AB75" s="19"/>
      <c r="AC75" s="19"/>
      <c r="AD75" s="19"/>
      <c r="AE75" s="19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D75" s="117"/>
    </row>
    <row r="76" spans="1:109" s="8" customFormat="1" x14ac:dyDescent="0.2">
      <c r="A76" s="12" t="s">
        <v>26</v>
      </c>
      <c r="AB76" s="57"/>
      <c r="AC76" s="57"/>
      <c r="AD76" s="57"/>
      <c r="AE76" s="57"/>
      <c r="CM76" s="53"/>
      <c r="CN76" s="53"/>
      <c r="CO76" s="53"/>
      <c r="CP76" s="53"/>
      <c r="CQ76" s="53"/>
      <c r="CR76" s="53"/>
      <c r="CS76" s="53"/>
      <c r="CT76" s="53"/>
      <c r="CU76" s="53"/>
      <c r="CV76" s="53"/>
      <c r="CW76" s="53"/>
      <c r="CX76" s="53"/>
      <c r="CY76" s="53"/>
      <c r="CZ76" s="53"/>
      <c r="DA76" s="53"/>
      <c r="DD76" s="125"/>
    </row>
    <row r="77" spans="1:109" s="9" customFormat="1" x14ac:dyDescent="0.2">
      <c r="A77" s="9" t="s">
        <v>452</v>
      </c>
      <c r="N77" s="9">
        <f>N29-SUM(AI29:AL29)</f>
        <v>-530.07799999999997</v>
      </c>
      <c r="R77" s="9">
        <f>R29-SUM(AX29:BA29)</f>
        <v>-175.26500000000001</v>
      </c>
      <c r="S77" s="9">
        <f>S29-SUM(BB29:BE29)</f>
        <v>-271.30200000000002</v>
      </c>
      <c r="T77" s="9">
        <f>T29-SUM(BF29:BI29)</f>
        <v>-448.87700000000001</v>
      </c>
      <c r="U77" s="9">
        <f>U29-SUM(BJ29:BM29)</f>
        <v>-432.29599999999999</v>
      </c>
      <c r="V77" s="9">
        <f>V29-SUM(BN29:BQ29)</f>
        <v>-198.27799999999999</v>
      </c>
      <c r="W77" s="9">
        <f>W29-SUM(BR29:BU29)</f>
        <v>-381.35</v>
      </c>
      <c r="X77" s="9">
        <f>X29-SUM(BV29:BY29)</f>
        <v>-354.36599999999999</v>
      </c>
      <c r="Y77" s="9">
        <f>Y29-SUM(BZ29:CC29)</f>
        <v>-192.60670000000005</v>
      </c>
      <c r="Z77" s="9">
        <f>Z29-SUM(CD29:CG29)</f>
        <v>-1.0000000000331966E-3</v>
      </c>
      <c r="AA77" s="9">
        <f>AA29-SUM(CE29:CH29)</f>
        <v>-104.96819999999997</v>
      </c>
      <c r="AB77" s="71">
        <f>AB29-SUM(CL29:CO29)</f>
        <v>0</v>
      </c>
      <c r="AC77" s="71">
        <f>AC29-SUM(CP29:CS29)</f>
        <v>0</v>
      </c>
      <c r="AD77" s="71">
        <f>AD29-SUM(CT29:CW29)</f>
        <v>0</v>
      </c>
      <c r="AE77" s="71">
        <f>AE29-SUM(CX29:DA29)</f>
        <v>0</v>
      </c>
      <c r="CM77" s="58"/>
      <c r="CN77" s="58"/>
      <c r="CO77" s="58"/>
      <c r="CP77" s="58"/>
      <c r="CQ77" s="58"/>
      <c r="CR77" s="58"/>
      <c r="CS77" s="58"/>
      <c r="CT77" s="58"/>
      <c r="CU77" s="58"/>
      <c r="CV77" s="58"/>
      <c r="CW77" s="58"/>
      <c r="CX77" s="58"/>
      <c r="CY77" s="58"/>
      <c r="CZ77" s="58"/>
      <c r="DA77" s="58"/>
      <c r="DD77" s="126">
        <v>333.60349999999994</v>
      </c>
    </row>
    <row r="78" spans="1:109" s="9" customFormat="1" x14ac:dyDescent="0.2">
      <c r="A78" s="9" t="s">
        <v>453</v>
      </c>
      <c r="N78" s="9">
        <f>N35-SUM(AI35:AL35)</f>
        <v>-150.69999999999999</v>
      </c>
      <c r="R78" s="9">
        <f>R35-SUM(AX35:BA35)</f>
        <v>-88.682000000000002</v>
      </c>
      <c r="S78" s="9">
        <f>S35-SUM(BB35:BE35)</f>
        <v>-99.611999999999995</v>
      </c>
      <c r="T78" s="9">
        <f>T35-SUM(BF35:BI35)</f>
        <v>-144.327</v>
      </c>
      <c r="U78" s="9">
        <f>U35-SUM(BJ35:BM35)</f>
        <v>-180.97899999999998</v>
      </c>
      <c r="V78" s="9">
        <f>V35-SUM(BN35:BQ35)</f>
        <v>-81.093000000000018</v>
      </c>
      <c r="W78" s="9">
        <f>W35-SUM(BR35:BU35)</f>
        <v>-106.104</v>
      </c>
      <c r="X78" s="9">
        <f>X35-SUM(BV35:BY35)</f>
        <v>-148.54700000000003</v>
      </c>
      <c r="Y78" s="9">
        <f>Y35-SUM(BZ35:CC35)</f>
        <v>-688.0972999999999</v>
      </c>
      <c r="Z78" s="9">
        <f>Z35-SUM(CD35:CG35)</f>
        <v>-246.14369999999997</v>
      </c>
      <c r="AA78" s="9">
        <f>AA35-SUM(CE35:CH35)</f>
        <v>-168.61840000000001</v>
      </c>
      <c r="AB78" s="71">
        <f>AB35-SUM(CL35:CO35)</f>
        <v>0</v>
      </c>
      <c r="AC78" s="71">
        <f>AC35-SUM(CP35:CS35)</f>
        <v>0</v>
      </c>
      <c r="AD78" s="71">
        <f>AD35-SUM(CT35:CW35)</f>
        <v>0</v>
      </c>
      <c r="AE78" s="71">
        <f>AE35-SUM(CX35:DA35)</f>
        <v>0</v>
      </c>
      <c r="CM78" s="58"/>
      <c r="CN78" s="58"/>
      <c r="CO78" s="58"/>
      <c r="CP78" s="58"/>
      <c r="CQ78" s="58"/>
      <c r="CR78" s="58"/>
      <c r="CS78" s="58"/>
      <c r="CT78" s="58"/>
      <c r="CU78" s="58"/>
      <c r="CV78" s="58"/>
      <c r="CW78" s="58"/>
      <c r="CX78" s="58"/>
      <c r="CY78" s="58"/>
      <c r="CZ78" s="58"/>
      <c r="DA78" s="58"/>
      <c r="DD78" s="126">
        <v>81.770500000000027</v>
      </c>
    </row>
    <row r="79" spans="1:109" s="9" customFormat="1" x14ac:dyDescent="0.2">
      <c r="A79" s="9" t="s">
        <v>454</v>
      </c>
      <c r="N79" s="9">
        <f>N47-SUM(AI47:AL47)</f>
        <v>1.7920000000000087</v>
      </c>
      <c r="R79" s="9">
        <f>R47-SUM(AX47:BA47)</f>
        <v>1.9749999999999925</v>
      </c>
      <c r="S79" s="9">
        <f>S47-SUM(BB47:BE47)</f>
        <v>-8.4959999999999951</v>
      </c>
      <c r="T79" s="9">
        <f>T47-SUM(BF47:BI47)</f>
        <v>-24.063999999999986</v>
      </c>
      <c r="U79" s="9">
        <f>U47-SUM(BJ47:BM47)</f>
        <v>-24.754999999999988</v>
      </c>
      <c r="V79" s="9">
        <f>V47-SUM(BN47:BQ47)</f>
        <v>18.401999999999994</v>
      </c>
      <c r="W79" s="9">
        <f>W47-SUM(BR47:BU47)</f>
        <v>-1.5659999999999989</v>
      </c>
      <c r="X79" s="9">
        <f>X47-SUM(BV47:BY47)</f>
        <v>3.7539999999999907</v>
      </c>
      <c r="Y79" s="9">
        <f>Y47-SUM(BZ47:CC47)</f>
        <v>-11.349500000000035</v>
      </c>
      <c r="Z79" s="9">
        <f>Z47-SUM(CD47:CG47)</f>
        <v>-1.9999999999953388E-3</v>
      </c>
      <c r="AA79" s="9">
        <f>AA47-SUM(CE47:CH47)</f>
        <v>32.476200000000006</v>
      </c>
      <c r="AB79" s="71">
        <f>AB47-SUM(CL47:CO47)</f>
        <v>1.4210854715202004E-13</v>
      </c>
      <c r="AC79" s="71">
        <f>AC47-SUM(CP47:CS47)</f>
        <v>0</v>
      </c>
      <c r="AD79" s="71">
        <f>AD47-SUM(CT47:CW47)</f>
        <v>4.5474735088646412E-13</v>
      </c>
      <c r="AE79" s="71">
        <f>AE47-SUM(CX47:DA47)</f>
        <v>0</v>
      </c>
      <c r="CM79" s="58"/>
      <c r="CN79" s="58"/>
      <c r="CO79" s="58"/>
      <c r="CP79" s="58"/>
      <c r="CQ79" s="58"/>
      <c r="CR79" s="58"/>
      <c r="CS79" s="58"/>
      <c r="CT79" s="58"/>
      <c r="CU79" s="58"/>
      <c r="CV79" s="58"/>
      <c r="CW79" s="58"/>
      <c r="CX79" s="58"/>
      <c r="CY79" s="58"/>
      <c r="CZ79" s="58"/>
      <c r="DA79" s="58"/>
      <c r="DD79" s="126">
        <v>-30.755099999999956</v>
      </c>
    </row>
    <row r="80" spans="1:109" s="9" customFormat="1" x14ac:dyDescent="0.2">
      <c r="A80" s="9" t="s">
        <v>455</v>
      </c>
      <c r="N80" s="9">
        <f>N67-SUM(AI67:AL67)</f>
        <v>0.9940000000000091</v>
      </c>
      <c r="R80" s="9">
        <f>R60-SUM(AX60:BA60)</f>
        <v>2.4319999999999915</v>
      </c>
      <c r="S80" s="9">
        <f>S60-SUM(BB60:BE60)</f>
        <v>-12.296999999999995</v>
      </c>
      <c r="T80" s="9">
        <f>T60-SUM(BF60:BI60)</f>
        <v>-28.621999999999986</v>
      </c>
      <c r="U80" s="9">
        <f>U60-SUM(BJ60:BM60)</f>
        <v>-24.696999999999989</v>
      </c>
      <c r="V80" s="9">
        <f>V60-SUM(BN60:BQ60)</f>
        <v>15.573999999999991</v>
      </c>
      <c r="W80" s="9">
        <f>W60-SUM(BR60:BU60)</f>
        <v>1.8650000000000029</v>
      </c>
      <c r="X80" s="9">
        <f>X60-SUM(BV60:BY60)</f>
        <v>-0.63900000000001178</v>
      </c>
      <c r="Y80" s="9">
        <f>Y60-SUM(BZ60:CC60)</f>
        <v>-9.7938000000000329</v>
      </c>
      <c r="Z80" s="9">
        <f>Z60-SUM(CD60:CG60)</f>
        <v>-3.0999999999936634E-3</v>
      </c>
      <c r="AA80" s="9">
        <f>AA60-SUM(CE60:CH60)</f>
        <v>33.634500000000003</v>
      </c>
      <c r="AB80" s="71">
        <f>AB60-SUM(CL60:CO60)</f>
        <v>1.4210854715202004E-13</v>
      </c>
      <c r="AC80" s="71">
        <f>AC60-SUM(CP60:CS60)</f>
        <v>0</v>
      </c>
      <c r="AD80" s="71">
        <f>AD60-SUM(CT60:CW60)</f>
        <v>0</v>
      </c>
      <c r="AE80" s="71">
        <f>AE60-SUM(CX60:DA60)</f>
        <v>0</v>
      </c>
      <c r="CM80" s="58"/>
      <c r="CN80" s="58"/>
      <c r="CO80" s="58"/>
      <c r="CP80" s="58"/>
      <c r="CQ80" s="58"/>
      <c r="CR80" s="58"/>
      <c r="CS80" s="58"/>
      <c r="CT80" s="58"/>
      <c r="CU80" s="58"/>
      <c r="CV80" s="58"/>
      <c r="CW80" s="58"/>
      <c r="CX80" s="58"/>
      <c r="CY80" s="58"/>
      <c r="CZ80" s="58"/>
      <c r="DA80" s="58"/>
      <c r="DD80" s="126">
        <v>-27.977599999999956</v>
      </c>
    </row>
    <row r="81" spans="1:109" s="8" customFormat="1" x14ac:dyDescent="0.2">
      <c r="A81" s="141" t="s">
        <v>489</v>
      </c>
      <c r="AB81" s="57"/>
      <c r="AC81" s="57"/>
      <c r="AD81" s="57"/>
      <c r="AE81" s="57"/>
      <c r="CM81" s="53"/>
      <c r="CN81" s="53"/>
      <c r="CO81" s="53"/>
      <c r="CP81" s="53"/>
      <c r="CQ81" s="53"/>
      <c r="CR81" s="53"/>
      <c r="CS81" s="53"/>
      <c r="CT81" s="53"/>
      <c r="CU81" s="53"/>
      <c r="CV81" s="53"/>
      <c r="CW81" s="53"/>
      <c r="CX81" s="53"/>
      <c r="CY81" s="53"/>
      <c r="CZ81" s="53"/>
      <c r="DA81" s="53"/>
      <c r="DD81" s="125"/>
    </row>
    <row r="82" spans="1:109" s="3" customFormat="1" x14ac:dyDescent="0.2">
      <c r="A82" s="3" t="s">
        <v>27</v>
      </c>
      <c r="B82" s="3">
        <f>'Annual Raw'!C104</f>
        <v>4.9378130000000002</v>
      </c>
      <c r="C82" s="3">
        <f>'Annual Raw'!D104</f>
        <v>4.9378130000000002</v>
      </c>
      <c r="D82" s="3">
        <f>'Annual Raw'!E104</f>
        <v>0</v>
      </c>
      <c r="E82" s="3">
        <f t="shared" ref="E82:Y82" ca="1" si="715">+F82</f>
        <v>0</v>
      </c>
      <c r="F82" s="3">
        <f t="shared" ca="1" si="715"/>
        <v>0</v>
      </c>
      <c r="G82" s="3">
        <f t="shared" ca="1" si="715"/>
        <v>0</v>
      </c>
      <c r="H82" s="3">
        <f t="shared" ca="1" si="715"/>
        <v>0</v>
      </c>
      <c r="I82" s="3">
        <f t="shared" ca="1" si="715"/>
        <v>0</v>
      </c>
      <c r="J82" s="3">
        <f t="shared" ca="1" si="715"/>
        <v>0</v>
      </c>
      <c r="K82" s="3">
        <f t="shared" ca="1" si="715"/>
        <v>0</v>
      </c>
      <c r="L82" s="3">
        <f t="shared" ca="1" si="715"/>
        <v>0</v>
      </c>
      <c r="M82" s="3">
        <f t="shared" ca="1" si="715"/>
        <v>0</v>
      </c>
      <c r="N82" s="3">
        <f t="shared" ca="1" si="715"/>
        <v>0</v>
      </c>
      <c r="O82" s="3">
        <f t="shared" ca="1" si="715"/>
        <v>0</v>
      </c>
      <c r="P82" s="3">
        <f t="shared" ca="1" si="715"/>
        <v>0</v>
      </c>
      <c r="Q82" s="3">
        <f t="shared" ca="1" si="715"/>
        <v>0</v>
      </c>
      <c r="R82" s="3">
        <f t="shared" ca="1" si="715"/>
        <v>0</v>
      </c>
      <c r="S82" s="3">
        <f t="shared" ca="1" si="715"/>
        <v>0</v>
      </c>
      <c r="T82" s="3">
        <f t="shared" ca="1" si="715"/>
        <v>0</v>
      </c>
      <c r="U82" s="3">
        <f t="shared" ca="1" si="715"/>
        <v>0</v>
      </c>
      <c r="V82" s="3">
        <f t="shared" ca="1" si="715"/>
        <v>0</v>
      </c>
      <c r="W82" s="3">
        <f t="shared" ca="1" si="715"/>
        <v>0</v>
      </c>
      <c r="X82" s="3">
        <f t="shared" ca="1" si="715"/>
        <v>0</v>
      </c>
      <c r="Y82" s="3">
        <f t="shared" ca="1" si="715"/>
        <v>0</v>
      </c>
      <c r="Z82" s="3">
        <f ca="1">+AA82</f>
        <v>0</v>
      </c>
      <c r="AA82" s="3">
        <f ca="1">+AB82</f>
        <v>0</v>
      </c>
      <c r="AB82" s="36">
        <f t="shared" ref="AB82:AB83" ca="1" si="716">AA82</f>
        <v>0</v>
      </c>
      <c r="AC82" s="36">
        <f t="shared" ref="AC82:AC83" ca="1" si="717">AB82</f>
        <v>0</v>
      </c>
      <c r="AD82" s="36">
        <f t="shared" ref="AD82:AD83" ca="1" si="718">AC82</f>
        <v>0</v>
      </c>
      <c r="AE82" s="36">
        <f t="shared" ref="AE82:AE83" ca="1" si="719">AD82</f>
        <v>0</v>
      </c>
      <c r="AI82" s="3">
        <f t="shared" ref="AI82:CH82" si="720">+AJ82</f>
        <v>4.9379999999999997</v>
      </c>
      <c r="AJ82" s="3">
        <f t="shared" si="720"/>
        <v>4.9379999999999997</v>
      </c>
      <c r="AK82" s="3">
        <f t="shared" si="720"/>
        <v>4.9379999999999997</v>
      </c>
      <c r="AL82" s="3">
        <f t="shared" si="720"/>
        <v>4.9379999999999997</v>
      </c>
      <c r="AM82" s="3">
        <f t="shared" si="720"/>
        <v>4.9379999999999997</v>
      </c>
      <c r="AN82" s="3">
        <f t="shared" si="720"/>
        <v>4.9379999999999997</v>
      </c>
      <c r="AO82" s="3">
        <f t="shared" si="720"/>
        <v>4.9379999999999997</v>
      </c>
      <c r="AP82" s="3">
        <f t="shared" si="720"/>
        <v>4.9379999999999997</v>
      </c>
      <c r="AQ82" s="3">
        <f t="shared" si="720"/>
        <v>4.9379999999999997</v>
      </c>
      <c r="AR82" s="3">
        <f t="shared" si="720"/>
        <v>4.9379999999999997</v>
      </c>
      <c r="AS82" s="3">
        <f t="shared" si="720"/>
        <v>4.9379999999999997</v>
      </c>
      <c r="AT82" s="3">
        <f t="shared" si="720"/>
        <v>4.9379999999999997</v>
      </c>
      <c r="AU82" s="3">
        <f t="shared" si="720"/>
        <v>4.9379999999999997</v>
      </c>
      <c r="AV82" s="3">
        <f t="shared" si="720"/>
        <v>4.9379999999999997</v>
      </c>
      <c r="AW82" s="3">
        <f t="shared" si="720"/>
        <v>4.9379999999999997</v>
      </c>
      <c r="AX82" s="3">
        <f t="shared" si="720"/>
        <v>4.9379999999999997</v>
      </c>
      <c r="AY82" s="3">
        <f t="shared" si="720"/>
        <v>4.9379999999999997</v>
      </c>
      <c r="AZ82" s="3">
        <f t="shared" si="720"/>
        <v>4.9379999999999997</v>
      </c>
      <c r="BA82" s="3">
        <f t="shared" si="720"/>
        <v>4.9379999999999997</v>
      </c>
      <c r="BB82" s="3">
        <f t="shared" si="720"/>
        <v>4.9379999999999997</v>
      </c>
      <c r="BC82" s="3">
        <f t="shared" si="720"/>
        <v>4.9379999999999997</v>
      </c>
      <c r="BD82" s="3">
        <f t="shared" si="720"/>
        <v>4.9379999999999997</v>
      </c>
      <c r="BE82" s="3">
        <f t="shared" si="720"/>
        <v>4.9379999999999997</v>
      </c>
      <c r="BF82" s="3">
        <f t="shared" si="720"/>
        <v>4.9379999999999997</v>
      </c>
      <c r="BG82" s="3">
        <f t="shared" si="720"/>
        <v>4.9379999999999997</v>
      </c>
      <c r="BH82" s="3">
        <f t="shared" si="720"/>
        <v>4.9379999999999997</v>
      </c>
      <c r="BI82" s="3">
        <f t="shared" si="720"/>
        <v>4.9379999999999997</v>
      </c>
      <c r="BJ82" s="3">
        <f t="shared" si="720"/>
        <v>4.9379999999999997</v>
      </c>
      <c r="BK82" s="3">
        <f t="shared" si="720"/>
        <v>4.9379999999999997</v>
      </c>
      <c r="BL82" s="3">
        <f t="shared" si="720"/>
        <v>4.9379999999999997</v>
      </c>
      <c r="BM82" s="3">
        <f t="shared" si="720"/>
        <v>4.9379999999999997</v>
      </c>
      <c r="BN82" s="3">
        <f t="shared" si="720"/>
        <v>4.9379999999999997</v>
      </c>
      <c r="BO82" s="3">
        <f t="shared" si="720"/>
        <v>4.9379999999999997</v>
      </c>
      <c r="BP82" s="3">
        <f t="shared" si="720"/>
        <v>4.9379999999999997</v>
      </c>
      <c r="BQ82" s="3">
        <f t="shared" si="720"/>
        <v>4.9379999999999997</v>
      </c>
      <c r="BR82" s="3">
        <f t="shared" si="720"/>
        <v>4.9379999999999997</v>
      </c>
      <c r="BS82" s="3">
        <f t="shared" si="720"/>
        <v>4.9379999999999997</v>
      </c>
      <c r="BT82" s="3">
        <f t="shared" si="720"/>
        <v>4.9379999999999997</v>
      </c>
      <c r="BU82" s="3">
        <f t="shared" si="720"/>
        <v>4.9379999999999997</v>
      </c>
      <c r="BV82" s="3">
        <f t="shared" si="720"/>
        <v>4.9379999999999997</v>
      </c>
      <c r="BW82" s="3">
        <f t="shared" si="720"/>
        <v>4.9379999999999997</v>
      </c>
      <c r="BX82" s="3">
        <f t="shared" si="720"/>
        <v>4.9379999999999997</v>
      </c>
      <c r="BY82" s="3">
        <f t="shared" si="720"/>
        <v>4.9379999999999997</v>
      </c>
      <c r="BZ82" s="3">
        <f t="shared" si="720"/>
        <v>4.9379999999999997</v>
      </c>
      <c r="CA82" s="3">
        <f t="shared" si="720"/>
        <v>4.9379999999999997</v>
      </c>
      <c r="CB82" s="3">
        <f t="shared" si="720"/>
        <v>4.9379999999999997</v>
      </c>
      <c r="CC82" s="3">
        <f t="shared" si="720"/>
        <v>4.9379999999999997</v>
      </c>
      <c r="CD82" s="3">
        <f t="shared" si="720"/>
        <v>4.9379999999999997</v>
      </c>
      <c r="CE82" s="3">
        <f t="shared" si="720"/>
        <v>4.9379999999999997</v>
      </c>
      <c r="CF82" s="3">
        <f t="shared" si="720"/>
        <v>4.9379999999999997</v>
      </c>
      <c r="CG82" s="3">
        <f t="shared" si="720"/>
        <v>4.9379999999999997</v>
      </c>
      <c r="CH82" s="3">
        <f t="shared" si="720"/>
        <v>4.9379999999999997</v>
      </c>
      <c r="CI82" s="3">
        <f>+CJ82</f>
        <v>4.9379999999999997</v>
      </c>
      <c r="CJ82" s="3">
        <f>'QTR Raw'!BD45</f>
        <v>4.9379999999999997</v>
      </c>
      <c r="CK82" s="3">
        <f>'QTR Raw'!BE45</f>
        <v>4.9379999999999997</v>
      </c>
      <c r="CL82" s="3">
        <f>'QTR Raw'!BF45</f>
        <v>4.9379999999999997</v>
      </c>
      <c r="CM82" s="36">
        <v>5.2890699999999997</v>
      </c>
      <c r="CN82" s="36">
        <f t="shared" ref="CN82:CN83" si="721">+CM82</f>
        <v>5.2890699999999997</v>
      </c>
      <c r="CO82" s="36">
        <f t="shared" ref="CO82:CO83" si="722">+CN82</f>
        <v>5.2890699999999997</v>
      </c>
      <c r="CP82" s="36">
        <f t="shared" ref="CP82:CP83" si="723">+CO82</f>
        <v>5.2890699999999997</v>
      </c>
      <c r="CQ82" s="36">
        <f t="shared" ref="CQ82:CQ83" si="724">+CP82</f>
        <v>5.2890699999999997</v>
      </c>
      <c r="CR82" s="36">
        <f t="shared" ref="CR82:CR83" si="725">+CQ82</f>
        <v>5.2890699999999997</v>
      </c>
      <c r="CS82" s="36">
        <f t="shared" ref="CS82:CS83" si="726">+CR82</f>
        <v>5.2890699999999997</v>
      </c>
      <c r="CT82" s="36">
        <f t="shared" ref="CT82:CT83" si="727">+CS82</f>
        <v>5.2890699999999997</v>
      </c>
      <c r="CU82" s="36">
        <f t="shared" ref="CU82:CU83" si="728">+CT82</f>
        <v>5.2890699999999997</v>
      </c>
      <c r="CV82" s="36">
        <f t="shared" ref="CV82:CV83" si="729">+CU82</f>
        <v>5.2890699999999997</v>
      </c>
      <c r="CW82" s="36">
        <f t="shared" ref="CW82:CW83" si="730">+CV82</f>
        <v>5.2890699999999997</v>
      </c>
      <c r="CX82" s="36">
        <f t="shared" ref="CX82:CX83" si="731">+CW82</f>
        <v>5.2890699999999997</v>
      </c>
      <c r="CY82" s="36">
        <f t="shared" ref="CY82:CY83" si="732">+CX82</f>
        <v>5.2890699999999997</v>
      </c>
      <c r="CZ82" s="36">
        <f t="shared" ref="CZ82:CZ83" si="733">+CY82</f>
        <v>5.2890699999999997</v>
      </c>
      <c r="DA82" s="36">
        <f t="shared" ref="DA82:DA83" si="734">+CZ82</f>
        <v>5.2890699999999997</v>
      </c>
      <c r="DD82" s="127">
        <v>4.9379999999999997</v>
      </c>
      <c r="DE82" s="3">
        <v>4.9379999999999997</v>
      </c>
    </row>
    <row r="83" spans="1:109" s="3" customFormat="1" x14ac:dyDescent="0.2">
      <c r="A83" s="3" t="s">
        <v>28</v>
      </c>
      <c r="B83" s="3">
        <f>'Annual Raw'!C105</f>
        <v>10</v>
      </c>
      <c r="C83" s="3">
        <f>'Annual Raw'!D105</f>
        <v>10</v>
      </c>
      <c r="D83" s="3">
        <f>'Annual Raw'!E105</f>
        <v>0</v>
      </c>
      <c r="E83" s="3">
        <f t="shared" ref="E83:Y83" ca="1" si="735">+F83</f>
        <v>0</v>
      </c>
      <c r="F83" s="3">
        <f t="shared" ca="1" si="735"/>
        <v>0</v>
      </c>
      <c r="G83" s="3">
        <f t="shared" ca="1" si="735"/>
        <v>0</v>
      </c>
      <c r="H83" s="3">
        <f t="shared" ca="1" si="735"/>
        <v>0</v>
      </c>
      <c r="I83" s="3">
        <f t="shared" ca="1" si="735"/>
        <v>0</v>
      </c>
      <c r="J83" s="3">
        <f t="shared" ca="1" si="735"/>
        <v>0</v>
      </c>
      <c r="K83" s="3">
        <f t="shared" ca="1" si="735"/>
        <v>0</v>
      </c>
      <c r="L83" s="3">
        <f t="shared" ca="1" si="735"/>
        <v>0</v>
      </c>
      <c r="M83" s="3">
        <f t="shared" ca="1" si="735"/>
        <v>0</v>
      </c>
      <c r="N83" s="3">
        <f t="shared" ca="1" si="735"/>
        <v>0</v>
      </c>
      <c r="O83" s="3">
        <f t="shared" ca="1" si="735"/>
        <v>0</v>
      </c>
      <c r="P83" s="3">
        <f t="shared" ca="1" si="735"/>
        <v>0</v>
      </c>
      <c r="Q83" s="3">
        <f t="shared" ca="1" si="735"/>
        <v>0</v>
      </c>
      <c r="R83" s="3">
        <f t="shared" ca="1" si="735"/>
        <v>0</v>
      </c>
      <c r="S83" s="3">
        <f t="shared" ca="1" si="735"/>
        <v>0</v>
      </c>
      <c r="T83" s="3">
        <f t="shared" ca="1" si="735"/>
        <v>0</v>
      </c>
      <c r="U83" s="3">
        <f t="shared" ca="1" si="735"/>
        <v>0</v>
      </c>
      <c r="V83" s="3">
        <f t="shared" ca="1" si="735"/>
        <v>0</v>
      </c>
      <c r="W83" s="3">
        <f t="shared" ca="1" si="735"/>
        <v>0</v>
      </c>
      <c r="X83" s="3">
        <f t="shared" ca="1" si="735"/>
        <v>0</v>
      </c>
      <c r="Y83" s="3">
        <f t="shared" ca="1" si="735"/>
        <v>0</v>
      </c>
      <c r="Z83" s="3">
        <f ca="1">+AA83</f>
        <v>0</v>
      </c>
      <c r="AA83" s="3">
        <f ca="1">+AB83</f>
        <v>0</v>
      </c>
      <c r="AB83" s="36">
        <f t="shared" ca="1" si="716"/>
        <v>0</v>
      </c>
      <c r="AC83" s="36">
        <f t="shared" ca="1" si="717"/>
        <v>0</v>
      </c>
      <c r="AD83" s="36">
        <f t="shared" ca="1" si="718"/>
        <v>0</v>
      </c>
      <c r="AE83" s="36">
        <f t="shared" ca="1" si="719"/>
        <v>0</v>
      </c>
      <c r="AI83" s="3">
        <f t="shared" ref="AI83:CH83" si="736">AJ83</f>
        <v>10</v>
      </c>
      <c r="AJ83" s="3">
        <f t="shared" si="736"/>
        <v>10</v>
      </c>
      <c r="AK83" s="3">
        <f t="shared" si="736"/>
        <v>10</v>
      </c>
      <c r="AL83" s="3">
        <f t="shared" si="736"/>
        <v>10</v>
      </c>
      <c r="AM83" s="3">
        <f t="shared" si="736"/>
        <v>10</v>
      </c>
      <c r="AN83" s="3">
        <f t="shared" si="736"/>
        <v>10</v>
      </c>
      <c r="AO83" s="3">
        <f t="shared" si="736"/>
        <v>10</v>
      </c>
      <c r="AP83" s="3">
        <f t="shared" si="736"/>
        <v>10</v>
      </c>
      <c r="AQ83" s="3">
        <f t="shared" si="736"/>
        <v>10</v>
      </c>
      <c r="AR83" s="3">
        <f t="shared" si="736"/>
        <v>10</v>
      </c>
      <c r="AS83" s="3">
        <f t="shared" si="736"/>
        <v>10</v>
      </c>
      <c r="AT83" s="3">
        <f t="shared" si="736"/>
        <v>10</v>
      </c>
      <c r="AU83" s="3">
        <f t="shared" si="736"/>
        <v>10</v>
      </c>
      <c r="AV83" s="3">
        <f t="shared" si="736"/>
        <v>10</v>
      </c>
      <c r="AW83" s="3">
        <f t="shared" si="736"/>
        <v>10</v>
      </c>
      <c r="AX83" s="3">
        <f t="shared" si="736"/>
        <v>10</v>
      </c>
      <c r="AY83" s="3">
        <f t="shared" si="736"/>
        <v>10</v>
      </c>
      <c r="AZ83" s="3">
        <f t="shared" si="736"/>
        <v>10</v>
      </c>
      <c r="BA83" s="3">
        <f t="shared" si="736"/>
        <v>10</v>
      </c>
      <c r="BB83" s="3">
        <f t="shared" si="736"/>
        <v>10</v>
      </c>
      <c r="BC83" s="3">
        <f t="shared" si="736"/>
        <v>10</v>
      </c>
      <c r="BD83" s="3">
        <f t="shared" si="736"/>
        <v>10</v>
      </c>
      <c r="BE83" s="3">
        <f t="shared" si="736"/>
        <v>10</v>
      </c>
      <c r="BF83" s="3">
        <f t="shared" si="736"/>
        <v>10</v>
      </c>
      <c r="BG83" s="3">
        <f t="shared" si="736"/>
        <v>10</v>
      </c>
      <c r="BH83" s="3">
        <f t="shared" si="736"/>
        <v>10</v>
      </c>
      <c r="BI83" s="3">
        <f t="shared" si="736"/>
        <v>10</v>
      </c>
      <c r="BJ83" s="3">
        <f t="shared" si="736"/>
        <v>10</v>
      </c>
      <c r="BK83" s="3">
        <f t="shared" si="736"/>
        <v>10</v>
      </c>
      <c r="BL83" s="3">
        <f t="shared" si="736"/>
        <v>10</v>
      </c>
      <c r="BM83" s="3">
        <f t="shared" si="736"/>
        <v>10</v>
      </c>
      <c r="BN83" s="3">
        <f t="shared" si="736"/>
        <v>10</v>
      </c>
      <c r="BO83" s="3">
        <f t="shared" si="736"/>
        <v>10</v>
      </c>
      <c r="BP83" s="3">
        <f t="shared" si="736"/>
        <v>10</v>
      </c>
      <c r="BQ83" s="3">
        <f t="shared" si="736"/>
        <v>10</v>
      </c>
      <c r="BR83" s="3">
        <f t="shared" si="736"/>
        <v>10</v>
      </c>
      <c r="BS83" s="3">
        <f t="shared" si="736"/>
        <v>10</v>
      </c>
      <c r="BT83" s="3">
        <f t="shared" si="736"/>
        <v>10</v>
      </c>
      <c r="BU83" s="3">
        <f t="shared" si="736"/>
        <v>10</v>
      </c>
      <c r="BV83" s="3">
        <f t="shared" si="736"/>
        <v>10</v>
      </c>
      <c r="BW83" s="3">
        <f t="shared" si="736"/>
        <v>10</v>
      </c>
      <c r="BX83" s="3">
        <f t="shared" si="736"/>
        <v>10</v>
      </c>
      <c r="BY83" s="3">
        <f t="shared" si="736"/>
        <v>10</v>
      </c>
      <c r="BZ83" s="3">
        <f t="shared" si="736"/>
        <v>10</v>
      </c>
      <c r="CA83" s="3">
        <f t="shared" si="736"/>
        <v>10</v>
      </c>
      <c r="CB83" s="3">
        <f t="shared" si="736"/>
        <v>10</v>
      </c>
      <c r="CC83" s="3">
        <f t="shared" si="736"/>
        <v>10</v>
      </c>
      <c r="CD83" s="3">
        <f t="shared" si="736"/>
        <v>10</v>
      </c>
      <c r="CE83" s="3">
        <f t="shared" si="736"/>
        <v>10</v>
      </c>
      <c r="CF83" s="3">
        <f t="shared" si="736"/>
        <v>10</v>
      </c>
      <c r="CG83" s="3">
        <f t="shared" si="736"/>
        <v>10</v>
      </c>
      <c r="CH83" s="3">
        <f t="shared" si="736"/>
        <v>10</v>
      </c>
      <c r="CI83" s="3">
        <f>CJ83</f>
        <v>10</v>
      </c>
      <c r="CJ83" s="3">
        <f>'QTR Raw'!BD46</f>
        <v>10</v>
      </c>
      <c r="CK83" s="3">
        <f>'QTR Raw'!BE46</f>
        <v>10</v>
      </c>
      <c r="CL83" s="3">
        <f>'QTR Raw'!BF46</f>
        <v>10</v>
      </c>
      <c r="CM83" s="36">
        <f t="shared" ref="CM83" si="737">+CL83</f>
        <v>10</v>
      </c>
      <c r="CN83" s="36">
        <f t="shared" si="721"/>
        <v>10</v>
      </c>
      <c r="CO83" s="36">
        <f t="shared" si="722"/>
        <v>10</v>
      </c>
      <c r="CP83" s="36">
        <f t="shared" si="723"/>
        <v>10</v>
      </c>
      <c r="CQ83" s="36">
        <f t="shared" si="724"/>
        <v>10</v>
      </c>
      <c r="CR83" s="36">
        <f t="shared" si="725"/>
        <v>10</v>
      </c>
      <c r="CS83" s="36">
        <f t="shared" si="726"/>
        <v>10</v>
      </c>
      <c r="CT83" s="36">
        <f t="shared" si="727"/>
        <v>10</v>
      </c>
      <c r="CU83" s="36">
        <f t="shared" si="728"/>
        <v>10</v>
      </c>
      <c r="CV83" s="36">
        <f t="shared" si="729"/>
        <v>10</v>
      </c>
      <c r="CW83" s="36">
        <f t="shared" si="730"/>
        <v>10</v>
      </c>
      <c r="CX83" s="36">
        <f t="shared" si="731"/>
        <v>10</v>
      </c>
      <c r="CY83" s="36">
        <f t="shared" si="732"/>
        <v>10</v>
      </c>
      <c r="CZ83" s="36">
        <f t="shared" si="733"/>
        <v>10</v>
      </c>
      <c r="DA83" s="36">
        <f t="shared" si="734"/>
        <v>10</v>
      </c>
      <c r="DD83" s="127">
        <v>10</v>
      </c>
      <c r="DE83" s="3">
        <v>10</v>
      </c>
    </row>
    <row r="84" spans="1:109" s="3" customFormat="1" x14ac:dyDescent="0.2">
      <c r="A84" s="3" t="s">
        <v>29</v>
      </c>
      <c r="B84" s="3">
        <f>B82/B83</f>
        <v>0.49378130000000003</v>
      </c>
      <c r="C84" s="3">
        <f t="shared" ref="C84:W84" si="738">C82/C83</f>
        <v>0.49378130000000003</v>
      </c>
      <c r="D84" s="3" t="e">
        <f t="shared" si="738"/>
        <v>#DIV/0!</v>
      </c>
      <c r="E84" s="3" t="e">
        <f t="shared" ca="1" si="738"/>
        <v>#DIV/0!</v>
      </c>
      <c r="F84" s="3" t="e">
        <f t="shared" ca="1" si="738"/>
        <v>#DIV/0!</v>
      </c>
      <c r="G84" s="3" t="e">
        <f t="shared" ca="1" si="738"/>
        <v>#DIV/0!</v>
      </c>
      <c r="H84" s="3" t="e">
        <f t="shared" ca="1" si="738"/>
        <v>#DIV/0!</v>
      </c>
      <c r="I84" s="3" t="e">
        <f t="shared" ca="1" si="738"/>
        <v>#DIV/0!</v>
      </c>
      <c r="J84" s="3" t="e">
        <f t="shared" ca="1" si="738"/>
        <v>#DIV/0!</v>
      </c>
      <c r="K84" s="3" t="e">
        <f t="shared" ca="1" si="738"/>
        <v>#DIV/0!</v>
      </c>
      <c r="L84" s="3" t="e">
        <f t="shared" ca="1" si="738"/>
        <v>#DIV/0!</v>
      </c>
      <c r="M84" s="3" t="e">
        <f t="shared" ca="1" si="738"/>
        <v>#DIV/0!</v>
      </c>
      <c r="N84" s="3" t="e">
        <f t="shared" ca="1" si="738"/>
        <v>#DIV/0!</v>
      </c>
      <c r="O84" s="3" t="e">
        <f t="shared" ca="1" si="738"/>
        <v>#DIV/0!</v>
      </c>
      <c r="P84" s="3" t="e">
        <f t="shared" ca="1" si="738"/>
        <v>#DIV/0!</v>
      </c>
      <c r="Q84" s="3" t="e">
        <f t="shared" ca="1" si="738"/>
        <v>#DIV/0!</v>
      </c>
      <c r="R84" s="3" t="e">
        <f t="shared" ca="1" si="738"/>
        <v>#DIV/0!</v>
      </c>
      <c r="S84" s="3" t="e">
        <f t="shared" ca="1" si="738"/>
        <v>#DIV/0!</v>
      </c>
      <c r="T84" s="3" t="e">
        <f t="shared" ca="1" si="738"/>
        <v>#DIV/0!</v>
      </c>
      <c r="U84" s="3" t="e">
        <f t="shared" ca="1" si="738"/>
        <v>#DIV/0!</v>
      </c>
      <c r="V84" s="3" t="e">
        <f ca="1">V82/V83</f>
        <v>#DIV/0!</v>
      </c>
      <c r="W84" s="3" t="e">
        <f t="shared" ca="1" si="738"/>
        <v>#DIV/0!</v>
      </c>
      <c r="X84" s="3" t="e">
        <f t="shared" ref="X84:Y84" ca="1" si="739">X82/X83</f>
        <v>#DIV/0!</v>
      </c>
      <c r="Y84" s="3" t="e">
        <f t="shared" ca="1" si="739"/>
        <v>#DIV/0!</v>
      </c>
      <c r="Z84" s="3" t="e">
        <f t="shared" ref="Z84:AA84" ca="1" si="740">Z82/Z83</f>
        <v>#DIV/0!</v>
      </c>
      <c r="AA84" s="3" t="e">
        <f t="shared" ca="1" si="740"/>
        <v>#DIV/0!</v>
      </c>
      <c r="AB84" s="36" t="e">
        <f t="shared" ref="AA84:AD84" ca="1" si="741">AB82/AB83</f>
        <v>#DIV/0!</v>
      </c>
      <c r="AC84" s="36" t="e">
        <f t="shared" ca="1" si="741"/>
        <v>#DIV/0!</v>
      </c>
      <c r="AD84" s="36" t="e">
        <f t="shared" ca="1" si="741"/>
        <v>#DIV/0!</v>
      </c>
      <c r="AE84" s="36" t="e">
        <f t="shared" ref="AE84" ca="1" si="742">AE82/AE83</f>
        <v>#DIV/0!</v>
      </c>
      <c r="AI84" s="3">
        <f t="shared" ref="AI84" si="743">AI82/AI83</f>
        <v>0.49379999999999996</v>
      </c>
      <c r="AJ84" s="3">
        <f t="shared" ref="AJ84" si="744">AJ82/AJ83</f>
        <v>0.49379999999999996</v>
      </c>
      <c r="AK84" s="3">
        <f t="shared" ref="AK84:AM84" si="745">AK82/AK83</f>
        <v>0.49379999999999996</v>
      </c>
      <c r="AL84" s="3">
        <f t="shared" si="745"/>
        <v>0.49379999999999996</v>
      </c>
      <c r="AM84" s="3">
        <f t="shared" si="745"/>
        <v>0.49379999999999996</v>
      </c>
      <c r="AN84" s="3">
        <f t="shared" ref="AN84:AO84" si="746">AN82/AN83</f>
        <v>0.49379999999999996</v>
      </c>
      <c r="AO84" s="3">
        <f t="shared" si="746"/>
        <v>0.49379999999999996</v>
      </c>
      <c r="AP84" s="3">
        <f t="shared" ref="AP84:CD84" si="747">AP82/AP83</f>
        <v>0.49379999999999996</v>
      </c>
      <c r="AQ84" s="3">
        <f t="shared" si="747"/>
        <v>0.49379999999999996</v>
      </c>
      <c r="AR84" s="3">
        <f t="shared" si="747"/>
        <v>0.49379999999999996</v>
      </c>
      <c r="AS84" s="3">
        <f t="shared" si="747"/>
        <v>0.49379999999999996</v>
      </c>
      <c r="AT84" s="3">
        <f t="shared" si="747"/>
        <v>0.49379999999999996</v>
      </c>
      <c r="AU84" s="3">
        <f t="shared" si="747"/>
        <v>0.49379999999999996</v>
      </c>
      <c r="AV84" s="3">
        <f t="shared" si="747"/>
        <v>0.49379999999999996</v>
      </c>
      <c r="AW84" s="3">
        <f t="shared" si="747"/>
        <v>0.49379999999999996</v>
      </c>
      <c r="AX84" s="3">
        <f t="shared" si="747"/>
        <v>0.49379999999999996</v>
      </c>
      <c r="AY84" s="3">
        <f t="shared" si="747"/>
        <v>0.49379999999999996</v>
      </c>
      <c r="AZ84" s="3">
        <f t="shared" si="747"/>
        <v>0.49379999999999996</v>
      </c>
      <c r="BA84" s="3">
        <f t="shared" si="747"/>
        <v>0.49379999999999996</v>
      </c>
      <c r="BB84" s="3">
        <f t="shared" si="747"/>
        <v>0.49379999999999996</v>
      </c>
      <c r="BC84" s="3">
        <f t="shared" si="747"/>
        <v>0.49379999999999996</v>
      </c>
      <c r="BD84" s="3">
        <f t="shared" si="747"/>
        <v>0.49379999999999996</v>
      </c>
      <c r="BE84" s="3">
        <f t="shared" si="747"/>
        <v>0.49379999999999996</v>
      </c>
      <c r="BF84" s="3">
        <f t="shared" si="747"/>
        <v>0.49379999999999996</v>
      </c>
      <c r="BG84" s="3">
        <f t="shared" si="747"/>
        <v>0.49379999999999996</v>
      </c>
      <c r="BH84" s="3">
        <f t="shared" si="747"/>
        <v>0.49379999999999996</v>
      </c>
      <c r="BI84" s="3">
        <f t="shared" si="747"/>
        <v>0.49379999999999996</v>
      </c>
      <c r="BJ84" s="3">
        <f t="shared" si="747"/>
        <v>0.49379999999999996</v>
      </c>
      <c r="BK84" s="3">
        <f t="shared" si="747"/>
        <v>0.49379999999999996</v>
      </c>
      <c r="BL84" s="3">
        <f t="shared" si="747"/>
        <v>0.49379999999999996</v>
      </c>
      <c r="BM84" s="3">
        <f t="shared" si="747"/>
        <v>0.49379999999999996</v>
      </c>
      <c r="BN84" s="3">
        <f t="shared" si="747"/>
        <v>0.49379999999999996</v>
      </c>
      <c r="BO84" s="3">
        <f t="shared" si="747"/>
        <v>0.49379999999999996</v>
      </c>
      <c r="BP84" s="3">
        <f t="shared" si="747"/>
        <v>0.49379999999999996</v>
      </c>
      <c r="BQ84" s="3">
        <f t="shared" si="747"/>
        <v>0.49379999999999996</v>
      </c>
      <c r="BR84" s="3">
        <f t="shared" si="747"/>
        <v>0.49379999999999996</v>
      </c>
      <c r="BS84" s="3">
        <f t="shared" si="747"/>
        <v>0.49379999999999996</v>
      </c>
      <c r="BT84" s="3">
        <f t="shared" si="747"/>
        <v>0.49379999999999996</v>
      </c>
      <c r="BU84" s="3">
        <f t="shared" si="747"/>
        <v>0.49379999999999996</v>
      </c>
      <c r="BV84" s="3">
        <f t="shared" si="747"/>
        <v>0.49379999999999996</v>
      </c>
      <c r="BW84" s="3">
        <f t="shared" si="747"/>
        <v>0.49379999999999996</v>
      </c>
      <c r="BX84" s="3">
        <f t="shared" si="747"/>
        <v>0.49379999999999996</v>
      </c>
      <c r="BY84" s="3">
        <f t="shared" si="747"/>
        <v>0.49379999999999996</v>
      </c>
      <c r="BZ84" s="3">
        <f t="shared" si="747"/>
        <v>0.49379999999999996</v>
      </c>
      <c r="CA84" s="3">
        <f t="shared" si="747"/>
        <v>0.49379999999999996</v>
      </c>
      <c r="CB84" s="3">
        <f t="shared" si="747"/>
        <v>0.49379999999999996</v>
      </c>
      <c r="CC84" s="3">
        <f t="shared" si="747"/>
        <v>0.49379999999999996</v>
      </c>
      <c r="CD84" s="3">
        <f t="shared" si="747"/>
        <v>0.49379999999999996</v>
      </c>
      <c r="CE84" s="3">
        <f t="shared" ref="CE84:CF84" si="748">CE82/CE83</f>
        <v>0.49379999999999996</v>
      </c>
      <c r="CF84" s="3">
        <f t="shared" si="748"/>
        <v>0.49379999999999996</v>
      </c>
      <c r="CG84" s="3">
        <f t="shared" ref="CG84:CH84" si="749">CG82/CG83</f>
        <v>0.49379999999999996</v>
      </c>
      <c r="CH84" s="3">
        <f t="shared" si="749"/>
        <v>0.49379999999999996</v>
      </c>
      <c r="CI84" s="3">
        <f t="shared" ref="CI84:CJ84" si="750">CI82/CI83</f>
        <v>0.49379999999999996</v>
      </c>
      <c r="CJ84" s="3">
        <f t="shared" si="750"/>
        <v>0.49379999999999996</v>
      </c>
      <c r="CK84" s="3">
        <f t="shared" ref="CK84:CL84" si="751">CK82/CK83</f>
        <v>0.49379999999999996</v>
      </c>
      <c r="CL84" s="3">
        <f t="shared" si="751"/>
        <v>0.49379999999999996</v>
      </c>
      <c r="CM84" s="36">
        <f t="shared" ref="CM84:DA84" si="752">CM82/CM83</f>
        <v>0.52890700000000002</v>
      </c>
      <c r="CN84" s="36">
        <f t="shared" si="752"/>
        <v>0.52890700000000002</v>
      </c>
      <c r="CO84" s="36">
        <f t="shared" si="752"/>
        <v>0.52890700000000002</v>
      </c>
      <c r="CP84" s="36">
        <f t="shared" si="752"/>
        <v>0.52890700000000002</v>
      </c>
      <c r="CQ84" s="36">
        <f t="shared" si="752"/>
        <v>0.52890700000000002</v>
      </c>
      <c r="CR84" s="36">
        <f t="shared" si="752"/>
        <v>0.52890700000000002</v>
      </c>
      <c r="CS84" s="36">
        <f t="shared" si="752"/>
        <v>0.52890700000000002</v>
      </c>
      <c r="CT84" s="36">
        <f t="shared" si="752"/>
        <v>0.52890700000000002</v>
      </c>
      <c r="CU84" s="36">
        <f t="shared" si="752"/>
        <v>0.52890700000000002</v>
      </c>
      <c r="CV84" s="36">
        <f t="shared" si="752"/>
        <v>0.52890700000000002</v>
      </c>
      <c r="CW84" s="36">
        <f t="shared" si="752"/>
        <v>0.52890700000000002</v>
      </c>
      <c r="CX84" s="36">
        <f t="shared" si="752"/>
        <v>0.52890700000000002</v>
      </c>
      <c r="CY84" s="36">
        <f t="shared" si="752"/>
        <v>0.52890700000000002</v>
      </c>
      <c r="CZ84" s="36">
        <f t="shared" si="752"/>
        <v>0.52890700000000002</v>
      </c>
      <c r="DA84" s="36">
        <f t="shared" si="752"/>
        <v>0.52890700000000002</v>
      </c>
      <c r="DD84" s="127">
        <v>0.49379999999999996</v>
      </c>
      <c r="DE84" s="3">
        <v>0.49379999999999996</v>
      </c>
    </row>
    <row r="85" spans="1:109" s="52" customFormat="1" x14ac:dyDescent="0.2">
      <c r="A85" s="52" t="s">
        <v>30</v>
      </c>
      <c r="B85" s="52">
        <f t="shared" ref="B85:AE85" si="753">(B67-B66)/B84</f>
        <v>-9.4805059223587342</v>
      </c>
      <c r="C85" s="52">
        <f t="shared" si="753"/>
        <v>12.180554180565393</v>
      </c>
      <c r="D85" s="52" t="e">
        <f t="shared" si="753"/>
        <v>#DIV/0!</v>
      </c>
      <c r="E85" s="52" t="e">
        <f t="shared" ca="1" si="753"/>
        <v>#DIV/0!</v>
      </c>
      <c r="F85" s="52" t="e">
        <f t="shared" ca="1" si="753"/>
        <v>#DIV/0!</v>
      </c>
      <c r="G85" s="52" t="e">
        <f t="shared" ca="1" si="753"/>
        <v>#DIV/0!</v>
      </c>
      <c r="H85" s="52" t="e">
        <f t="shared" ca="1" si="753"/>
        <v>#DIV/0!</v>
      </c>
      <c r="I85" s="52" t="e">
        <f t="shared" ca="1" si="753"/>
        <v>#DIV/0!</v>
      </c>
      <c r="J85" s="52" t="e">
        <f t="shared" ca="1" si="753"/>
        <v>#DIV/0!</v>
      </c>
      <c r="K85" s="52" t="e">
        <f t="shared" ca="1" si="753"/>
        <v>#DIV/0!</v>
      </c>
      <c r="L85" s="52" t="e">
        <f t="shared" ca="1" si="753"/>
        <v>#DIV/0!</v>
      </c>
      <c r="M85" s="52" t="e">
        <f t="shared" ca="1" si="753"/>
        <v>#DIV/0!</v>
      </c>
      <c r="N85" s="52" t="e">
        <f t="shared" ca="1" si="753"/>
        <v>#DIV/0!</v>
      </c>
      <c r="O85" s="52" t="e">
        <f t="shared" ca="1" si="753"/>
        <v>#DIV/0!</v>
      </c>
      <c r="P85" s="52" t="e">
        <f t="shared" ca="1" si="753"/>
        <v>#DIV/0!</v>
      </c>
      <c r="Q85" s="52" t="e">
        <f t="shared" ca="1" si="753"/>
        <v>#DIV/0!</v>
      </c>
      <c r="R85" s="52" t="e">
        <f t="shared" ca="1" si="753"/>
        <v>#DIV/0!</v>
      </c>
      <c r="S85" s="52" t="e">
        <f t="shared" ca="1" si="753"/>
        <v>#DIV/0!</v>
      </c>
      <c r="T85" s="52" t="e">
        <f t="shared" ca="1" si="753"/>
        <v>#DIV/0!</v>
      </c>
      <c r="U85" s="52" t="e">
        <f t="shared" ca="1" si="753"/>
        <v>#DIV/0!</v>
      </c>
      <c r="V85" s="52" t="e">
        <f t="shared" ca="1" si="753"/>
        <v>#DIV/0!</v>
      </c>
      <c r="W85" s="52" t="e">
        <f t="shared" ca="1" si="753"/>
        <v>#DIV/0!</v>
      </c>
      <c r="X85" s="52" t="e">
        <f t="shared" ca="1" si="753"/>
        <v>#DIV/0!</v>
      </c>
      <c r="Y85" s="52" t="e">
        <f t="shared" ca="1" si="753"/>
        <v>#DIV/0!</v>
      </c>
      <c r="Z85" s="52" t="e">
        <f t="shared" ca="1" si="753"/>
        <v>#DIV/0!</v>
      </c>
      <c r="AA85" s="52" t="e">
        <f t="shared" ref="AA85" ca="1" si="754">(AA67-AA66)/AA84</f>
        <v>#DIV/0!</v>
      </c>
      <c r="AB85" s="53" t="e">
        <f t="shared" ca="1" si="753"/>
        <v>#DIV/0!</v>
      </c>
      <c r="AC85" s="53" t="e">
        <f t="shared" ca="1" si="753"/>
        <v>#DIV/0!</v>
      </c>
      <c r="AD85" s="53" t="e">
        <f t="shared" ca="1" si="753"/>
        <v>#DIV/0!</v>
      </c>
      <c r="AE85" s="53" t="e">
        <f t="shared" ca="1" si="753"/>
        <v>#DIV/0!</v>
      </c>
      <c r="AI85" s="52">
        <f t="shared" ref="AI85:BN85" si="755">(AI67-AI66)/AI84</f>
        <v>9.0421223167274078</v>
      </c>
      <c r="AJ85" s="52">
        <f t="shared" si="755"/>
        <v>-7.5273390036451824</v>
      </c>
      <c r="AK85" s="52">
        <f t="shared" si="755"/>
        <v>3.4325637910085143</v>
      </c>
      <c r="AL85" s="52">
        <f t="shared" si="755"/>
        <v>-6.9603078169299648</v>
      </c>
      <c r="AM85" s="52">
        <f t="shared" si="755"/>
        <v>-27.861482381530969</v>
      </c>
      <c r="AN85" s="52">
        <f t="shared" si="755"/>
        <v>-37.480761441879288</v>
      </c>
      <c r="AO85" s="52">
        <f t="shared" si="755"/>
        <v>23.35155933576349</v>
      </c>
      <c r="AP85" s="52">
        <f t="shared" si="755"/>
        <v>-3.1915755366545548</v>
      </c>
      <c r="AQ85" s="52">
        <f t="shared" si="755"/>
        <v>-5.3381936006480384</v>
      </c>
      <c r="AR85" s="52">
        <f t="shared" si="755"/>
        <v>1.7699473471040938</v>
      </c>
      <c r="AS85" s="52">
        <f t="shared" si="755"/>
        <v>0.24098825435398824</v>
      </c>
      <c r="AT85" s="52">
        <f t="shared" si="755"/>
        <v>11.245443499392454</v>
      </c>
      <c r="AU85" s="52">
        <f t="shared" si="755"/>
        <v>1.8955042527338999</v>
      </c>
      <c r="AV85" s="52">
        <f t="shared" si="755"/>
        <v>-5.6743620899149478</v>
      </c>
      <c r="AW85" s="52">
        <f t="shared" si="755"/>
        <v>8.6998784933171098</v>
      </c>
      <c r="AX85" s="52">
        <f t="shared" si="755"/>
        <v>-7.3815309842041277</v>
      </c>
      <c r="AY85" s="52">
        <f t="shared" si="755"/>
        <v>-16.905629809639539</v>
      </c>
      <c r="AZ85" s="52">
        <f t="shared" si="755"/>
        <v>4.2527339003657835E-2</v>
      </c>
      <c r="BA85" s="52">
        <f t="shared" si="755"/>
        <v>19.319562575941688</v>
      </c>
      <c r="BB85" s="52">
        <f t="shared" si="755"/>
        <v>9.2750101255568946</v>
      </c>
      <c r="BC85" s="52">
        <f t="shared" si="755"/>
        <v>0.39084649655731307</v>
      </c>
      <c r="BD85" s="52">
        <f t="shared" si="755"/>
        <v>9.1595787768327259</v>
      </c>
      <c r="BE85" s="52">
        <f t="shared" si="755"/>
        <v>6.0773592547590116</v>
      </c>
      <c r="BF85" s="52">
        <f t="shared" si="755"/>
        <v>-2.0210611583636959</v>
      </c>
      <c r="BG85" s="52">
        <f t="shared" si="755"/>
        <v>6.7598217901984619</v>
      </c>
      <c r="BH85" s="52">
        <f t="shared" si="755"/>
        <v>21.125961927906037</v>
      </c>
      <c r="BI85" s="52">
        <f t="shared" si="755"/>
        <v>32.098015390846456</v>
      </c>
      <c r="BJ85" s="52">
        <f t="shared" si="755"/>
        <v>11.095585257189134</v>
      </c>
      <c r="BK85" s="52">
        <f t="shared" si="755"/>
        <v>7.6387201296071057</v>
      </c>
      <c r="BL85" s="52">
        <f t="shared" si="755"/>
        <v>19.837991089509909</v>
      </c>
      <c r="BM85" s="52">
        <f t="shared" si="755"/>
        <v>11.441879303361711</v>
      </c>
      <c r="BN85" s="52">
        <f t="shared" si="755"/>
        <v>9.1656541109761029</v>
      </c>
      <c r="BO85" s="52">
        <f t="shared" ref="BO85:CT85" si="756">(BO67-BO66)/BO84</f>
        <v>-20.447549615228837</v>
      </c>
      <c r="BP85" s="52">
        <f t="shared" si="756"/>
        <v>-22.999189955447548</v>
      </c>
      <c r="BQ85" s="52">
        <f t="shared" si="756"/>
        <v>2.7420008100445639</v>
      </c>
      <c r="BR85" s="52">
        <f t="shared" si="756"/>
        <v>-18.144997974888636</v>
      </c>
      <c r="BS85" s="52">
        <f t="shared" si="756"/>
        <v>-2.1202916160388683</v>
      </c>
      <c r="BT85" s="52">
        <f t="shared" si="756"/>
        <v>4.4532199270959953</v>
      </c>
      <c r="BU85" s="52">
        <f t="shared" si="756"/>
        <v>12.035236938031584</v>
      </c>
      <c r="BV85" s="52">
        <f t="shared" si="756"/>
        <v>-4.9696233292831007</v>
      </c>
      <c r="BW85" s="52">
        <f t="shared" si="756"/>
        <v>-10.824220332118268</v>
      </c>
      <c r="BX85" s="52">
        <f t="shared" si="756"/>
        <v>-5.9659781287970866</v>
      </c>
      <c r="BY85" s="52">
        <f t="shared" si="756"/>
        <v>23.053867962737968</v>
      </c>
      <c r="BZ85" s="52">
        <f t="shared" si="756"/>
        <v>19.831915755366555</v>
      </c>
      <c r="CA85" s="52">
        <f t="shared" si="756"/>
        <v>8.7829080599432832</v>
      </c>
      <c r="CB85" s="52">
        <f t="shared" si="756"/>
        <v>14.143377885783741</v>
      </c>
      <c r="CC85" s="52">
        <f t="shared" si="756"/>
        <v>20.897124341838808</v>
      </c>
      <c r="CD85" s="52">
        <f t="shared" si="756"/>
        <v>7.3288780882948181</v>
      </c>
      <c r="CE85" s="52">
        <f t="shared" si="756"/>
        <v>-5.467800729041427E-2</v>
      </c>
      <c r="CF85" s="52">
        <f t="shared" si="756"/>
        <v>-15.182260024301321</v>
      </c>
      <c r="CG85" s="52">
        <f t="shared" si="756"/>
        <v>-2.9850141757796762</v>
      </c>
      <c r="CH85" s="52">
        <f t="shared" si="756"/>
        <v>-5.9011745646010541</v>
      </c>
      <c r="CI85" s="52">
        <f t="shared" si="756"/>
        <v>3.4791413527743686</v>
      </c>
      <c r="CJ85" s="52">
        <f t="shared" si="756"/>
        <v>18.063993519643546</v>
      </c>
      <c r="CK85" s="52">
        <f t="shared" ref="CK85:CL85" si="757">(CK67-CK66)/CK84</f>
        <v>5.0358444714459312</v>
      </c>
      <c r="CL85" s="52">
        <f t="shared" si="757"/>
        <v>10.06277845281492</v>
      </c>
      <c r="CM85" s="53">
        <f t="shared" si="756"/>
        <v>-9.9054822307459212</v>
      </c>
      <c r="CN85" s="53">
        <f t="shared" si="756"/>
        <v>44.500167321184314</v>
      </c>
      <c r="CO85" s="53">
        <f t="shared" si="756"/>
        <v>54.708359578535458</v>
      </c>
      <c r="CP85" s="53">
        <f t="shared" si="756"/>
        <v>44.464840411177832</v>
      </c>
      <c r="CQ85" s="53">
        <f t="shared" si="756"/>
        <v>49.187721162037015</v>
      </c>
      <c r="CR85" s="53">
        <f t="shared" si="756"/>
        <v>116.51047452650296</v>
      </c>
      <c r="CS85" s="53">
        <f t="shared" si="756"/>
        <v>127.3099662871724</v>
      </c>
      <c r="CT85" s="53">
        <f t="shared" si="756"/>
        <v>113.73266051526798</v>
      </c>
      <c r="CU85" s="53">
        <f t="shared" ref="CU85:DA85" si="758">(CU67-CU66)/CU84</f>
        <v>117.7667361286648</v>
      </c>
      <c r="CV85" s="53">
        <f t="shared" si="758"/>
        <v>203.12593517108041</v>
      </c>
      <c r="CW85" s="53">
        <f t="shared" si="758"/>
        <v>215.07865277190206</v>
      </c>
      <c r="CX85" s="53">
        <f t="shared" si="758"/>
        <v>197.83679405553252</v>
      </c>
      <c r="CY85" s="53">
        <f t="shared" si="758"/>
        <v>201.37319638930649</v>
      </c>
      <c r="CZ85" s="53">
        <f t="shared" si="758"/>
        <v>309.90909373902662</v>
      </c>
      <c r="DA85" s="53">
        <f t="shared" si="758"/>
        <v>323.62722649221877</v>
      </c>
      <c r="DD85" s="125">
        <v>-35.979951397326843</v>
      </c>
      <c r="DE85" s="52">
        <v>34.16299228014627</v>
      </c>
    </row>
    <row r="86" spans="1:109" s="3" customFormat="1" x14ac:dyDescent="0.2">
      <c r="A86" s="3" t="s">
        <v>31</v>
      </c>
      <c r="B86" s="3">
        <f>'Annual Raw'!C110</f>
        <v>0</v>
      </c>
      <c r="C86" s="3">
        <f>'Annual Raw'!D110</f>
        <v>2.5</v>
      </c>
      <c r="D86" s="3">
        <f>'Annual Raw'!E110</f>
        <v>0</v>
      </c>
      <c r="E86" s="3">
        <f>'Annual Raw'!F110</f>
        <v>0</v>
      </c>
      <c r="F86" s="3">
        <f>'Annual Raw'!G110</f>
        <v>0</v>
      </c>
      <c r="G86" s="3">
        <f>'Annual Raw'!H110</f>
        <v>0</v>
      </c>
      <c r="H86" s="3">
        <f>'Annual Raw'!I110</f>
        <v>0</v>
      </c>
      <c r="I86" s="3">
        <f>'Annual Raw'!J110</f>
        <v>0</v>
      </c>
      <c r="J86" s="3">
        <f>'Annual Raw'!K110</f>
        <v>0</v>
      </c>
      <c r="K86" s="3">
        <f>'Annual Raw'!L110</f>
        <v>0</v>
      </c>
      <c r="L86" s="3">
        <f>'Annual Raw'!M110</f>
        <v>0</v>
      </c>
      <c r="M86" s="3">
        <f>'Annual Raw'!N110</f>
        <v>0</v>
      </c>
      <c r="N86" s="3">
        <f>'Annual Raw'!O110</f>
        <v>0</v>
      </c>
      <c r="O86" s="3">
        <f>'Annual Raw'!P110</f>
        <v>0</v>
      </c>
      <c r="P86" s="3">
        <f>'Annual Raw'!Q110</f>
        <v>0</v>
      </c>
      <c r="Q86" s="3">
        <f>'Annual Raw'!R110</f>
        <v>0</v>
      </c>
      <c r="R86" s="3">
        <f>'Annual Raw'!S110</f>
        <v>0</v>
      </c>
      <c r="S86" s="3">
        <f>'Annual Raw'!T110</f>
        <v>0</v>
      </c>
      <c r="T86" s="3">
        <f>'Annual Raw'!U110</f>
        <v>0</v>
      </c>
      <c r="U86" s="3">
        <f>'Annual Raw'!V110</f>
        <v>0</v>
      </c>
      <c r="V86" s="3">
        <f>'Annual Raw'!W110</f>
        <v>0</v>
      </c>
      <c r="W86" s="3">
        <f>'Annual Raw'!X110</f>
        <v>0</v>
      </c>
      <c r="X86" s="3">
        <f>'Annual Raw'!Y110</f>
        <v>0</v>
      </c>
      <c r="Y86" s="3">
        <f>'Annual Raw'!Z110</f>
        <v>7</v>
      </c>
      <c r="Z86" s="3">
        <f>'Annual Raw'!AA110</f>
        <v>0</v>
      </c>
      <c r="AA86" s="3">
        <f>'Annual Raw'!AB110</f>
        <v>7</v>
      </c>
      <c r="AB86" s="36"/>
      <c r="AC86" s="36"/>
      <c r="AD86" s="36"/>
      <c r="AE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D86" s="127"/>
    </row>
    <row r="87" spans="1:109" s="3" customFormat="1" x14ac:dyDescent="0.2">
      <c r="A87" s="3" t="s">
        <v>32</v>
      </c>
      <c r="B87" s="3">
        <f>B86/B85</f>
        <v>0</v>
      </c>
      <c r="C87" s="3">
        <f t="shared" ref="C87:U87" si="759">C86/C85</f>
        <v>0.20524517710276757</v>
      </c>
      <c r="D87" s="3" t="e">
        <f t="shared" si="759"/>
        <v>#DIV/0!</v>
      </c>
      <c r="E87" s="3" t="e">
        <f t="shared" ca="1" si="759"/>
        <v>#DIV/0!</v>
      </c>
      <c r="F87" s="3" t="e">
        <f t="shared" ca="1" si="759"/>
        <v>#DIV/0!</v>
      </c>
      <c r="G87" s="3" t="e">
        <f t="shared" ca="1" si="759"/>
        <v>#DIV/0!</v>
      </c>
      <c r="H87" s="3" t="e">
        <f t="shared" ca="1" si="759"/>
        <v>#DIV/0!</v>
      </c>
      <c r="I87" s="3" t="e">
        <f t="shared" ca="1" si="759"/>
        <v>#DIV/0!</v>
      </c>
      <c r="J87" s="3" t="e">
        <f t="shared" ca="1" si="759"/>
        <v>#DIV/0!</v>
      </c>
      <c r="K87" s="3" t="e">
        <f t="shared" ca="1" si="759"/>
        <v>#DIV/0!</v>
      </c>
      <c r="L87" s="3" t="e">
        <f t="shared" ca="1" si="759"/>
        <v>#DIV/0!</v>
      </c>
      <c r="M87" s="3" t="e">
        <f t="shared" ca="1" si="759"/>
        <v>#DIV/0!</v>
      </c>
      <c r="N87" s="3" t="e">
        <f t="shared" ca="1" si="759"/>
        <v>#DIV/0!</v>
      </c>
      <c r="O87" s="3" t="e">
        <f t="shared" ca="1" si="759"/>
        <v>#DIV/0!</v>
      </c>
      <c r="P87" s="3" t="e">
        <f t="shared" ca="1" si="759"/>
        <v>#DIV/0!</v>
      </c>
      <c r="Q87" s="3" t="e">
        <f t="shared" ca="1" si="759"/>
        <v>#DIV/0!</v>
      </c>
      <c r="R87" s="3" t="e">
        <f t="shared" ca="1" si="759"/>
        <v>#DIV/0!</v>
      </c>
      <c r="S87" s="3" t="e">
        <f t="shared" ca="1" si="759"/>
        <v>#DIV/0!</v>
      </c>
      <c r="T87" s="3" t="e">
        <f t="shared" ca="1" si="759"/>
        <v>#DIV/0!</v>
      </c>
      <c r="U87" s="3" t="e">
        <f t="shared" ca="1" si="759"/>
        <v>#DIV/0!</v>
      </c>
      <c r="V87" s="3" t="e">
        <f ca="1">V86/V85</f>
        <v>#DIV/0!</v>
      </c>
      <c r="W87" s="3" t="e">
        <f t="shared" ref="W87" ca="1" si="760">W86/W85</f>
        <v>#DIV/0!</v>
      </c>
      <c r="X87" s="3" t="e">
        <f t="shared" ref="X87:Y87" ca="1" si="761">X86/X85</f>
        <v>#DIV/0!</v>
      </c>
      <c r="Y87" s="3" t="e">
        <f t="shared" ca="1" si="761"/>
        <v>#DIV/0!</v>
      </c>
      <c r="Z87" s="3" t="e">
        <f t="shared" ref="Z87:AA87" ca="1" si="762">Z86/Z85</f>
        <v>#DIV/0!</v>
      </c>
      <c r="AA87" s="3" t="e">
        <f t="shared" ca="1" si="762"/>
        <v>#DIV/0!</v>
      </c>
      <c r="AB87" s="36" t="e">
        <f t="shared" ref="AA87:AD87" ca="1" si="763">AB86/AB85</f>
        <v>#DIV/0!</v>
      </c>
      <c r="AC87" s="36" t="e">
        <f t="shared" ca="1" si="763"/>
        <v>#DIV/0!</v>
      </c>
      <c r="AD87" s="36" t="e">
        <f t="shared" ca="1" si="763"/>
        <v>#DIV/0!</v>
      </c>
      <c r="AE87" s="36" t="e">
        <f t="shared" ref="AE87" ca="1" si="764">AE86/AE85</f>
        <v>#DIV/0!</v>
      </c>
      <c r="CM87" s="36"/>
      <c r="CN87" s="36"/>
      <c r="CO87" s="36"/>
      <c r="CP87" s="36"/>
      <c r="CQ87" s="36"/>
      <c r="CR87" s="36"/>
      <c r="CS87" s="36"/>
      <c r="CT87" s="36"/>
      <c r="CU87" s="36"/>
      <c r="CV87" s="36"/>
      <c r="CW87" s="36"/>
      <c r="CX87" s="36"/>
      <c r="CY87" s="36"/>
      <c r="CZ87" s="36"/>
      <c r="DA87" s="36"/>
      <c r="DD87" s="127">
        <v>0</v>
      </c>
    </row>
    <row r="88" spans="1:109" s="3" customFormat="1" x14ac:dyDescent="0.2">
      <c r="A88" s="3" t="s">
        <v>33</v>
      </c>
      <c r="B88" s="3">
        <f>+B85</f>
        <v>-9.4805059223587342</v>
      </c>
      <c r="C88" s="3">
        <f t="shared" ref="C88:U88" si="765">+C85</f>
        <v>12.180554180565393</v>
      </c>
      <c r="D88" s="3" t="e">
        <f t="shared" si="765"/>
        <v>#DIV/0!</v>
      </c>
      <c r="E88" s="3" t="e">
        <f t="shared" ca="1" si="765"/>
        <v>#DIV/0!</v>
      </c>
      <c r="F88" s="3" t="e">
        <f t="shared" ca="1" si="765"/>
        <v>#DIV/0!</v>
      </c>
      <c r="G88" s="3" t="e">
        <f t="shared" ca="1" si="765"/>
        <v>#DIV/0!</v>
      </c>
      <c r="H88" s="3" t="e">
        <f t="shared" ca="1" si="765"/>
        <v>#DIV/0!</v>
      </c>
      <c r="I88" s="3" t="e">
        <f t="shared" ca="1" si="765"/>
        <v>#DIV/0!</v>
      </c>
      <c r="J88" s="3" t="e">
        <f t="shared" ca="1" si="765"/>
        <v>#DIV/0!</v>
      </c>
      <c r="K88" s="3" t="e">
        <f t="shared" ca="1" si="765"/>
        <v>#DIV/0!</v>
      </c>
      <c r="L88" s="3" t="e">
        <f t="shared" ca="1" si="765"/>
        <v>#DIV/0!</v>
      </c>
      <c r="M88" s="3" t="e">
        <f t="shared" ca="1" si="765"/>
        <v>#DIV/0!</v>
      </c>
      <c r="N88" s="3" t="e">
        <f t="shared" ca="1" si="765"/>
        <v>#DIV/0!</v>
      </c>
      <c r="O88" s="3" t="e">
        <f t="shared" ca="1" si="765"/>
        <v>#DIV/0!</v>
      </c>
      <c r="P88" s="3" t="e">
        <f t="shared" ca="1" si="765"/>
        <v>#DIV/0!</v>
      </c>
      <c r="Q88" s="3" t="e">
        <f t="shared" ca="1" si="765"/>
        <v>#DIV/0!</v>
      </c>
      <c r="R88" s="3" t="e">
        <f t="shared" ca="1" si="765"/>
        <v>#DIV/0!</v>
      </c>
      <c r="S88" s="3" t="e">
        <f t="shared" ca="1" si="765"/>
        <v>#DIV/0!</v>
      </c>
      <c r="T88" s="3" t="e">
        <f ca="1">+T85</f>
        <v>#DIV/0!</v>
      </c>
      <c r="U88" s="3" t="e">
        <f t="shared" ca="1" si="765"/>
        <v>#DIV/0!</v>
      </c>
      <c r="V88" s="3" t="e">
        <f ca="1">+V85</f>
        <v>#DIV/0!</v>
      </c>
      <c r="W88" s="3" t="e">
        <f t="shared" ref="W88" ca="1" si="766">+W85</f>
        <v>#DIV/0!</v>
      </c>
      <c r="X88" s="3" t="e">
        <f t="shared" ref="X88:Y88" ca="1" si="767">+X85</f>
        <v>#DIV/0!</v>
      </c>
      <c r="Y88" s="3" t="e">
        <f t="shared" ca="1" si="767"/>
        <v>#DIV/0!</v>
      </c>
      <c r="Z88" s="3" t="e">
        <f t="shared" ref="Z88:AA88" ca="1" si="768">+Z85</f>
        <v>#DIV/0!</v>
      </c>
      <c r="AA88" s="3" t="e">
        <f t="shared" ca="1" si="768"/>
        <v>#DIV/0!</v>
      </c>
      <c r="AB88" s="36" t="e">
        <f t="shared" ref="AA88:AD88" ca="1" si="769">+AB85</f>
        <v>#DIV/0!</v>
      </c>
      <c r="AC88" s="36" t="e">
        <f t="shared" ca="1" si="769"/>
        <v>#DIV/0!</v>
      </c>
      <c r="AD88" s="36" t="e">
        <f t="shared" ca="1" si="769"/>
        <v>#DIV/0!</v>
      </c>
      <c r="AE88" s="36" t="e">
        <f t="shared" ref="AE88" ca="1" si="770">+AE85</f>
        <v>#DIV/0!</v>
      </c>
      <c r="AL88" s="3">
        <f>SUM(AI85:AL85)</f>
        <v>-2.0129607128392246</v>
      </c>
      <c r="AM88" s="3">
        <f t="shared" ref="AM88" si="771">SUM(AJ85:AM85)</f>
        <v>-38.916565411097601</v>
      </c>
      <c r="AN88" s="3">
        <f t="shared" ref="AN88" si="772">SUM(AK85:AN85)</f>
        <v>-68.869987849331707</v>
      </c>
      <c r="AO88" s="3">
        <f t="shared" ref="AO88" si="773">SUM(AL85:AO85)</f>
        <v>-48.950992304576737</v>
      </c>
      <c r="AP88" s="3">
        <f t="shared" ref="AP88" si="774">SUM(AM85:AP85)</f>
        <v>-45.182260024301321</v>
      </c>
      <c r="AQ88" s="3">
        <f t="shared" ref="AQ88" si="775">SUM(AN85:AQ85)</f>
        <v>-22.658971243418392</v>
      </c>
      <c r="AR88" s="3">
        <f t="shared" ref="AR88" si="776">SUM(AO85:AR85)</f>
        <v>16.591737545564992</v>
      </c>
      <c r="AS88" s="3">
        <f t="shared" ref="AS88" si="777">SUM(AP85:AS85)</f>
        <v>-6.5188335358445118</v>
      </c>
      <c r="AT88" s="3">
        <f t="shared" ref="AT88" si="778">SUM(AQ85:AT85)</f>
        <v>7.9181855002024983</v>
      </c>
      <c r="AU88" s="3">
        <f t="shared" ref="AU88" si="779">SUM(AR85:AU85)</f>
        <v>15.151883353584436</v>
      </c>
      <c r="AV88" s="3">
        <f t="shared" ref="AV88" si="780">SUM(AS85:AV85)</f>
        <v>7.7075739165653951</v>
      </c>
      <c r="AW88" s="3">
        <f t="shared" ref="AW88" si="781">SUM(AT85:AW85)</f>
        <v>16.166464155528516</v>
      </c>
      <c r="AX88" s="3">
        <f t="shared" ref="AX88" si="782">SUM(AU85:AX85)</f>
        <v>-2.4605103280680662</v>
      </c>
      <c r="AY88" s="3">
        <f t="shared" ref="AY88" si="783">SUM(AV85:AY85)</f>
        <v>-21.261644390441504</v>
      </c>
      <c r="AZ88" s="3">
        <f t="shared" ref="AZ88" si="784">SUM(AW85:AZ85)</f>
        <v>-15.544754961522898</v>
      </c>
      <c r="BA88" s="3">
        <f t="shared" ref="BA88" si="785">SUM(AX85:BA85)</f>
        <v>-4.9250708788983211</v>
      </c>
      <c r="BB88" s="3">
        <f t="shared" ref="BB88" si="786">SUM(AY85:BB85)</f>
        <v>11.731470230862703</v>
      </c>
      <c r="BC88" s="3">
        <f t="shared" ref="BC88" si="787">SUM(AZ85:BC85)</f>
        <v>29.027946537059552</v>
      </c>
      <c r="BD88" s="3">
        <f t="shared" ref="BD88" si="788">SUM(BA85:BD85)</f>
        <v>38.144997974888625</v>
      </c>
      <c r="BE88" s="3">
        <f t="shared" ref="BE88" si="789">SUM(BB85:BE85)</f>
        <v>24.902794653705946</v>
      </c>
      <c r="BF88" s="3">
        <f t="shared" ref="BF88" si="790">SUM(BC85:BF85)</f>
        <v>13.606723369785353</v>
      </c>
      <c r="BG88" s="3">
        <f t="shared" ref="BG88" si="791">SUM(BD85:BG85)</f>
        <v>19.975698663426503</v>
      </c>
      <c r="BH88" s="3">
        <f t="shared" ref="BH88" si="792">SUM(BE85:BH85)</f>
        <v>31.942081814499815</v>
      </c>
      <c r="BI88" s="3">
        <f t="shared" ref="BI88" si="793">SUM(BF85:BI85)</f>
        <v>57.962737950587254</v>
      </c>
      <c r="BJ88" s="3">
        <f t="shared" ref="BJ88" si="794">SUM(BG85:BJ85)</f>
        <v>71.07938436614009</v>
      </c>
      <c r="BK88" s="3">
        <f t="shared" ref="BK88" si="795">SUM(BH85:BK85)</f>
        <v>71.958282705548726</v>
      </c>
      <c r="BL88" s="3">
        <f t="shared" ref="BL88" si="796">SUM(BI85:BL85)</f>
        <v>70.670311867152606</v>
      </c>
      <c r="BM88" s="3">
        <f t="shared" ref="BM88" si="797">SUM(BJ85:BM85)</f>
        <v>50.014175779667859</v>
      </c>
      <c r="BN88" s="3">
        <f t="shared" ref="BN88" si="798">SUM(BK85:BN85)</f>
        <v>48.08424463345483</v>
      </c>
      <c r="BO88" s="3">
        <f t="shared" ref="BO88" si="799">SUM(BL85:BO85)</f>
        <v>19.997974888618884</v>
      </c>
      <c r="BP88" s="3">
        <f t="shared" ref="BP88" si="800">SUM(BM85:BP85)</f>
        <v>-22.83920615633857</v>
      </c>
      <c r="BQ88" s="3">
        <f t="shared" ref="BQ88" si="801">SUM(BN85:BQ85)</f>
        <v>-31.539084649655713</v>
      </c>
      <c r="BR88" s="3">
        <f t="shared" ref="BR88" si="802">SUM(BO85:BR85)</f>
        <v>-58.849736735520452</v>
      </c>
      <c r="BS88" s="3">
        <f t="shared" ref="BS88" si="803">SUM(BP85:BS85)</f>
        <v>-40.522478736330484</v>
      </c>
      <c r="BT88" s="3">
        <f t="shared" ref="BT88" si="804">SUM(BQ85:BT85)</f>
        <v>-13.070068853786944</v>
      </c>
      <c r="BU88" s="3">
        <f t="shared" ref="BU88" si="805">SUM(BR85:BU85)</f>
        <v>-3.7768327257999257</v>
      </c>
      <c r="BV88" s="3">
        <f t="shared" ref="BV88" si="806">SUM(BS85:BV85)</f>
        <v>9.398541919805611</v>
      </c>
      <c r="BW88" s="3">
        <f t="shared" ref="BW88" si="807">SUM(BT85:BW85)</f>
        <v>0.69461320372621316</v>
      </c>
      <c r="BX88" s="3">
        <f t="shared" ref="BX88" si="808">SUM(BU85:BX85)</f>
        <v>-9.7245848521668705</v>
      </c>
      <c r="BY88" s="3">
        <f t="shared" ref="BY88" si="809">SUM(BV85:BY85)</f>
        <v>1.2940461725395132</v>
      </c>
      <c r="BZ88" s="3">
        <f t="shared" ref="BZ88" si="810">SUM(BW85:BZ85)</f>
        <v>26.095585257189168</v>
      </c>
      <c r="CA88" s="3">
        <f t="shared" ref="CA88" si="811">SUM(BX85:CA85)</f>
        <v>45.702713649250718</v>
      </c>
      <c r="CB88" s="3">
        <f t="shared" ref="CB88" si="812">SUM(BY85:CB85)</f>
        <v>65.812069663831537</v>
      </c>
      <c r="CC88" s="3">
        <f t="shared" ref="CC88" si="813">SUM(BZ85:CC85)</f>
        <v>63.655326042932387</v>
      </c>
      <c r="CD88" s="3">
        <f t="shared" ref="CD88" si="814">SUM(CA85:CD85)</f>
        <v>51.15228837586065</v>
      </c>
      <c r="CE88" s="3">
        <f t="shared" ref="CE88" si="815">SUM(CB85:CE85)</f>
        <v>42.314702308626956</v>
      </c>
      <c r="CF88" s="3">
        <f t="shared" ref="CF88" si="816">SUM(CC85:CF85)</f>
        <v>12.989064398541892</v>
      </c>
      <c r="CG88" s="3">
        <f t="shared" ref="CG88" si="817">SUM(CD85:CG85)</f>
        <v>-10.893074119076594</v>
      </c>
      <c r="CH88" s="3">
        <f t="shared" ref="CH88:CL88" si="818">SUM(CE85:CH85)</f>
        <v>-24.123126771972466</v>
      </c>
      <c r="CI88" s="3">
        <f t="shared" si="818"/>
        <v>-20.589307411907679</v>
      </c>
      <c r="CJ88" s="3">
        <f t="shared" si="818"/>
        <v>12.656946132037184</v>
      </c>
      <c r="CK88" s="3">
        <f t="shared" si="818"/>
        <v>20.677804779262793</v>
      </c>
      <c r="CL88" s="3">
        <f t="shared" si="818"/>
        <v>36.641757796678768</v>
      </c>
      <c r="CM88" s="36">
        <f t="shared" ref="CM88" si="819">SUM(CJ85:CM85)</f>
        <v>23.257134213158476</v>
      </c>
      <c r="CN88" s="36">
        <f t="shared" ref="CN88" si="820">SUM(CK85:CN85)</f>
        <v>49.693308014699241</v>
      </c>
      <c r="CO88" s="36">
        <f t="shared" ref="CO88" si="821">SUM(CL85:CO85)</f>
        <v>99.365823121788765</v>
      </c>
      <c r="CP88" s="36">
        <f t="shared" ref="CP88" si="822">SUM(CM85:CP85)</f>
        <v>133.7678850801517</v>
      </c>
      <c r="CQ88" s="36">
        <f t="shared" ref="CQ88" si="823">SUM(CN85:CQ85)</f>
        <v>192.86108847293463</v>
      </c>
      <c r="CR88" s="36">
        <f t="shared" ref="CR88" si="824">SUM(CO85:CR85)</f>
        <v>264.87139567825324</v>
      </c>
      <c r="CS88" s="36">
        <f t="shared" ref="CS88" si="825">SUM(CP85:CS85)</f>
        <v>337.47300238689024</v>
      </c>
      <c r="CT88" s="36">
        <f t="shared" ref="CT88" si="826">SUM(CQ85:CT85)</f>
        <v>406.74082249098035</v>
      </c>
      <c r="CU88" s="36">
        <f t="shared" ref="CU88" si="827">SUM(CR85:CU85)</f>
        <v>475.31983745760817</v>
      </c>
      <c r="CV88" s="36">
        <f t="shared" ref="CV88" si="828">SUM(CS85:CV85)</f>
        <v>561.93529810218558</v>
      </c>
      <c r="CW88" s="36">
        <f t="shared" ref="CW88" si="829">SUM(CT85:CW85)</f>
        <v>649.70398458691523</v>
      </c>
      <c r="CX88" s="36">
        <f t="shared" ref="CX88" si="830">SUM(CU85:CX85)</f>
        <v>733.8081181271798</v>
      </c>
      <c r="CY88" s="36">
        <f t="shared" ref="CY88" si="831">SUM(CV85:CY85)</f>
        <v>817.41457838782151</v>
      </c>
      <c r="CZ88" s="36">
        <f t="shared" ref="CZ88" si="832">SUM(CW85:CZ85)</f>
        <v>924.19773695576771</v>
      </c>
      <c r="DA88" s="36">
        <f t="shared" ref="DA88" si="833">SUM(CX85:DA85)</f>
        <v>1032.7463106760845</v>
      </c>
      <c r="DD88" s="127">
        <v>-35.979951397326843</v>
      </c>
      <c r="DE88" s="3">
        <v>79.663194791284326</v>
      </c>
    </row>
    <row r="89" spans="1:109" s="96" customFormat="1" x14ac:dyDescent="0.2">
      <c r="A89" s="96" t="s">
        <v>425</v>
      </c>
      <c r="C89" s="100">
        <f t="shared" ref="C89:AA89" si="834">+C88/B88-1</f>
        <v>-2.2848000180917447</v>
      </c>
      <c r="D89" s="100" t="e">
        <f t="shared" si="834"/>
        <v>#DIV/0!</v>
      </c>
      <c r="E89" s="100" t="e">
        <f t="shared" ca="1" si="834"/>
        <v>#DIV/0!</v>
      </c>
      <c r="F89" s="100" t="e">
        <f t="shared" ca="1" si="834"/>
        <v>#DIV/0!</v>
      </c>
      <c r="G89" s="100" t="e">
        <f t="shared" ca="1" si="834"/>
        <v>#DIV/0!</v>
      </c>
      <c r="H89" s="100" t="e">
        <f t="shared" ca="1" si="834"/>
        <v>#DIV/0!</v>
      </c>
      <c r="I89" s="100" t="e">
        <f t="shared" ca="1" si="834"/>
        <v>#DIV/0!</v>
      </c>
      <c r="J89" s="100" t="e">
        <f t="shared" ca="1" si="834"/>
        <v>#DIV/0!</v>
      </c>
      <c r="K89" s="100" t="e">
        <f t="shared" ca="1" si="834"/>
        <v>#DIV/0!</v>
      </c>
      <c r="L89" s="100" t="e">
        <f t="shared" ca="1" si="834"/>
        <v>#DIV/0!</v>
      </c>
      <c r="M89" s="100" t="e">
        <f t="shared" ca="1" si="834"/>
        <v>#DIV/0!</v>
      </c>
      <c r="N89" s="100" t="e">
        <f t="shared" ca="1" si="834"/>
        <v>#DIV/0!</v>
      </c>
      <c r="O89" s="100" t="e">
        <f t="shared" ca="1" si="834"/>
        <v>#DIV/0!</v>
      </c>
      <c r="P89" s="100" t="e">
        <f t="shared" ca="1" si="834"/>
        <v>#DIV/0!</v>
      </c>
      <c r="Q89" s="100" t="e">
        <f t="shared" ca="1" si="834"/>
        <v>#DIV/0!</v>
      </c>
      <c r="R89" s="100" t="e">
        <f t="shared" ca="1" si="834"/>
        <v>#DIV/0!</v>
      </c>
      <c r="S89" s="100" t="e">
        <f t="shared" ca="1" si="834"/>
        <v>#DIV/0!</v>
      </c>
      <c r="T89" s="100" t="e">
        <f t="shared" ca="1" si="834"/>
        <v>#DIV/0!</v>
      </c>
      <c r="U89" s="100" t="e">
        <f t="shared" ca="1" si="834"/>
        <v>#DIV/0!</v>
      </c>
      <c r="V89" s="100" t="e">
        <f t="shared" ca="1" si="834"/>
        <v>#DIV/0!</v>
      </c>
      <c r="W89" s="100" t="e">
        <f t="shared" ca="1" si="834"/>
        <v>#DIV/0!</v>
      </c>
      <c r="X89" s="100" t="e">
        <f t="shared" ca="1" si="834"/>
        <v>#DIV/0!</v>
      </c>
      <c r="Y89" s="100" t="e">
        <f t="shared" ca="1" si="834"/>
        <v>#DIV/0!</v>
      </c>
      <c r="Z89" s="100" t="e">
        <f t="shared" ca="1" si="834"/>
        <v>#DIV/0!</v>
      </c>
      <c r="AA89" s="100" t="e">
        <f t="shared" ca="1" si="834"/>
        <v>#DIV/0!</v>
      </c>
      <c r="AB89" s="164" t="e">
        <f t="shared" ref="AB89" ca="1" si="835">+AB88/AA88-1</f>
        <v>#DIV/0!</v>
      </c>
      <c r="AC89" s="164" t="e">
        <f t="shared" ref="AC89" ca="1" si="836">+AC88/AB88-1</f>
        <v>#DIV/0!</v>
      </c>
      <c r="AD89" s="164" t="e">
        <f t="shared" ref="AD89" ca="1" si="837">+AD88/AC88-1</f>
        <v>#DIV/0!</v>
      </c>
      <c r="AE89" s="164" t="e">
        <f t="shared" ref="AE89" ca="1" si="838">+AE88/AD88-1</f>
        <v>#DIV/0!</v>
      </c>
      <c r="AL89" s="166"/>
      <c r="AM89" s="166"/>
      <c r="AN89" s="166"/>
      <c r="AO89" s="166"/>
      <c r="AP89" s="166">
        <f t="shared" ref="AP89:CL89" si="839">+IF(AL88&lt;0,1-AP88/AL88,AP88/AL88-1)</f>
        <v>-21.445674044265381</v>
      </c>
      <c r="AQ89" s="166">
        <f t="shared" si="839"/>
        <v>0.41775511266066478</v>
      </c>
      <c r="AR89" s="166">
        <f t="shared" si="839"/>
        <v>1.2409139026111502</v>
      </c>
      <c r="AS89" s="166">
        <f t="shared" si="839"/>
        <v>0.86682938937613685</v>
      </c>
      <c r="AT89" s="166">
        <f t="shared" si="839"/>
        <v>1.1752498767424138</v>
      </c>
      <c r="AU89" s="166">
        <f t="shared" si="839"/>
        <v>1.6686924658146389</v>
      </c>
      <c r="AV89" s="166">
        <f t="shared" si="839"/>
        <v>-0.53545709752227566</v>
      </c>
      <c r="AW89" s="166">
        <f t="shared" si="839"/>
        <v>3.4799627213420106</v>
      </c>
      <c r="AX89" s="166">
        <f t="shared" si="839"/>
        <v>-1.310741687979543</v>
      </c>
      <c r="AY89" s="166">
        <f t="shared" si="839"/>
        <v>-2.4032344292969823</v>
      </c>
      <c r="AZ89" s="166">
        <f t="shared" si="839"/>
        <v>-3.0168155543878146</v>
      </c>
      <c r="BA89" s="166">
        <f t="shared" si="839"/>
        <v>-1.3046473756733055</v>
      </c>
      <c r="BB89" s="166">
        <f t="shared" si="839"/>
        <v>5.7679012345678595</v>
      </c>
      <c r="BC89" s="166">
        <f t="shared" si="839"/>
        <v>2.3652728831317256</v>
      </c>
      <c r="BD89" s="166">
        <f t="shared" si="839"/>
        <v>3.4538822303282943</v>
      </c>
      <c r="BE89" s="166">
        <f t="shared" si="839"/>
        <v>6.0563322368421222</v>
      </c>
      <c r="BF89" s="166">
        <f t="shared" si="839"/>
        <v>0.15984809252546239</v>
      </c>
      <c r="BG89" s="166">
        <f t="shared" si="839"/>
        <v>-0.31184596065299275</v>
      </c>
      <c r="BH89" s="166">
        <f t="shared" si="839"/>
        <v>-0.16261414313017597</v>
      </c>
      <c r="BI89" s="166">
        <f t="shared" si="839"/>
        <v>1.327559567374156</v>
      </c>
      <c r="BJ89" s="166">
        <f t="shared" si="839"/>
        <v>4.2238428337550138</v>
      </c>
      <c r="BK89" s="166">
        <f t="shared" si="839"/>
        <v>2.6022911597729053</v>
      </c>
      <c r="BL89" s="166">
        <f t="shared" si="839"/>
        <v>1.2124516578964011</v>
      </c>
      <c r="BM89" s="166">
        <f t="shared" si="839"/>
        <v>-0.13713227587170707</v>
      </c>
      <c r="BN89" s="166">
        <f t="shared" si="839"/>
        <v>-0.32351349041283195</v>
      </c>
      <c r="BO89" s="166">
        <f t="shared" si="839"/>
        <v>-0.72208932541581028</v>
      </c>
      <c r="BP89" s="166">
        <f t="shared" si="839"/>
        <v>-1.3231796429492506</v>
      </c>
      <c r="BQ89" s="166">
        <f t="shared" si="839"/>
        <v>-1.6306029072356965</v>
      </c>
      <c r="BR89" s="166">
        <f t="shared" si="839"/>
        <v>-2.2238881401617254</v>
      </c>
      <c r="BS89" s="166">
        <f t="shared" si="839"/>
        <v>-3.0263291139240489</v>
      </c>
      <c r="BT89" s="166">
        <f t="shared" si="839"/>
        <v>0.42773541408051063</v>
      </c>
      <c r="BU89" s="166">
        <f t="shared" si="839"/>
        <v>0.88024913317066877</v>
      </c>
      <c r="BV89" s="166">
        <f t="shared" si="839"/>
        <v>1.15970406056435</v>
      </c>
      <c r="BW89" s="166">
        <f t="shared" si="839"/>
        <v>1.0171414292853576</v>
      </c>
      <c r="BX89" s="166">
        <f t="shared" si="839"/>
        <v>0.25596529284164771</v>
      </c>
      <c r="BY89" s="166">
        <f t="shared" si="839"/>
        <v>1.3426273458445097</v>
      </c>
      <c r="BZ89" s="166">
        <f t="shared" si="839"/>
        <v>1.7765567765567725</v>
      </c>
      <c r="CA89" s="166">
        <f t="shared" si="839"/>
        <v>64.795918367346175</v>
      </c>
      <c r="CB89" s="166">
        <f t="shared" si="839"/>
        <v>7.7675968346522302</v>
      </c>
      <c r="CC89" s="166">
        <f t="shared" si="839"/>
        <v>48.190923317683009</v>
      </c>
      <c r="CD89" s="166">
        <f t="shared" si="839"/>
        <v>0.96018935278596684</v>
      </c>
      <c r="CE89" s="166">
        <f t="shared" si="839"/>
        <v>-7.4131513647643255E-2</v>
      </c>
      <c r="CF89" s="166">
        <f t="shared" si="839"/>
        <v>-0.80263400824666187</v>
      </c>
      <c r="CG89" s="166">
        <f t="shared" si="839"/>
        <v>-1.1711258868068597</v>
      </c>
      <c r="CH89" s="166">
        <f t="shared" si="839"/>
        <v>-1.4715942832257811</v>
      </c>
      <c r="CI89" s="166">
        <f t="shared" si="839"/>
        <v>-1.4865757358219678</v>
      </c>
      <c r="CJ89" s="166">
        <f t="shared" si="839"/>
        <v>-2.5569067664487855E-2</v>
      </c>
      <c r="CK89" s="166">
        <f t="shared" si="839"/>
        <v>2.8982524632831241</v>
      </c>
      <c r="CL89" s="166">
        <f t="shared" si="839"/>
        <v>2.5189472800537249</v>
      </c>
      <c r="CM89" s="101">
        <f t="shared" ref="CM89:DA89" si="840">+IF(CI88&lt;0,1-CM88/CI88,CM88/CI88-1)</f>
        <v>2.129573411474146</v>
      </c>
      <c r="CN89" s="101">
        <f t="shared" si="840"/>
        <v>2.9261688796253815</v>
      </c>
      <c r="CO89" s="101">
        <f t="shared" si="840"/>
        <v>3.8054338544408761</v>
      </c>
      <c r="CP89" s="101">
        <f t="shared" si="840"/>
        <v>2.650695084619453</v>
      </c>
      <c r="CQ89" s="101">
        <f t="shared" si="840"/>
        <v>7.2925560262629965</v>
      </c>
      <c r="CR89" s="101">
        <f t="shared" si="840"/>
        <v>4.3301220276964552</v>
      </c>
      <c r="CS89" s="101">
        <f t="shared" si="840"/>
        <v>2.3962683726099963</v>
      </c>
      <c r="CT89" s="101">
        <f t="shared" si="840"/>
        <v>2.0406462825308735</v>
      </c>
      <c r="CU89" s="101">
        <f t="shared" si="840"/>
        <v>1.4645709573723198</v>
      </c>
      <c r="CV89" s="101">
        <f t="shared" si="840"/>
        <v>1.1215401408794792</v>
      </c>
      <c r="CW89" s="101">
        <f t="shared" si="840"/>
        <v>0.92520284583260692</v>
      </c>
      <c r="CX89" s="101">
        <f t="shared" si="840"/>
        <v>0.80411721064327724</v>
      </c>
      <c r="CY89" s="101">
        <f t="shared" si="840"/>
        <v>0.71971484034836508</v>
      </c>
      <c r="CZ89" s="101">
        <f t="shared" si="840"/>
        <v>0.64466930637218356</v>
      </c>
      <c r="DA89" s="101">
        <f t="shared" si="840"/>
        <v>0.58956437881893131</v>
      </c>
      <c r="DD89" s="128">
        <v>2.301109232455723</v>
      </c>
      <c r="DE89" s="96">
        <v>4.3023577558710704</v>
      </c>
    </row>
    <row r="90" spans="1:109" s="137" customFormat="1" x14ac:dyDescent="0.2">
      <c r="A90" s="137" t="s">
        <v>424</v>
      </c>
      <c r="AB90" s="138"/>
      <c r="AC90" s="138"/>
      <c r="AD90" s="138"/>
      <c r="AE90" s="138"/>
      <c r="CM90" s="138"/>
      <c r="CN90" s="138"/>
      <c r="CO90" s="138"/>
      <c r="CP90" s="138"/>
      <c r="CQ90" s="138"/>
      <c r="CR90" s="138"/>
      <c r="CS90" s="138"/>
      <c r="CT90" s="138"/>
      <c r="CU90" s="138"/>
      <c r="CV90" s="138"/>
      <c r="CW90" s="138"/>
      <c r="CX90" s="138"/>
      <c r="CY90" s="138"/>
      <c r="CZ90" s="138"/>
      <c r="DA90" s="138"/>
      <c r="DD90" s="139"/>
    </row>
    <row r="91" spans="1:109" s="137" customFormat="1" x14ac:dyDescent="0.2">
      <c r="A91" s="137" t="s">
        <v>436</v>
      </c>
      <c r="AB91" s="138"/>
      <c r="AC91" s="138"/>
      <c r="AD91" s="138"/>
      <c r="AE91" s="138"/>
      <c r="CM91" s="138"/>
      <c r="CN91" s="138"/>
      <c r="CO91" s="138"/>
      <c r="CP91" s="138"/>
      <c r="CQ91" s="138"/>
      <c r="CR91" s="138"/>
      <c r="CS91" s="138"/>
      <c r="CT91" s="138"/>
      <c r="CU91" s="138"/>
      <c r="CV91" s="138"/>
      <c r="CW91" s="138"/>
      <c r="CX91" s="138"/>
      <c r="CY91" s="138"/>
      <c r="CZ91" s="138"/>
      <c r="DA91" s="138"/>
      <c r="DD91" s="139"/>
    </row>
    <row r="92" spans="1:109" s="3" customFormat="1" x14ac:dyDescent="0.2">
      <c r="A92" s="3" t="s">
        <v>34</v>
      </c>
      <c r="B92" s="3">
        <f>'Annual Raw'!C112</f>
        <v>0</v>
      </c>
      <c r="C92" s="3">
        <f>'Annual Raw'!D112</f>
        <v>54.91</v>
      </c>
      <c r="D92" s="3">
        <f>'Annual Raw'!E112</f>
        <v>0</v>
      </c>
      <c r="E92" s="3">
        <f>'Annual Raw'!F112</f>
        <v>0</v>
      </c>
      <c r="F92" s="3">
        <f>'Annual Raw'!G112</f>
        <v>0</v>
      </c>
      <c r="G92" s="3">
        <f>'Annual Raw'!H112</f>
        <v>0</v>
      </c>
      <c r="H92" s="3">
        <f>'Annual Raw'!I112</f>
        <v>0</v>
      </c>
      <c r="I92" s="3">
        <f>'Annual Raw'!J112</f>
        <v>0</v>
      </c>
      <c r="J92" s="3">
        <f>'Annual Raw'!K112</f>
        <v>0</v>
      </c>
      <c r="K92" s="3">
        <f>'Annual Raw'!L112</f>
        <v>0</v>
      </c>
      <c r="L92" s="3">
        <f>'Annual Raw'!M112</f>
        <v>0</v>
      </c>
      <c r="M92" s="3">
        <f>'Annual Raw'!N112</f>
        <v>0</v>
      </c>
      <c r="N92" s="3">
        <f>'Annual Raw'!O112</f>
        <v>0</v>
      </c>
      <c r="O92" s="3">
        <f>'Annual Raw'!P112</f>
        <v>0</v>
      </c>
      <c r="P92" s="3">
        <f>'Annual Raw'!Q112</f>
        <v>0</v>
      </c>
      <c r="Q92" s="3">
        <f>'Annual Raw'!R112</f>
        <v>0</v>
      </c>
      <c r="R92" s="3">
        <f>'Annual Raw'!S112</f>
        <v>0</v>
      </c>
      <c r="S92" s="3">
        <f>'Annual Raw'!T112</f>
        <v>0</v>
      </c>
      <c r="T92" s="3">
        <f>'Annual Raw'!U112</f>
        <v>0</v>
      </c>
      <c r="U92" s="3">
        <f>'Annual Raw'!V112</f>
        <v>0</v>
      </c>
      <c r="V92" s="3">
        <f>'Annual Raw'!W112</f>
        <v>0</v>
      </c>
      <c r="W92" s="3">
        <f>'Annual Raw'!X112</f>
        <v>0</v>
      </c>
      <c r="X92" s="3">
        <f>'Annual Raw'!Y112</f>
        <v>0</v>
      </c>
      <c r="Y92" s="3">
        <f>'Annual Raw'!Z112</f>
        <v>75</v>
      </c>
      <c r="Z92" s="3">
        <f>'Annual Raw'!AA112</f>
        <v>75</v>
      </c>
      <c r="AA92" s="3">
        <f>'Annual Raw'!AB112</f>
        <v>70.44</v>
      </c>
      <c r="AB92" s="36"/>
      <c r="AC92" s="36"/>
      <c r="AD92" s="36"/>
      <c r="AE92" s="36"/>
      <c r="AI92" s="3">
        <f>'QTR Raw'!C49</f>
        <v>75</v>
      </c>
      <c r="AJ92" s="3">
        <f>'QTR Raw'!D49</f>
        <v>75</v>
      </c>
      <c r="AK92" s="3">
        <f>'QTR Raw'!E49</f>
        <v>75</v>
      </c>
      <c r="AL92" s="3">
        <f>'QTR Raw'!F49</f>
        <v>75</v>
      </c>
      <c r="AM92" s="3">
        <f>'QTR Raw'!G49</f>
        <v>75</v>
      </c>
      <c r="AN92" s="3">
        <f>'QTR Raw'!H49</f>
        <v>75</v>
      </c>
      <c r="AO92" s="3">
        <f>'QTR Raw'!I49</f>
        <v>75</v>
      </c>
      <c r="AP92" s="3">
        <f>'QTR Raw'!J49</f>
        <v>75</v>
      </c>
      <c r="AQ92" s="3">
        <f>'QTR Raw'!K49</f>
        <v>75</v>
      </c>
      <c r="AR92" s="3">
        <f>'QTR Raw'!L49</f>
        <v>75</v>
      </c>
      <c r="AS92" s="3">
        <f>'QTR Raw'!M49</f>
        <v>75</v>
      </c>
      <c r="AT92" s="3">
        <f>'QTR Raw'!N49</f>
        <v>75</v>
      </c>
      <c r="AU92" s="3">
        <f>'QTR Raw'!O49</f>
        <v>75</v>
      </c>
      <c r="AV92" s="3">
        <f>'QTR Raw'!P49</f>
        <v>75</v>
      </c>
      <c r="AW92" s="3">
        <f>'QTR Raw'!Q49</f>
        <v>75</v>
      </c>
      <c r="AX92" s="3">
        <f>'QTR Raw'!R49</f>
        <v>75</v>
      </c>
      <c r="AY92" s="3">
        <f>'QTR Raw'!S49</f>
        <v>75</v>
      </c>
      <c r="AZ92" s="3">
        <f>'QTR Raw'!T49</f>
        <v>75</v>
      </c>
      <c r="BA92" s="3">
        <f>'QTR Raw'!U49</f>
        <v>75</v>
      </c>
      <c r="BB92" s="3">
        <f>'QTR Raw'!V49</f>
        <v>75</v>
      </c>
      <c r="BC92" s="3">
        <f>'QTR Raw'!W49</f>
        <v>75</v>
      </c>
      <c r="BD92" s="3">
        <f>'QTR Raw'!X49</f>
        <v>75</v>
      </c>
      <c r="BE92" s="3">
        <f>'QTR Raw'!Y49</f>
        <v>75</v>
      </c>
      <c r="BF92" s="3">
        <f>'QTR Raw'!Z49</f>
        <v>75</v>
      </c>
      <c r="BG92" s="3">
        <f>'QTR Raw'!AA49</f>
        <v>75</v>
      </c>
      <c r="BH92" s="3">
        <f>'QTR Raw'!AB49</f>
        <v>75</v>
      </c>
      <c r="BI92" s="3">
        <f>'QTR Raw'!AC49</f>
        <v>75</v>
      </c>
      <c r="BJ92" s="3">
        <f>'QTR Raw'!AD49</f>
        <v>75</v>
      </c>
      <c r="BK92" s="3">
        <f>'QTR Raw'!AE49</f>
        <v>75</v>
      </c>
      <c r="BL92" s="3">
        <f>'QTR Raw'!AF49</f>
        <v>75</v>
      </c>
      <c r="BM92" s="3">
        <f>'QTR Raw'!AG49</f>
        <v>75</v>
      </c>
      <c r="BN92" s="3">
        <f>'QTR Raw'!AH49</f>
        <v>75</v>
      </c>
      <c r="BO92" s="3">
        <f>'QTR Raw'!AI49</f>
        <v>75</v>
      </c>
      <c r="BP92" s="3">
        <f>'QTR Raw'!AJ49</f>
        <v>75</v>
      </c>
      <c r="BQ92" s="3">
        <f>'QTR Raw'!AK49</f>
        <v>75</v>
      </c>
      <c r="BR92" s="3">
        <f>'QTR Raw'!AL49</f>
        <v>75</v>
      </c>
      <c r="BS92" s="3">
        <f>'QTR Raw'!AM49</f>
        <v>75</v>
      </c>
      <c r="BT92" s="3">
        <f>'QTR Raw'!AN49</f>
        <v>75</v>
      </c>
      <c r="BU92" s="3">
        <f>'QTR Raw'!AO49</f>
        <v>75</v>
      </c>
      <c r="BV92" s="3">
        <f>'QTR Raw'!AP49</f>
        <v>75</v>
      </c>
      <c r="BW92" s="3">
        <f>'QTR Raw'!AQ49</f>
        <v>75</v>
      </c>
      <c r="BX92" s="3">
        <f>'QTR Raw'!AR49</f>
        <v>75</v>
      </c>
      <c r="BY92" s="3">
        <f>'QTR Raw'!AS49</f>
        <v>75</v>
      </c>
      <c r="BZ92" s="3">
        <f>'QTR Raw'!AT49</f>
        <v>75</v>
      </c>
      <c r="CA92" s="3">
        <f>'QTR Raw'!AU49</f>
        <v>75</v>
      </c>
      <c r="CB92" s="3">
        <f>'QTR Raw'!AV49</f>
        <v>75</v>
      </c>
      <c r="CC92" s="3">
        <f>'QTR Raw'!AW49</f>
        <v>75</v>
      </c>
      <c r="CD92" s="3">
        <f>'QTR Raw'!AX49</f>
        <v>75</v>
      </c>
      <c r="CE92" s="3">
        <f>'QTR Raw'!AY49</f>
        <v>75</v>
      </c>
      <c r="CF92" s="3">
        <f>'QTR Raw'!AZ49</f>
        <v>75</v>
      </c>
      <c r="CG92" s="3">
        <f>'QTR Raw'!BA49</f>
        <v>75</v>
      </c>
      <c r="CH92" s="3">
        <f>'QTR Raw'!BB49</f>
        <v>75</v>
      </c>
      <c r="CI92" s="3">
        <f>'QTR Raw'!BC49</f>
        <v>75</v>
      </c>
      <c r="CJ92" s="3">
        <f>'QTR Raw'!BD49</f>
        <v>75</v>
      </c>
      <c r="CK92" s="3">
        <f>'QTR Raw'!BE49</f>
        <v>70.44</v>
      </c>
      <c r="CL92" s="3">
        <f>'QTR Raw'!BF49</f>
        <v>70.44</v>
      </c>
      <c r="CM92" s="36"/>
      <c r="CN92" s="36"/>
      <c r="CO92" s="36"/>
      <c r="CP92" s="36"/>
      <c r="CQ92" s="36"/>
      <c r="CR92" s="36"/>
      <c r="CS92" s="36"/>
      <c r="CT92" s="36"/>
      <c r="CU92" s="36"/>
      <c r="CV92" s="36"/>
      <c r="CW92" s="36"/>
      <c r="CX92" s="36"/>
      <c r="CY92" s="36"/>
      <c r="CZ92" s="36"/>
      <c r="DA92" s="36"/>
      <c r="DD92" s="127"/>
    </row>
    <row r="93" spans="1:109" s="3" customFormat="1" x14ac:dyDescent="0.2">
      <c r="A93" s="3" t="s">
        <v>35</v>
      </c>
      <c r="B93" s="3">
        <f>'Annual Raw'!C113</f>
        <v>0</v>
      </c>
      <c r="C93" s="3">
        <f>'Annual Raw'!D113</f>
        <v>0</v>
      </c>
      <c r="D93" s="3">
        <f>'Annual Raw'!E113</f>
        <v>0</v>
      </c>
      <c r="E93" s="3">
        <f>'Annual Raw'!F113</f>
        <v>0</v>
      </c>
      <c r="F93" s="3">
        <f>'Annual Raw'!G113</f>
        <v>0</v>
      </c>
      <c r="G93" s="3">
        <f>'Annual Raw'!H113</f>
        <v>0</v>
      </c>
      <c r="H93" s="3">
        <f>'Annual Raw'!I113</f>
        <v>0</v>
      </c>
      <c r="I93" s="3">
        <f>'Annual Raw'!J113</f>
        <v>0</v>
      </c>
      <c r="J93" s="3">
        <f>'Annual Raw'!K113</f>
        <v>0</v>
      </c>
      <c r="K93" s="3">
        <f>'Annual Raw'!L113</f>
        <v>0</v>
      </c>
      <c r="L93" s="3">
        <f>'Annual Raw'!M113</f>
        <v>0</v>
      </c>
      <c r="M93" s="3">
        <f>'Annual Raw'!N113</f>
        <v>0</v>
      </c>
      <c r="N93" s="3">
        <f>'Annual Raw'!O113</f>
        <v>0</v>
      </c>
      <c r="O93" s="3">
        <f>'Annual Raw'!P113</f>
        <v>0</v>
      </c>
      <c r="P93" s="3">
        <f>'Annual Raw'!Q113</f>
        <v>0</v>
      </c>
      <c r="Q93" s="3">
        <f>'Annual Raw'!R113</f>
        <v>0</v>
      </c>
      <c r="R93" s="3">
        <f>'Annual Raw'!S113</f>
        <v>0</v>
      </c>
      <c r="S93" s="3">
        <f>'Annual Raw'!T113</f>
        <v>0</v>
      </c>
      <c r="T93" s="3">
        <f>'Annual Raw'!U113</f>
        <v>0</v>
      </c>
      <c r="U93" s="3">
        <f>'Annual Raw'!V113</f>
        <v>0</v>
      </c>
      <c r="V93" s="3">
        <f>'Annual Raw'!W113</f>
        <v>0</v>
      </c>
      <c r="W93" s="3">
        <f>'Annual Raw'!X113</f>
        <v>0</v>
      </c>
      <c r="X93" s="3">
        <f>'Annual Raw'!Y113</f>
        <v>0</v>
      </c>
      <c r="Y93" s="3">
        <f>'Annual Raw'!Z113</f>
        <v>0</v>
      </c>
      <c r="Z93" s="3">
        <f>'Annual Raw'!AA113</f>
        <v>0</v>
      </c>
      <c r="AA93" s="3">
        <f>'Annual Raw'!AB113</f>
        <v>0</v>
      </c>
      <c r="AB93" s="36"/>
      <c r="AC93" s="36"/>
      <c r="AD93" s="36"/>
      <c r="AE93" s="36"/>
      <c r="AI93" s="3">
        <f>'QTR Raw'!C50</f>
        <v>0</v>
      </c>
      <c r="AJ93" s="3">
        <f>'QTR Raw'!D50</f>
        <v>0</v>
      </c>
      <c r="AK93" s="3">
        <f>'QTR Raw'!E50</f>
        <v>0</v>
      </c>
      <c r="AL93" s="3">
        <f>'QTR Raw'!F50</f>
        <v>0</v>
      </c>
      <c r="AM93" s="3">
        <f>'QTR Raw'!G50</f>
        <v>0</v>
      </c>
      <c r="AN93" s="3">
        <f>'QTR Raw'!H50</f>
        <v>0</v>
      </c>
      <c r="AO93" s="3">
        <f>'QTR Raw'!I50</f>
        <v>0</v>
      </c>
      <c r="AP93" s="3">
        <f>'QTR Raw'!J50</f>
        <v>0</v>
      </c>
      <c r="AQ93" s="3">
        <f>'QTR Raw'!K50</f>
        <v>0</v>
      </c>
      <c r="AR93" s="3">
        <f>'QTR Raw'!L50</f>
        <v>0</v>
      </c>
      <c r="AS93" s="3">
        <f>'QTR Raw'!M50</f>
        <v>0</v>
      </c>
      <c r="AT93" s="3">
        <f>'QTR Raw'!N50</f>
        <v>0</v>
      </c>
      <c r="AU93" s="3">
        <f>'QTR Raw'!O50</f>
        <v>0</v>
      </c>
      <c r="AV93" s="3">
        <f>'QTR Raw'!P50</f>
        <v>0</v>
      </c>
      <c r="AW93" s="3">
        <f>'QTR Raw'!Q50</f>
        <v>0</v>
      </c>
      <c r="AX93" s="3">
        <f>'QTR Raw'!R50</f>
        <v>0</v>
      </c>
      <c r="AY93" s="3">
        <f>'QTR Raw'!S50</f>
        <v>0</v>
      </c>
      <c r="AZ93" s="3">
        <f>'QTR Raw'!T50</f>
        <v>0</v>
      </c>
      <c r="BA93" s="3">
        <f>'QTR Raw'!U50</f>
        <v>0</v>
      </c>
      <c r="BB93" s="3">
        <f>'QTR Raw'!V50</f>
        <v>0</v>
      </c>
      <c r="BC93" s="3">
        <f>'QTR Raw'!W50</f>
        <v>0</v>
      </c>
      <c r="BD93" s="3">
        <f>'QTR Raw'!X50</f>
        <v>0</v>
      </c>
      <c r="BE93" s="3">
        <f>'QTR Raw'!Y50</f>
        <v>0</v>
      </c>
      <c r="BF93" s="3">
        <f>'QTR Raw'!Z50</f>
        <v>0</v>
      </c>
      <c r="BG93" s="3">
        <f>'QTR Raw'!AA50</f>
        <v>0</v>
      </c>
      <c r="BH93" s="3">
        <f>'QTR Raw'!AB50</f>
        <v>0</v>
      </c>
      <c r="BI93" s="3">
        <f>'QTR Raw'!AC50</f>
        <v>0</v>
      </c>
      <c r="BJ93" s="3">
        <f>'QTR Raw'!AD50</f>
        <v>0</v>
      </c>
      <c r="BK93" s="3">
        <f>'QTR Raw'!AE50</f>
        <v>0</v>
      </c>
      <c r="BL93" s="3">
        <f>'QTR Raw'!AF50</f>
        <v>0</v>
      </c>
      <c r="BM93" s="3">
        <f>'QTR Raw'!AG50</f>
        <v>0</v>
      </c>
      <c r="BN93" s="3">
        <f>'QTR Raw'!AH50</f>
        <v>0</v>
      </c>
      <c r="BO93" s="3">
        <f>'QTR Raw'!AI50</f>
        <v>0</v>
      </c>
      <c r="BP93" s="3">
        <f>'QTR Raw'!AJ50</f>
        <v>0</v>
      </c>
      <c r="BQ93" s="3">
        <f>'QTR Raw'!AK50</f>
        <v>0</v>
      </c>
      <c r="BR93" s="3">
        <f>'QTR Raw'!AL50</f>
        <v>0</v>
      </c>
      <c r="BS93" s="3">
        <f>'QTR Raw'!AM50</f>
        <v>0</v>
      </c>
      <c r="BT93" s="3">
        <f>'QTR Raw'!AN50</f>
        <v>0</v>
      </c>
      <c r="BU93" s="3">
        <f>'QTR Raw'!AO50</f>
        <v>0</v>
      </c>
      <c r="BV93" s="3">
        <f>'QTR Raw'!AP50</f>
        <v>0</v>
      </c>
      <c r="BW93" s="3">
        <f>'QTR Raw'!AQ50</f>
        <v>0</v>
      </c>
      <c r="BX93" s="3">
        <f>'QTR Raw'!AR50</f>
        <v>0</v>
      </c>
      <c r="BY93" s="3">
        <f>'QTR Raw'!AS50</f>
        <v>0</v>
      </c>
      <c r="BZ93" s="3">
        <f>'QTR Raw'!AT50</f>
        <v>0</v>
      </c>
      <c r="CA93" s="3">
        <f>'QTR Raw'!AU50</f>
        <v>0</v>
      </c>
      <c r="CB93" s="3">
        <f>'QTR Raw'!AV50</f>
        <v>0</v>
      </c>
      <c r="CC93" s="3">
        <f>'QTR Raw'!AW50</f>
        <v>0</v>
      </c>
      <c r="CD93" s="3">
        <f>'QTR Raw'!AX50</f>
        <v>0</v>
      </c>
      <c r="CE93" s="3">
        <f>'QTR Raw'!AY50</f>
        <v>0</v>
      </c>
      <c r="CF93" s="3">
        <f>'QTR Raw'!AZ50</f>
        <v>0</v>
      </c>
      <c r="CG93" s="3">
        <f>'QTR Raw'!BA50</f>
        <v>0</v>
      </c>
      <c r="CH93" s="3">
        <f>'QTR Raw'!BB50</f>
        <v>0</v>
      </c>
      <c r="CI93" s="3">
        <f>'QTR Raw'!BC50</f>
        <v>0</v>
      </c>
      <c r="CJ93" s="3">
        <f>'QTR Raw'!BD50</f>
        <v>0</v>
      </c>
      <c r="CK93" s="3">
        <f>'QTR Raw'!BE50</f>
        <v>0</v>
      </c>
      <c r="CL93" s="3">
        <f>'QTR Raw'!BF50</f>
        <v>0</v>
      </c>
      <c r="CM93" s="36"/>
      <c r="CN93" s="36"/>
      <c r="CO93" s="36"/>
      <c r="CP93" s="36"/>
      <c r="CQ93" s="36"/>
      <c r="CR93" s="36"/>
      <c r="CS93" s="36"/>
      <c r="CT93" s="36"/>
      <c r="CU93" s="36"/>
      <c r="CV93" s="36"/>
      <c r="CW93" s="36"/>
      <c r="CX93" s="36"/>
      <c r="CY93" s="36"/>
      <c r="CZ93" s="36"/>
      <c r="DA93" s="36"/>
      <c r="DD93" s="127"/>
    </row>
    <row r="94" spans="1:109" s="3" customFormat="1" x14ac:dyDescent="0.2">
      <c r="AB94" s="36"/>
      <c r="AC94" s="36"/>
      <c r="AD94" s="36"/>
      <c r="AE94" s="36"/>
      <c r="CM94" s="36"/>
      <c r="CN94" s="36"/>
      <c r="CO94" s="36"/>
      <c r="CP94" s="36"/>
      <c r="CQ94" s="36"/>
      <c r="CR94" s="36"/>
      <c r="CS94" s="36"/>
      <c r="CT94" s="36"/>
      <c r="CU94" s="36"/>
      <c r="CV94" s="36"/>
      <c r="CW94" s="36"/>
      <c r="CX94" s="36"/>
      <c r="CY94" s="36"/>
      <c r="CZ94" s="36"/>
      <c r="DA94" s="36"/>
      <c r="DD94" s="127"/>
    </row>
    <row r="95" spans="1:109" s="13" customFormat="1" x14ac:dyDescent="0.2">
      <c r="A95" s="13" t="s">
        <v>36</v>
      </c>
      <c r="AB95" s="36"/>
      <c r="AC95" s="36"/>
      <c r="AD95" s="36"/>
      <c r="AE95" s="36"/>
      <c r="CM95" s="36"/>
      <c r="CN95" s="36"/>
      <c r="CO95" s="36"/>
      <c r="CP95" s="36"/>
      <c r="CQ95" s="36"/>
      <c r="CR95" s="36"/>
      <c r="CS95" s="36"/>
      <c r="CT95" s="36"/>
      <c r="CU95" s="36"/>
      <c r="CV95" s="36"/>
      <c r="CW95" s="36"/>
      <c r="CX95" s="36"/>
      <c r="CY95" s="36"/>
      <c r="CZ95" s="36"/>
      <c r="DA95" s="36"/>
      <c r="DD95" s="127"/>
    </row>
    <row r="96" spans="1:109" s="13" customFormat="1" x14ac:dyDescent="0.2">
      <c r="A96" s="13" t="s">
        <v>456</v>
      </c>
      <c r="B96" s="13">
        <f>'Annual Raw'!C106</f>
        <v>16.5</v>
      </c>
      <c r="C96" s="13">
        <f>'Annual Raw'!D106</f>
        <v>15.85</v>
      </c>
      <c r="D96" s="13">
        <f>'Annual Raw'!E106</f>
        <v>0</v>
      </c>
      <c r="E96" s="13">
        <f>'Annual Raw'!F106</f>
        <v>0</v>
      </c>
      <c r="F96" s="13">
        <f>'Annual Raw'!G106</f>
        <v>0</v>
      </c>
      <c r="G96" s="13">
        <f>'Annual Raw'!H106</f>
        <v>0</v>
      </c>
      <c r="H96" s="13">
        <f>'Annual Raw'!I106</f>
        <v>0</v>
      </c>
      <c r="I96" s="13">
        <f>'Annual Raw'!J106</f>
        <v>0</v>
      </c>
      <c r="J96" s="13">
        <f>'Annual Raw'!K106</f>
        <v>0</v>
      </c>
      <c r="K96" s="13">
        <f>'Annual Raw'!L106</f>
        <v>0</v>
      </c>
      <c r="L96" s="13">
        <f>'Annual Raw'!M106</f>
        <v>0</v>
      </c>
      <c r="M96" s="13">
        <f>'Annual Raw'!N106</f>
        <v>0</v>
      </c>
      <c r="N96" s="13">
        <f>'Annual Raw'!O106</f>
        <v>0</v>
      </c>
      <c r="O96" s="13">
        <f>'Annual Raw'!P106</f>
        <v>0</v>
      </c>
      <c r="P96" s="13">
        <f>'Annual Raw'!Q106</f>
        <v>0</v>
      </c>
      <c r="Q96" s="13">
        <f>'Annual Raw'!R106</f>
        <v>0</v>
      </c>
      <c r="R96" s="13">
        <f>'Annual Raw'!S106</f>
        <v>0</v>
      </c>
      <c r="S96" s="13">
        <f>'Annual Raw'!T106</f>
        <v>0</v>
      </c>
      <c r="T96" s="13">
        <f>'Annual Raw'!U106</f>
        <v>0</v>
      </c>
      <c r="U96" s="13">
        <f>'Annual Raw'!V106</f>
        <v>0</v>
      </c>
      <c r="V96" s="13">
        <f>'Annual Raw'!W106</f>
        <v>0</v>
      </c>
      <c r="W96" s="13">
        <f>'Annual Raw'!X106</f>
        <v>0</v>
      </c>
      <c r="X96" s="13">
        <f>'Annual Raw'!Y106</f>
        <v>0</v>
      </c>
      <c r="Y96" s="13">
        <f>'Annual Raw'!Z106</f>
        <v>3066.75</v>
      </c>
      <c r="Z96" s="13">
        <f>'Annual Raw'!AA106</f>
        <v>4184.5</v>
      </c>
      <c r="AA96" s="13">
        <f>'Annual Raw'!AB106</f>
        <v>5268.95</v>
      </c>
      <c r="AB96" s="36">
        <f>+CO96</f>
        <v>7600</v>
      </c>
      <c r="AC96" s="36">
        <f>+CS96</f>
        <v>7600</v>
      </c>
      <c r="AD96" s="36">
        <f>+CW96</f>
        <v>7600</v>
      </c>
      <c r="AE96" s="36">
        <f>+DA96</f>
        <v>7600</v>
      </c>
      <c r="AJ96" s="13">
        <f>'QTR Share Price'!HP21</f>
        <v>705.5</v>
      </c>
      <c r="AK96" s="13">
        <f>'QTR Share Price'!HQ21</f>
        <v>660</v>
      </c>
      <c r="AL96" s="13">
        <f>'QTR Share Price'!HR21</f>
        <v>372.95</v>
      </c>
      <c r="AM96" s="13">
        <f>'QTR Share Price'!HS21</f>
        <v>330</v>
      </c>
      <c r="AN96" s="13">
        <f>'QTR Share Price'!HT21</f>
        <v>263</v>
      </c>
      <c r="AO96" s="13">
        <f>'QTR Share Price'!HU21</f>
        <v>314.39999999999998</v>
      </c>
      <c r="AP96" s="13">
        <f>'QTR Share Price'!HV21</f>
        <v>445</v>
      </c>
      <c r="AQ96" s="13">
        <f>'QTR Share Price'!HW21</f>
        <v>512.6</v>
      </c>
      <c r="AR96" s="13">
        <f>'QTR Share Price'!HX21</f>
        <v>461</v>
      </c>
      <c r="AS96" s="13">
        <f>'QTR Share Price'!HY21</f>
        <v>505</v>
      </c>
      <c r="AT96" s="13">
        <f>'QTR Share Price'!HZ21</f>
        <v>398</v>
      </c>
      <c r="AU96" s="13">
        <f>'QTR Share Price'!IA21</f>
        <v>380</v>
      </c>
      <c r="AV96" s="13">
        <f>'QTR Share Price'!IB21</f>
        <v>407.2</v>
      </c>
      <c r="AW96" s="13">
        <f>'QTR Share Price'!IC21</f>
        <v>387.5</v>
      </c>
      <c r="AX96" s="13">
        <f>'QTR Share Price'!ID21</f>
        <v>408.1</v>
      </c>
      <c r="AY96" s="13">
        <f>'QTR Share Price'!IE21</f>
        <v>400</v>
      </c>
      <c r="AZ96" s="13">
        <f>'QTR Share Price'!IF21</f>
        <v>376</v>
      </c>
      <c r="BA96" s="13">
        <f>'QTR Share Price'!IG21</f>
        <v>434.05</v>
      </c>
      <c r="BB96" s="13">
        <f>'QTR Share Price'!IH21</f>
        <v>585.29999999999995</v>
      </c>
      <c r="BC96" s="13">
        <f>'QTR Share Price'!II21</f>
        <v>498</v>
      </c>
      <c r="BD96" s="13">
        <f>'QTR Share Price'!IJ21</f>
        <v>899.85</v>
      </c>
      <c r="BE96" s="13">
        <f>'QTR Share Price'!IK21</f>
        <v>1274.0999999999999</v>
      </c>
      <c r="BF96" s="13">
        <f>'QTR Share Price'!IL21</f>
        <v>872.55</v>
      </c>
      <c r="BG96" s="13">
        <f>'QTR Share Price'!IM21</f>
        <v>777.15</v>
      </c>
      <c r="BH96" s="13">
        <f>'QTR Share Price'!IN21</f>
        <v>670</v>
      </c>
      <c r="BI96" s="13">
        <f>'QTR Share Price'!IO21</f>
        <v>987.65</v>
      </c>
      <c r="BJ96" s="13">
        <f>'QTR Share Price'!IP21</f>
        <v>1338.8</v>
      </c>
      <c r="BK96" s="13">
        <f>'QTR Share Price'!IQ21</f>
        <v>1099.6500000000001</v>
      </c>
      <c r="BL96" s="13">
        <f>'QTR Share Price'!IR21</f>
        <v>939.95</v>
      </c>
      <c r="BM96" s="13">
        <f>'QTR Share Price'!IS21</f>
        <v>938.35</v>
      </c>
      <c r="BN96" s="13">
        <f>'QTR Share Price'!IT21</f>
        <v>417.25</v>
      </c>
      <c r="BO96" s="13">
        <f>'QTR Share Price'!IU21</f>
        <v>481.15</v>
      </c>
      <c r="BP96" s="13">
        <f>'QTR Share Price'!IV21</f>
        <v>798.05</v>
      </c>
      <c r="BQ96" s="13">
        <f>'QTR Share Price'!IW21</f>
        <v>787.5</v>
      </c>
      <c r="BR96" s="13">
        <f>'QTR Share Price'!IX21</f>
        <v>833.1</v>
      </c>
      <c r="BS96" s="13">
        <f>'QTR Share Price'!IY21</f>
        <v>925.05</v>
      </c>
      <c r="BT96" s="13">
        <f>'QTR Share Price'!IZ21</f>
        <v>926.9</v>
      </c>
      <c r="BU96" s="13">
        <f>'QTR Share Price'!JA21</f>
        <v>1029.75</v>
      </c>
      <c r="BV96" s="13">
        <f>'QTR Share Price'!JB21</f>
        <v>1556.9</v>
      </c>
      <c r="BW96" s="13">
        <f>'QTR Share Price'!JC21</f>
        <v>1158.95</v>
      </c>
      <c r="BX96" s="13">
        <f>'QTR Share Price'!JD21</f>
        <v>1260.05</v>
      </c>
      <c r="BY96" s="13">
        <f>'QTR Share Price'!JE21</f>
        <v>1309.1500000000001</v>
      </c>
      <c r="BZ96" s="13">
        <f>'QTR Share Price'!JF21</f>
        <v>1451.95</v>
      </c>
      <c r="CA96" s="13">
        <f>'QTR Share Price'!JG21</f>
        <v>2947.45</v>
      </c>
      <c r="CB96" s="13">
        <f>'QTR Share Price'!JH21</f>
        <v>2879</v>
      </c>
      <c r="CC96" s="13">
        <f>'QTR Share Price'!JI21</f>
        <v>3066.75</v>
      </c>
      <c r="CD96" s="13">
        <f>'QTR Share Price'!JJ21</f>
        <v>3296.45</v>
      </c>
      <c r="CE96" s="13">
        <f>'QTR Share Price'!JK21</f>
        <v>5998.15</v>
      </c>
      <c r="CF96" s="13">
        <f>'QTR Share Price'!JL21</f>
        <v>5744.6</v>
      </c>
      <c r="CG96" s="13">
        <f>'QTR Share Price'!JM21</f>
        <v>4184.5</v>
      </c>
      <c r="CH96" s="13">
        <f>'QTR Share Price'!JN21</f>
        <v>2876</v>
      </c>
      <c r="CI96" s="13">
        <f>'QTR Share Price'!JO21</f>
        <v>3432.1</v>
      </c>
      <c r="CJ96" s="13">
        <f>'QTR Share Price'!JP21</f>
        <v>5927.35</v>
      </c>
      <c r="CK96" s="13">
        <f>'QTR Share Price'!JQ21</f>
        <v>5268.95</v>
      </c>
      <c r="CL96" s="13">
        <f>'QTR Share Price'!JR21</f>
        <v>4082.2</v>
      </c>
      <c r="CM96" s="36">
        <v>7600</v>
      </c>
      <c r="CN96" s="36">
        <f t="shared" ref="CN96" si="841">+CM96</f>
        <v>7600</v>
      </c>
      <c r="CO96" s="36">
        <f t="shared" ref="CO96" si="842">+CN96</f>
        <v>7600</v>
      </c>
      <c r="CP96" s="36">
        <f t="shared" ref="CP96" si="843">+CO96</f>
        <v>7600</v>
      </c>
      <c r="CQ96" s="36">
        <f t="shared" ref="CQ96" si="844">+CP96</f>
        <v>7600</v>
      </c>
      <c r="CR96" s="36">
        <f t="shared" ref="CR96" si="845">+CQ96</f>
        <v>7600</v>
      </c>
      <c r="CS96" s="36">
        <f t="shared" ref="CS96" si="846">+CR96</f>
        <v>7600</v>
      </c>
      <c r="CT96" s="36">
        <f t="shared" ref="CT96" si="847">+CS96</f>
        <v>7600</v>
      </c>
      <c r="CU96" s="36">
        <f t="shared" ref="CU96" si="848">+CT96</f>
        <v>7600</v>
      </c>
      <c r="CV96" s="36">
        <f t="shared" ref="CV96" si="849">+CU96</f>
        <v>7600</v>
      </c>
      <c r="CW96" s="36">
        <f t="shared" ref="CW96" si="850">+CV96</f>
        <v>7600</v>
      </c>
      <c r="CX96" s="36">
        <f t="shared" ref="CX96" si="851">+CW96</f>
        <v>7600</v>
      </c>
      <c r="CY96" s="36">
        <f t="shared" ref="CY96" si="852">+CX96</f>
        <v>7600</v>
      </c>
      <c r="CZ96" s="36">
        <f t="shared" ref="CZ96" si="853">+CY96</f>
        <v>7600</v>
      </c>
      <c r="DA96" s="36">
        <f t="shared" ref="DA96" si="854">+CZ96</f>
        <v>7600</v>
      </c>
      <c r="DD96" s="127">
        <v>5268.95</v>
      </c>
      <c r="DE96" s="13">
        <v>5268.95</v>
      </c>
    </row>
    <row r="97" spans="1:109" s="13" customFormat="1" x14ac:dyDescent="0.2">
      <c r="A97" s="13" t="s">
        <v>457</v>
      </c>
      <c r="B97" s="13">
        <f>'Annual Raw'!C107</f>
        <v>46</v>
      </c>
      <c r="C97" s="13">
        <f>'Annual Raw'!D107</f>
        <v>28.95</v>
      </c>
      <c r="D97" s="13">
        <f>'Annual Raw'!E107</f>
        <v>0</v>
      </c>
      <c r="E97" s="13">
        <f>'Annual Raw'!F107</f>
        <v>0</v>
      </c>
      <c r="F97" s="13">
        <f>'Annual Raw'!G107</f>
        <v>0</v>
      </c>
      <c r="G97" s="13">
        <f>'Annual Raw'!H107</f>
        <v>0</v>
      </c>
      <c r="H97" s="13">
        <f>'Annual Raw'!I107</f>
        <v>0</v>
      </c>
      <c r="I97" s="13">
        <f>'Annual Raw'!J107</f>
        <v>0</v>
      </c>
      <c r="J97" s="13">
        <f>'Annual Raw'!K107</f>
        <v>0</v>
      </c>
      <c r="K97" s="13">
        <f>'Annual Raw'!L107</f>
        <v>0</v>
      </c>
      <c r="L97" s="13">
        <f>'Annual Raw'!M107</f>
        <v>0</v>
      </c>
      <c r="M97" s="13">
        <f>'Annual Raw'!N107</f>
        <v>0</v>
      </c>
      <c r="N97" s="13">
        <f>'Annual Raw'!O107</f>
        <v>0</v>
      </c>
      <c r="O97" s="13">
        <f>'Annual Raw'!P107</f>
        <v>0</v>
      </c>
      <c r="P97" s="13">
        <f>'Annual Raw'!Q107</f>
        <v>0</v>
      </c>
      <c r="Q97" s="13">
        <f>'Annual Raw'!R107</f>
        <v>0</v>
      </c>
      <c r="R97" s="13">
        <f>'Annual Raw'!S107</f>
        <v>0</v>
      </c>
      <c r="S97" s="13">
        <f>'Annual Raw'!T107</f>
        <v>0</v>
      </c>
      <c r="T97" s="13">
        <f>'Annual Raw'!U107</f>
        <v>0</v>
      </c>
      <c r="U97" s="13">
        <f>'Annual Raw'!V107</f>
        <v>0</v>
      </c>
      <c r="V97" s="13">
        <f>'Annual Raw'!W107</f>
        <v>0</v>
      </c>
      <c r="W97" s="13">
        <f>'Annual Raw'!X107</f>
        <v>0</v>
      </c>
      <c r="X97" s="13">
        <f>'Annual Raw'!Y107</f>
        <v>0</v>
      </c>
      <c r="Y97" s="13">
        <f>'Annual Raw'!Z107</f>
        <v>3290</v>
      </c>
      <c r="Z97" s="13">
        <f>'Annual Raw'!AA107</f>
        <v>6443</v>
      </c>
      <c r="AA97" s="13">
        <f>'Annual Raw'!AB107</f>
        <v>6660</v>
      </c>
      <c r="AB97" s="36">
        <f>+MAX(CL97:CO97)</f>
        <v>5961.9493873073261</v>
      </c>
      <c r="AC97" s="36">
        <f>+MAX(CP97:CS97)</f>
        <v>20248.380143213413</v>
      </c>
      <c r="AD97" s="36">
        <f>+MAX(CT97:CW97)</f>
        <v>38982.239075214915</v>
      </c>
      <c r="AE97" s="36">
        <f>+MAX(CX97:DA97)</f>
        <v>61964.77864056507</v>
      </c>
      <c r="AJ97" s="13">
        <f>'QTR Share Price'!HP19</f>
        <v>824.4</v>
      </c>
      <c r="AK97" s="13">
        <f>'QTR Share Price'!HQ19</f>
        <v>832</v>
      </c>
      <c r="AL97" s="13">
        <f>'QTR Share Price'!HR19</f>
        <v>668</v>
      </c>
      <c r="AM97" s="13">
        <f>'QTR Share Price'!HS19</f>
        <v>424.9</v>
      </c>
      <c r="AN97" s="13">
        <f>'QTR Share Price'!HT19</f>
        <v>337</v>
      </c>
      <c r="AO97" s="13">
        <f>'QTR Share Price'!HU19</f>
        <v>320</v>
      </c>
      <c r="AP97" s="13">
        <f>'QTR Share Price'!HV19</f>
        <v>466.5</v>
      </c>
      <c r="AQ97" s="13">
        <f>'QTR Share Price'!HW19</f>
        <v>598</v>
      </c>
      <c r="AR97" s="13">
        <f>'QTR Share Price'!HX19</f>
        <v>593.35</v>
      </c>
      <c r="AS97" s="13">
        <f>'QTR Share Price'!HY19</f>
        <v>596.95000000000005</v>
      </c>
      <c r="AT97" s="13">
        <f>'QTR Share Price'!HZ19</f>
        <v>544</v>
      </c>
      <c r="AU97" s="13">
        <f>'QTR Share Price'!IA19</f>
        <v>557</v>
      </c>
      <c r="AV97" s="13">
        <f>'QTR Share Price'!IB19</f>
        <v>549</v>
      </c>
      <c r="AW97" s="13">
        <f>'QTR Share Price'!IC19</f>
        <v>456</v>
      </c>
      <c r="AX97" s="13">
        <f>'QTR Share Price'!ID19</f>
        <v>484.9</v>
      </c>
      <c r="AY97" s="13">
        <f>'QTR Share Price'!IE19</f>
        <v>557</v>
      </c>
      <c r="AZ97" s="13">
        <f>'QTR Share Price'!IF19</f>
        <v>430</v>
      </c>
      <c r="BA97" s="13">
        <f>'QTR Share Price'!IG19</f>
        <v>508</v>
      </c>
      <c r="BB97" s="13">
        <f>'QTR Share Price'!IH19</f>
        <v>699</v>
      </c>
      <c r="BC97" s="13">
        <f>'QTR Share Price'!II19</f>
        <v>601</v>
      </c>
      <c r="BD97" s="13">
        <f>'QTR Share Price'!IJ19</f>
        <v>999</v>
      </c>
      <c r="BE97" s="13">
        <f>'QTR Share Price'!IK19</f>
        <v>1360</v>
      </c>
      <c r="BF97" s="13">
        <f>'QTR Share Price'!IL19</f>
        <v>1389</v>
      </c>
      <c r="BG97" s="13">
        <f>'QTR Share Price'!IM19</f>
        <v>1049</v>
      </c>
      <c r="BH97" s="13">
        <f>'QTR Share Price'!IN19</f>
        <v>849</v>
      </c>
      <c r="BI97" s="13">
        <f>'QTR Share Price'!IO19</f>
        <v>1035</v>
      </c>
      <c r="BJ97" s="13">
        <f>'QTR Share Price'!IP19</f>
        <v>1439.75</v>
      </c>
      <c r="BK97" s="13">
        <f>'QTR Share Price'!IQ19</f>
        <v>1369.95</v>
      </c>
      <c r="BL97" s="13">
        <f>'QTR Share Price'!IR19</f>
        <v>1158.95</v>
      </c>
      <c r="BM97" s="13">
        <f>'QTR Share Price'!IS19</f>
        <v>995</v>
      </c>
      <c r="BN97" s="13">
        <f>'QTR Share Price'!IT19</f>
        <v>1050</v>
      </c>
      <c r="BO97" s="13">
        <f>'QTR Share Price'!IU19</f>
        <v>600</v>
      </c>
      <c r="BP97" s="13">
        <f>'QTR Share Price'!IV19</f>
        <v>877</v>
      </c>
      <c r="BQ97" s="13">
        <f>'QTR Share Price'!IW19</f>
        <v>880</v>
      </c>
      <c r="BR97" s="13">
        <f>'QTR Share Price'!IX19</f>
        <v>862</v>
      </c>
      <c r="BS97" s="13">
        <f>'QTR Share Price'!IY19</f>
        <v>990</v>
      </c>
      <c r="BT97" s="13">
        <f>'QTR Share Price'!IZ19</f>
        <v>1160</v>
      </c>
      <c r="BU97" s="13">
        <f>'QTR Share Price'!JA19</f>
        <v>1472.95</v>
      </c>
      <c r="BV97" s="13">
        <f>'QTR Share Price'!JB19</f>
        <v>1750</v>
      </c>
      <c r="BW97" s="13">
        <f>'QTR Share Price'!JC19</f>
        <v>1835</v>
      </c>
      <c r="BX97" s="13">
        <f>'QTR Share Price'!JD19</f>
        <v>1438</v>
      </c>
      <c r="BY97" s="13">
        <f>'QTR Share Price'!JE19</f>
        <v>1375.9</v>
      </c>
      <c r="BZ97" s="13">
        <f>'QTR Share Price'!JF19</f>
        <v>1615</v>
      </c>
      <c r="CA97" s="13">
        <f>'QTR Share Price'!JG19</f>
        <v>3009</v>
      </c>
      <c r="CB97" s="13">
        <f>'QTR Share Price'!JH19</f>
        <v>3030</v>
      </c>
      <c r="CC97" s="13">
        <f>'QTR Share Price'!JI19</f>
        <v>3290</v>
      </c>
      <c r="CD97" s="13">
        <f>'QTR Share Price'!JJ19</f>
        <v>3659</v>
      </c>
      <c r="CE97" s="13">
        <f>'QTR Share Price'!JK19</f>
        <v>6443</v>
      </c>
      <c r="CF97" s="13">
        <f>'QTR Share Price'!JL19</f>
        <v>6399</v>
      </c>
      <c r="CG97" s="13">
        <f>'QTR Share Price'!JM19</f>
        <v>6100</v>
      </c>
      <c r="CH97" s="13">
        <f>'QTR Share Price'!JN19</f>
        <v>4376</v>
      </c>
      <c r="CI97" s="13">
        <f>'QTR Share Price'!JO19</f>
        <v>3990</v>
      </c>
      <c r="CJ97" s="13">
        <f>'QTR Share Price'!JP19</f>
        <v>6385.85</v>
      </c>
      <c r="CK97" s="13">
        <f>'QTR Share Price'!JQ19</f>
        <v>6660</v>
      </c>
      <c r="CL97" s="13">
        <f>'QTR Share Price'!JR19</f>
        <v>5940</v>
      </c>
      <c r="CM97" s="36">
        <f t="shared" ref="CM97:DA97" si="855">+CM88*CM105</f>
        <v>1395.4280527895087</v>
      </c>
      <c r="CN97" s="36">
        <f t="shared" si="855"/>
        <v>2981.5984808819544</v>
      </c>
      <c r="CO97" s="36">
        <f t="shared" si="855"/>
        <v>5961.9493873073261</v>
      </c>
      <c r="CP97" s="36">
        <f t="shared" si="855"/>
        <v>8026.073104809102</v>
      </c>
      <c r="CQ97" s="36">
        <f t="shared" si="855"/>
        <v>11571.665308376078</v>
      </c>
      <c r="CR97" s="36">
        <f t="shared" si="855"/>
        <v>15892.283740695195</v>
      </c>
      <c r="CS97" s="36">
        <f t="shared" si="855"/>
        <v>20248.380143213413</v>
      </c>
      <c r="CT97" s="36">
        <f t="shared" si="855"/>
        <v>24404.449349458821</v>
      </c>
      <c r="CU97" s="36">
        <f t="shared" si="855"/>
        <v>28519.190247456492</v>
      </c>
      <c r="CV97" s="36">
        <f t="shared" si="855"/>
        <v>33716.117886131135</v>
      </c>
      <c r="CW97" s="36">
        <f t="shared" si="855"/>
        <v>38982.239075214915</v>
      </c>
      <c r="CX97" s="36">
        <f t="shared" si="855"/>
        <v>44028.48708763079</v>
      </c>
      <c r="CY97" s="36">
        <f t="shared" si="855"/>
        <v>49044.874703269292</v>
      </c>
      <c r="CZ97" s="36">
        <f t="shared" si="855"/>
        <v>55451.864217346061</v>
      </c>
      <c r="DA97" s="36">
        <f t="shared" si="855"/>
        <v>61964.77864056507</v>
      </c>
      <c r="DD97" s="127">
        <v>6660</v>
      </c>
      <c r="DE97" s="13">
        <v>13398.229825900351</v>
      </c>
    </row>
    <row r="98" spans="1:109" s="13" customFormat="1" x14ac:dyDescent="0.2">
      <c r="A98" s="13" t="s">
        <v>458</v>
      </c>
      <c r="B98" s="13">
        <f>'Annual Raw'!C108</f>
        <v>13.85</v>
      </c>
      <c r="C98" s="13">
        <f>'Annual Raw'!D108</f>
        <v>10.75</v>
      </c>
      <c r="D98" s="13">
        <f>'Annual Raw'!E108</f>
        <v>0</v>
      </c>
      <c r="E98" s="13">
        <f>'Annual Raw'!F108</f>
        <v>0</v>
      </c>
      <c r="F98" s="13">
        <f>'Annual Raw'!G108</f>
        <v>0</v>
      </c>
      <c r="G98" s="13">
        <f>'Annual Raw'!H108</f>
        <v>0</v>
      </c>
      <c r="H98" s="13">
        <f>'Annual Raw'!I108</f>
        <v>0</v>
      </c>
      <c r="I98" s="13">
        <f>'Annual Raw'!J108</f>
        <v>0</v>
      </c>
      <c r="J98" s="13">
        <f>'Annual Raw'!K108</f>
        <v>0</v>
      </c>
      <c r="K98" s="13">
        <f>'Annual Raw'!L108</f>
        <v>0</v>
      </c>
      <c r="L98" s="13">
        <f>'Annual Raw'!M108</f>
        <v>0</v>
      </c>
      <c r="M98" s="13">
        <f>'Annual Raw'!N108</f>
        <v>0</v>
      </c>
      <c r="N98" s="13">
        <f>'Annual Raw'!O108</f>
        <v>0</v>
      </c>
      <c r="O98" s="13">
        <f>'Annual Raw'!P108</f>
        <v>0</v>
      </c>
      <c r="P98" s="13">
        <f>'Annual Raw'!Q108</f>
        <v>0</v>
      </c>
      <c r="Q98" s="13">
        <f>'Annual Raw'!R108</f>
        <v>0</v>
      </c>
      <c r="R98" s="13">
        <f>'Annual Raw'!S108</f>
        <v>0</v>
      </c>
      <c r="S98" s="13">
        <f>'Annual Raw'!T108</f>
        <v>0</v>
      </c>
      <c r="T98" s="13">
        <f>'Annual Raw'!U108</f>
        <v>0</v>
      </c>
      <c r="U98" s="13">
        <f>'Annual Raw'!V108</f>
        <v>0</v>
      </c>
      <c r="V98" s="13">
        <f>'Annual Raw'!W108</f>
        <v>0</v>
      </c>
      <c r="W98" s="13">
        <f>'Annual Raw'!X108</f>
        <v>0</v>
      </c>
      <c r="X98" s="13">
        <f>'Annual Raw'!Y108</f>
        <v>0</v>
      </c>
      <c r="Y98" s="13">
        <f>'Annual Raw'!Z108</f>
        <v>1266.05</v>
      </c>
      <c r="Z98" s="13">
        <f>'Annual Raw'!AA108</f>
        <v>2910</v>
      </c>
      <c r="AA98" s="13">
        <f>'Annual Raw'!AB108</f>
        <v>2383</v>
      </c>
      <c r="AB98" s="36">
        <f>+MIN(CL98:CO98)</f>
        <v>930.28536852633908</v>
      </c>
      <c r="AC98" s="36">
        <f>+MIN(CP98:CS98)</f>
        <v>5350.715403206068</v>
      </c>
      <c r="AD98" s="36">
        <f>+MIN(CT98:CW98)</f>
        <v>16269.632899639215</v>
      </c>
      <c r="AE98" s="36">
        <f>+MIN(CX98:DA98)</f>
        <v>29352.324725087194</v>
      </c>
      <c r="AJ98" s="13">
        <f>+'QTR Share Price'!HP20</f>
        <v>651</v>
      </c>
      <c r="AK98" s="13">
        <f>+'QTR Share Price'!HQ20</f>
        <v>640</v>
      </c>
      <c r="AL98" s="13">
        <f>+'QTR Share Price'!HR20</f>
        <v>361.1</v>
      </c>
      <c r="AM98" s="13">
        <f>+'QTR Share Price'!HS20</f>
        <v>318.25</v>
      </c>
      <c r="AN98" s="13">
        <f>+'QTR Share Price'!HT20</f>
        <v>207.2</v>
      </c>
      <c r="AO98" s="13">
        <f>+'QTR Share Price'!HU20</f>
        <v>231</v>
      </c>
      <c r="AP98" s="13">
        <f>+'QTR Share Price'!HV20</f>
        <v>305.5</v>
      </c>
      <c r="AQ98" s="13">
        <f>+'QTR Share Price'!HW20</f>
        <v>451</v>
      </c>
      <c r="AR98" s="13">
        <f>+'QTR Share Price'!HX20</f>
        <v>400.05</v>
      </c>
      <c r="AS98" s="13">
        <f>+'QTR Share Price'!HY20</f>
        <v>420</v>
      </c>
      <c r="AT98" s="13">
        <f>+'QTR Share Price'!HZ20</f>
        <v>340.2</v>
      </c>
      <c r="AU98" s="13">
        <f>+'QTR Share Price'!IA20</f>
        <v>340</v>
      </c>
      <c r="AV98" s="13">
        <f>+'QTR Share Price'!IB20</f>
        <v>385</v>
      </c>
      <c r="AW98" s="13">
        <f>+'QTR Share Price'!IC20</f>
        <v>340</v>
      </c>
      <c r="AX98" s="13">
        <f>+'QTR Share Price'!ID20</f>
        <v>345.2</v>
      </c>
      <c r="AY98" s="13">
        <f>+'QTR Share Price'!IE20</f>
        <v>370</v>
      </c>
      <c r="AZ98" s="13">
        <f>+'QTR Share Price'!IF20</f>
        <v>352</v>
      </c>
      <c r="BA98" s="13">
        <f>+'QTR Share Price'!IG20</f>
        <v>354</v>
      </c>
      <c r="BB98" s="13">
        <f>+'QTR Share Price'!IH20</f>
        <v>408.5</v>
      </c>
      <c r="BC98" s="13">
        <f>+'QTR Share Price'!II20</f>
        <v>470.1</v>
      </c>
      <c r="BD98" s="13">
        <f>+'QTR Share Price'!IJ20</f>
        <v>484.6</v>
      </c>
      <c r="BE98" s="13">
        <f>+'QTR Share Price'!IK20</f>
        <v>770</v>
      </c>
      <c r="BF98" s="13">
        <f>+'QTR Share Price'!IL20</f>
        <v>830</v>
      </c>
      <c r="BG98" s="13">
        <f>+'QTR Share Price'!IM20</f>
        <v>751</v>
      </c>
      <c r="BH98" s="13">
        <f>+'QTR Share Price'!IN20</f>
        <v>650</v>
      </c>
      <c r="BI98" s="13">
        <f>+'QTR Share Price'!IO20</f>
        <v>627.1</v>
      </c>
      <c r="BJ98" s="13">
        <f>+'QTR Share Price'!IP20</f>
        <v>970</v>
      </c>
      <c r="BK98" s="13">
        <f>+'QTR Share Price'!IQ20</f>
        <v>992.05</v>
      </c>
      <c r="BL98" s="13">
        <f>+'QTR Share Price'!IR20</f>
        <v>740.05</v>
      </c>
      <c r="BM98" s="13">
        <f>+'QTR Share Price'!IS20</f>
        <v>740</v>
      </c>
      <c r="BN98" s="13">
        <f>+'QTR Share Price'!IT20</f>
        <v>340</v>
      </c>
      <c r="BO98" s="13">
        <f>+'QTR Share Price'!IU20</f>
        <v>402</v>
      </c>
      <c r="BP98" s="13">
        <f>+'QTR Share Price'!IV20</f>
        <v>480</v>
      </c>
      <c r="BQ98" s="13">
        <f>+'QTR Share Price'!IW20</f>
        <v>700</v>
      </c>
      <c r="BR98" s="13">
        <f>+'QTR Share Price'!IX20</f>
        <v>750</v>
      </c>
      <c r="BS98" s="13">
        <f>+'QTR Share Price'!IY20</f>
        <v>765</v>
      </c>
      <c r="BT98" s="13">
        <f>+'QTR Share Price'!IZ20</f>
        <v>852.05</v>
      </c>
      <c r="BU98" s="13">
        <f>+'QTR Share Price'!JA20</f>
        <v>862.85</v>
      </c>
      <c r="BV98" s="13">
        <f>+'QTR Share Price'!JB20</f>
        <v>1045.05</v>
      </c>
      <c r="BW98" s="13">
        <f>+'QTR Share Price'!JC20</f>
        <v>1000</v>
      </c>
      <c r="BX98" s="13">
        <f>+'QTR Share Price'!JD20</f>
        <v>1043.05</v>
      </c>
      <c r="BY98" s="13">
        <f>+'QTR Share Price'!JE20</f>
        <v>1132.4000000000001</v>
      </c>
      <c r="BZ98" s="13">
        <f>+'QTR Share Price'!JF20</f>
        <v>1266.05</v>
      </c>
      <c r="CA98" s="13">
        <f>+'QTR Share Price'!JG20</f>
        <v>1420</v>
      </c>
      <c r="CB98" s="13">
        <f>+'QTR Share Price'!JH20</f>
        <v>2374</v>
      </c>
      <c r="CC98" s="13">
        <f>+'QTR Share Price'!JI20</f>
        <v>2660</v>
      </c>
      <c r="CD98" s="13">
        <f>+'QTR Share Price'!JJ20</f>
        <v>2910</v>
      </c>
      <c r="CE98" s="13">
        <f>+'QTR Share Price'!JK20</f>
        <v>3126.1</v>
      </c>
      <c r="CF98" s="13">
        <f>+'QTR Share Price'!JL20</f>
        <v>4551</v>
      </c>
      <c r="CG98" s="13">
        <f>+'QTR Share Price'!JM20</f>
        <v>4105</v>
      </c>
      <c r="CH98" s="13">
        <f>+'QTR Share Price'!JN20</f>
        <v>2383</v>
      </c>
      <c r="CI98" s="13">
        <f>+'QTR Share Price'!JO20</f>
        <v>2619.9</v>
      </c>
      <c r="CJ98" s="13">
        <f>+'QTR Share Price'!JP20</f>
        <v>3402.1</v>
      </c>
      <c r="CK98" s="13">
        <f>+'QTR Share Price'!JQ20</f>
        <v>4525</v>
      </c>
      <c r="CL98" s="13">
        <f>+'QTR Share Price'!JR20</f>
        <v>4041.05</v>
      </c>
      <c r="CM98" s="36">
        <f t="shared" ref="CM98:DA98" si="856">+CM106*CM88</f>
        <v>930.28536852633908</v>
      </c>
      <c r="CN98" s="36">
        <f t="shared" si="856"/>
        <v>1987.7323205879698</v>
      </c>
      <c r="CO98" s="36">
        <f t="shared" si="856"/>
        <v>3974.6329248715506</v>
      </c>
      <c r="CP98" s="36">
        <f t="shared" si="856"/>
        <v>5350.715403206068</v>
      </c>
      <c r="CQ98" s="36">
        <f t="shared" si="856"/>
        <v>7714.443538917385</v>
      </c>
      <c r="CR98" s="36">
        <f t="shared" si="856"/>
        <v>10594.85582713013</v>
      </c>
      <c r="CS98" s="36">
        <f t="shared" si="856"/>
        <v>13498.920095475609</v>
      </c>
      <c r="CT98" s="36">
        <f t="shared" si="856"/>
        <v>16269.632899639215</v>
      </c>
      <c r="CU98" s="36">
        <f t="shared" si="856"/>
        <v>19012.793498304327</v>
      </c>
      <c r="CV98" s="36">
        <f t="shared" si="856"/>
        <v>22477.411924087424</v>
      </c>
      <c r="CW98" s="36">
        <f t="shared" si="856"/>
        <v>25988.15938347661</v>
      </c>
      <c r="CX98" s="36">
        <f t="shared" si="856"/>
        <v>29352.324725087194</v>
      </c>
      <c r="CY98" s="36">
        <f t="shared" si="856"/>
        <v>32696.583135512861</v>
      </c>
      <c r="CZ98" s="36">
        <f t="shared" si="856"/>
        <v>36967.909478230707</v>
      </c>
      <c r="DA98" s="36">
        <f t="shared" si="856"/>
        <v>41309.852427043377</v>
      </c>
      <c r="DD98" s="127">
        <v>2383</v>
      </c>
      <c r="DE98" s="13">
        <v>3983.1597395642161</v>
      </c>
    </row>
    <row r="99" spans="1:109" s="14" customFormat="1" x14ac:dyDescent="0.2">
      <c r="AB99" s="15"/>
      <c r="AC99" s="15"/>
      <c r="AD99" s="15"/>
      <c r="AE99" s="15"/>
      <c r="CM99" s="36"/>
      <c r="CN99" s="36"/>
      <c r="CO99" s="36"/>
      <c r="CP99" s="36"/>
      <c r="CQ99" s="36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D99" s="127"/>
    </row>
    <row r="100" spans="1:109" s="50" customFormat="1" x14ac:dyDescent="0.2">
      <c r="A100" s="50" t="s">
        <v>346</v>
      </c>
      <c r="AB100" s="47">
        <f t="shared" ref="AB100:AD100" si="857">+AB97/AB96-1</f>
        <v>-0.21553297535429916</v>
      </c>
      <c r="AC100" s="47">
        <f t="shared" si="857"/>
        <v>1.6642605451596597</v>
      </c>
      <c r="AD100" s="47">
        <f t="shared" si="857"/>
        <v>4.1292419835809095</v>
      </c>
      <c r="AE100" s="47">
        <f t="shared" ref="AE100" si="858">+AE97/AE96-1</f>
        <v>7.1532603474427727</v>
      </c>
      <c r="CM100" s="47">
        <f t="shared" ref="CM100:DA100" si="859">+CM97/CM96-1</f>
        <v>-0.81639104568559095</v>
      </c>
      <c r="CN100" s="47">
        <f t="shared" si="859"/>
        <v>-0.60768441041026922</v>
      </c>
      <c r="CO100" s="47">
        <f t="shared" si="859"/>
        <v>-0.21553297535429916</v>
      </c>
      <c r="CP100" s="47">
        <f t="shared" si="859"/>
        <v>5.6062250632776589E-2</v>
      </c>
      <c r="CQ100" s="47">
        <f t="shared" si="859"/>
        <v>0.52258754057579959</v>
      </c>
      <c r="CR100" s="47">
        <f t="shared" si="859"/>
        <v>1.0910899658809465</v>
      </c>
      <c r="CS100" s="47">
        <f t="shared" si="859"/>
        <v>1.6642605451596597</v>
      </c>
      <c r="CT100" s="47">
        <f t="shared" si="859"/>
        <v>2.2111117565077394</v>
      </c>
      <c r="CU100" s="47">
        <f t="shared" si="859"/>
        <v>2.7525250325600648</v>
      </c>
      <c r="CV100" s="47">
        <f t="shared" si="859"/>
        <v>3.436331300806728</v>
      </c>
      <c r="CW100" s="47">
        <f t="shared" si="859"/>
        <v>4.1292419835809095</v>
      </c>
      <c r="CX100" s="47">
        <f t="shared" si="859"/>
        <v>4.7932219852145774</v>
      </c>
      <c r="CY100" s="47">
        <f t="shared" si="859"/>
        <v>5.4532729872722756</v>
      </c>
      <c r="CZ100" s="47">
        <f t="shared" si="859"/>
        <v>6.2962979233350085</v>
      </c>
      <c r="DA100" s="47">
        <f t="shared" si="859"/>
        <v>7.1532603474427727</v>
      </c>
      <c r="DD100" s="123">
        <v>0.26400895814156522</v>
      </c>
      <c r="DE100" s="50">
        <v>1.5428652437203527</v>
      </c>
    </row>
    <row r="101" spans="1:109" s="50" customFormat="1" x14ac:dyDescent="0.2">
      <c r="A101" s="50" t="s">
        <v>347</v>
      </c>
      <c r="AB101" s="47">
        <f t="shared" ref="AB101:AD101" si="860">+AB98/AB96-1</f>
        <v>-0.87759403045706064</v>
      </c>
      <c r="AC101" s="47">
        <f t="shared" si="860"/>
        <v>-0.2959584995781489</v>
      </c>
      <c r="AD101" s="47">
        <f t="shared" si="860"/>
        <v>1.14074117100516</v>
      </c>
      <c r="AE101" s="47">
        <f t="shared" ref="AE101" si="861">+AE98/AE96-1</f>
        <v>2.8621479901430518</v>
      </c>
      <c r="CM101" s="47">
        <f t="shared" ref="CM101:DA101" si="862">+CM98/CM96-1</f>
        <v>-0.87759403045706064</v>
      </c>
      <c r="CN101" s="47">
        <f t="shared" si="862"/>
        <v>-0.73845627360684607</v>
      </c>
      <c r="CO101" s="47">
        <f t="shared" si="862"/>
        <v>-0.47702198356953285</v>
      </c>
      <c r="CP101" s="47">
        <f t="shared" si="862"/>
        <v>-0.2959584995781489</v>
      </c>
      <c r="CQ101" s="47">
        <f t="shared" si="862"/>
        <v>1.5058360383866543E-2</v>
      </c>
      <c r="CR101" s="47">
        <f t="shared" si="862"/>
        <v>0.39405997725396436</v>
      </c>
      <c r="CS101" s="47">
        <f t="shared" si="862"/>
        <v>0.77617369677310633</v>
      </c>
      <c r="CT101" s="47">
        <f t="shared" si="862"/>
        <v>1.14074117100516</v>
      </c>
      <c r="CU101" s="47">
        <f t="shared" si="862"/>
        <v>1.501683355040043</v>
      </c>
      <c r="CV101" s="47">
        <f t="shared" si="862"/>
        <v>1.9575542005378188</v>
      </c>
      <c r="CW101" s="47">
        <f t="shared" si="862"/>
        <v>2.4194946557206065</v>
      </c>
      <c r="CX101" s="47">
        <f t="shared" si="862"/>
        <v>2.8621479901430518</v>
      </c>
      <c r="CY101" s="47">
        <f t="shared" si="862"/>
        <v>3.3021819915148498</v>
      </c>
      <c r="CZ101" s="47">
        <f t="shared" si="862"/>
        <v>3.8641986155566723</v>
      </c>
      <c r="DA101" s="47">
        <f t="shared" si="862"/>
        <v>4.4355068982951815</v>
      </c>
      <c r="DD101" s="123">
        <v>-0.54772772563793537</v>
      </c>
      <c r="DE101" s="50">
        <v>-0.24403159271501607</v>
      </c>
    </row>
    <row r="102" spans="1:109" s="14" customFormat="1" x14ac:dyDescent="0.2">
      <c r="AB102" s="15"/>
      <c r="AC102" s="15"/>
      <c r="AD102" s="15"/>
      <c r="AE102" s="15"/>
      <c r="CM102" s="36"/>
      <c r="CN102" s="36"/>
      <c r="CO102" s="36"/>
      <c r="CP102" s="36"/>
      <c r="CQ102" s="36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D102" s="127"/>
    </row>
    <row r="103" spans="1:109" s="13" customFormat="1" x14ac:dyDescent="0.2">
      <c r="A103" s="13" t="s">
        <v>40</v>
      </c>
      <c r="AB103" s="36"/>
      <c r="AC103" s="36"/>
      <c r="AD103" s="36"/>
      <c r="AE103" s="36"/>
      <c r="CM103" s="36"/>
      <c r="CN103" s="36"/>
      <c r="CO103" s="36"/>
      <c r="CP103" s="36"/>
      <c r="CQ103" s="36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D103" s="127"/>
    </row>
    <row r="104" spans="1:109" s="13" customFormat="1" x14ac:dyDescent="0.2">
      <c r="A104" s="13" t="s">
        <v>459</v>
      </c>
      <c r="B104" s="13">
        <f t="shared" ref="B104:D104" si="863">+B96/B88</f>
        <v>-1.740413447882202</v>
      </c>
      <c r="C104" s="13">
        <f t="shared" si="863"/>
        <v>1.3012544228315464</v>
      </c>
      <c r="D104" s="13" t="e">
        <f t="shared" si="863"/>
        <v>#DIV/0!</v>
      </c>
      <c r="E104" s="13" t="e">
        <f t="shared" ref="E104:AE104" ca="1" si="864">+E96/E88</f>
        <v>#DIV/0!</v>
      </c>
      <c r="F104" s="13" t="e">
        <f t="shared" ca="1" si="864"/>
        <v>#DIV/0!</v>
      </c>
      <c r="G104" s="13" t="e">
        <f t="shared" ca="1" si="864"/>
        <v>#DIV/0!</v>
      </c>
      <c r="H104" s="13" t="e">
        <f t="shared" ca="1" si="864"/>
        <v>#DIV/0!</v>
      </c>
      <c r="I104" s="13" t="e">
        <f t="shared" ca="1" si="864"/>
        <v>#DIV/0!</v>
      </c>
      <c r="J104" s="13" t="e">
        <f t="shared" ca="1" si="864"/>
        <v>#DIV/0!</v>
      </c>
      <c r="K104" s="13" t="e">
        <f t="shared" ca="1" si="864"/>
        <v>#DIV/0!</v>
      </c>
      <c r="L104" s="13" t="e">
        <f t="shared" ca="1" si="864"/>
        <v>#DIV/0!</v>
      </c>
      <c r="M104" s="13" t="e">
        <f t="shared" ca="1" si="864"/>
        <v>#DIV/0!</v>
      </c>
      <c r="N104" s="13" t="e">
        <f t="shared" ca="1" si="864"/>
        <v>#DIV/0!</v>
      </c>
      <c r="O104" s="13" t="e">
        <f t="shared" ca="1" si="864"/>
        <v>#DIV/0!</v>
      </c>
      <c r="P104" s="13" t="e">
        <f t="shared" ca="1" si="864"/>
        <v>#DIV/0!</v>
      </c>
      <c r="Q104" s="13" t="e">
        <f t="shared" ca="1" si="864"/>
        <v>#DIV/0!</v>
      </c>
      <c r="R104" s="13" t="e">
        <f t="shared" ca="1" si="864"/>
        <v>#DIV/0!</v>
      </c>
      <c r="S104" s="13" t="e">
        <f t="shared" ca="1" si="864"/>
        <v>#DIV/0!</v>
      </c>
      <c r="T104" s="13" t="e">
        <f t="shared" ca="1" si="864"/>
        <v>#DIV/0!</v>
      </c>
      <c r="U104" s="13" t="e">
        <f t="shared" ca="1" si="864"/>
        <v>#DIV/0!</v>
      </c>
      <c r="V104" s="13" t="e">
        <f t="shared" ca="1" si="864"/>
        <v>#DIV/0!</v>
      </c>
      <c r="W104" s="13" t="e">
        <f t="shared" ca="1" si="864"/>
        <v>#DIV/0!</v>
      </c>
      <c r="X104" s="13" t="e">
        <f t="shared" ca="1" si="864"/>
        <v>#DIV/0!</v>
      </c>
      <c r="Y104" s="13" t="e">
        <f t="shared" ca="1" si="864"/>
        <v>#DIV/0!</v>
      </c>
      <c r="Z104" s="13" t="e">
        <f t="shared" ref="Z104:AA104" ca="1" si="865">+Z96/Z88</f>
        <v>#DIV/0!</v>
      </c>
      <c r="AA104" s="13" t="e">
        <f t="shared" ca="1" si="865"/>
        <v>#DIV/0!</v>
      </c>
      <c r="AB104" s="36" t="e">
        <f t="shared" ca="1" si="864"/>
        <v>#DIV/0!</v>
      </c>
      <c r="AC104" s="36" t="e">
        <f t="shared" ca="1" si="864"/>
        <v>#DIV/0!</v>
      </c>
      <c r="AD104" s="36" t="e">
        <f t="shared" ca="1" si="864"/>
        <v>#DIV/0!</v>
      </c>
      <c r="AE104" s="36" t="e">
        <f t="shared" ca="1" si="864"/>
        <v>#DIV/0!</v>
      </c>
      <c r="AL104" s="13">
        <f t="shared" ref="AL104:BQ104" si="866">+AL96/AL88</f>
        <v>-185.27435613681922</v>
      </c>
      <c r="AM104" s="13">
        <f t="shared" si="866"/>
        <v>-8.4796794504865503</v>
      </c>
      <c r="AN104" s="13">
        <f t="shared" si="866"/>
        <v>-3.8187896965419905</v>
      </c>
      <c r="AO104" s="13">
        <f t="shared" si="866"/>
        <v>-6.4227502895912645</v>
      </c>
      <c r="AP104" s="13">
        <f t="shared" si="866"/>
        <v>-9.8489982519833301</v>
      </c>
      <c r="AQ104" s="13">
        <f t="shared" si="866"/>
        <v>-22.622386272231651</v>
      </c>
      <c r="AR104" s="13">
        <f t="shared" si="866"/>
        <v>27.784913950933745</v>
      </c>
      <c r="AS104" s="13">
        <f t="shared" si="866"/>
        <v>-77.467847157501851</v>
      </c>
      <c r="AT104" s="13">
        <f t="shared" si="866"/>
        <v>50.264040920716191</v>
      </c>
      <c r="AU104" s="13">
        <f t="shared" si="866"/>
        <v>25.079390537289513</v>
      </c>
      <c r="AV104" s="13">
        <f t="shared" si="866"/>
        <v>52.831150814503523</v>
      </c>
      <c r="AW104" s="13">
        <f t="shared" si="866"/>
        <v>23.969372416384875</v>
      </c>
      <c r="AX104" s="13">
        <f t="shared" si="866"/>
        <v>-165.85990123456639</v>
      </c>
      <c r="AY104" s="13">
        <f t="shared" si="866"/>
        <v>-18.81322030669585</v>
      </c>
      <c r="AZ104" s="13">
        <f t="shared" si="866"/>
        <v>-24.188223032829576</v>
      </c>
      <c r="BA104" s="13">
        <f t="shared" si="866"/>
        <v>-88.130711348684542</v>
      </c>
      <c r="BB104" s="13">
        <f t="shared" si="866"/>
        <v>49.891444847229387</v>
      </c>
      <c r="BC104" s="13">
        <f t="shared" si="866"/>
        <v>17.155881121808278</v>
      </c>
      <c r="BD104" s="13">
        <f t="shared" si="866"/>
        <v>23.590248991293265</v>
      </c>
      <c r="BE104" s="13">
        <f t="shared" si="866"/>
        <v>51.162932422542092</v>
      </c>
      <c r="BF104" s="13">
        <f t="shared" si="866"/>
        <v>64.126386367018824</v>
      </c>
      <c r="BG104" s="13">
        <f t="shared" si="866"/>
        <v>38.904771897810193</v>
      </c>
      <c r="BH104" s="13">
        <f t="shared" si="866"/>
        <v>20.9754644011919</v>
      </c>
      <c r="BI104" s="13">
        <f t="shared" si="866"/>
        <v>17.039395220459795</v>
      </c>
      <c r="BJ104" s="13">
        <f t="shared" si="866"/>
        <v>18.835278497962918</v>
      </c>
      <c r="BK104" s="13">
        <f t="shared" si="866"/>
        <v>15.281771029747015</v>
      </c>
      <c r="BL104" s="13">
        <f t="shared" si="866"/>
        <v>13.300493165601646</v>
      </c>
      <c r="BM104" s="13">
        <f t="shared" si="866"/>
        <v>18.761680770943848</v>
      </c>
      <c r="BN104" s="13">
        <f t="shared" si="866"/>
        <v>8.6774785208894905</v>
      </c>
      <c r="BO104" s="13">
        <f t="shared" si="866"/>
        <v>24.059936202531631</v>
      </c>
      <c r="BP104" s="13">
        <f t="shared" si="866"/>
        <v>-34.942107643199193</v>
      </c>
      <c r="BQ104" s="13">
        <f t="shared" si="866"/>
        <v>-24.969018877616556</v>
      </c>
      <c r="BR104" s="13">
        <f t="shared" ref="BR104:DA104" si="867">+BR96/BR88</f>
        <v>-14.156392980041295</v>
      </c>
      <c r="BS104" s="13">
        <f t="shared" si="867"/>
        <v>-22.828070464767624</v>
      </c>
      <c r="BT104" s="13">
        <f t="shared" si="867"/>
        <v>-70.917759528974358</v>
      </c>
      <c r="BU104" s="13">
        <f t="shared" si="867"/>
        <v>-272.64908847184938</v>
      </c>
      <c r="BV104" s="13">
        <f t="shared" si="867"/>
        <v>165.65335488041333</v>
      </c>
      <c r="BW104" s="13">
        <f t="shared" si="867"/>
        <v>1668.482536443129</v>
      </c>
      <c r="BX104" s="13">
        <f t="shared" si="867"/>
        <v>-129.57365472719698</v>
      </c>
      <c r="BY104" s="13">
        <f t="shared" si="867"/>
        <v>1011.6717840375404</v>
      </c>
      <c r="BZ104" s="13">
        <f t="shared" si="867"/>
        <v>55.639679497128618</v>
      </c>
      <c r="CA104" s="13">
        <f t="shared" si="867"/>
        <v>64.491794133286049</v>
      </c>
      <c r="CB104" s="13">
        <f t="shared" si="867"/>
        <v>43.745775124623037</v>
      </c>
      <c r="CC104" s="13">
        <f t="shared" si="867"/>
        <v>48.177429771259483</v>
      </c>
      <c r="CD104" s="13">
        <f t="shared" si="867"/>
        <v>64.443842194861261</v>
      </c>
      <c r="CE104" s="13">
        <f t="shared" si="867"/>
        <v>141.75096769562103</v>
      </c>
      <c r="CF104" s="13">
        <f t="shared" si="867"/>
        <v>442.26434050514598</v>
      </c>
      <c r="CG104" s="13">
        <f t="shared" si="867"/>
        <v>-384.14316787506812</v>
      </c>
      <c r="CH104" s="13">
        <f t="shared" si="867"/>
        <v>-119.22169241101408</v>
      </c>
      <c r="CI104" s="13">
        <f t="shared" ref="CI104:CJ104" si="868">+CI96/CI88</f>
        <v>-166.69331956329282</v>
      </c>
      <c r="CJ104" s="13">
        <f t="shared" si="868"/>
        <v>468.3080688000029</v>
      </c>
      <c r="CK104" s="13">
        <f t="shared" ref="CK104:CL104" si="869">+CK96/CK88</f>
        <v>254.81186500435899</v>
      </c>
      <c r="CL104" s="13">
        <f t="shared" si="869"/>
        <v>111.40841066227486</v>
      </c>
      <c r="CM104" s="36">
        <f t="shared" si="867"/>
        <v>326.7814482362171</v>
      </c>
      <c r="CN104" s="36">
        <f t="shared" si="867"/>
        <v>152.93809777670518</v>
      </c>
      <c r="CO104" s="36">
        <f t="shared" si="867"/>
        <v>76.485050505594671</v>
      </c>
      <c r="CP104" s="36">
        <f t="shared" si="867"/>
        <v>56.814832614316913</v>
      </c>
      <c r="CQ104" s="36">
        <f t="shared" si="867"/>
        <v>39.406601197662297</v>
      </c>
      <c r="CR104" s="36">
        <f t="shared" si="867"/>
        <v>28.693170059148006</v>
      </c>
      <c r="CS104" s="36">
        <f t="shared" si="867"/>
        <v>22.520319984847582</v>
      </c>
      <c r="CT104" s="36">
        <f t="shared" si="867"/>
        <v>18.685117351771432</v>
      </c>
      <c r="CU104" s="36">
        <f t="shared" si="867"/>
        <v>15.989233777093961</v>
      </c>
      <c r="CV104" s="36">
        <f t="shared" si="867"/>
        <v>13.524688742044413</v>
      </c>
      <c r="CW104" s="36">
        <f t="shared" si="867"/>
        <v>11.697634892653637</v>
      </c>
      <c r="CX104" s="36">
        <f t="shared" si="867"/>
        <v>10.356930936382483</v>
      </c>
      <c r="CY104" s="36">
        <f t="shared" si="867"/>
        <v>9.2976076044415592</v>
      </c>
      <c r="CZ104" s="36">
        <f t="shared" si="867"/>
        <v>8.2233484200402636</v>
      </c>
      <c r="DA104" s="36">
        <f t="shared" si="867"/>
        <v>7.3590192687540865</v>
      </c>
      <c r="DD104" s="127">
        <v>-146.44127619337084</v>
      </c>
      <c r="DE104" s="13">
        <v>66.140330096031462</v>
      </c>
    </row>
    <row r="105" spans="1:109" s="13" customFormat="1" x14ac:dyDescent="0.2">
      <c r="A105" s="13" t="s">
        <v>460</v>
      </c>
      <c r="B105" s="13">
        <f t="shared" ref="B105:D105" si="870">+B97/B88</f>
        <v>-4.8520617334897755</v>
      </c>
      <c r="C105" s="13">
        <f t="shared" si="870"/>
        <v>2.3767391508500486</v>
      </c>
      <c r="D105" s="13" t="e">
        <f t="shared" si="870"/>
        <v>#DIV/0!</v>
      </c>
      <c r="E105" s="13" t="e">
        <f t="shared" ref="E105:AE105" ca="1" si="871">+E97/E88</f>
        <v>#DIV/0!</v>
      </c>
      <c r="F105" s="13" t="e">
        <f t="shared" ca="1" si="871"/>
        <v>#DIV/0!</v>
      </c>
      <c r="G105" s="13" t="e">
        <f t="shared" ca="1" si="871"/>
        <v>#DIV/0!</v>
      </c>
      <c r="H105" s="13" t="e">
        <f t="shared" ca="1" si="871"/>
        <v>#DIV/0!</v>
      </c>
      <c r="I105" s="13" t="e">
        <f t="shared" ca="1" si="871"/>
        <v>#DIV/0!</v>
      </c>
      <c r="J105" s="13" t="e">
        <f t="shared" ca="1" si="871"/>
        <v>#DIV/0!</v>
      </c>
      <c r="K105" s="13" t="e">
        <f t="shared" ca="1" si="871"/>
        <v>#DIV/0!</v>
      </c>
      <c r="L105" s="13" t="e">
        <f t="shared" ca="1" si="871"/>
        <v>#DIV/0!</v>
      </c>
      <c r="M105" s="13" t="e">
        <f t="shared" ca="1" si="871"/>
        <v>#DIV/0!</v>
      </c>
      <c r="N105" s="13" t="e">
        <f t="shared" ca="1" si="871"/>
        <v>#DIV/0!</v>
      </c>
      <c r="O105" s="13" t="e">
        <f t="shared" ca="1" si="871"/>
        <v>#DIV/0!</v>
      </c>
      <c r="P105" s="13" t="e">
        <f t="shared" ca="1" si="871"/>
        <v>#DIV/0!</v>
      </c>
      <c r="Q105" s="13" t="e">
        <f t="shared" ca="1" si="871"/>
        <v>#DIV/0!</v>
      </c>
      <c r="R105" s="13" t="e">
        <f t="shared" ca="1" si="871"/>
        <v>#DIV/0!</v>
      </c>
      <c r="S105" s="13" t="e">
        <f t="shared" ca="1" si="871"/>
        <v>#DIV/0!</v>
      </c>
      <c r="T105" s="13" t="e">
        <f t="shared" ca="1" si="871"/>
        <v>#DIV/0!</v>
      </c>
      <c r="U105" s="13" t="e">
        <f t="shared" ca="1" si="871"/>
        <v>#DIV/0!</v>
      </c>
      <c r="V105" s="13" t="e">
        <f t="shared" ca="1" si="871"/>
        <v>#DIV/0!</v>
      </c>
      <c r="W105" s="13" t="e">
        <f t="shared" ca="1" si="871"/>
        <v>#DIV/0!</v>
      </c>
      <c r="X105" s="13" t="e">
        <f t="shared" ca="1" si="871"/>
        <v>#DIV/0!</v>
      </c>
      <c r="Y105" s="13" t="e">
        <f t="shared" ca="1" si="871"/>
        <v>#DIV/0!</v>
      </c>
      <c r="Z105" s="13" t="e">
        <f t="shared" ref="Z105:AA105" ca="1" si="872">+Z97/Z88</f>
        <v>#DIV/0!</v>
      </c>
      <c r="AA105" s="13" t="e">
        <f t="shared" ca="1" si="872"/>
        <v>#DIV/0!</v>
      </c>
      <c r="AB105" s="59" t="e">
        <f t="shared" ca="1" si="871"/>
        <v>#DIV/0!</v>
      </c>
      <c r="AC105" s="59" t="e">
        <f t="shared" ca="1" si="871"/>
        <v>#DIV/0!</v>
      </c>
      <c r="AD105" s="59" t="e">
        <f t="shared" ca="1" si="871"/>
        <v>#DIV/0!</v>
      </c>
      <c r="AE105" s="59" t="e">
        <f t="shared" ca="1" si="871"/>
        <v>#DIV/0!</v>
      </c>
      <c r="AL105" s="13">
        <f t="shared" ref="AL105:BQ105" si="873">+AL97/AL88</f>
        <v>-331.84949698188831</v>
      </c>
      <c r="AM105" s="13">
        <f t="shared" si="873"/>
        <v>-10.918229692459803</v>
      </c>
      <c r="AN105" s="13">
        <f t="shared" si="873"/>
        <v>-4.8932780522230068</v>
      </c>
      <c r="AO105" s="13">
        <f t="shared" si="873"/>
        <v>-6.5371504219758414</v>
      </c>
      <c r="AP105" s="13">
        <f t="shared" si="873"/>
        <v>-10.324848729326344</v>
      </c>
      <c r="AQ105" s="13">
        <f t="shared" si="873"/>
        <v>-26.391312896594865</v>
      </c>
      <c r="AR105" s="13">
        <f t="shared" si="873"/>
        <v>35.761775906261477</v>
      </c>
      <c r="AS105" s="13">
        <f t="shared" si="873"/>
        <v>-91.573131407268775</v>
      </c>
      <c r="AT105" s="13">
        <f t="shared" si="873"/>
        <v>68.702608695652287</v>
      </c>
      <c r="AU105" s="13">
        <f t="shared" si="873"/>
        <v>36.761106655974366</v>
      </c>
      <c r="AV105" s="13">
        <f t="shared" si="873"/>
        <v>71.228638991066887</v>
      </c>
      <c r="AW105" s="13">
        <f t="shared" si="873"/>
        <v>28.206538895152264</v>
      </c>
      <c r="AX105" s="13">
        <f t="shared" si="873"/>
        <v>-197.07293827160314</v>
      </c>
      <c r="AY105" s="13">
        <f t="shared" si="873"/>
        <v>-26.197409277073969</v>
      </c>
      <c r="AZ105" s="13">
        <f t="shared" si="873"/>
        <v>-27.662063574778504</v>
      </c>
      <c r="BA105" s="13">
        <f t="shared" si="873"/>
        <v>-103.14572368421091</v>
      </c>
      <c r="BB105" s="13">
        <f t="shared" si="873"/>
        <v>59.583324702226797</v>
      </c>
      <c r="BC105" s="13">
        <f t="shared" si="873"/>
        <v>20.704185851820835</v>
      </c>
      <c r="BD105" s="13">
        <f t="shared" si="873"/>
        <v>26.18954130388617</v>
      </c>
      <c r="BE105" s="13">
        <f t="shared" si="873"/>
        <v>54.612344474262031</v>
      </c>
      <c r="BF105" s="13">
        <f t="shared" si="873"/>
        <v>102.08188718559298</v>
      </c>
      <c r="BG105" s="13">
        <f t="shared" si="873"/>
        <v>52.513807785888041</v>
      </c>
      <c r="BH105" s="13">
        <f t="shared" si="873"/>
        <v>26.579357129271525</v>
      </c>
      <c r="BI105" s="13">
        <f t="shared" si="873"/>
        <v>17.856299350150241</v>
      </c>
      <c r="BJ105" s="13">
        <f t="shared" si="873"/>
        <v>20.255521524829781</v>
      </c>
      <c r="BK105" s="13">
        <f t="shared" si="873"/>
        <v>19.038114147412287</v>
      </c>
      <c r="BL105" s="13">
        <f t="shared" si="873"/>
        <v>16.399389918904223</v>
      </c>
      <c r="BM105" s="13">
        <f t="shared" si="873"/>
        <v>19.894359638822539</v>
      </c>
      <c r="BN105" s="13">
        <f t="shared" si="873"/>
        <v>21.836674528301891</v>
      </c>
      <c r="BO105" s="13">
        <f t="shared" si="873"/>
        <v>30.003037974683529</v>
      </c>
      <c r="BP105" s="13">
        <f t="shared" si="873"/>
        <v>-38.398882780634914</v>
      </c>
      <c r="BQ105" s="13">
        <f t="shared" si="873"/>
        <v>-27.901887761654056</v>
      </c>
      <c r="BR105" s="13">
        <f t="shared" ref="BR105:CH105" si="874">+BR97/BR88</f>
        <v>-14.647474191328287</v>
      </c>
      <c r="BS105" s="13">
        <f t="shared" si="874"/>
        <v>-24.430884557721146</v>
      </c>
      <c r="BT105" s="13">
        <f t="shared" si="874"/>
        <v>-88.752401611403869</v>
      </c>
      <c r="BU105" s="13">
        <f t="shared" si="874"/>
        <v>-389.99609115281436</v>
      </c>
      <c r="BV105" s="13">
        <f t="shared" si="874"/>
        <v>186.19909502262399</v>
      </c>
      <c r="BW105" s="13">
        <f t="shared" si="874"/>
        <v>2641.7580174926802</v>
      </c>
      <c r="BX105" s="13">
        <f t="shared" si="874"/>
        <v>-147.87263640149936</v>
      </c>
      <c r="BY105" s="13">
        <f t="shared" si="874"/>
        <v>1063.2541784037367</v>
      </c>
      <c r="BZ105" s="13">
        <f t="shared" si="874"/>
        <v>61.887862796833723</v>
      </c>
      <c r="CA105" s="13">
        <f t="shared" si="874"/>
        <v>65.838541297412249</v>
      </c>
      <c r="CB105" s="13">
        <f t="shared" si="874"/>
        <v>46.040187088436191</v>
      </c>
      <c r="CC105" s="13">
        <f t="shared" si="874"/>
        <v>51.684598988324353</v>
      </c>
      <c r="CD105" s="13">
        <f t="shared" si="874"/>
        <v>71.531501642978768</v>
      </c>
      <c r="CE105" s="13">
        <f t="shared" si="874"/>
        <v>152.26386216798284</v>
      </c>
      <c r="CF105" s="13">
        <f t="shared" si="874"/>
        <v>492.64518241347162</v>
      </c>
      <c r="CG105" s="13">
        <f t="shared" si="874"/>
        <v>-559.98884551031563</v>
      </c>
      <c r="CH105" s="13">
        <f t="shared" si="874"/>
        <v>-181.40268636668901</v>
      </c>
      <c r="CI105" s="13">
        <f t="shared" ref="CI105:CJ105" si="875">+CI97/CI88</f>
        <v>-193.78990852758903</v>
      </c>
      <c r="CJ105" s="13">
        <f t="shared" si="875"/>
        <v>504.53323680000312</v>
      </c>
      <c r="CK105" s="13">
        <f t="shared" ref="CK105:CL105" si="876">+CK97/CK88</f>
        <v>322.08448000626896</v>
      </c>
      <c r="CL105" s="13">
        <f t="shared" si="876"/>
        <v>162.11012672919324</v>
      </c>
      <c r="CM105" s="59">
        <v>60</v>
      </c>
      <c r="CN105" s="59">
        <f t="shared" ref="CN105:CN106" si="877">+CM105</f>
        <v>60</v>
      </c>
      <c r="CO105" s="59">
        <f t="shared" ref="CO105:CO106" si="878">+CN105</f>
        <v>60</v>
      </c>
      <c r="CP105" s="59">
        <f t="shared" ref="CP105:CP106" si="879">+CO105</f>
        <v>60</v>
      </c>
      <c r="CQ105" s="59">
        <f t="shared" ref="CQ105:CQ106" si="880">+CP105</f>
        <v>60</v>
      </c>
      <c r="CR105" s="59">
        <f t="shared" ref="CR105:CR106" si="881">+CQ105</f>
        <v>60</v>
      </c>
      <c r="CS105" s="59">
        <f t="shared" ref="CS105:CS106" si="882">+CR105</f>
        <v>60</v>
      </c>
      <c r="CT105" s="59">
        <f t="shared" ref="CT105:CT106" si="883">+CS105</f>
        <v>60</v>
      </c>
      <c r="CU105" s="59">
        <f t="shared" ref="CU105:CU106" si="884">+CT105</f>
        <v>60</v>
      </c>
      <c r="CV105" s="59">
        <f t="shared" ref="CV105:CV106" si="885">+CU105</f>
        <v>60</v>
      </c>
      <c r="CW105" s="59">
        <f t="shared" ref="CW105:CW106" si="886">+CV105</f>
        <v>60</v>
      </c>
      <c r="CX105" s="59">
        <f t="shared" ref="CX105:CX106" si="887">+CW105</f>
        <v>60</v>
      </c>
      <c r="CY105" s="59">
        <f t="shared" ref="CY105:CY106" si="888">+CX105</f>
        <v>60</v>
      </c>
      <c r="CZ105" s="59">
        <f t="shared" ref="CZ105:CZ106" si="889">+CY105</f>
        <v>60</v>
      </c>
      <c r="DA105" s="59">
        <f t="shared" ref="DA105:DA106" si="890">+CZ105</f>
        <v>60</v>
      </c>
      <c r="DD105" s="129">
        <v>-185.10308495010389</v>
      </c>
      <c r="DE105" s="13">
        <v>168.18594660938962</v>
      </c>
    </row>
    <row r="106" spans="1:109" s="13" customFormat="1" x14ac:dyDescent="0.2">
      <c r="A106" s="13" t="s">
        <v>461</v>
      </c>
      <c r="B106" s="13">
        <f t="shared" ref="B106:D106" si="891">+B98/B88</f>
        <v>-1.4608925001920301</v>
      </c>
      <c r="C106" s="13">
        <f t="shared" si="891"/>
        <v>0.88255426154190053</v>
      </c>
      <c r="D106" s="13" t="e">
        <f t="shared" si="891"/>
        <v>#DIV/0!</v>
      </c>
      <c r="E106" s="13" t="e">
        <f t="shared" ref="E106:AE106" ca="1" si="892">+E98/E88</f>
        <v>#DIV/0!</v>
      </c>
      <c r="F106" s="13" t="e">
        <f t="shared" ca="1" si="892"/>
        <v>#DIV/0!</v>
      </c>
      <c r="G106" s="13" t="e">
        <f t="shared" ca="1" si="892"/>
        <v>#DIV/0!</v>
      </c>
      <c r="H106" s="13" t="e">
        <f t="shared" ca="1" si="892"/>
        <v>#DIV/0!</v>
      </c>
      <c r="I106" s="13" t="e">
        <f t="shared" ca="1" si="892"/>
        <v>#DIV/0!</v>
      </c>
      <c r="J106" s="13" t="e">
        <f t="shared" ca="1" si="892"/>
        <v>#DIV/0!</v>
      </c>
      <c r="K106" s="13" t="e">
        <f t="shared" ca="1" si="892"/>
        <v>#DIV/0!</v>
      </c>
      <c r="L106" s="13" t="e">
        <f t="shared" ca="1" si="892"/>
        <v>#DIV/0!</v>
      </c>
      <c r="M106" s="13" t="e">
        <f t="shared" ca="1" si="892"/>
        <v>#DIV/0!</v>
      </c>
      <c r="N106" s="13" t="e">
        <f t="shared" ca="1" si="892"/>
        <v>#DIV/0!</v>
      </c>
      <c r="O106" s="13" t="e">
        <f t="shared" ca="1" si="892"/>
        <v>#DIV/0!</v>
      </c>
      <c r="P106" s="13" t="e">
        <f t="shared" ca="1" si="892"/>
        <v>#DIV/0!</v>
      </c>
      <c r="Q106" s="13" t="e">
        <f t="shared" ca="1" si="892"/>
        <v>#DIV/0!</v>
      </c>
      <c r="R106" s="13" t="e">
        <f t="shared" ca="1" si="892"/>
        <v>#DIV/0!</v>
      </c>
      <c r="S106" s="13" t="e">
        <f t="shared" ca="1" si="892"/>
        <v>#DIV/0!</v>
      </c>
      <c r="T106" s="13" t="e">
        <f t="shared" ca="1" si="892"/>
        <v>#DIV/0!</v>
      </c>
      <c r="U106" s="13" t="e">
        <f t="shared" ca="1" si="892"/>
        <v>#DIV/0!</v>
      </c>
      <c r="V106" s="13" t="e">
        <f t="shared" ca="1" si="892"/>
        <v>#DIV/0!</v>
      </c>
      <c r="W106" s="13" t="e">
        <f t="shared" ca="1" si="892"/>
        <v>#DIV/0!</v>
      </c>
      <c r="X106" s="13" t="e">
        <f t="shared" ca="1" si="892"/>
        <v>#DIV/0!</v>
      </c>
      <c r="Y106" s="13" t="e">
        <f t="shared" ca="1" si="892"/>
        <v>#DIV/0!</v>
      </c>
      <c r="Z106" s="13" t="e">
        <f t="shared" ref="Z106:AA106" ca="1" si="893">+Z98/Z88</f>
        <v>#DIV/0!</v>
      </c>
      <c r="AA106" s="13" t="e">
        <f t="shared" ca="1" si="893"/>
        <v>#DIV/0!</v>
      </c>
      <c r="AB106" s="59" t="e">
        <f t="shared" ca="1" si="892"/>
        <v>#DIV/0!</v>
      </c>
      <c r="AC106" s="59" t="e">
        <f t="shared" ca="1" si="892"/>
        <v>#DIV/0!</v>
      </c>
      <c r="AD106" s="59" t="e">
        <f t="shared" ca="1" si="892"/>
        <v>#DIV/0!</v>
      </c>
      <c r="AE106" s="59" t="e">
        <f t="shared" ca="1" si="892"/>
        <v>#DIV/0!</v>
      </c>
      <c r="AL106" s="13">
        <f t="shared" ref="AL106:BQ106" si="894">+AL98/AL88</f>
        <v>-179.38750503017945</v>
      </c>
      <c r="AM106" s="13">
        <f t="shared" si="894"/>
        <v>-8.1777514700525593</v>
      </c>
      <c r="AN106" s="13">
        <f t="shared" si="894"/>
        <v>-3.0085673959068457</v>
      </c>
      <c r="AO106" s="13">
        <f t="shared" si="894"/>
        <v>-4.7190054608638112</v>
      </c>
      <c r="AP106" s="13">
        <f t="shared" si="894"/>
        <v>-6.7615032943391178</v>
      </c>
      <c r="AQ106" s="13">
        <f t="shared" si="894"/>
        <v>-19.90381624810081</v>
      </c>
      <c r="AR106" s="13">
        <f t="shared" si="894"/>
        <v>24.111398755034806</v>
      </c>
      <c r="AS106" s="13">
        <f t="shared" si="894"/>
        <v>-64.428704566635204</v>
      </c>
      <c r="AT106" s="13">
        <f t="shared" si="894"/>
        <v>42.964388746803138</v>
      </c>
      <c r="AU106" s="13">
        <f t="shared" si="894"/>
        <v>22.439454691259037</v>
      </c>
      <c r="AV106" s="13">
        <f t="shared" si="894"/>
        <v>49.950867052023227</v>
      </c>
      <c r="AW106" s="13">
        <f t="shared" si="894"/>
        <v>21.031191281473181</v>
      </c>
      <c r="AX106" s="13">
        <f t="shared" si="894"/>
        <v>-140.2960987654308</v>
      </c>
      <c r="AY106" s="13">
        <f t="shared" si="894"/>
        <v>-17.402228783693662</v>
      </c>
      <c r="AZ106" s="13">
        <f t="shared" si="894"/>
        <v>-22.644293903074498</v>
      </c>
      <c r="BA106" s="13">
        <f t="shared" si="894"/>
        <v>-71.877138157895004</v>
      </c>
      <c r="BB106" s="13">
        <f t="shared" si="894"/>
        <v>34.820870015535974</v>
      </c>
      <c r="BC106" s="13">
        <f t="shared" si="894"/>
        <v>16.194738384261189</v>
      </c>
      <c r="BD106" s="13">
        <f t="shared" si="894"/>
        <v>12.704155871734974</v>
      </c>
      <c r="BE106" s="13">
        <f t="shared" si="894"/>
        <v>30.920224444986591</v>
      </c>
      <c r="BF106" s="13">
        <f t="shared" si="894"/>
        <v>60.999255841643034</v>
      </c>
      <c r="BG106" s="13">
        <f t="shared" si="894"/>
        <v>37.595681265206785</v>
      </c>
      <c r="BH106" s="13">
        <f t="shared" si="894"/>
        <v>20.349331135484679</v>
      </c>
      <c r="BI106" s="13">
        <f t="shared" si="894"/>
        <v>10.81901963524562</v>
      </c>
      <c r="BJ106" s="13">
        <f t="shared" si="894"/>
        <v>13.64671358158353</v>
      </c>
      <c r="BK106" s="13">
        <f t="shared" si="894"/>
        <v>13.786460191934273</v>
      </c>
      <c r="BL106" s="13">
        <f t="shared" si="894"/>
        <v>10.471865489870202</v>
      </c>
      <c r="BM106" s="13">
        <f t="shared" si="894"/>
        <v>14.795805158521285</v>
      </c>
      <c r="BN106" s="13">
        <f t="shared" si="894"/>
        <v>7.0709231805929935</v>
      </c>
      <c r="BO106" s="13">
        <f t="shared" si="894"/>
        <v>20.102035443037963</v>
      </c>
      <c r="BP106" s="13">
        <f t="shared" si="894"/>
        <v>-21.016492285866317</v>
      </c>
      <c r="BQ106" s="13">
        <f t="shared" si="894"/>
        <v>-22.19468344677027</v>
      </c>
      <c r="BR106" s="13">
        <f t="shared" ref="BR106:CH106" si="895">+BR98/BR88</f>
        <v>-12.744322092222987</v>
      </c>
      <c r="BS106" s="13">
        <f t="shared" si="895"/>
        <v>-18.878410794602704</v>
      </c>
      <c r="BT106" s="13">
        <f t="shared" si="895"/>
        <v>-65.190934304307476</v>
      </c>
      <c r="BU106" s="13">
        <f t="shared" si="895"/>
        <v>-228.45862198391382</v>
      </c>
      <c r="BV106" s="13">
        <f t="shared" si="895"/>
        <v>111.19277957336755</v>
      </c>
      <c r="BW106" s="13">
        <f t="shared" si="895"/>
        <v>1439.6501457725776</v>
      </c>
      <c r="BX106" s="13">
        <f t="shared" si="895"/>
        <v>-107.25907746772177</v>
      </c>
      <c r="BY106" s="13">
        <f t="shared" si="895"/>
        <v>875.08469483566489</v>
      </c>
      <c r="BZ106" s="13">
        <f t="shared" si="895"/>
        <v>48.515869160328997</v>
      </c>
      <c r="CA106" s="13">
        <f t="shared" si="895"/>
        <v>31.070365118752211</v>
      </c>
      <c r="CB106" s="13">
        <f t="shared" si="895"/>
        <v>36.072410609883669</v>
      </c>
      <c r="CC106" s="13">
        <f t="shared" si="895"/>
        <v>41.787548118219689</v>
      </c>
      <c r="CD106" s="13">
        <f t="shared" si="895"/>
        <v>56.888950473098724</v>
      </c>
      <c r="CE106" s="13">
        <f t="shared" si="895"/>
        <v>73.87739554917448</v>
      </c>
      <c r="CF106" s="13">
        <f t="shared" si="895"/>
        <v>350.37165575304095</v>
      </c>
      <c r="CG106" s="13">
        <f t="shared" si="895"/>
        <v>-376.8449525934173</v>
      </c>
      <c r="CH106" s="13">
        <f t="shared" si="895"/>
        <v>-98.784872397582248</v>
      </c>
      <c r="CI106" s="13">
        <f t="shared" ref="CI106:CJ106" si="896">+CI98/CI88</f>
        <v>-127.24565948657407</v>
      </c>
      <c r="CJ106" s="13">
        <f t="shared" si="896"/>
        <v>268.79311680000166</v>
      </c>
      <c r="CK106" s="13">
        <f t="shared" ref="CK106:CL106" si="897">+CK98/CK88</f>
        <v>218.8336744787338</v>
      </c>
      <c r="CL106" s="13">
        <f t="shared" si="897"/>
        <v>110.28537502003475</v>
      </c>
      <c r="CM106" s="59">
        <v>40</v>
      </c>
      <c r="CN106" s="59">
        <f t="shared" si="877"/>
        <v>40</v>
      </c>
      <c r="CO106" s="59">
        <f t="shared" si="878"/>
        <v>40</v>
      </c>
      <c r="CP106" s="59">
        <f t="shared" si="879"/>
        <v>40</v>
      </c>
      <c r="CQ106" s="59">
        <f t="shared" si="880"/>
        <v>40</v>
      </c>
      <c r="CR106" s="59">
        <f t="shared" si="881"/>
        <v>40</v>
      </c>
      <c r="CS106" s="59">
        <f t="shared" si="882"/>
        <v>40</v>
      </c>
      <c r="CT106" s="59">
        <f t="shared" si="883"/>
        <v>40</v>
      </c>
      <c r="CU106" s="59">
        <f t="shared" si="884"/>
        <v>40</v>
      </c>
      <c r="CV106" s="59">
        <f t="shared" si="885"/>
        <v>40</v>
      </c>
      <c r="CW106" s="59">
        <f t="shared" si="886"/>
        <v>40</v>
      </c>
      <c r="CX106" s="59">
        <f t="shared" si="887"/>
        <v>40</v>
      </c>
      <c r="CY106" s="59">
        <f t="shared" si="888"/>
        <v>40</v>
      </c>
      <c r="CZ106" s="59">
        <f t="shared" si="889"/>
        <v>40</v>
      </c>
      <c r="DA106" s="59">
        <f t="shared" si="890"/>
        <v>40</v>
      </c>
      <c r="DD106" s="129">
        <v>-66.231329044459102</v>
      </c>
      <c r="DE106" s="13">
        <v>50</v>
      </c>
    </row>
    <row r="107" spans="1:109" s="13" customFormat="1" x14ac:dyDescent="0.2">
      <c r="AB107" s="59"/>
      <c r="AC107" s="59"/>
      <c r="AD107" s="59"/>
      <c r="AE107" s="59"/>
      <c r="CM107" s="59"/>
      <c r="CN107" s="59"/>
      <c r="CO107" s="59"/>
      <c r="CP107" s="59"/>
      <c r="CQ107" s="59"/>
      <c r="CR107" s="59"/>
      <c r="CS107" s="59"/>
      <c r="CT107" s="59"/>
      <c r="CU107" s="59"/>
      <c r="CV107" s="59"/>
      <c r="CW107" s="59"/>
      <c r="CX107" s="59"/>
      <c r="CY107" s="59"/>
      <c r="CZ107" s="59"/>
      <c r="DA107" s="59"/>
      <c r="DD107" s="129"/>
    </row>
    <row r="108" spans="1:109" s="13" customFormat="1" x14ac:dyDescent="0.2">
      <c r="A108" s="13" t="s">
        <v>462</v>
      </c>
      <c r="B108" s="13">
        <f t="shared" ref="B108:AD108" si="898">+B97/C88</f>
        <v>3.7765112586909235</v>
      </c>
      <c r="C108" s="13" t="e">
        <f t="shared" si="898"/>
        <v>#DIV/0!</v>
      </c>
      <c r="D108" s="13" t="e">
        <f t="shared" ca="1" si="898"/>
        <v>#DIV/0!</v>
      </c>
      <c r="E108" s="13" t="e">
        <f t="shared" ca="1" si="898"/>
        <v>#DIV/0!</v>
      </c>
      <c r="F108" s="13" t="e">
        <f t="shared" ca="1" si="898"/>
        <v>#DIV/0!</v>
      </c>
      <c r="G108" s="13" t="e">
        <f t="shared" ca="1" si="898"/>
        <v>#DIV/0!</v>
      </c>
      <c r="H108" s="13" t="e">
        <f t="shared" ca="1" si="898"/>
        <v>#DIV/0!</v>
      </c>
      <c r="I108" s="13" t="e">
        <f t="shared" ca="1" si="898"/>
        <v>#DIV/0!</v>
      </c>
      <c r="J108" s="13" t="e">
        <f t="shared" ca="1" si="898"/>
        <v>#DIV/0!</v>
      </c>
      <c r="K108" s="13" t="e">
        <f t="shared" ca="1" si="898"/>
        <v>#DIV/0!</v>
      </c>
      <c r="L108" s="13" t="e">
        <f t="shared" ca="1" si="898"/>
        <v>#DIV/0!</v>
      </c>
      <c r="M108" s="13" t="e">
        <f t="shared" ca="1" si="898"/>
        <v>#DIV/0!</v>
      </c>
      <c r="N108" s="13" t="e">
        <f t="shared" ca="1" si="898"/>
        <v>#DIV/0!</v>
      </c>
      <c r="O108" s="13" t="e">
        <f t="shared" ca="1" si="898"/>
        <v>#DIV/0!</v>
      </c>
      <c r="P108" s="13" t="e">
        <f t="shared" ca="1" si="898"/>
        <v>#DIV/0!</v>
      </c>
      <c r="Q108" s="13" t="e">
        <f t="shared" ca="1" si="898"/>
        <v>#DIV/0!</v>
      </c>
      <c r="R108" s="13" t="e">
        <f t="shared" ca="1" si="898"/>
        <v>#DIV/0!</v>
      </c>
      <c r="S108" s="13" t="e">
        <f t="shared" ca="1" si="898"/>
        <v>#DIV/0!</v>
      </c>
      <c r="T108" s="13" t="e">
        <f t="shared" ca="1" si="898"/>
        <v>#DIV/0!</v>
      </c>
      <c r="U108" s="13" t="e">
        <f t="shared" ca="1" si="898"/>
        <v>#DIV/0!</v>
      </c>
      <c r="V108" s="13" t="e">
        <f t="shared" ca="1" si="898"/>
        <v>#DIV/0!</v>
      </c>
      <c r="W108" s="13" t="e">
        <f t="shared" ca="1" si="898"/>
        <v>#DIV/0!</v>
      </c>
      <c r="X108" s="13" t="e">
        <f t="shared" ca="1" si="898"/>
        <v>#DIV/0!</v>
      </c>
      <c r="Y108" s="13" t="e">
        <f t="shared" ca="1" si="898"/>
        <v>#DIV/0!</v>
      </c>
      <c r="Z108" s="13" t="e">
        <f t="shared" ref="Z108:AA108" ca="1" si="899">+Z97/AA88</f>
        <v>#DIV/0!</v>
      </c>
      <c r="AA108" s="13" t="e">
        <f t="shared" ca="1" si="899"/>
        <v>#DIV/0!</v>
      </c>
      <c r="AB108" s="36" t="e">
        <f t="shared" ca="1" si="898"/>
        <v>#DIV/0!</v>
      </c>
      <c r="AC108" s="36" t="e">
        <f t="shared" ca="1" si="898"/>
        <v>#DIV/0!</v>
      </c>
      <c r="AD108" s="36" t="e">
        <f t="shared" ca="1" si="898"/>
        <v>#DIV/0!</v>
      </c>
      <c r="AE108" s="36"/>
      <c r="AL108" s="13">
        <f t="shared" ref="AL108:BQ108" si="900">+AL97/AP88</f>
        <v>-14.784563668145763</v>
      </c>
      <c r="AM108" s="13">
        <f t="shared" si="900"/>
        <v>-18.751954598266149</v>
      </c>
      <c r="AN108" s="13">
        <f t="shared" si="900"/>
        <v>20.311314536799724</v>
      </c>
      <c r="AO108" s="13">
        <f t="shared" si="900"/>
        <v>-49.088536812674441</v>
      </c>
      <c r="AP108" s="13">
        <f t="shared" si="900"/>
        <v>58.915012787723882</v>
      </c>
      <c r="AQ108" s="13">
        <f t="shared" si="900"/>
        <v>39.467040898155602</v>
      </c>
      <c r="AR108" s="13">
        <f t="shared" si="900"/>
        <v>76.982719390436316</v>
      </c>
      <c r="AS108" s="13">
        <f t="shared" si="900"/>
        <v>36.925204810221814</v>
      </c>
      <c r="AT108" s="13">
        <f t="shared" si="900"/>
        <v>-221.09234567901032</v>
      </c>
      <c r="AU108" s="13">
        <f t="shared" si="900"/>
        <v>-26.197409277073969</v>
      </c>
      <c r="AV108" s="13">
        <f t="shared" si="900"/>
        <v>-35.317378843147438</v>
      </c>
      <c r="AW108" s="13">
        <f t="shared" si="900"/>
        <v>-92.587500000000347</v>
      </c>
      <c r="AX108" s="13">
        <f t="shared" si="900"/>
        <v>41.333267736923851</v>
      </c>
      <c r="AY108" s="13">
        <f t="shared" si="900"/>
        <v>19.188405190456248</v>
      </c>
      <c r="AZ108" s="13">
        <f t="shared" si="900"/>
        <v>11.272775536207261</v>
      </c>
      <c r="BA108" s="13">
        <f t="shared" si="900"/>
        <v>20.399316906562582</v>
      </c>
      <c r="BB108" s="13">
        <f t="shared" si="900"/>
        <v>51.371662449769254</v>
      </c>
      <c r="BC108" s="13">
        <f t="shared" si="900"/>
        <v>30.08655717761555</v>
      </c>
      <c r="BD108" s="13">
        <f t="shared" si="900"/>
        <v>31.27535662207568</v>
      </c>
      <c r="BE108" s="13">
        <f t="shared" si="900"/>
        <v>23.46334987072882</v>
      </c>
      <c r="BF108" s="13">
        <f t="shared" si="900"/>
        <v>19.541531097752085</v>
      </c>
      <c r="BG108" s="13">
        <f t="shared" si="900"/>
        <v>14.577890974587019</v>
      </c>
      <c r="BH108" s="13">
        <f t="shared" si="900"/>
        <v>12.013531249104522</v>
      </c>
      <c r="BI108" s="13">
        <f t="shared" si="900"/>
        <v>20.694132890634499</v>
      </c>
      <c r="BJ108" s="13">
        <f t="shared" si="900"/>
        <v>29.942240144878713</v>
      </c>
      <c r="BK108" s="13">
        <f t="shared" si="900"/>
        <v>68.504436455696165</v>
      </c>
      <c r="BL108" s="13">
        <f t="shared" si="900"/>
        <v>-50.743882780634934</v>
      </c>
      <c r="BM108" s="13">
        <f t="shared" si="900"/>
        <v>-31.548157185052027</v>
      </c>
      <c r="BN108" s="13">
        <f t="shared" si="900"/>
        <v>-17.842050929112183</v>
      </c>
      <c r="BO108" s="13">
        <f t="shared" si="900"/>
        <v>-14.80659670164918</v>
      </c>
      <c r="BP108" s="13">
        <f t="shared" si="900"/>
        <v>-67.099876045863098</v>
      </c>
      <c r="BQ108" s="13">
        <f t="shared" si="900"/>
        <v>-232.99946380697008</v>
      </c>
      <c r="BR108" s="13">
        <f t="shared" ref="BR108:CL108" si="901">+BR97/BV88</f>
        <v>91.716354234001088</v>
      </c>
      <c r="BS108" s="13">
        <f t="shared" si="901"/>
        <v>1425.253644314852</v>
      </c>
      <c r="BT108" s="13">
        <f t="shared" si="901"/>
        <v>-119.28529779258641</v>
      </c>
      <c r="BU108" s="13">
        <f t="shared" si="901"/>
        <v>1138.2515023473973</v>
      </c>
      <c r="BV108" s="13">
        <f t="shared" si="901"/>
        <v>67.061151637435927</v>
      </c>
      <c r="BW108" s="13">
        <f t="shared" si="901"/>
        <v>40.150788727401626</v>
      </c>
      <c r="BX108" s="13">
        <f t="shared" si="901"/>
        <v>21.85009539048556</v>
      </c>
      <c r="BY108" s="13">
        <f t="shared" si="901"/>
        <v>21.614844908217471</v>
      </c>
      <c r="BZ108" s="13">
        <f t="shared" si="901"/>
        <v>31.572390039193966</v>
      </c>
      <c r="CA108" s="13">
        <f t="shared" si="901"/>
        <v>71.110035893754514</v>
      </c>
      <c r="CB108" s="13">
        <f t="shared" si="901"/>
        <v>233.2731524789528</v>
      </c>
      <c r="CC108" s="13">
        <f t="shared" si="901"/>
        <v>-302.02677077523578</v>
      </c>
      <c r="CD108" s="13">
        <f t="shared" si="901"/>
        <v>-151.68017125587639</v>
      </c>
      <c r="CE108" s="13">
        <f t="shared" si="901"/>
        <v>-312.92941870758301</v>
      </c>
      <c r="CF108" s="13">
        <f t="shared" si="901"/>
        <v>505.5721920000031</v>
      </c>
      <c r="CG108" s="13">
        <f t="shared" si="901"/>
        <v>295.00230150724337</v>
      </c>
      <c r="CH108" s="13">
        <f t="shared" si="901"/>
        <v>119.42658494393092</v>
      </c>
      <c r="CI108" s="13">
        <f t="shared" si="901"/>
        <v>171.56026032401397</v>
      </c>
      <c r="CJ108" s="13">
        <f t="shared" si="901"/>
        <v>128.50523048518065</v>
      </c>
      <c r="CK108" s="13">
        <f t="shared" si="901"/>
        <v>67.025057416744801</v>
      </c>
      <c r="CL108" s="13">
        <f t="shared" si="901"/>
        <v>44.405277069610854</v>
      </c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D108" s="127">
        <v>62.999648612270185</v>
      </c>
    </row>
    <row r="109" spans="1:109" s="97" customFormat="1" x14ac:dyDescent="0.2">
      <c r="A109" s="97" t="s">
        <v>426</v>
      </c>
      <c r="AB109" s="98"/>
      <c r="AC109" s="98"/>
      <c r="AD109" s="98"/>
      <c r="AE109" s="98"/>
      <c r="AL109" s="165"/>
      <c r="AM109" s="165"/>
      <c r="AN109" s="165"/>
      <c r="AO109" s="165">
        <f t="shared" ref="AO109:CI109" si="902">+CORREL(AL88:AO88,AL105:AO105)</f>
        <v>-0.90216255302537873</v>
      </c>
      <c r="AP109" s="165">
        <f t="shared" si="902"/>
        <v>-0.89030298249029682</v>
      </c>
      <c r="AQ109" s="165">
        <f t="shared" si="902"/>
        <v>-0.91817274134394744</v>
      </c>
      <c r="AR109" s="165">
        <f t="shared" si="902"/>
        <v>0.74764165146809625</v>
      </c>
      <c r="AS109" s="165">
        <f t="shared" si="902"/>
        <v>0.22294202531799764</v>
      </c>
      <c r="AT109" s="165">
        <f t="shared" si="902"/>
        <v>0.63381499849368383</v>
      </c>
      <c r="AU109" s="165">
        <f t="shared" si="902"/>
        <v>0.83474259897092473</v>
      </c>
      <c r="AV109" s="165">
        <f t="shared" si="902"/>
        <v>0.82719424778603901</v>
      </c>
      <c r="AW109" s="165">
        <f t="shared" si="902"/>
        <v>-0.99724042952367087</v>
      </c>
      <c r="AX109" s="165">
        <f t="shared" si="902"/>
        <v>0.8222197054738547</v>
      </c>
      <c r="AY109" s="165">
        <f t="shared" si="902"/>
        <v>0.36060096364730826</v>
      </c>
      <c r="AZ109" s="165">
        <f t="shared" si="902"/>
        <v>0.13168538457581533</v>
      </c>
      <c r="BA109" s="165">
        <f t="shared" si="902"/>
        <v>-0.89904504704389321</v>
      </c>
      <c r="BB109" s="165">
        <f t="shared" si="902"/>
        <v>0.50590827963537321</v>
      </c>
      <c r="BC109" s="165">
        <f t="shared" si="902"/>
        <v>0.60750920482389104</v>
      </c>
      <c r="BD109" s="165">
        <f t="shared" si="902"/>
        <v>0.67184594156344257</v>
      </c>
      <c r="BE109" s="165">
        <f t="shared" si="902"/>
        <v>-0.80554179873492671</v>
      </c>
      <c r="BF109" s="165">
        <f t="shared" si="902"/>
        <v>-0.90628765942852374</v>
      </c>
      <c r="BG109" s="165">
        <f t="shared" si="902"/>
        <v>-0.90187791227292913</v>
      </c>
      <c r="BH109" s="165">
        <f t="shared" si="902"/>
        <v>-0.93403347273964021</v>
      </c>
      <c r="BI109" s="165">
        <f t="shared" si="902"/>
        <v>-0.81884822212275032</v>
      </c>
      <c r="BJ109" s="165">
        <f t="shared" si="902"/>
        <v>-0.83200287018145735</v>
      </c>
      <c r="BK109" s="165">
        <f t="shared" si="902"/>
        <v>-0.83722627317285503</v>
      </c>
      <c r="BL109" s="165">
        <f t="shared" si="902"/>
        <v>0.25367281608699127</v>
      </c>
      <c r="BM109" s="165">
        <f t="shared" si="902"/>
        <v>-0.35791832076701746</v>
      </c>
      <c r="BN109" s="165">
        <f t="shared" si="902"/>
        <v>-0.80510803205351633</v>
      </c>
      <c r="BO109" s="165">
        <f t="shared" si="902"/>
        <v>-0.98601266337179139</v>
      </c>
      <c r="BP109" s="165">
        <f t="shared" si="902"/>
        <v>0.85031018919054535</v>
      </c>
      <c r="BQ109" s="165">
        <f t="shared" si="902"/>
        <v>0.89366939428870507</v>
      </c>
      <c r="BR109" s="165">
        <f t="shared" si="902"/>
        <v>0.68805161190801745</v>
      </c>
      <c r="BS109" s="165">
        <f t="shared" si="902"/>
        <v>-0.97473151273241621</v>
      </c>
      <c r="BT109" s="165">
        <f t="shared" si="902"/>
        <v>-0.8903886286724817</v>
      </c>
      <c r="BU109" s="165">
        <f t="shared" si="902"/>
        <v>-0.7884164783613854</v>
      </c>
      <c r="BV109" s="165">
        <f t="shared" si="902"/>
        <v>0.10407580671287246</v>
      </c>
      <c r="BW109" s="165">
        <f t="shared" si="902"/>
        <v>0.26114818136567758</v>
      </c>
      <c r="BX109" s="165">
        <f t="shared" si="902"/>
        <v>0.24970616822321715</v>
      </c>
      <c r="BY109" s="165">
        <f t="shared" si="902"/>
        <v>0.165176461729973</v>
      </c>
      <c r="BZ109" s="165">
        <f t="shared" si="902"/>
        <v>-0.178223625567209</v>
      </c>
      <c r="CA109" s="165">
        <f t="shared" si="902"/>
        <v>-0.2234002747265002</v>
      </c>
      <c r="CB109" s="165">
        <f t="shared" si="902"/>
        <v>-0.81614874849401342</v>
      </c>
      <c r="CC109" s="165">
        <f t="shared" si="902"/>
        <v>-0.79157416524722801</v>
      </c>
      <c r="CD109" s="165">
        <f t="shared" si="902"/>
        <v>-0.9046622222028663</v>
      </c>
      <c r="CE109" s="165">
        <f t="shared" si="902"/>
        <v>-0.92017027161515152</v>
      </c>
      <c r="CF109" s="165">
        <f t="shared" si="902"/>
        <v>-0.97111185062062577</v>
      </c>
      <c r="CG109" s="165">
        <f t="shared" si="902"/>
        <v>0.5050595104595742</v>
      </c>
      <c r="CH109" s="165">
        <f t="shared" si="902"/>
        <v>0.60279266135290577</v>
      </c>
      <c r="CI109" s="165">
        <f t="shared" si="902"/>
        <v>0.73344099892760517</v>
      </c>
      <c r="CJ109" s="165">
        <f>+CORREL(CG88:CJ88,CG105:CJ105)</f>
        <v>0.73479749304858399</v>
      </c>
      <c r="CK109" s="165">
        <f>+CORREL(CH88:CK88,CH105:CK105)</f>
        <v>0.93449183346364162</v>
      </c>
      <c r="CL109" s="165">
        <f>+CORREL(CI88:CL88,CI105:CL105)</f>
        <v>0.61309127852719325</v>
      </c>
      <c r="CM109" s="98"/>
      <c r="CN109" s="98"/>
      <c r="CO109" s="98"/>
      <c r="CP109" s="98"/>
      <c r="CQ109" s="98"/>
      <c r="CR109" s="98"/>
      <c r="CS109" s="98"/>
      <c r="CT109" s="98"/>
      <c r="CU109" s="98"/>
      <c r="CV109" s="98"/>
      <c r="CW109" s="98"/>
      <c r="CX109" s="98"/>
      <c r="CY109" s="98"/>
      <c r="CZ109" s="98"/>
      <c r="DA109" s="98"/>
      <c r="DD109" s="130"/>
    </row>
    <row r="110" spans="1:109" s="4" customFormat="1" x14ac:dyDescent="0.2">
      <c r="A110" s="3"/>
      <c r="AB110" s="16"/>
      <c r="AC110" s="16"/>
      <c r="AD110" s="16"/>
      <c r="AE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D110" s="117"/>
    </row>
    <row r="111" spans="1:109" s="153" customFormat="1" outlineLevel="1" x14ac:dyDescent="0.2">
      <c r="A111" s="48" t="s">
        <v>505</v>
      </c>
      <c r="E111" s="153" t="e">
        <f t="shared" ref="E111:AE111" ca="1" si="903">+E$139/E$84</f>
        <v>#DIV/0!</v>
      </c>
      <c r="F111" s="153" t="e">
        <f t="shared" ca="1" si="903"/>
        <v>#DIV/0!</v>
      </c>
      <c r="G111" s="153" t="e">
        <f t="shared" ca="1" si="903"/>
        <v>#DIV/0!</v>
      </c>
      <c r="H111" s="153" t="e">
        <f t="shared" ca="1" si="903"/>
        <v>#DIV/0!</v>
      </c>
      <c r="I111" s="153" t="e">
        <f t="shared" ca="1" si="903"/>
        <v>#DIV/0!</v>
      </c>
      <c r="J111" s="153" t="e">
        <f t="shared" ca="1" si="903"/>
        <v>#DIV/0!</v>
      </c>
      <c r="K111" s="153" t="e">
        <f t="shared" ca="1" si="903"/>
        <v>#DIV/0!</v>
      </c>
      <c r="L111" s="153" t="e">
        <f t="shared" ca="1" si="903"/>
        <v>#DIV/0!</v>
      </c>
      <c r="M111" s="153" t="e">
        <f t="shared" ca="1" si="903"/>
        <v>#DIV/0!</v>
      </c>
      <c r="N111" s="153" t="e">
        <f t="shared" ca="1" si="903"/>
        <v>#DIV/0!</v>
      </c>
      <c r="O111" s="153" t="e">
        <f t="shared" ca="1" si="903"/>
        <v>#DIV/0!</v>
      </c>
      <c r="P111" s="153" t="e">
        <f t="shared" ca="1" si="903"/>
        <v>#DIV/0!</v>
      </c>
      <c r="Q111" s="153" t="e">
        <f t="shared" ca="1" si="903"/>
        <v>#DIV/0!</v>
      </c>
      <c r="R111" s="153" t="e">
        <f t="shared" ca="1" si="903"/>
        <v>#DIV/0!</v>
      </c>
      <c r="S111" s="153" t="e">
        <f t="shared" ca="1" si="903"/>
        <v>#DIV/0!</v>
      </c>
      <c r="T111" s="153" t="e">
        <f t="shared" ca="1" si="903"/>
        <v>#DIV/0!</v>
      </c>
      <c r="U111" s="153" t="e">
        <f t="shared" ca="1" si="903"/>
        <v>#DIV/0!</v>
      </c>
      <c r="V111" s="153" t="e">
        <f t="shared" ca="1" si="903"/>
        <v>#DIV/0!</v>
      </c>
      <c r="W111" s="153" t="e">
        <f t="shared" ca="1" si="903"/>
        <v>#DIV/0!</v>
      </c>
      <c r="X111" s="153" t="e">
        <f t="shared" ca="1" si="903"/>
        <v>#DIV/0!</v>
      </c>
      <c r="Y111" s="153" t="e">
        <f t="shared" ca="1" si="903"/>
        <v>#DIV/0!</v>
      </c>
      <c r="Z111" s="153" t="e">
        <f t="shared" ca="1" si="903"/>
        <v>#DIV/0!</v>
      </c>
      <c r="AA111" s="153" t="e">
        <f t="shared" ca="1" si="903"/>
        <v>#DIV/0!</v>
      </c>
      <c r="AB111" s="20" t="e">
        <f t="shared" ca="1" si="903"/>
        <v>#DIV/0!</v>
      </c>
      <c r="AC111" s="20" t="e">
        <f t="shared" ca="1" si="903"/>
        <v>#DIV/0!</v>
      </c>
      <c r="AD111" s="20" t="e">
        <f t="shared" ca="1" si="903"/>
        <v>#DIV/0!</v>
      </c>
      <c r="AE111" s="20" t="e">
        <f t="shared" ca="1" si="903"/>
        <v>#DIV/0!</v>
      </c>
      <c r="AL111" s="153">
        <f t="shared" ref="AL111:BQ111" si="904">+AL$139/AL$84</f>
        <v>-6.9603078169299648</v>
      </c>
      <c r="AM111" s="153">
        <f t="shared" si="904"/>
        <v>0</v>
      </c>
      <c r="AN111" s="153">
        <f t="shared" si="904"/>
        <v>-37.480761441879288</v>
      </c>
      <c r="AO111" s="153">
        <f t="shared" si="904"/>
        <v>0</v>
      </c>
      <c r="AP111" s="153">
        <f t="shared" si="904"/>
        <v>-3.1915755366545548</v>
      </c>
      <c r="AQ111" s="153">
        <f t="shared" si="904"/>
        <v>0</v>
      </c>
      <c r="AR111" s="153">
        <f t="shared" si="904"/>
        <v>8.5398946942081846</v>
      </c>
      <c r="AS111" s="153">
        <f t="shared" si="904"/>
        <v>0</v>
      </c>
      <c r="AT111" s="153">
        <f t="shared" si="904"/>
        <v>15.745240988254341</v>
      </c>
      <c r="AU111" s="153">
        <f t="shared" si="904"/>
        <v>0</v>
      </c>
      <c r="AV111" s="153">
        <f t="shared" si="904"/>
        <v>-5.6743620899149478</v>
      </c>
      <c r="AW111" s="153">
        <f t="shared" si="904"/>
        <v>0</v>
      </c>
      <c r="AX111" s="153">
        <f t="shared" si="904"/>
        <v>21.656541109761044</v>
      </c>
      <c r="AY111" s="153">
        <f t="shared" si="904"/>
        <v>0</v>
      </c>
      <c r="AZ111" s="153">
        <f t="shared" si="904"/>
        <v>4.2527339003657835E-2</v>
      </c>
      <c r="BA111" s="153">
        <f t="shared" si="904"/>
        <v>0</v>
      </c>
      <c r="BB111" s="153">
        <f t="shared" si="904"/>
        <v>9.2750101255568946</v>
      </c>
      <c r="BC111" s="153">
        <f t="shared" si="904"/>
        <v>0</v>
      </c>
      <c r="BD111" s="153">
        <f t="shared" si="904"/>
        <v>9.1595787768327259</v>
      </c>
      <c r="BE111" s="153">
        <f t="shared" si="904"/>
        <v>0</v>
      </c>
      <c r="BF111" s="153">
        <f t="shared" si="904"/>
        <v>-2.0210611583636959</v>
      </c>
      <c r="BG111" s="153">
        <f t="shared" si="904"/>
        <v>0</v>
      </c>
      <c r="BH111" s="153">
        <f t="shared" si="904"/>
        <v>21.125961927906037</v>
      </c>
      <c r="BI111" s="153">
        <f t="shared" si="904"/>
        <v>0</v>
      </c>
      <c r="BJ111" s="153">
        <f t="shared" si="904"/>
        <v>11.095585257189134</v>
      </c>
      <c r="BK111" s="153">
        <f t="shared" si="904"/>
        <v>0</v>
      </c>
      <c r="BL111" s="153">
        <f t="shared" si="904"/>
        <v>19.837991089509909</v>
      </c>
      <c r="BM111" s="153">
        <f t="shared" si="904"/>
        <v>0</v>
      </c>
      <c r="BN111" s="153">
        <f t="shared" si="904"/>
        <v>9.1656541109761029</v>
      </c>
      <c r="BO111" s="153">
        <f t="shared" si="904"/>
        <v>0</v>
      </c>
      <c r="BP111" s="153">
        <f t="shared" si="904"/>
        <v>-22.999189955447548</v>
      </c>
      <c r="BQ111" s="153">
        <f t="shared" si="904"/>
        <v>0</v>
      </c>
      <c r="BR111" s="153">
        <f t="shared" ref="BR111:DA111" si="905">+BR$139/BR$84</f>
        <v>-18.144997974888636</v>
      </c>
      <c r="BS111" s="153">
        <f t="shared" si="905"/>
        <v>0</v>
      </c>
      <c r="BT111" s="153">
        <f t="shared" si="905"/>
        <v>4.4532199270959953</v>
      </c>
      <c r="BU111" s="153">
        <f t="shared" si="905"/>
        <v>0</v>
      </c>
      <c r="BV111" s="153">
        <f t="shared" si="905"/>
        <v>-4.9696233292831007</v>
      </c>
      <c r="BW111" s="153">
        <f t="shared" si="905"/>
        <v>0</v>
      </c>
      <c r="BX111" s="153">
        <f t="shared" si="905"/>
        <v>-5.9659781287970866</v>
      </c>
      <c r="BY111" s="153">
        <f t="shared" si="905"/>
        <v>0</v>
      </c>
      <c r="BZ111" s="153">
        <f t="shared" si="905"/>
        <v>19.831915755366555</v>
      </c>
      <c r="CA111" s="153">
        <f t="shared" si="905"/>
        <v>0</v>
      </c>
      <c r="CB111" s="153">
        <f t="shared" si="905"/>
        <v>14.143377885783741</v>
      </c>
      <c r="CC111" s="153">
        <f t="shared" si="905"/>
        <v>428.09234507897935</v>
      </c>
      <c r="CD111" s="153">
        <f t="shared" si="905"/>
        <v>435.42122316727415</v>
      </c>
      <c r="CE111" s="153">
        <f t="shared" si="905"/>
        <v>428.71000405022272</v>
      </c>
      <c r="CF111" s="153">
        <f t="shared" si="905"/>
        <v>413.52774402592144</v>
      </c>
      <c r="CG111" s="153">
        <f t="shared" si="905"/>
        <v>407.35459700283519</v>
      </c>
      <c r="CH111" s="153">
        <f t="shared" si="905"/>
        <v>401.45342243823416</v>
      </c>
      <c r="CI111" s="153">
        <f t="shared" si="905"/>
        <v>410.15998379910894</v>
      </c>
      <c r="CJ111" s="153">
        <f t="shared" si="905"/>
        <v>428.22397731875247</v>
      </c>
      <c r="CK111" s="153">
        <f t="shared" si="905"/>
        <v>425.56500607533411</v>
      </c>
      <c r="CL111" s="153">
        <f t="shared" si="905"/>
        <v>440.47185095180237</v>
      </c>
      <c r="CM111" s="20">
        <f t="shared" si="905"/>
        <v>401.32938514669468</v>
      </c>
      <c r="CN111" s="20">
        <f t="shared" si="905"/>
        <v>445.82955246787901</v>
      </c>
      <c r="CO111" s="20">
        <f t="shared" si="905"/>
        <v>500.53791204641442</v>
      </c>
      <c r="CP111" s="20">
        <f t="shared" si="905"/>
        <v>545.00275245759224</v>
      </c>
      <c r="CQ111" s="20">
        <f t="shared" si="905"/>
        <v>594.1904736196293</v>
      </c>
      <c r="CR111" s="20">
        <f t="shared" si="905"/>
        <v>710.7009481461323</v>
      </c>
      <c r="CS111" s="20">
        <f t="shared" si="905"/>
        <v>838.01091443330472</v>
      </c>
      <c r="CT111" s="20">
        <f t="shared" si="905"/>
        <v>951.7435749485727</v>
      </c>
      <c r="CU111" s="20">
        <f t="shared" si="905"/>
        <v>1069.5103110772375</v>
      </c>
      <c r="CV111" s="20">
        <f t="shared" si="905"/>
        <v>1272.636246248318</v>
      </c>
      <c r="CW111" s="20">
        <f t="shared" si="905"/>
        <v>1487.7148990202199</v>
      </c>
      <c r="CX111" s="20">
        <f t="shared" si="905"/>
        <v>1685.5516930757524</v>
      </c>
      <c r="CY111" s="20">
        <f t="shared" si="905"/>
        <v>1886.9248894650591</v>
      </c>
      <c r="CZ111" s="20">
        <f t="shared" si="905"/>
        <v>2196.8339832040861</v>
      </c>
      <c r="DA111" s="20">
        <f t="shared" si="905"/>
        <v>2520.4612096963046</v>
      </c>
      <c r="DD111" s="21">
        <v>425.56500607533411</v>
      </c>
    </row>
    <row r="112" spans="1:109" s="153" customFormat="1" outlineLevel="1" x14ac:dyDescent="0.2">
      <c r="A112" s="48" t="s">
        <v>501</v>
      </c>
      <c r="AB112" s="20"/>
      <c r="AC112" s="20"/>
      <c r="AD112" s="20"/>
      <c r="AE112" s="20"/>
      <c r="CM112" s="20"/>
      <c r="CN112" s="20"/>
      <c r="CO112" s="20"/>
      <c r="CP112" s="20"/>
      <c r="CQ112" s="20"/>
      <c r="CR112" s="20"/>
      <c r="CS112" s="20"/>
      <c r="CT112" s="20"/>
      <c r="CU112" s="20"/>
      <c r="CV112" s="20"/>
      <c r="CW112" s="20"/>
      <c r="CX112" s="20"/>
      <c r="CY112" s="20"/>
      <c r="CZ112" s="20"/>
      <c r="DA112" s="20"/>
      <c r="DD112" s="21"/>
    </row>
    <row r="113" spans="1:108" s="153" customFormat="1" outlineLevel="1" x14ac:dyDescent="0.2">
      <c r="A113" s="48" t="s">
        <v>502</v>
      </c>
      <c r="E113" s="153" t="e">
        <f t="shared" ref="E113:AE115" ca="1" si="906">+E96/E$111</f>
        <v>#DIV/0!</v>
      </c>
      <c r="F113" s="153" t="e">
        <f t="shared" ca="1" si="906"/>
        <v>#DIV/0!</v>
      </c>
      <c r="G113" s="153" t="e">
        <f t="shared" ca="1" si="906"/>
        <v>#DIV/0!</v>
      </c>
      <c r="H113" s="153" t="e">
        <f t="shared" ca="1" si="906"/>
        <v>#DIV/0!</v>
      </c>
      <c r="I113" s="153" t="e">
        <f t="shared" ca="1" si="906"/>
        <v>#DIV/0!</v>
      </c>
      <c r="J113" s="153" t="e">
        <f t="shared" ca="1" si="906"/>
        <v>#DIV/0!</v>
      </c>
      <c r="K113" s="153" t="e">
        <f t="shared" ca="1" si="906"/>
        <v>#DIV/0!</v>
      </c>
      <c r="L113" s="153" t="e">
        <f t="shared" ca="1" si="906"/>
        <v>#DIV/0!</v>
      </c>
      <c r="M113" s="153" t="e">
        <f t="shared" ca="1" si="906"/>
        <v>#DIV/0!</v>
      </c>
      <c r="N113" s="153" t="e">
        <f t="shared" ca="1" si="906"/>
        <v>#DIV/0!</v>
      </c>
      <c r="O113" s="153" t="e">
        <f t="shared" ca="1" si="906"/>
        <v>#DIV/0!</v>
      </c>
      <c r="P113" s="153" t="e">
        <f t="shared" ca="1" si="906"/>
        <v>#DIV/0!</v>
      </c>
      <c r="Q113" s="153" t="e">
        <f t="shared" ca="1" si="906"/>
        <v>#DIV/0!</v>
      </c>
      <c r="R113" s="153" t="e">
        <f t="shared" ca="1" si="906"/>
        <v>#DIV/0!</v>
      </c>
      <c r="S113" s="153" t="e">
        <f t="shared" ca="1" si="906"/>
        <v>#DIV/0!</v>
      </c>
      <c r="T113" s="153" t="e">
        <f t="shared" ca="1" si="906"/>
        <v>#DIV/0!</v>
      </c>
      <c r="U113" s="153" t="e">
        <f t="shared" ca="1" si="906"/>
        <v>#DIV/0!</v>
      </c>
      <c r="V113" s="153" t="e">
        <f t="shared" ca="1" si="906"/>
        <v>#DIV/0!</v>
      </c>
      <c r="W113" s="153" t="e">
        <f t="shared" ca="1" si="906"/>
        <v>#DIV/0!</v>
      </c>
      <c r="X113" s="153" t="e">
        <f t="shared" ca="1" si="906"/>
        <v>#DIV/0!</v>
      </c>
      <c r="Y113" s="153" t="e">
        <f t="shared" ca="1" si="906"/>
        <v>#DIV/0!</v>
      </c>
      <c r="Z113" s="153" t="e">
        <f t="shared" ca="1" si="906"/>
        <v>#DIV/0!</v>
      </c>
      <c r="AA113" s="153" t="e">
        <f t="shared" ref="AA113" ca="1" si="907">+AA96/AA$111</f>
        <v>#DIV/0!</v>
      </c>
      <c r="AB113" s="20" t="e">
        <f t="shared" ca="1" si="906"/>
        <v>#DIV/0!</v>
      </c>
      <c r="AC113" s="20" t="e">
        <f t="shared" ca="1" si="906"/>
        <v>#DIV/0!</v>
      </c>
      <c r="AD113" s="20" t="e">
        <f t="shared" ca="1" si="906"/>
        <v>#DIV/0!</v>
      </c>
      <c r="AE113" s="20" t="e">
        <f t="shared" ca="1" si="906"/>
        <v>#DIV/0!</v>
      </c>
      <c r="AL113" s="153">
        <f t="shared" ref="AL113:CI115" si="908">+AL96/AL$111</f>
        <v>-53.58240034914143</v>
      </c>
      <c r="AM113" s="153" t="e">
        <f t="shared" si="908"/>
        <v>#DIV/0!</v>
      </c>
      <c r="AN113" s="153">
        <f t="shared" si="908"/>
        <v>-7.0169332180678659</v>
      </c>
      <c r="AO113" s="153" t="e">
        <f t="shared" si="908"/>
        <v>#DIV/0!</v>
      </c>
      <c r="AP113" s="153">
        <f t="shared" si="908"/>
        <v>-139.4295685279171</v>
      </c>
      <c r="AQ113" s="153" t="e">
        <f t="shared" si="908"/>
        <v>#DIV/0!</v>
      </c>
      <c r="AR113" s="153">
        <f t="shared" si="908"/>
        <v>53.981930282191108</v>
      </c>
      <c r="AS113" s="153" t="e">
        <f t="shared" si="908"/>
        <v>#DIV/0!</v>
      </c>
      <c r="AT113" s="153">
        <f t="shared" si="908"/>
        <v>25.277479099678477</v>
      </c>
      <c r="AU113" s="153" t="e">
        <f t="shared" si="908"/>
        <v>#DIV/0!</v>
      </c>
      <c r="AV113" s="153">
        <f t="shared" si="908"/>
        <v>-71.761370449678765</v>
      </c>
      <c r="AW113" s="153" t="e">
        <f t="shared" si="908"/>
        <v>#DIV/0!</v>
      </c>
      <c r="AX113" s="153">
        <f t="shared" si="908"/>
        <v>18.844191135216004</v>
      </c>
      <c r="AY113" s="153" t="e">
        <f t="shared" si="908"/>
        <v>#DIV/0!</v>
      </c>
      <c r="AZ113" s="153">
        <f t="shared" si="908"/>
        <v>8841.371428568802</v>
      </c>
      <c r="BA113" s="153" t="e">
        <f t="shared" si="908"/>
        <v>#DIV/0!</v>
      </c>
      <c r="BB113" s="153">
        <f t="shared" si="908"/>
        <v>63.105052401746796</v>
      </c>
      <c r="BC113" s="153" t="e">
        <f t="shared" si="908"/>
        <v>#DIV/0!</v>
      </c>
      <c r="BD113" s="153">
        <f t="shared" si="908"/>
        <v>98.241417200972805</v>
      </c>
      <c r="BE113" s="153" t="e">
        <f t="shared" si="908"/>
        <v>#DIV/0!</v>
      </c>
      <c r="BF113" s="153">
        <f t="shared" si="908"/>
        <v>-431.72864729459218</v>
      </c>
      <c r="BG113" s="153" t="e">
        <f t="shared" si="908"/>
        <v>#DIV/0!</v>
      </c>
      <c r="BH113" s="153">
        <f t="shared" si="908"/>
        <v>31.714532208588956</v>
      </c>
      <c r="BI113" s="153" t="e">
        <f t="shared" si="908"/>
        <v>#DIV/0!</v>
      </c>
      <c r="BJ113" s="153">
        <f t="shared" si="908"/>
        <v>120.66060229968984</v>
      </c>
      <c r="BK113" s="153" t="e">
        <f t="shared" si="908"/>
        <v>#DIV/0!</v>
      </c>
      <c r="BL113" s="153">
        <f t="shared" si="908"/>
        <v>47.381309718252382</v>
      </c>
      <c r="BM113" s="153" t="e">
        <f t="shared" si="908"/>
        <v>#DIV/0!</v>
      </c>
      <c r="BN113" s="153">
        <f t="shared" si="908"/>
        <v>45.523210340256298</v>
      </c>
      <c r="BO113" s="153" t="e">
        <f t="shared" si="908"/>
        <v>#DIV/0!</v>
      </c>
      <c r="BP113" s="153">
        <f t="shared" si="908"/>
        <v>-34.699048164127852</v>
      </c>
      <c r="BQ113" s="153" t="e">
        <f t="shared" si="908"/>
        <v>#DIV/0!</v>
      </c>
      <c r="BR113" s="153">
        <f t="shared" si="908"/>
        <v>-45.913479910714244</v>
      </c>
      <c r="BS113" s="153" t="e">
        <f t="shared" si="908"/>
        <v>#DIV/0!</v>
      </c>
      <c r="BT113" s="153">
        <f t="shared" si="908"/>
        <v>208.14152796725762</v>
      </c>
      <c r="BU113" s="153" t="e">
        <f t="shared" si="908"/>
        <v>#DIV/0!</v>
      </c>
      <c r="BV113" s="153">
        <f t="shared" si="908"/>
        <v>-313.28330073349696</v>
      </c>
      <c r="BW113" s="153" t="e">
        <f t="shared" si="908"/>
        <v>#DIV/0!</v>
      </c>
      <c r="BX113" s="153">
        <f t="shared" si="908"/>
        <v>-211.20593686354368</v>
      </c>
      <c r="BY113" s="153" t="e">
        <f t="shared" si="908"/>
        <v>#DIV/0!</v>
      </c>
      <c r="BZ113" s="153">
        <f t="shared" si="908"/>
        <v>73.212795874604268</v>
      </c>
      <c r="CA113" s="153" t="e">
        <f t="shared" si="908"/>
        <v>#DIV/0!</v>
      </c>
      <c r="CB113" s="153">
        <f t="shared" si="908"/>
        <v>203.55816151202717</v>
      </c>
      <c r="CC113" s="153">
        <f t="shared" si="908"/>
        <v>7.1637580892370574</v>
      </c>
      <c r="CD113" s="153">
        <f t="shared" si="908"/>
        <v>7.5707150331843494</v>
      </c>
      <c r="CE113" s="153">
        <f t="shared" si="908"/>
        <v>13.991159392905899</v>
      </c>
      <c r="CF113" s="153">
        <f t="shared" si="908"/>
        <v>13.891691870714986</v>
      </c>
      <c r="CG113" s="153">
        <f t="shared" si="908"/>
        <v>10.272377016947905</v>
      </c>
      <c r="CH113" s="153">
        <f t="shared" si="908"/>
        <v>7.1639693156246258</v>
      </c>
      <c r="CI113" s="153">
        <f t="shared" si="908"/>
        <v>8.367710492403857</v>
      </c>
      <c r="CJ113" s="153">
        <f>+CJ96/CJ$111</f>
        <v>13.841705074790623</v>
      </c>
      <c r="CK113" s="153">
        <f>+CK96/CK$111</f>
        <v>12.381069695066241</v>
      </c>
      <c r="CL113" s="153">
        <f>+CL96/CL$111</f>
        <v>9.2677886025608593</v>
      </c>
      <c r="CM113" s="20">
        <f t="shared" ref="CM113:DA113" si="909">+CM96/CM$111</f>
        <v>18.937063373074547</v>
      </c>
      <c r="CN113" s="20">
        <f t="shared" si="909"/>
        <v>17.046873537051052</v>
      </c>
      <c r="CO113" s="20">
        <f t="shared" si="909"/>
        <v>15.183665047324645</v>
      </c>
      <c r="CP113" s="20">
        <f t="shared" si="909"/>
        <v>13.944883701466024</v>
      </c>
      <c r="CQ113" s="20">
        <f t="shared" si="909"/>
        <v>12.790511355227711</v>
      </c>
      <c r="CR113" s="20">
        <f t="shared" si="909"/>
        <v>10.693668018629559</v>
      </c>
      <c r="CS113" s="20">
        <f t="shared" si="909"/>
        <v>9.0690942911398871</v>
      </c>
      <c r="CT113" s="20">
        <f t="shared" si="909"/>
        <v>7.9853441620666201</v>
      </c>
      <c r="CU113" s="20">
        <f t="shared" si="909"/>
        <v>7.1060558475075295</v>
      </c>
      <c r="CV113" s="20">
        <f t="shared" si="909"/>
        <v>5.9718556833537493</v>
      </c>
      <c r="CW113" s="20">
        <f t="shared" si="909"/>
        <v>5.1085056720243989</v>
      </c>
      <c r="CX113" s="20">
        <f t="shared" si="909"/>
        <v>4.5089094752897854</v>
      </c>
      <c r="CY113" s="20">
        <f t="shared" si="909"/>
        <v>4.0277172888183115</v>
      </c>
      <c r="CZ113" s="20">
        <f t="shared" si="909"/>
        <v>3.459524050568167</v>
      </c>
      <c r="DA113" s="20">
        <f t="shared" si="909"/>
        <v>3.0153211526376711</v>
      </c>
      <c r="DD113" s="21">
        <v>12.381069695066241</v>
      </c>
    </row>
    <row r="114" spans="1:108" s="153" customFormat="1" outlineLevel="1" x14ac:dyDescent="0.2">
      <c r="A114" s="48" t="s">
        <v>503</v>
      </c>
      <c r="E114" s="153" t="e">
        <f t="shared" ca="1" si="906"/>
        <v>#DIV/0!</v>
      </c>
      <c r="F114" s="153" t="e">
        <f t="shared" ca="1" si="906"/>
        <v>#DIV/0!</v>
      </c>
      <c r="G114" s="153" t="e">
        <f t="shared" ca="1" si="906"/>
        <v>#DIV/0!</v>
      </c>
      <c r="H114" s="153" t="e">
        <f t="shared" ca="1" si="906"/>
        <v>#DIV/0!</v>
      </c>
      <c r="I114" s="153" t="e">
        <f t="shared" ca="1" si="906"/>
        <v>#DIV/0!</v>
      </c>
      <c r="J114" s="153" t="e">
        <f t="shared" ca="1" si="906"/>
        <v>#DIV/0!</v>
      </c>
      <c r="K114" s="153" t="e">
        <f t="shared" ca="1" si="906"/>
        <v>#DIV/0!</v>
      </c>
      <c r="L114" s="153" t="e">
        <f t="shared" ca="1" si="906"/>
        <v>#DIV/0!</v>
      </c>
      <c r="M114" s="153" t="e">
        <f t="shared" ca="1" si="906"/>
        <v>#DIV/0!</v>
      </c>
      <c r="N114" s="153" t="e">
        <f t="shared" ca="1" si="906"/>
        <v>#DIV/0!</v>
      </c>
      <c r="O114" s="153" t="e">
        <f t="shared" ca="1" si="906"/>
        <v>#DIV/0!</v>
      </c>
      <c r="P114" s="153" t="e">
        <f t="shared" ca="1" si="906"/>
        <v>#DIV/0!</v>
      </c>
      <c r="Q114" s="153" t="e">
        <f t="shared" ca="1" si="906"/>
        <v>#DIV/0!</v>
      </c>
      <c r="R114" s="153" t="e">
        <f t="shared" ca="1" si="906"/>
        <v>#DIV/0!</v>
      </c>
      <c r="S114" s="153" t="e">
        <f t="shared" ca="1" si="906"/>
        <v>#DIV/0!</v>
      </c>
      <c r="T114" s="153" t="e">
        <f t="shared" ca="1" si="906"/>
        <v>#DIV/0!</v>
      </c>
      <c r="U114" s="153" t="e">
        <f t="shared" ca="1" si="906"/>
        <v>#DIV/0!</v>
      </c>
      <c r="V114" s="153" t="e">
        <f t="shared" ca="1" si="906"/>
        <v>#DIV/0!</v>
      </c>
      <c r="W114" s="153" t="e">
        <f t="shared" ca="1" si="906"/>
        <v>#DIV/0!</v>
      </c>
      <c r="X114" s="153" t="e">
        <f t="shared" ca="1" si="906"/>
        <v>#DIV/0!</v>
      </c>
      <c r="Y114" s="153" t="e">
        <f t="shared" ca="1" si="906"/>
        <v>#DIV/0!</v>
      </c>
      <c r="Z114" s="153" t="e">
        <f t="shared" ca="1" si="906"/>
        <v>#DIV/0!</v>
      </c>
      <c r="AA114" s="153" t="e">
        <f t="shared" ref="AA114" ca="1" si="910">+AA97/AA$111</f>
        <v>#DIV/0!</v>
      </c>
      <c r="AB114" s="20" t="e">
        <f t="shared" ca="1" si="906"/>
        <v>#DIV/0!</v>
      </c>
      <c r="AC114" s="20" t="e">
        <f t="shared" ca="1" si="906"/>
        <v>#DIV/0!</v>
      </c>
      <c r="AD114" s="20" t="e">
        <f t="shared" ca="1" si="906"/>
        <v>#DIV/0!</v>
      </c>
      <c r="AE114" s="20" t="e">
        <f t="shared" ca="1" si="906"/>
        <v>#DIV/0!</v>
      </c>
      <c r="AL114" s="153">
        <f t="shared" si="908"/>
        <v>-95.97276694791924</v>
      </c>
      <c r="AM114" s="153" t="e">
        <f t="shared" si="908"/>
        <v>#DIV/0!</v>
      </c>
      <c r="AN114" s="153">
        <f t="shared" si="908"/>
        <v>-8.9912794467257431</v>
      </c>
      <c r="AO114" s="153" t="e">
        <f t="shared" si="908"/>
        <v>#DIV/0!</v>
      </c>
      <c r="AP114" s="153">
        <f t="shared" si="908"/>
        <v>-146.16605329949061</v>
      </c>
      <c r="AQ114" s="153" t="e">
        <f t="shared" si="908"/>
        <v>#DIV/0!</v>
      </c>
      <c r="AR114" s="153">
        <f t="shared" si="908"/>
        <v>69.479779464073957</v>
      </c>
      <c r="AS114" s="153" t="e">
        <f t="shared" si="908"/>
        <v>#DIV/0!</v>
      </c>
      <c r="AT114" s="153">
        <f t="shared" si="908"/>
        <v>34.550122186495202</v>
      </c>
      <c r="AU114" s="153" t="e">
        <f t="shared" si="908"/>
        <v>#DIV/0!</v>
      </c>
      <c r="AV114" s="153">
        <f t="shared" si="908"/>
        <v>-96.750963597430371</v>
      </c>
      <c r="AW114" s="153" t="e">
        <f t="shared" si="908"/>
        <v>#DIV/0!</v>
      </c>
      <c r="AX114" s="153">
        <f t="shared" si="908"/>
        <v>22.390463811483066</v>
      </c>
      <c r="AY114" s="153" t="e">
        <f t="shared" si="908"/>
        <v>#DIV/0!</v>
      </c>
      <c r="AZ114" s="153">
        <f t="shared" si="908"/>
        <v>10111.142857139854</v>
      </c>
      <c r="BA114" s="153" t="e">
        <f t="shared" si="908"/>
        <v>#DIV/0!</v>
      </c>
      <c r="BB114" s="153">
        <f t="shared" si="908"/>
        <v>75.363799126637645</v>
      </c>
      <c r="BC114" s="153" t="e">
        <f t="shared" si="908"/>
        <v>#DIV/0!</v>
      </c>
      <c r="BD114" s="153">
        <f t="shared" si="908"/>
        <v>109.06615078487729</v>
      </c>
      <c r="BE114" s="153" t="e">
        <f t="shared" si="908"/>
        <v>#DIV/0!</v>
      </c>
      <c r="BF114" s="153">
        <f t="shared" si="908"/>
        <v>-687.2627254509066</v>
      </c>
      <c r="BG114" s="153" t="e">
        <f t="shared" si="908"/>
        <v>#DIV/0!</v>
      </c>
      <c r="BH114" s="153">
        <f t="shared" si="908"/>
        <v>40.187519171779137</v>
      </c>
      <c r="BI114" s="153" t="e">
        <f t="shared" si="908"/>
        <v>#DIV/0!</v>
      </c>
      <c r="BJ114" s="153">
        <f t="shared" si="908"/>
        <v>129.75881547727701</v>
      </c>
      <c r="BK114" s="153" t="e">
        <f t="shared" si="908"/>
        <v>#DIV/0!</v>
      </c>
      <c r="BL114" s="153">
        <f t="shared" si="908"/>
        <v>58.420733973050268</v>
      </c>
      <c r="BM114" s="153" t="e">
        <f t="shared" si="908"/>
        <v>#DIV/0!</v>
      </c>
      <c r="BN114" s="153">
        <f t="shared" si="908"/>
        <v>114.55810870525852</v>
      </c>
      <c r="BO114" s="153" t="e">
        <f t="shared" si="908"/>
        <v>#DIV/0!</v>
      </c>
      <c r="BP114" s="153">
        <f t="shared" si="908"/>
        <v>-38.131777758210795</v>
      </c>
      <c r="BQ114" s="153" t="e">
        <f t="shared" si="908"/>
        <v>#DIV/0!</v>
      </c>
      <c r="BR114" s="153">
        <f t="shared" si="908"/>
        <v>-47.506205357142811</v>
      </c>
      <c r="BS114" s="153" t="e">
        <f t="shared" si="908"/>
        <v>#DIV/0!</v>
      </c>
      <c r="BT114" s="153">
        <f t="shared" si="908"/>
        <v>260.48567530695743</v>
      </c>
      <c r="BU114" s="153" t="e">
        <f t="shared" si="908"/>
        <v>#DIV/0!</v>
      </c>
      <c r="BV114" s="153">
        <f t="shared" si="908"/>
        <v>-352.13936430317921</v>
      </c>
      <c r="BW114" s="153" t="e">
        <f t="shared" si="908"/>
        <v>#DIV/0!</v>
      </c>
      <c r="BX114" s="153">
        <f t="shared" si="908"/>
        <v>-241.03340122199583</v>
      </c>
      <c r="BY114" s="153" t="e">
        <f t="shared" si="908"/>
        <v>#DIV/0!</v>
      </c>
      <c r="BZ114" s="153">
        <f t="shared" si="908"/>
        <v>81.434391912590584</v>
      </c>
      <c r="CA114" s="153" t="e">
        <f t="shared" si="908"/>
        <v>#DIV/0!</v>
      </c>
      <c r="CB114" s="153">
        <f t="shared" si="908"/>
        <v>214.23453608247388</v>
      </c>
      <c r="CC114" s="153">
        <f t="shared" si="908"/>
        <v>7.685257720254314</v>
      </c>
      <c r="CD114" s="153">
        <f t="shared" si="908"/>
        <v>8.4033570375469164</v>
      </c>
      <c r="CE114" s="153">
        <f t="shared" si="908"/>
        <v>15.028807210305295</v>
      </c>
      <c r="CF114" s="153">
        <f t="shared" si="908"/>
        <v>15.474173359451518</v>
      </c>
      <c r="CG114" s="153">
        <f t="shared" si="908"/>
        <v>14.974668372178806</v>
      </c>
      <c r="CH114" s="153">
        <f t="shared" si="908"/>
        <v>10.900392811256385</v>
      </c>
      <c r="CI114" s="153">
        <f t="shared" si="908"/>
        <v>9.7279114433412168</v>
      </c>
      <c r="CJ114" s="153">
        <f t="shared" ref="CJ114:CK115" si="911">+CJ97/CJ$111</f>
        <v>14.91240644670075</v>
      </c>
      <c r="CK114" s="153">
        <f t="shared" si="911"/>
        <v>15.649783005938787</v>
      </c>
      <c r="CL114" s="153">
        <f t="shared" ref="CL114" si="912">+CL97/CL$111</f>
        <v>13.485538263488195</v>
      </c>
      <c r="CM114" s="93">
        <f t="shared" ref="CM114:DA114" si="913">+CL114</f>
        <v>13.485538263488195</v>
      </c>
      <c r="CN114" s="93">
        <f t="shared" si="913"/>
        <v>13.485538263488195</v>
      </c>
      <c r="CO114" s="93">
        <f t="shared" si="913"/>
        <v>13.485538263488195</v>
      </c>
      <c r="CP114" s="93">
        <f t="shared" si="913"/>
        <v>13.485538263488195</v>
      </c>
      <c r="CQ114" s="93">
        <f t="shared" si="913"/>
        <v>13.485538263488195</v>
      </c>
      <c r="CR114" s="93">
        <f t="shared" si="913"/>
        <v>13.485538263488195</v>
      </c>
      <c r="CS114" s="93">
        <f t="shared" si="913"/>
        <v>13.485538263488195</v>
      </c>
      <c r="CT114" s="93">
        <f t="shared" si="913"/>
        <v>13.485538263488195</v>
      </c>
      <c r="CU114" s="93">
        <f t="shared" si="913"/>
        <v>13.485538263488195</v>
      </c>
      <c r="CV114" s="93">
        <f t="shared" si="913"/>
        <v>13.485538263488195</v>
      </c>
      <c r="CW114" s="93">
        <f t="shared" si="913"/>
        <v>13.485538263488195</v>
      </c>
      <c r="CX114" s="93">
        <f t="shared" si="913"/>
        <v>13.485538263488195</v>
      </c>
      <c r="CY114" s="93">
        <f t="shared" si="913"/>
        <v>13.485538263488195</v>
      </c>
      <c r="CZ114" s="93">
        <f t="shared" si="913"/>
        <v>13.485538263488195</v>
      </c>
      <c r="DA114" s="93">
        <f t="shared" si="913"/>
        <v>13.485538263488195</v>
      </c>
      <c r="DB114" s="93"/>
      <c r="DD114" s="21">
        <v>15.649783005938787</v>
      </c>
    </row>
    <row r="115" spans="1:108" s="153" customFormat="1" outlineLevel="1" x14ac:dyDescent="0.2">
      <c r="A115" s="48" t="s">
        <v>504</v>
      </c>
      <c r="E115" s="153" t="e">
        <f t="shared" ca="1" si="906"/>
        <v>#DIV/0!</v>
      </c>
      <c r="F115" s="153" t="e">
        <f t="shared" ca="1" si="906"/>
        <v>#DIV/0!</v>
      </c>
      <c r="G115" s="153" t="e">
        <f t="shared" ca="1" si="906"/>
        <v>#DIV/0!</v>
      </c>
      <c r="H115" s="153" t="e">
        <f t="shared" ca="1" si="906"/>
        <v>#DIV/0!</v>
      </c>
      <c r="I115" s="153" t="e">
        <f t="shared" ca="1" si="906"/>
        <v>#DIV/0!</v>
      </c>
      <c r="J115" s="153" t="e">
        <f t="shared" ca="1" si="906"/>
        <v>#DIV/0!</v>
      </c>
      <c r="K115" s="153" t="e">
        <f t="shared" ca="1" si="906"/>
        <v>#DIV/0!</v>
      </c>
      <c r="L115" s="153" t="e">
        <f t="shared" ca="1" si="906"/>
        <v>#DIV/0!</v>
      </c>
      <c r="M115" s="153" t="e">
        <f t="shared" ca="1" si="906"/>
        <v>#DIV/0!</v>
      </c>
      <c r="N115" s="153" t="e">
        <f t="shared" ca="1" si="906"/>
        <v>#DIV/0!</v>
      </c>
      <c r="O115" s="153" t="e">
        <f t="shared" ca="1" si="906"/>
        <v>#DIV/0!</v>
      </c>
      <c r="P115" s="153" t="e">
        <f t="shared" ca="1" si="906"/>
        <v>#DIV/0!</v>
      </c>
      <c r="Q115" s="153" t="e">
        <f t="shared" ca="1" si="906"/>
        <v>#DIV/0!</v>
      </c>
      <c r="R115" s="153" t="e">
        <f t="shared" ca="1" si="906"/>
        <v>#DIV/0!</v>
      </c>
      <c r="S115" s="153" t="e">
        <f t="shared" ca="1" si="906"/>
        <v>#DIV/0!</v>
      </c>
      <c r="T115" s="153" t="e">
        <f t="shared" ca="1" si="906"/>
        <v>#DIV/0!</v>
      </c>
      <c r="U115" s="153" t="e">
        <f t="shared" ca="1" si="906"/>
        <v>#DIV/0!</v>
      </c>
      <c r="V115" s="153" t="e">
        <f t="shared" ca="1" si="906"/>
        <v>#DIV/0!</v>
      </c>
      <c r="W115" s="153" t="e">
        <f t="shared" ca="1" si="906"/>
        <v>#DIV/0!</v>
      </c>
      <c r="X115" s="153" t="e">
        <f t="shared" ca="1" si="906"/>
        <v>#DIV/0!</v>
      </c>
      <c r="Y115" s="153" t="e">
        <f t="shared" ca="1" si="906"/>
        <v>#DIV/0!</v>
      </c>
      <c r="Z115" s="153" t="e">
        <f t="shared" ca="1" si="906"/>
        <v>#DIV/0!</v>
      </c>
      <c r="AA115" s="153" t="e">
        <f t="shared" ref="AA115" ca="1" si="914">+AA98/AA$111</f>
        <v>#DIV/0!</v>
      </c>
      <c r="AB115" s="20" t="e">
        <f t="shared" ca="1" si="906"/>
        <v>#DIV/0!</v>
      </c>
      <c r="AC115" s="20" t="e">
        <f t="shared" ca="1" si="906"/>
        <v>#DIV/0!</v>
      </c>
      <c r="AD115" s="20" t="e">
        <f t="shared" ca="1" si="906"/>
        <v>#DIV/0!</v>
      </c>
      <c r="AE115" s="20" t="e">
        <f t="shared" ca="1" si="906"/>
        <v>#DIV/0!</v>
      </c>
      <c r="AL115" s="153">
        <f t="shared" si="908"/>
        <v>-51.879889438463529</v>
      </c>
      <c r="AM115" s="153" t="e">
        <f t="shared" si="908"/>
        <v>#DIV/0!</v>
      </c>
      <c r="AN115" s="153">
        <f t="shared" si="908"/>
        <v>-5.5281694402420598</v>
      </c>
      <c r="AO115" s="153" t="e">
        <f t="shared" si="908"/>
        <v>#DIV/0!</v>
      </c>
      <c r="AP115" s="153">
        <f t="shared" si="908"/>
        <v>-95.720748730963308</v>
      </c>
      <c r="AQ115" s="153" t="e">
        <f t="shared" si="908"/>
        <v>#DIV/0!</v>
      </c>
      <c r="AR115" s="153">
        <f t="shared" si="908"/>
        <v>46.844839933602074</v>
      </c>
      <c r="AS115" s="153" t="e">
        <f t="shared" si="908"/>
        <v>#DIV/0!</v>
      </c>
      <c r="AT115" s="153">
        <f t="shared" si="908"/>
        <v>21.60652861736336</v>
      </c>
      <c r="AU115" s="153" t="e">
        <f t="shared" si="908"/>
        <v>#DIV/0!</v>
      </c>
      <c r="AV115" s="153">
        <f t="shared" si="908"/>
        <v>-67.849036402569567</v>
      </c>
      <c r="AW115" s="153" t="e">
        <f t="shared" si="908"/>
        <v>#DIV/0!</v>
      </c>
      <c r="AX115" s="153">
        <f t="shared" si="908"/>
        <v>15.939756873012898</v>
      </c>
      <c r="AY115" s="153" t="e">
        <f t="shared" si="908"/>
        <v>#DIV/0!</v>
      </c>
      <c r="AZ115" s="153">
        <f t="shared" si="908"/>
        <v>8277.0285714261117</v>
      </c>
      <c r="BA115" s="153" t="e">
        <f t="shared" si="908"/>
        <v>#DIV/0!</v>
      </c>
      <c r="BB115" s="153">
        <f t="shared" si="908"/>
        <v>44.043078602620142</v>
      </c>
      <c r="BC115" s="153" t="e">
        <f t="shared" si="908"/>
        <v>#DIV/0!</v>
      </c>
      <c r="BD115" s="153">
        <f t="shared" si="908"/>
        <v>52.90636303338492</v>
      </c>
      <c r="BE115" s="153" t="e">
        <f t="shared" si="908"/>
        <v>#DIV/0!</v>
      </c>
      <c r="BF115" s="153">
        <f t="shared" si="908"/>
        <v>-410.67535070140565</v>
      </c>
      <c r="BG115" s="153" t="e">
        <f t="shared" si="908"/>
        <v>#DIV/0!</v>
      </c>
      <c r="BH115" s="153">
        <f t="shared" si="908"/>
        <v>30.767829754601223</v>
      </c>
      <c r="BI115" s="153" t="e">
        <f t="shared" si="908"/>
        <v>#DIV/0!</v>
      </c>
      <c r="BJ115" s="153">
        <f t="shared" si="908"/>
        <v>87.422157327979647</v>
      </c>
      <c r="BK115" s="153" t="e">
        <f t="shared" si="908"/>
        <v>#DIV/0!</v>
      </c>
      <c r="BL115" s="153">
        <f t="shared" si="908"/>
        <v>37.304684565128646</v>
      </c>
      <c r="BM115" s="153" t="e">
        <f t="shared" si="908"/>
        <v>#DIV/0!</v>
      </c>
      <c r="BN115" s="153">
        <f t="shared" si="908"/>
        <v>37.095006628369426</v>
      </c>
      <c r="BO115" s="153" t="e">
        <f t="shared" si="908"/>
        <v>#DIV/0!</v>
      </c>
      <c r="BP115" s="153">
        <f t="shared" si="908"/>
        <v>-20.870300255349125</v>
      </c>
      <c r="BQ115" s="153" t="e">
        <f t="shared" si="908"/>
        <v>#DIV/0!</v>
      </c>
      <c r="BR115" s="153">
        <f t="shared" si="908"/>
        <v>-41.333705357142819</v>
      </c>
      <c r="BS115" s="153" t="e">
        <f t="shared" si="908"/>
        <v>#DIV/0!</v>
      </c>
      <c r="BT115" s="153">
        <f t="shared" si="908"/>
        <v>191.33346521145953</v>
      </c>
      <c r="BU115" s="153" t="e">
        <f t="shared" si="908"/>
        <v>#DIV/0!</v>
      </c>
      <c r="BV115" s="153">
        <f t="shared" si="908"/>
        <v>-210.28756723716421</v>
      </c>
      <c r="BW115" s="153" t="e">
        <f t="shared" si="908"/>
        <v>#DIV/0!</v>
      </c>
      <c r="BX115" s="153">
        <f t="shared" si="908"/>
        <v>-174.83302443991843</v>
      </c>
      <c r="BY115" s="153" t="e">
        <f t="shared" si="908"/>
        <v>#DIV/0!</v>
      </c>
      <c r="BZ115" s="153">
        <f t="shared" si="908"/>
        <v>63.839016644541985</v>
      </c>
      <c r="CA115" s="153" t="e">
        <f t="shared" si="908"/>
        <v>#DIV/0!</v>
      </c>
      <c r="CB115" s="153">
        <f t="shared" si="908"/>
        <v>167.85240549828151</v>
      </c>
      <c r="CC115" s="153">
        <f t="shared" si="908"/>
        <v>6.2136126248864665</v>
      </c>
      <c r="CD115" s="153">
        <f t="shared" si="908"/>
        <v>6.6831836510690161</v>
      </c>
      <c r="CE115" s="153">
        <f t="shared" si="908"/>
        <v>7.2918755579909025</v>
      </c>
      <c r="CF115" s="153">
        <f t="shared" si="908"/>
        <v>11.005307541625857</v>
      </c>
      <c r="CG115" s="153">
        <f t="shared" si="908"/>
        <v>10.077215355376065</v>
      </c>
      <c r="CH115" s="153">
        <f t="shared" si="908"/>
        <v>5.9359314600603206</v>
      </c>
      <c r="CI115" s="153">
        <f t="shared" si="908"/>
        <v>6.3875075665187104</v>
      </c>
      <c r="CJ115" s="153">
        <f t="shared" si="911"/>
        <v>7.9446742363695702</v>
      </c>
      <c r="CK115" s="153">
        <f t="shared" si="911"/>
        <v>10.63292313841937</v>
      </c>
      <c r="CL115" s="153">
        <f t="shared" ref="CL115" si="915">+CL98/CL$111</f>
        <v>9.1743660605503319</v>
      </c>
      <c r="CM115" s="93">
        <f t="shared" ref="CM115:DA115" si="916">+CL115</f>
        <v>9.1743660605503319</v>
      </c>
      <c r="CN115" s="93">
        <f t="shared" si="916"/>
        <v>9.1743660605503319</v>
      </c>
      <c r="CO115" s="93">
        <f t="shared" si="916"/>
        <v>9.1743660605503319</v>
      </c>
      <c r="CP115" s="93">
        <f t="shared" si="916"/>
        <v>9.1743660605503319</v>
      </c>
      <c r="CQ115" s="93">
        <f t="shared" si="916"/>
        <v>9.1743660605503319</v>
      </c>
      <c r="CR115" s="93">
        <f t="shared" si="916"/>
        <v>9.1743660605503319</v>
      </c>
      <c r="CS115" s="93">
        <f t="shared" si="916"/>
        <v>9.1743660605503319</v>
      </c>
      <c r="CT115" s="93">
        <f t="shared" si="916"/>
        <v>9.1743660605503319</v>
      </c>
      <c r="CU115" s="93">
        <f t="shared" si="916"/>
        <v>9.1743660605503319</v>
      </c>
      <c r="CV115" s="93">
        <f t="shared" si="916"/>
        <v>9.1743660605503319</v>
      </c>
      <c r="CW115" s="93">
        <f t="shared" si="916"/>
        <v>9.1743660605503319</v>
      </c>
      <c r="CX115" s="93">
        <f t="shared" si="916"/>
        <v>9.1743660605503319</v>
      </c>
      <c r="CY115" s="93">
        <f t="shared" si="916"/>
        <v>9.1743660605503319</v>
      </c>
      <c r="CZ115" s="93">
        <f t="shared" si="916"/>
        <v>9.1743660605503319</v>
      </c>
      <c r="DA115" s="93">
        <f t="shared" si="916"/>
        <v>9.1743660605503319</v>
      </c>
      <c r="DB115" s="93"/>
      <c r="DD115" s="21">
        <v>5.5996145500228423</v>
      </c>
    </row>
    <row r="116" spans="1:108" s="4" customFormat="1" outlineLevel="1" x14ac:dyDescent="0.2">
      <c r="A116" s="3"/>
      <c r="AB116" s="16"/>
      <c r="AC116" s="16"/>
      <c r="AD116" s="16"/>
      <c r="AE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D116" s="117"/>
    </row>
    <row r="117" spans="1:108" s="167" customFormat="1" outlineLevel="1" x14ac:dyDescent="0.2">
      <c r="A117" s="167" t="s">
        <v>510</v>
      </c>
      <c r="E117" s="167">
        <f t="shared" ref="E117:AE117" si="917">+E29</f>
        <v>0</v>
      </c>
      <c r="F117" s="167">
        <f t="shared" si="917"/>
        <v>0</v>
      </c>
      <c r="G117" s="167">
        <f t="shared" si="917"/>
        <v>0</v>
      </c>
      <c r="H117" s="167">
        <f t="shared" si="917"/>
        <v>0</v>
      </c>
      <c r="I117" s="167">
        <f t="shared" si="917"/>
        <v>0</v>
      </c>
      <c r="J117" s="167">
        <f t="shared" si="917"/>
        <v>0</v>
      </c>
      <c r="K117" s="167">
        <f t="shared" si="917"/>
        <v>0</v>
      </c>
      <c r="L117" s="167">
        <f t="shared" si="917"/>
        <v>0</v>
      </c>
      <c r="M117" s="167">
        <f t="shared" si="917"/>
        <v>0</v>
      </c>
      <c r="N117" s="167">
        <f t="shared" si="917"/>
        <v>0</v>
      </c>
      <c r="O117" s="167">
        <f t="shared" si="917"/>
        <v>0</v>
      </c>
      <c r="P117" s="167">
        <f t="shared" si="917"/>
        <v>0</v>
      </c>
      <c r="Q117" s="167">
        <f t="shared" si="917"/>
        <v>0</v>
      </c>
      <c r="R117" s="167">
        <f t="shared" si="917"/>
        <v>0</v>
      </c>
      <c r="S117" s="167">
        <f t="shared" si="917"/>
        <v>0</v>
      </c>
      <c r="T117" s="167">
        <f t="shared" si="917"/>
        <v>0</v>
      </c>
      <c r="U117" s="167">
        <f t="shared" si="917"/>
        <v>0</v>
      </c>
      <c r="V117" s="167">
        <f t="shared" si="917"/>
        <v>0</v>
      </c>
      <c r="W117" s="167">
        <f t="shared" si="917"/>
        <v>0</v>
      </c>
      <c r="X117" s="167">
        <f t="shared" si="917"/>
        <v>0</v>
      </c>
      <c r="Y117" s="167">
        <f t="shared" si="917"/>
        <v>666.61429999999996</v>
      </c>
      <c r="Z117" s="167">
        <f t="shared" si="917"/>
        <v>388.726</v>
      </c>
      <c r="AA117" s="167">
        <f t="shared" ref="AA117" si="918">+AA29</f>
        <v>357.59480000000002</v>
      </c>
      <c r="AB117" s="168">
        <f t="shared" si="917"/>
        <v>1572.542772</v>
      </c>
      <c r="AC117" s="168">
        <f t="shared" si="917"/>
        <v>2236.4623992229622</v>
      </c>
      <c r="AD117" s="168">
        <f t="shared" si="917"/>
        <v>2972.2042546516268</v>
      </c>
      <c r="AE117" s="168">
        <f t="shared" si="917"/>
        <v>3764.4491523934721</v>
      </c>
      <c r="AL117" s="167">
        <f t="shared" ref="AL117:BQ117" si="919">+SUM(AI27:AL27)</f>
        <v>532.89599999999996</v>
      </c>
      <c r="AM117" s="167">
        <f t="shared" si="919"/>
        <v>541.971</v>
      </c>
      <c r="AN117" s="167">
        <f t="shared" si="919"/>
        <v>553.52</v>
      </c>
      <c r="AO117" s="167">
        <f t="shared" si="919"/>
        <v>485.44599999999997</v>
      </c>
      <c r="AP117" s="167">
        <f t="shared" si="919"/>
        <v>442.83299999999997</v>
      </c>
      <c r="AQ117" s="167">
        <f t="shared" si="919"/>
        <v>393.15800000000002</v>
      </c>
      <c r="AR117" s="167">
        <f t="shared" si="919"/>
        <v>324.64100000000002</v>
      </c>
      <c r="AS117" s="167">
        <f t="shared" si="919"/>
        <v>252.90699999999998</v>
      </c>
      <c r="AT117" s="167">
        <f t="shared" si="919"/>
        <v>219.334</v>
      </c>
      <c r="AU117" s="167">
        <f t="shared" si="919"/>
        <v>220.101</v>
      </c>
      <c r="AV117" s="167">
        <f t="shared" si="919"/>
        <v>211.62399999999997</v>
      </c>
      <c r="AW117" s="167">
        <f t="shared" si="919"/>
        <v>203.08199999999999</v>
      </c>
      <c r="AX117" s="167">
        <f t="shared" si="919"/>
        <v>207.96100000000001</v>
      </c>
      <c r="AY117" s="167">
        <f t="shared" si="919"/>
        <v>181.51300000000001</v>
      </c>
      <c r="AZ117" s="167">
        <f t="shared" si="919"/>
        <v>174.77099999999999</v>
      </c>
      <c r="BA117" s="167">
        <f t="shared" si="919"/>
        <v>179.68300000000002</v>
      </c>
      <c r="BB117" s="167">
        <f t="shared" si="919"/>
        <v>157.768</v>
      </c>
      <c r="BC117" s="167">
        <f t="shared" si="919"/>
        <v>187.08500000000001</v>
      </c>
      <c r="BD117" s="167">
        <f t="shared" si="919"/>
        <v>208.68700000000001</v>
      </c>
      <c r="BE117" s="167">
        <f t="shared" si="919"/>
        <v>274.52800000000002</v>
      </c>
      <c r="BF117" s="167">
        <f t="shared" si="919"/>
        <v>308.23500000000001</v>
      </c>
      <c r="BG117" s="167">
        <f t="shared" si="919"/>
        <v>309.11100000000005</v>
      </c>
      <c r="BH117" s="167">
        <f t="shared" si="919"/>
        <v>328.50799999999998</v>
      </c>
      <c r="BI117" s="167">
        <f t="shared" si="919"/>
        <v>448.87700000000001</v>
      </c>
      <c r="BJ117" s="167">
        <f t="shared" si="919"/>
        <v>496.23899999999998</v>
      </c>
      <c r="BK117" s="167">
        <f t="shared" si="919"/>
        <v>547.43099999999993</v>
      </c>
      <c r="BL117" s="167">
        <f t="shared" si="919"/>
        <v>555.92700000000002</v>
      </c>
      <c r="BM117" s="167">
        <f t="shared" si="919"/>
        <v>432.29599999999999</v>
      </c>
      <c r="BN117" s="167">
        <f t="shared" si="919"/>
        <v>371.21800000000002</v>
      </c>
      <c r="BO117" s="167">
        <f t="shared" si="919"/>
        <v>277.17899999999997</v>
      </c>
      <c r="BP117" s="167">
        <f t="shared" si="919"/>
        <v>206.84200000000001</v>
      </c>
      <c r="BQ117" s="167">
        <f t="shared" si="919"/>
        <v>198.27799999999999</v>
      </c>
      <c r="BR117" s="167">
        <f t="shared" ref="BR117:CW117" si="920">+SUM(BO27:BR27)</f>
        <v>198.05900000000003</v>
      </c>
      <c r="BS117" s="167">
        <f t="shared" si="920"/>
        <v>281.58499999999998</v>
      </c>
      <c r="BT117" s="167">
        <f t="shared" si="920"/>
        <v>356.26800000000003</v>
      </c>
      <c r="BU117" s="167">
        <f t="shared" si="920"/>
        <v>381.35</v>
      </c>
      <c r="BV117" s="167">
        <f t="shared" si="920"/>
        <v>382.78399999999999</v>
      </c>
      <c r="BW117" s="167">
        <f t="shared" si="920"/>
        <v>322.93099999999998</v>
      </c>
      <c r="BX117" s="167">
        <f t="shared" si="920"/>
        <v>273.512</v>
      </c>
      <c r="BY117" s="167">
        <f t="shared" si="920"/>
        <v>354.36599999999999</v>
      </c>
      <c r="BZ117" s="167">
        <f t="shared" si="920"/>
        <v>483.702</v>
      </c>
      <c r="CA117" s="167">
        <f t="shared" si="920"/>
        <v>667.41399999999999</v>
      </c>
      <c r="CB117" s="167">
        <f t="shared" si="920"/>
        <v>816.2829999999999</v>
      </c>
      <c r="CC117" s="167">
        <f t="shared" si="920"/>
        <v>859.221</v>
      </c>
      <c r="CD117" s="167">
        <f t="shared" si="920"/>
        <v>813.69099999999992</v>
      </c>
      <c r="CE117" s="167">
        <f t="shared" si="920"/>
        <v>685.81799999999998</v>
      </c>
      <c r="CF117" s="167">
        <f t="shared" si="920"/>
        <v>570.29100000000005</v>
      </c>
      <c r="CG117" s="167">
        <f t="shared" si="920"/>
        <v>388.72700000000003</v>
      </c>
      <c r="CH117" s="167">
        <f t="shared" si="920"/>
        <v>462.56299999999999</v>
      </c>
      <c r="CI117" s="167">
        <f t="shared" si="920"/>
        <v>451.39400000000001</v>
      </c>
      <c r="CJ117" s="167">
        <f t="shared" si="920"/>
        <v>472.34100000000001</v>
      </c>
      <c r="CK117" s="167">
        <f t="shared" si="920"/>
        <v>628.41290000000004</v>
      </c>
      <c r="CL117" s="167">
        <f t="shared" si="920"/>
        <v>752.0299</v>
      </c>
      <c r="CM117" s="168">
        <f t="shared" si="920"/>
        <v>966.91190000000006</v>
      </c>
      <c r="CN117" s="168">
        <f t="shared" si="920"/>
        <v>1326.4979000000001</v>
      </c>
      <c r="CO117" s="168">
        <f t="shared" si="920"/>
        <v>1572.542772</v>
      </c>
      <c r="CP117" s="168">
        <f t="shared" si="920"/>
        <v>1690.69130172</v>
      </c>
      <c r="CQ117" s="168">
        <f t="shared" si="920"/>
        <v>1859.7169337651999</v>
      </c>
      <c r="CR117" s="168">
        <f t="shared" si="920"/>
        <v>2050.7902589263322</v>
      </c>
      <c r="CS117" s="168">
        <f t="shared" si="920"/>
        <v>2236.4623992229622</v>
      </c>
      <c r="CT117" s="168">
        <f t="shared" si="920"/>
        <v>2411.6062023328955</v>
      </c>
      <c r="CU117" s="168">
        <f t="shared" si="920"/>
        <v>2579.9870631629351</v>
      </c>
      <c r="CV117" s="168">
        <f t="shared" si="920"/>
        <v>2777.9256465182707</v>
      </c>
      <c r="CW117" s="168">
        <f t="shared" si="920"/>
        <v>2972.2042546516268</v>
      </c>
      <c r="CX117" s="168">
        <f t="shared" ref="CX117:DA117" si="921">+SUM(CU27:CX27)</f>
        <v>3156.4163745809801</v>
      </c>
      <c r="CY117" s="168">
        <f t="shared" si="921"/>
        <v>3334.8494037166915</v>
      </c>
      <c r="CZ117" s="168">
        <f t="shared" si="921"/>
        <v>3550.8778602301891</v>
      </c>
      <c r="DA117" s="168">
        <f t="shared" si="921"/>
        <v>3764.4491523934721</v>
      </c>
      <c r="DD117" s="169">
        <v>962.01639999999998</v>
      </c>
    </row>
    <row r="118" spans="1:108" s="154" customFormat="1" outlineLevel="1" x14ac:dyDescent="0.2">
      <c r="A118" s="154" t="s">
        <v>511</v>
      </c>
      <c r="E118" s="154" t="e">
        <f t="shared" ref="E118:AE118" ca="1" si="922">+E117/E84</f>
        <v>#DIV/0!</v>
      </c>
      <c r="F118" s="154" t="e">
        <f t="shared" ca="1" si="922"/>
        <v>#DIV/0!</v>
      </c>
      <c r="G118" s="154" t="e">
        <f t="shared" ca="1" si="922"/>
        <v>#DIV/0!</v>
      </c>
      <c r="H118" s="154" t="e">
        <f t="shared" ca="1" si="922"/>
        <v>#DIV/0!</v>
      </c>
      <c r="I118" s="154" t="e">
        <f t="shared" ca="1" si="922"/>
        <v>#DIV/0!</v>
      </c>
      <c r="J118" s="154" t="e">
        <f t="shared" ca="1" si="922"/>
        <v>#DIV/0!</v>
      </c>
      <c r="K118" s="154" t="e">
        <f t="shared" ca="1" si="922"/>
        <v>#DIV/0!</v>
      </c>
      <c r="L118" s="154" t="e">
        <f t="shared" ca="1" si="922"/>
        <v>#DIV/0!</v>
      </c>
      <c r="M118" s="154" t="e">
        <f t="shared" ca="1" si="922"/>
        <v>#DIV/0!</v>
      </c>
      <c r="N118" s="154" t="e">
        <f t="shared" ca="1" si="922"/>
        <v>#DIV/0!</v>
      </c>
      <c r="O118" s="154" t="e">
        <f t="shared" ca="1" si="922"/>
        <v>#DIV/0!</v>
      </c>
      <c r="P118" s="154" t="e">
        <f t="shared" ca="1" si="922"/>
        <v>#DIV/0!</v>
      </c>
      <c r="Q118" s="154" t="e">
        <f t="shared" ca="1" si="922"/>
        <v>#DIV/0!</v>
      </c>
      <c r="R118" s="154" t="e">
        <f t="shared" ca="1" si="922"/>
        <v>#DIV/0!</v>
      </c>
      <c r="S118" s="154" t="e">
        <f t="shared" ca="1" si="922"/>
        <v>#DIV/0!</v>
      </c>
      <c r="T118" s="154" t="e">
        <f t="shared" ca="1" si="922"/>
        <v>#DIV/0!</v>
      </c>
      <c r="U118" s="154" t="e">
        <f t="shared" ca="1" si="922"/>
        <v>#DIV/0!</v>
      </c>
      <c r="V118" s="154" t="e">
        <f t="shared" ca="1" si="922"/>
        <v>#DIV/0!</v>
      </c>
      <c r="W118" s="154" t="e">
        <f t="shared" ca="1" si="922"/>
        <v>#DIV/0!</v>
      </c>
      <c r="X118" s="154" t="e">
        <f t="shared" ca="1" si="922"/>
        <v>#DIV/0!</v>
      </c>
      <c r="Y118" s="154" t="e">
        <f t="shared" ca="1" si="922"/>
        <v>#DIV/0!</v>
      </c>
      <c r="Z118" s="154" t="e">
        <f t="shared" ref="Z118:AA118" ca="1" si="923">+Z117/Z84</f>
        <v>#DIV/0!</v>
      </c>
      <c r="AA118" s="154" t="e">
        <f t="shared" ca="1" si="923"/>
        <v>#DIV/0!</v>
      </c>
      <c r="AB118" s="93" t="e">
        <f t="shared" ca="1" si="922"/>
        <v>#DIV/0!</v>
      </c>
      <c r="AC118" s="93" t="e">
        <f t="shared" ca="1" si="922"/>
        <v>#DIV/0!</v>
      </c>
      <c r="AD118" s="93" t="e">
        <f t="shared" ca="1" si="922"/>
        <v>#DIV/0!</v>
      </c>
      <c r="AE118" s="93" t="e">
        <f t="shared" ca="1" si="922"/>
        <v>#DIV/0!</v>
      </c>
      <c r="AL118" s="154">
        <f t="shared" ref="AL118:BQ118" si="924">+AL117/AL84</f>
        <v>1079.1737545565006</v>
      </c>
      <c r="AM118" s="154">
        <f t="shared" si="924"/>
        <v>1097.5516403402189</v>
      </c>
      <c r="AN118" s="154">
        <f t="shared" si="924"/>
        <v>1120.9396516808424</v>
      </c>
      <c r="AO118" s="154">
        <f t="shared" si="924"/>
        <v>983.08221952207373</v>
      </c>
      <c r="AP118" s="154">
        <f t="shared" si="924"/>
        <v>896.78614823815315</v>
      </c>
      <c r="AQ118" s="154">
        <f t="shared" si="924"/>
        <v>796.18874038072101</v>
      </c>
      <c r="AR118" s="154">
        <f t="shared" si="924"/>
        <v>657.43418388011355</v>
      </c>
      <c r="AS118" s="154">
        <f t="shared" si="924"/>
        <v>512.16484406642371</v>
      </c>
      <c r="AT118" s="154">
        <f t="shared" si="924"/>
        <v>444.17577966788178</v>
      </c>
      <c r="AU118" s="154">
        <f t="shared" si="924"/>
        <v>445.72904009720537</v>
      </c>
      <c r="AV118" s="154">
        <f t="shared" si="924"/>
        <v>428.56217091940056</v>
      </c>
      <c r="AW118" s="154">
        <f t="shared" si="924"/>
        <v>411.26366950182262</v>
      </c>
      <c r="AX118" s="154">
        <f t="shared" si="924"/>
        <v>421.14418793033622</v>
      </c>
      <c r="AY118" s="154">
        <f t="shared" si="924"/>
        <v>367.58404212231676</v>
      </c>
      <c r="AZ118" s="154">
        <f t="shared" si="924"/>
        <v>353.9307411907655</v>
      </c>
      <c r="BA118" s="154">
        <f t="shared" si="924"/>
        <v>363.8780882948563</v>
      </c>
      <c r="BB118" s="154">
        <f t="shared" si="924"/>
        <v>319.49777237748077</v>
      </c>
      <c r="BC118" s="154">
        <f t="shared" si="924"/>
        <v>378.86796273795062</v>
      </c>
      <c r="BD118" s="154">
        <f t="shared" si="924"/>
        <v>422.61441879303368</v>
      </c>
      <c r="BE118" s="154">
        <f t="shared" si="924"/>
        <v>555.94977723774821</v>
      </c>
      <c r="BF118" s="154">
        <f t="shared" si="924"/>
        <v>624.21020656136091</v>
      </c>
      <c r="BG118" s="154">
        <f t="shared" si="924"/>
        <v>625.98420413122733</v>
      </c>
      <c r="BH118" s="154">
        <f t="shared" si="924"/>
        <v>665.26528959092752</v>
      </c>
      <c r="BI118" s="154">
        <f t="shared" si="924"/>
        <v>909.02592142567846</v>
      </c>
      <c r="BJ118" s="154">
        <f t="shared" si="924"/>
        <v>1004.9392466585663</v>
      </c>
      <c r="BK118" s="154">
        <f t="shared" si="924"/>
        <v>1108.6087484811665</v>
      </c>
      <c r="BL118" s="154">
        <f t="shared" si="924"/>
        <v>1125.8140947752129</v>
      </c>
      <c r="BM118" s="154">
        <f t="shared" si="924"/>
        <v>875.44754961522892</v>
      </c>
      <c r="BN118" s="154">
        <f t="shared" si="924"/>
        <v>751.75779667881739</v>
      </c>
      <c r="BO118" s="154">
        <f t="shared" si="924"/>
        <v>561.31834750911298</v>
      </c>
      <c r="BP118" s="154">
        <f t="shared" si="924"/>
        <v>418.8780882948563</v>
      </c>
      <c r="BQ118" s="154">
        <f t="shared" si="924"/>
        <v>401.5350344268935</v>
      </c>
      <c r="BR118" s="154">
        <f t="shared" ref="BR118:CW118" si="925">+BR117/BR84</f>
        <v>401.09153503442695</v>
      </c>
      <c r="BS118" s="154">
        <f t="shared" si="925"/>
        <v>570.24098825435397</v>
      </c>
      <c r="BT118" s="154">
        <f t="shared" si="925"/>
        <v>721.4823815309843</v>
      </c>
      <c r="BU118" s="154">
        <f t="shared" si="925"/>
        <v>772.27622519238571</v>
      </c>
      <c r="BV118" s="154">
        <f t="shared" si="925"/>
        <v>775.18023491292024</v>
      </c>
      <c r="BW118" s="154">
        <f t="shared" si="925"/>
        <v>653.97124341838799</v>
      </c>
      <c r="BX118" s="154">
        <f t="shared" si="925"/>
        <v>553.89226407452418</v>
      </c>
      <c r="BY118" s="154">
        <f t="shared" si="925"/>
        <v>717.6306196840826</v>
      </c>
      <c r="BZ118" s="154">
        <f t="shared" si="925"/>
        <v>979.55042527339015</v>
      </c>
      <c r="CA118" s="154">
        <f t="shared" si="925"/>
        <v>1351.5876873228028</v>
      </c>
      <c r="CB118" s="154">
        <f t="shared" si="925"/>
        <v>1653.0639935196434</v>
      </c>
      <c r="CC118" s="154">
        <f t="shared" si="925"/>
        <v>1740.0182260024303</v>
      </c>
      <c r="CD118" s="154">
        <f t="shared" si="925"/>
        <v>1647.8149048197652</v>
      </c>
      <c r="CE118" s="154">
        <f t="shared" si="925"/>
        <v>1388.8578371810449</v>
      </c>
      <c r="CF118" s="154">
        <f t="shared" si="925"/>
        <v>1154.9027946537062</v>
      </c>
      <c r="CG118" s="154">
        <f t="shared" si="925"/>
        <v>787.21547185095199</v>
      </c>
      <c r="CH118" s="154">
        <f t="shared" si="925"/>
        <v>936.74159578776835</v>
      </c>
      <c r="CI118" s="154">
        <f t="shared" si="925"/>
        <v>914.12312677197258</v>
      </c>
      <c r="CJ118" s="154">
        <f t="shared" si="925"/>
        <v>956.54313487241802</v>
      </c>
      <c r="CK118" s="154">
        <f t="shared" ref="CK118:CL118" si="926">+CK117/CK84</f>
        <v>1272.6061158363711</v>
      </c>
      <c r="CL118" s="154">
        <f t="shared" si="926"/>
        <v>1522.9443094370192</v>
      </c>
      <c r="CM118" s="49">
        <f t="shared" si="925"/>
        <v>1828.1321669026881</v>
      </c>
      <c r="CN118" s="49">
        <f t="shared" si="925"/>
        <v>2507.9983815680262</v>
      </c>
      <c r="CO118" s="49">
        <f t="shared" si="925"/>
        <v>2973.1933440094381</v>
      </c>
      <c r="CP118" s="49">
        <f t="shared" si="925"/>
        <v>3196.5757717708402</v>
      </c>
      <c r="CQ118" s="49">
        <f t="shared" si="925"/>
        <v>3516.1511074067839</v>
      </c>
      <c r="CR118" s="49">
        <f t="shared" si="925"/>
        <v>3877.411830295935</v>
      </c>
      <c r="CS118" s="49">
        <f t="shared" si="925"/>
        <v>4228.4605785572176</v>
      </c>
      <c r="CT118" s="49">
        <f t="shared" si="925"/>
        <v>4559.6034885771887</v>
      </c>
      <c r="CU118" s="49">
        <f t="shared" si="925"/>
        <v>4877.9597607196256</v>
      </c>
      <c r="CV118" s="49">
        <f t="shared" si="925"/>
        <v>5252.2005693217725</v>
      </c>
      <c r="CW118" s="49">
        <f t="shared" si="925"/>
        <v>5619.5214936683133</v>
      </c>
      <c r="CX118" s="49">
        <f t="shared" ref="CX118:DA118" si="927">+CX117/CX84</f>
        <v>5967.8097937463108</v>
      </c>
      <c r="CY118" s="49">
        <f t="shared" si="927"/>
        <v>6305.1716156464017</v>
      </c>
      <c r="CZ118" s="49">
        <f t="shared" si="927"/>
        <v>6713.6147947185209</v>
      </c>
      <c r="DA118" s="49">
        <f t="shared" si="927"/>
        <v>7117.4122338964544</v>
      </c>
      <c r="DD118" s="155">
        <v>1948.1903604698259</v>
      </c>
    </row>
    <row r="119" spans="1:108" s="154" customFormat="1" outlineLevel="1" x14ac:dyDescent="0.2">
      <c r="AB119" s="93"/>
      <c r="AC119" s="93"/>
      <c r="AD119" s="93"/>
      <c r="AE119" s="93"/>
      <c r="CM119" s="93"/>
      <c r="CN119" s="93"/>
      <c r="CO119" s="93"/>
      <c r="CP119" s="93">
        <f>+CP118*5.5</f>
        <v>17581.166744739621</v>
      </c>
      <c r="CQ119" s="93"/>
      <c r="CR119" s="93"/>
      <c r="CS119" s="93"/>
      <c r="CT119" s="93"/>
      <c r="CU119" s="93"/>
      <c r="CV119" s="93"/>
      <c r="CW119" s="93"/>
      <c r="CX119" s="93"/>
      <c r="CY119" s="93"/>
      <c r="CZ119" s="93"/>
      <c r="DA119" s="93"/>
      <c r="DD119" s="155"/>
    </row>
    <row r="120" spans="1:108" s="154" customFormat="1" outlineLevel="1" x14ac:dyDescent="0.2">
      <c r="A120" s="154" t="s">
        <v>506</v>
      </c>
      <c r="AB120" s="93"/>
      <c r="AC120" s="93"/>
      <c r="AD120" s="93"/>
      <c r="AE120" s="93"/>
      <c r="CM120" s="93"/>
      <c r="CN120" s="93"/>
      <c r="CO120" s="93"/>
      <c r="CP120" s="93"/>
      <c r="CQ120" s="93"/>
      <c r="CR120" s="93"/>
      <c r="CS120" s="93"/>
      <c r="CT120" s="93"/>
      <c r="CU120" s="93"/>
      <c r="CV120" s="93"/>
      <c r="CW120" s="93"/>
      <c r="CX120" s="93"/>
      <c r="CY120" s="93"/>
      <c r="CZ120" s="93"/>
      <c r="DA120" s="93"/>
      <c r="DD120" s="155"/>
    </row>
    <row r="121" spans="1:108" s="154" customFormat="1" outlineLevel="1" x14ac:dyDescent="0.2">
      <c r="A121" s="154" t="s">
        <v>507</v>
      </c>
      <c r="E121" s="154" t="e">
        <f t="shared" ref="E121:AE123" ca="1" si="928">+E96/E$118</f>
        <v>#DIV/0!</v>
      </c>
      <c r="F121" s="154" t="e">
        <f t="shared" ca="1" si="928"/>
        <v>#DIV/0!</v>
      </c>
      <c r="G121" s="154" t="e">
        <f t="shared" ca="1" si="928"/>
        <v>#DIV/0!</v>
      </c>
      <c r="H121" s="154" t="e">
        <f t="shared" ca="1" si="928"/>
        <v>#DIV/0!</v>
      </c>
      <c r="I121" s="154" t="e">
        <f t="shared" ca="1" si="928"/>
        <v>#DIV/0!</v>
      </c>
      <c r="J121" s="154" t="e">
        <f t="shared" ca="1" si="928"/>
        <v>#DIV/0!</v>
      </c>
      <c r="K121" s="154" t="e">
        <f t="shared" ca="1" si="928"/>
        <v>#DIV/0!</v>
      </c>
      <c r="L121" s="154" t="e">
        <f t="shared" ca="1" si="928"/>
        <v>#DIV/0!</v>
      </c>
      <c r="M121" s="154" t="e">
        <f t="shared" ca="1" si="928"/>
        <v>#DIV/0!</v>
      </c>
      <c r="N121" s="154" t="e">
        <f t="shared" ca="1" si="928"/>
        <v>#DIV/0!</v>
      </c>
      <c r="O121" s="154" t="e">
        <f t="shared" ca="1" si="928"/>
        <v>#DIV/0!</v>
      </c>
      <c r="P121" s="154" t="e">
        <f t="shared" ca="1" si="928"/>
        <v>#DIV/0!</v>
      </c>
      <c r="Q121" s="154" t="e">
        <f t="shared" ca="1" si="928"/>
        <v>#DIV/0!</v>
      </c>
      <c r="R121" s="154" t="e">
        <f t="shared" ca="1" si="928"/>
        <v>#DIV/0!</v>
      </c>
      <c r="S121" s="154" t="e">
        <f t="shared" ca="1" si="928"/>
        <v>#DIV/0!</v>
      </c>
      <c r="T121" s="154" t="e">
        <f t="shared" ca="1" si="928"/>
        <v>#DIV/0!</v>
      </c>
      <c r="U121" s="154" t="e">
        <f t="shared" ca="1" si="928"/>
        <v>#DIV/0!</v>
      </c>
      <c r="V121" s="154" t="e">
        <f t="shared" ca="1" si="928"/>
        <v>#DIV/0!</v>
      </c>
      <c r="W121" s="154" t="e">
        <f t="shared" ca="1" si="928"/>
        <v>#DIV/0!</v>
      </c>
      <c r="X121" s="154" t="e">
        <f t="shared" ca="1" si="928"/>
        <v>#DIV/0!</v>
      </c>
      <c r="Y121" s="154" t="e">
        <f t="shared" ca="1" si="928"/>
        <v>#DIV/0!</v>
      </c>
      <c r="Z121" s="154" t="e">
        <f ca="1">+Z96/Z$118</f>
        <v>#DIV/0!</v>
      </c>
      <c r="AA121" s="154" t="e">
        <f ca="1">+AA96/AA$118</f>
        <v>#DIV/0!</v>
      </c>
      <c r="AB121" s="49" t="e">
        <f t="shared" ref="AA121:AE121" ca="1" si="929">+AB96/AB$118</f>
        <v>#DIV/0!</v>
      </c>
      <c r="AC121" s="49" t="e">
        <f t="shared" ca="1" si="929"/>
        <v>#DIV/0!</v>
      </c>
      <c r="AD121" s="49" t="e">
        <f t="shared" ca="1" si="929"/>
        <v>#DIV/0!</v>
      </c>
      <c r="AE121" s="49" t="e">
        <f t="shared" ca="1" si="929"/>
        <v>#DIV/0!</v>
      </c>
      <c r="AL121" s="154">
        <f t="shared" ref="AL121:BQ121" si="930">+AL96/AL118</f>
        <v>0.34558846379030805</v>
      </c>
      <c r="AM121" s="154">
        <f t="shared" si="930"/>
        <v>0.30066922399907003</v>
      </c>
      <c r="AN121" s="154">
        <f t="shared" si="930"/>
        <v>0.23462458447752566</v>
      </c>
      <c r="AO121" s="154">
        <f t="shared" si="930"/>
        <v>0.31981048355532848</v>
      </c>
      <c r="AP121" s="154">
        <f t="shared" si="930"/>
        <v>0.49621640663636174</v>
      </c>
      <c r="AQ121" s="154">
        <f t="shared" si="930"/>
        <v>0.64381719308776619</v>
      </c>
      <c r="AR121" s="154">
        <f t="shared" si="930"/>
        <v>0.70121087601381205</v>
      </c>
      <c r="AS121" s="154">
        <f t="shared" si="930"/>
        <v>0.98601066795304193</v>
      </c>
      <c r="AT121" s="154">
        <f t="shared" si="930"/>
        <v>0.89604165336883468</v>
      </c>
      <c r="AU121" s="154">
        <f t="shared" si="930"/>
        <v>0.85253588125451496</v>
      </c>
      <c r="AV121" s="154">
        <f t="shared" si="930"/>
        <v>0.95015385778550632</v>
      </c>
      <c r="AW121" s="154">
        <f t="shared" si="930"/>
        <v>0.94221792182468156</v>
      </c>
      <c r="AX121" s="154">
        <f t="shared" si="930"/>
        <v>0.96902678867672298</v>
      </c>
      <c r="AY121" s="154">
        <f t="shared" si="930"/>
        <v>1.0881865210756254</v>
      </c>
      <c r="AZ121" s="154">
        <f t="shared" si="930"/>
        <v>1.0623547384863621</v>
      </c>
      <c r="BA121" s="154">
        <f t="shared" si="930"/>
        <v>1.1928445651508488</v>
      </c>
      <c r="BB121" s="154">
        <f t="shared" si="930"/>
        <v>1.8319376552913136</v>
      </c>
      <c r="BC121" s="154">
        <f t="shared" si="930"/>
        <v>1.3144420985113716</v>
      </c>
      <c r="BD121" s="154">
        <f t="shared" si="930"/>
        <v>2.1292458562344563</v>
      </c>
      <c r="BE121" s="154">
        <f t="shared" si="930"/>
        <v>2.2917537737498535</v>
      </c>
      <c r="BF121" s="154">
        <f t="shared" si="930"/>
        <v>1.3978464158839845</v>
      </c>
      <c r="BG121" s="154">
        <f t="shared" si="930"/>
        <v>1.2414850005337885</v>
      </c>
      <c r="BH121" s="154">
        <f t="shared" si="930"/>
        <v>1.0071170260693803</v>
      </c>
      <c r="BI121" s="154">
        <f t="shared" si="930"/>
        <v>1.086492669484068</v>
      </c>
      <c r="BJ121" s="154">
        <f t="shared" si="930"/>
        <v>1.3322198376185668</v>
      </c>
      <c r="BK121" s="154">
        <f t="shared" si="930"/>
        <v>0.99191892676885318</v>
      </c>
      <c r="BL121" s="154">
        <f t="shared" si="930"/>
        <v>0.83490693922043713</v>
      </c>
      <c r="BM121" s="154">
        <f t="shared" si="930"/>
        <v>1.0718517636064178</v>
      </c>
      <c r="BN121" s="154">
        <f t="shared" si="930"/>
        <v>0.555032487648767</v>
      </c>
      <c r="BO121" s="154">
        <f t="shared" si="930"/>
        <v>0.85717846590109636</v>
      </c>
      <c r="BP121" s="154">
        <f t="shared" si="930"/>
        <v>1.9052082749151522</v>
      </c>
      <c r="BQ121" s="154">
        <f t="shared" si="930"/>
        <v>1.9612236355016692</v>
      </c>
      <c r="BR121" s="154">
        <f t="shared" ref="BR121:DA121" si="931">+BR96/BR118</f>
        <v>2.0770819806219358</v>
      </c>
      <c r="BS121" s="154">
        <f t="shared" si="931"/>
        <v>1.6222088889678072</v>
      </c>
      <c r="BT121" s="154">
        <f t="shared" si="931"/>
        <v>1.2847160564518842</v>
      </c>
      <c r="BU121" s="154">
        <f t="shared" si="931"/>
        <v>1.3333959617149598</v>
      </c>
      <c r="BV121" s="154">
        <f t="shared" si="931"/>
        <v>2.0084361415315164</v>
      </c>
      <c r="BW121" s="154">
        <f t="shared" si="931"/>
        <v>1.772172724204242</v>
      </c>
      <c r="BX121" s="154">
        <f t="shared" si="931"/>
        <v>2.2749008818625871</v>
      </c>
      <c r="BY121" s="154">
        <f t="shared" si="931"/>
        <v>1.8242671983203809</v>
      </c>
      <c r="BZ121" s="154">
        <f t="shared" si="931"/>
        <v>1.4822616197576193</v>
      </c>
      <c r="CA121" s="154">
        <f t="shared" si="931"/>
        <v>2.180731614859742</v>
      </c>
      <c r="CB121" s="154">
        <f t="shared" si="931"/>
        <v>1.7416143665860984</v>
      </c>
      <c r="CC121" s="154">
        <f t="shared" si="931"/>
        <v>1.7624815385098827</v>
      </c>
      <c r="CD121" s="154">
        <f t="shared" si="931"/>
        <v>2.0004977442296892</v>
      </c>
      <c r="CE121" s="154">
        <f t="shared" si="931"/>
        <v>4.3187645556109633</v>
      </c>
      <c r="CF121" s="154">
        <f t="shared" si="931"/>
        <v>4.9740982761432315</v>
      </c>
      <c r="CG121" s="154">
        <f t="shared" si="931"/>
        <v>5.3155713392689456</v>
      </c>
      <c r="CH121" s="154">
        <f t="shared" si="931"/>
        <v>3.0702170298964679</v>
      </c>
      <c r="CI121" s="154">
        <f t="shared" si="931"/>
        <v>3.7545270428937907</v>
      </c>
      <c r="CJ121" s="154">
        <f t="shared" si="931"/>
        <v>6.1966363919287124</v>
      </c>
      <c r="CK121" s="154">
        <f t="shared" ref="CK121:CL121" si="932">+CK96/CK118</f>
        <v>4.1402834187522242</v>
      </c>
      <c r="CL121" s="154">
        <f t="shared" si="932"/>
        <v>2.6804657102064686</v>
      </c>
      <c r="CM121" s="49">
        <f t="shared" si="931"/>
        <v>4.1572486593659663</v>
      </c>
      <c r="CN121" s="49">
        <f t="shared" si="931"/>
        <v>3.0303049857824877</v>
      </c>
      <c r="CO121" s="49">
        <f t="shared" si="931"/>
        <v>2.5561741604571124</v>
      </c>
      <c r="CP121" s="49">
        <f t="shared" si="931"/>
        <v>2.37754414180201</v>
      </c>
      <c r="CQ121" s="49">
        <f t="shared" si="931"/>
        <v>2.1614543197505292</v>
      </c>
      <c r="CR121" s="49">
        <f t="shared" si="931"/>
        <v>1.960070359464485</v>
      </c>
      <c r="CS121" s="49">
        <f t="shared" si="931"/>
        <v>1.7973444138370511</v>
      </c>
      <c r="CT121" s="49">
        <f t="shared" si="931"/>
        <v>1.6668116030351487</v>
      </c>
      <c r="CU121" s="49">
        <f t="shared" si="931"/>
        <v>1.5580284325426257</v>
      </c>
      <c r="CV121" s="49">
        <f t="shared" si="931"/>
        <v>1.4470125235490394</v>
      </c>
      <c r="CW121" s="49">
        <f t="shared" si="931"/>
        <v>1.3524283177069707</v>
      </c>
      <c r="CX121" s="49">
        <f t="shared" si="931"/>
        <v>1.273499032754708</v>
      </c>
      <c r="CY121" s="49">
        <f t="shared" si="931"/>
        <v>1.2053597369404596</v>
      </c>
      <c r="CZ121" s="49">
        <f t="shared" si="931"/>
        <v>1.1320280106000098</v>
      </c>
      <c r="DA121" s="49">
        <f t="shared" si="931"/>
        <v>1.0678038239523679</v>
      </c>
      <c r="DD121" s="105">
        <v>2.7045355048001261</v>
      </c>
    </row>
    <row r="122" spans="1:108" s="154" customFormat="1" outlineLevel="1" x14ac:dyDescent="0.2">
      <c r="A122" s="154" t="s">
        <v>508</v>
      </c>
      <c r="E122" s="154" t="e">
        <f t="shared" ca="1" si="928"/>
        <v>#DIV/0!</v>
      </c>
      <c r="F122" s="154" t="e">
        <f t="shared" ca="1" si="928"/>
        <v>#DIV/0!</v>
      </c>
      <c r="G122" s="154" t="e">
        <f t="shared" ca="1" si="928"/>
        <v>#DIV/0!</v>
      </c>
      <c r="H122" s="154" t="e">
        <f t="shared" ca="1" si="928"/>
        <v>#DIV/0!</v>
      </c>
      <c r="I122" s="154" t="e">
        <f t="shared" ca="1" si="928"/>
        <v>#DIV/0!</v>
      </c>
      <c r="J122" s="154" t="e">
        <f t="shared" ca="1" si="928"/>
        <v>#DIV/0!</v>
      </c>
      <c r="K122" s="154" t="e">
        <f t="shared" ca="1" si="928"/>
        <v>#DIV/0!</v>
      </c>
      <c r="L122" s="154" t="e">
        <f t="shared" ca="1" si="928"/>
        <v>#DIV/0!</v>
      </c>
      <c r="M122" s="154" t="e">
        <f t="shared" ca="1" si="928"/>
        <v>#DIV/0!</v>
      </c>
      <c r="N122" s="154" t="e">
        <f t="shared" ca="1" si="928"/>
        <v>#DIV/0!</v>
      </c>
      <c r="O122" s="154" t="e">
        <f t="shared" ca="1" si="928"/>
        <v>#DIV/0!</v>
      </c>
      <c r="P122" s="154" t="e">
        <f t="shared" ca="1" si="928"/>
        <v>#DIV/0!</v>
      </c>
      <c r="Q122" s="154" t="e">
        <f t="shared" ca="1" si="928"/>
        <v>#DIV/0!</v>
      </c>
      <c r="R122" s="154" t="e">
        <f t="shared" ca="1" si="928"/>
        <v>#DIV/0!</v>
      </c>
      <c r="S122" s="154" t="e">
        <f t="shared" ca="1" si="928"/>
        <v>#DIV/0!</v>
      </c>
      <c r="T122" s="154" t="e">
        <f t="shared" ca="1" si="928"/>
        <v>#DIV/0!</v>
      </c>
      <c r="U122" s="154" t="e">
        <f t="shared" ca="1" si="928"/>
        <v>#DIV/0!</v>
      </c>
      <c r="V122" s="154" t="e">
        <f t="shared" ca="1" si="928"/>
        <v>#DIV/0!</v>
      </c>
      <c r="W122" s="154" t="e">
        <f t="shared" ca="1" si="928"/>
        <v>#DIV/0!</v>
      </c>
      <c r="X122" s="154" t="e">
        <f t="shared" ca="1" si="928"/>
        <v>#DIV/0!</v>
      </c>
      <c r="Y122" s="154" t="e">
        <f t="shared" ca="1" si="928"/>
        <v>#DIV/0!</v>
      </c>
      <c r="Z122" s="154" t="e">
        <f t="shared" ref="Z122:AA123" ca="1" si="933">+Z97/Z$118</f>
        <v>#DIV/0!</v>
      </c>
      <c r="AA122" s="154" t="e">
        <f t="shared" ca="1" si="933"/>
        <v>#DIV/0!</v>
      </c>
      <c r="AB122" s="93" t="e">
        <f t="shared" ca="1" si="928"/>
        <v>#DIV/0!</v>
      </c>
      <c r="AC122" s="93" t="e">
        <f t="shared" ca="1" si="928"/>
        <v>#DIV/0!</v>
      </c>
      <c r="AD122" s="93" t="e">
        <f t="shared" ca="1" si="928"/>
        <v>#DIV/0!</v>
      </c>
      <c r="AE122" s="93" t="e">
        <f t="shared" ca="1" si="928"/>
        <v>#DIV/0!</v>
      </c>
      <c r="AL122" s="154">
        <f t="shared" ref="AL122:BQ122" si="934">+AL97/AL118</f>
        <v>0.61899207350027019</v>
      </c>
      <c r="AM122" s="154">
        <f t="shared" si="934"/>
        <v>0.38713440387031767</v>
      </c>
      <c r="AN122" s="154">
        <f t="shared" si="934"/>
        <v>0.30064062725827434</v>
      </c>
      <c r="AO122" s="154">
        <f t="shared" si="934"/>
        <v>0.32550685349142849</v>
      </c>
      <c r="AP122" s="154">
        <f t="shared" si="934"/>
        <v>0.52019090718171412</v>
      </c>
      <c r="AQ122" s="154">
        <f t="shared" si="934"/>
        <v>0.75107819248241159</v>
      </c>
      <c r="AR122" s="154">
        <f t="shared" si="934"/>
        <v>0.90252380321647585</v>
      </c>
      <c r="AS122" s="154">
        <f t="shared" si="934"/>
        <v>1.165542709375383</v>
      </c>
      <c r="AT122" s="154">
        <f t="shared" si="934"/>
        <v>1.2247403503332814</v>
      </c>
      <c r="AU122" s="154">
        <f t="shared" si="934"/>
        <v>1.2496381206809601</v>
      </c>
      <c r="AV122" s="154">
        <f t="shared" si="934"/>
        <v>1.2810276717196538</v>
      </c>
      <c r="AW122" s="154">
        <f t="shared" si="934"/>
        <v>1.1087777351020769</v>
      </c>
      <c r="AX122" s="154">
        <f t="shared" si="934"/>
        <v>1.1513871350878289</v>
      </c>
      <c r="AY122" s="154">
        <f t="shared" si="934"/>
        <v>1.5152997305978082</v>
      </c>
      <c r="AZ122" s="154">
        <f t="shared" si="934"/>
        <v>1.2149269615668503</v>
      </c>
      <c r="BA122" s="154">
        <f t="shared" si="934"/>
        <v>1.3960719711937131</v>
      </c>
      <c r="BB122" s="154">
        <f t="shared" si="934"/>
        <v>2.1878086811013642</v>
      </c>
      <c r="BC122" s="154">
        <f t="shared" si="934"/>
        <v>1.5863046208942457</v>
      </c>
      <c r="BD122" s="154">
        <f t="shared" si="934"/>
        <v>2.3638568765663406</v>
      </c>
      <c r="BE122" s="154">
        <f t="shared" si="934"/>
        <v>2.4462641333488744</v>
      </c>
      <c r="BF122" s="154">
        <f t="shared" si="934"/>
        <v>2.2252119324541337</v>
      </c>
      <c r="BG122" s="154">
        <f t="shared" si="934"/>
        <v>1.6757611343497965</v>
      </c>
      <c r="BH122" s="154">
        <f t="shared" si="934"/>
        <v>1.276182619601349</v>
      </c>
      <c r="BI122" s="154">
        <f t="shared" si="934"/>
        <v>1.1385813931210553</v>
      </c>
      <c r="BJ122" s="154">
        <f t="shared" si="934"/>
        <v>1.4326736713559394</v>
      </c>
      <c r="BK122" s="154">
        <f t="shared" si="934"/>
        <v>1.2357380382185152</v>
      </c>
      <c r="BL122" s="154">
        <f t="shared" si="934"/>
        <v>1.0294328392037082</v>
      </c>
      <c r="BM122" s="154">
        <f t="shared" si="934"/>
        <v>1.1365615226603993</v>
      </c>
      <c r="BN122" s="154">
        <f t="shared" si="934"/>
        <v>1.3967264518423135</v>
      </c>
      <c r="BO122" s="154">
        <f t="shared" si="934"/>
        <v>1.0689121470241252</v>
      </c>
      <c r="BP122" s="154">
        <f t="shared" si="934"/>
        <v>2.0936879357190508</v>
      </c>
      <c r="BQ122" s="154">
        <f t="shared" si="934"/>
        <v>2.1915895863383734</v>
      </c>
      <c r="BR122" s="154">
        <f t="shared" ref="BR122:CJ122" si="935">+BR97/BR118</f>
        <v>2.1491353586557538</v>
      </c>
      <c r="BS122" s="154">
        <f t="shared" si="935"/>
        <v>1.736108102349202</v>
      </c>
      <c r="BT122" s="154">
        <f t="shared" si="935"/>
        <v>1.6078008690087235</v>
      </c>
      <c r="BU122" s="154">
        <f t="shared" si="935"/>
        <v>1.9072838861937851</v>
      </c>
      <c r="BV122" s="154">
        <f t="shared" si="935"/>
        <v>2.257539500083598</v>
      </c>
      <c r="BW122" s="154">
        <f t="shared" si="935"/>
        <v>2.805933775326618</v>
      </c>
      <c r="BX122" s="154">
        <f t="shared" si="935"/>
        <v>2.5961727456199357</v>
      </c>
      <c r="BY122" s="154">
        <f t="shared" si="935"/>
        <v>1.9172816240835748</v>
      </c>
      <c r="BZ122" s="154">
        <f t="shared" si="935"/>
        <v>1.6487155314635868</v>
      </c>
      <c r="CA122" s="154">
        <f t="shared" si="935"/>
        <v>2.2262706506006764</v>
      </c>
      <c r="CB122" s="154">
        <f t="shared" si="935"/>
        <v>1.8329598925862722</v>
      </c>
      <c r="CC122" s="154">
        <f t="shared" si="935"/>
        <v>1.8907847922711385</v>
      </c>
      <c r="CD122" s="154">
        <f t="shared" si="935"/>
        <v>2.2205163876705036</v>
      </c>
      <c r="CE122" s="154">
        <f t="shared" si="935"/>
        <v>4.6390637166128625</v>
      </c>
      <c r="CF122" s="154">
        <f t="shared" si="935"/>
        <v>5.5407260503848024</v>
      </c>
      <c r="CG122" s="154">
        <f t="shared" si="935"/>
        <v>7.7488314421174742</v>
      </c>
      <c r="CH122" s="154">
        <f t="shared" si="935"/>
        <v>4.6715124210107595</v>
      </c>
      <c r="CI122" s="154">
        <f t="shared" si="935"/>
        <v>4.3648386996725694</v>
      </c>
      <c r="CJ122" s="154">
        <f t="shared" si="935"/>
        <v>6.6759665792298364</v>
      </c>
      <c r="CK122" s="154">
        <f t="shared" ref="CK122:CL122" si="936">+CK97/CK118</f>
        <v>5.2333553305477967</v>
      </c>
      <c r="CL122" s="154">
        <f t="shared" si="936"/>
        <v>3.9003396008589548</v>
      </c>
      <c r="CM122" s="93">
        <f t="shared" ref="CM122:DA122" si="937">+CL122</f>
        <v>3.9003396008589548</v>
      </c>
      <c r="CN122" s="93">
        <f t="shared" si="937"/>
        <v>3.9003396008589548</v>
      </c>
      <c r="CO122" s="93">
        <f t="shared" si="937"/>
        <v>3.9003396008589548</v>
      </c>
      <c r="CP122" s="93">
        <f t="shared" si="937"/>
        <v>3.9003396008589548</v>
      </c>
      <c r="CQ122" s="93">
        <f t="shared" si="937"/>
        <v>3.9003396008589548</v>
      </c>
      <c r="CR122" s="93">
        <f t="shared" si="937"/>
        <v>3.9003396008589548</v>
      </c>
      <c r="CS122" s="93">
        <f t="shared" si="937"/>
        <v>3.9003396008589548</v>
      </c>
      <c r="CT122" s="93">
        <f t="shared" si="937"/>
        <v>3.9003396008589548</v>
      </c>
      <c r="CU122" s="93">
        <f t="shared" si="937"/>
        <v>3.9003396008589548</v>
      </c>
      <c r="CV122" s="93">
        <f t="shared" si="937"/>
        <v>3.9003396008589548</v>
      </c>
      <c r="CW122" s="93">
        <f t="shared" si="937"/>
        <v>3.9003396008589548</v>
      </c>
      <c r="CX122" s="93">
        <f t="shared" si="937"/>
        <v>3.9003396008589548</v>
      </c>
      <c r="CY122" s="93">
        <f t="shared" si="937"/>
        <v>3.9003396008589548</v>
      </c>
      <c r="CZ122" s="93">
        <f t="shared" si="937"/>
        <v>3.9003396008589548</v>
      </c>
      <c r="DA122" s="93">
        <f t="shared" si="937"/>
        <v>3.9003396008589548</v>
      </c>
      <c r="DD122" s="155">
        <v>3.4185571056792794</v>
      </c>
    </row>
    <row r="123" spans="1:108" s="154" customFormat="1" outlineLevel="1" x14ac:dyDescent="0.2">
      <c r="A123" s="154" t="s">
        <v>509</v>
      </c>
      <c r="E123" s="154" t="e">
        <f t="shared" ca="1" si="928"/>
        <v>#DIV/0!</v>
      </c>
      <c r="F123" s="154" t="e">
        <f t="shared" ca="1" si="928"/>
        <v>#DIV/0!</v>
      </c>
      <c r="G123" s="154" t="e">
        <f t="shared" ca="1" si="928"/>
        <v>#DIV/0!</v>
      </c>
      <c r="H123" s="154" t="e">
        <f t="shared" ca="1" si="928"/>
        <v>#DIV/0!</v>
      </c>
      <c r="I123" s="154" t="e">
        <f t="shared" ca="1" si="928"/>
        <v>#DIV/0!</v>
      </c>
      <c r="J123" s="154" t="e">
        <f t="shared" ca="1" si="928"/>
        <v>#DIV/0!</v>
      </c>
      <c r="K123" s="154" t="e">
        <f t="shared" ca="1" si="928"/>
        <v>#DIV/0!</v>
      </c>
      <c r="L123" s="154" t="e">
        <f t="shared" ca="1" si="928"/>
        <v>#DIV/0!</v>
      </c>
      <c r="M123" s="154" t="e">
        <f t="shared" ca="1" si="928"/>
        <v>#DIV/0!</v>
      </c>
      <c r="N123" s="154" t="e">
        <f t="shared" ca="1" si="928"/>
        <v>#DIV/0!</v>
      </c>
      <c r="O123" s="154" t="e">
        <f t="shared" ca="1" si="928"/>
        <v>#DIV/0!</v>
      </c>
      <c r="P123" s="154" t="e">
        <f t="shared" ca="1" si="928"/>
        <v>#DIV/0!</v>
      </c>
      <c r="Q123" s="154" t="e">
        <f t="shared" ca="1" si="928"/>
        <v>#DIV/0!</v>
      </c>
      <c r="R123" s="154" t="e">
        <f t="shared" ca="1" si="928"/>
        <v>#DIV/0!</v>
      </c>
      <c r="S123" s="154" t="e">
        <f t="shared" ca="1" si="928"/>
        <v>#DIV/0!</v>
      </c>
      <c r="T123" s="154" t="e">
        <f t="shared" ca="1" si="928"/>
        <v>#DIV/0!</v>
      </c>
      <c r="U123" s="154" t="e">
        <f t="shared" ca="1" si="928"/>
        <v>#DIV/0!</v>
      </c>
      <c r="V123" s="154" t="e">
        <f t="shared" ca="1" si="928"/>
        <v>#DIV/0!</v>
      </c>
      <c r="W123" s="154" t="e">
        <f t="shared" ca="1" si="928"/>
        <v>#DIV/0!</v>
      </c>
      <c r="X123" s="154" t="e">
        <f t="shared" ca="1" si="928"/>
        <v>#DIV/0!</v>
      </c>
      <c r="Y123" s="154" t="e">
        <f t="shared" ca="1" si="928"/>
        <v>#DIV/0!</v>
      </c>
      <c r="Z123" s="154" t="e">
        <f t="shared" ca="1" si="933"/>
        <v>#DIV/0!</v>
      </c>
      <c r="AA123" s="154" t="e">
        <f t="shared" ca="1" si="933"/>
        <v>#DIV/0!</v>
      </c>
      <c r="AB123" s="93" t="e">
        <f t="shared" ca="1" si="928"/>
        <v>#DIV/0!</v>
      </c>
      <c r="AC123" s="93" t="e">
        <f t="shared" ca="1" si="928"/>
        <v>#DIV/0!</v>
      </c>
      <c r="AD123" s="93" t="e">
        <f t="shared" ca="1" si="928"/>
        <v>#DIV/0!</v>
      </c>
      <c r="AE123" s="93" t="e">
        <f t="shared" ca="1" si="928"/>
        <v>#DIV/0!</v>
      </c>
      <c r="AL123" s="154">
        <f t="shared" ref="AL123:BQ123" si="938">+AL98/AL118</f>
        <v>0.33460784092956225</v>
      </c>
      <c r="AM123" s="154">
        <f t="shared" si="938"/>
        <v>0.28996357738698192</v>
      </c>
      <c r="AN123" s="154">
        <f t="shared" si="938"/>
        <v>0.18484491978609624</v>
      </c>
      <c r="AO123" s="154">
        <f t="shared" si="938"/>
        <v>0.23497525986412496</v>
      </c>
      <c r="AP123" s="154">
        <f t="shared" si="938"/>
        <v>0.34066092635372702</v>
      </c>
      <c r="AQ123" s="154">
        <f t="shared" si="938"/>
        <v>0.56644860336048097</v>
      </c>
      <c r="AR123" s="154">
        <f t="shared" si="938"/>
        <v>0.60850197602890566</v>
      </c>
      <c r="AS123" s="154">
        <f t="shared" si="938"/>
        <v>0.82004847631738143</v>
      </c>
      <c r="AT123" s="154">
        <f t="shared" si="938"/>
        <v>0.76591299114592348</v>
      </c>
      <c r="AU123" s="154">
        <f t="shared" si="938"/>
        <v>0.7627952621750923</v>
      </c>
      <c r="AV123" s="154">
        <f t="shared" si="938"/>
        <v>0.89835273881979361</v>
      </c>
      <c r="AW123" s="154">
        <f t="shared" si="938"/>
        <v>0.82672024108488196</v>
      </c>
      <c r="AX123" s="154">
        <f t="shared" si="938"/>
        <v>0.81967176537908537</v>
      </c>
      <c r="AY123" s="154">
        <f t="shared" si="938"/>
        <v>1.0065725319949534</v>
      </c>
      <c r="AZ123" s="154">
        <f t="shared" si="938"/>
        <v>0.99454486156170074</v>
      </c>
      <c r="BA123" s="154">
        <f t="shared" si="938"/>
        <v>0.97285330276097326</v>
      </c>
      <c r="BB123" s="154">
        <f t="shared" si="938"/>
        <v>1.2785691648496527</v>
      </c>
      <c r="BC123" s="154">
        <f t="shared" si="938"/>
        <v>1.2408016676911564</v>
      </c>
      <c r="BD123" s="154">
        <f t="shared" si="938"/>
        <v>1.1466717140981468</v>
      </c>
      <c r="BE123" s="154">
        <f t="shared" si="938"/>
        <v>1.385017193146054</v>
      </c>
      <c r="BF123" s="154">
        <f t="shared" si="938"/>
        <v>1.3296802764124773</v>
      </c>
      <c r="BG123" s="154">
        <f t="shared" si="938"/>
        <v>1.1997107835049543</v>
      </c>
      <c r="BH123" s="154">
        <f t="shared" si="938"/>
        <v>0.97705383126133916</v>
      </c>
      <c r="BI123" s="154">
        <f t="shared" si="938"/>
        <v>0.68985931558088298</v>
      </c>
      <c r="BJ123" s="154">
        <f t="shared" si="938"/>
        <v>0.96523247870481754</v>
      </c>
      <c r="BK123" s="154">
        <f t="shared" si="938"/>
        <v>0.89486033856321612</v>
      </c>
      <c r="BL123" s="154">
        <f t="shared" si="938"/>
        <v>0.65734654010328675</v>
      </c>
      <c r="BM123" s="154">
        <f t="shared" si="938"/>
        <v>0.84528193645095018</v>
      </c>
      <c r="BN123" s="154">
        <f t="shared" si="938"/>
        <v>0.45227332726322533</v>
      </c>
      <c r="BO123" s="154">
        <f t="shared" si="938"/>
        <v>0.71617113850616387</v>
      </c>
      <c r="BP123" s="154">
        <f t="shared" si="938"/>
        <v>1.1459181404163563</v>
      </c>
      <c r="BQ123" s="154">
        <f t="shared" si="938"/>
        <v>1.7433098982237061</v>
      </c>
      <c r="BR123" s="154">
        <f t="shared" ref="BR123:CJ123" si="939">+BR98/BR118</f>
        <v>1.8698973538188113</v>
      </c>
      <c r="BS123" s="154">
        <f t="shared" si="939"/>
        <v>1.3415380790880196</v>
      </c>
      <c r="BT123" s="154">
        <f t="shared" si="939"/>
        <v>1.1809713193438645</v>
      </c>
      <c r="BU123" s="154">
        <f t="shared" si="939"/>
        <v>1.1172815786023336</v>
      </c>
      <c r="BV123" s="154">
        <f t="shared" si="939"/>
        <v>1.3481380883213507</v>
      </c>
      <c r="BW123" s="154">
        <f t="shared" si="939"/>
        <v>1.5291192236112359</v>
      </c>
      <c r="BX123" s="154">
        <f t="shared" si="939"/>
        <v>1.8831279431981043</v>
      </c>
      <c r="BY123" s="154">
        <f t="shared" si="939"/>
        <v>1.5779705727976161</v>
      </c>
      <c r="BZ123" s="154">
        <f t="shared" si="939"/>
        <v>1.2924806802535445</v>
      </c>
      <c r="CA123" s="154">
        <f t="shared" si="939"/>
        <v>1.0506162591734665</v>
      </c>
      <c r="CB123" s="154">
        <f t="shared" si="939"/>
        <v>1.4361210511550531</v>
      </c>
      <c r="CC123" s="154">
        <f t="shared" si="939"/>
        <v>1.5287196192830481</v>
      </c>
      <c r="CD123" s="154">
        <f t="shared" si="939"/>
        <v>1.7659750445808051</v>
      </c>
      <c r="CE123" s="154">
        <f t="shared" si="939"/>
        <v>2.2508423225987069</v>
      </c>
      <c r="CF123" s="154">
        <f t="shared" si="939"/>
        <v>3.9405913822943015</v>
      </c>
      <c r="CG123" s="154">
        <f t="shared" si="939"/>
        <v>5.2145824704741361</v>
      </c>
      <c r="CH123" s="154">
        <f t="shared" si="939"/>
        <v>2.5439246113502376</v>
      </c>
      <c r="CI123" s="154">
        <f t="shared" si="939"/>
        <v>2.8660252905444024</v>
      </c>
      <c r="CJ123" s="154">
        <f t="shared" si="939"/>
        <v>3.5566613527091655</v>
      </c>
      <c r="CK123" s="154">
        <f t="shared" ref="CK123:CL123" si="940">+CK98/CK118</f>
        <v>3.5556956262355528</v>
      </c>
      <c r="CL123" s="154">
        <f t="shared" si="940"/>
        <v>2.65344568081668</v>
      </c>
      <c r="CM123" s="93">
        <f t="shared" ref="CM123:DA123" si="941">+CL123</f>
        <v>2.65344568081668</v>
      </c>
      <c r="CN123" s="93">
        <f t="shared" si="941"/>
        <v>2.65344568081668</v>
      </c>
      <c r="CO123" s="93">
        <f t="shared" si="941"/>
        <v>2.65344568081668</v>
      </c>
      <c r="CP123" s="93">
        <f t="shared" si="941"/>
        <v>2.65344568081668</v>
      </c>
      <c r="CQ123" s="93">
        <f t="shared" si="941"/>
        <v>2.65344568081668</v>
      </c>
      <c r="CR123" s="93">
        <f t="shared" si="941"/>
        <v>2.65344568081668</v>
      </c>
      <c r="CS123" s="93">
        <f t="shared" si="941"/>
        <v>2.65344568081668</v>
      </c>
      <c r="CT123" s="93">
        <f t="shared" si="941"/>
        <v>2.65344568081668</v>
      </c>
      <c r="CU123" s="93">
        <f t="shared" si="941"/>
        <v>2.65344568081668</v>
      </c>
      <c r="CV123" s="93">
        <f t="shared" si="941"/>
        <v>2.65344568081668</v>
      </c>
      <c r="CW123" s="93">
        <f t="shared" si="941"/>
        <v>2.65344568081668</v>
      </c>
      <c r="CX123" s="93">
        <f t="shared" si="941"/>
        <v>2.65344568081668</v>
      </c>
      <c r="CY123" s="93">
        <f t="shared" si="941"/>
        <v>2.65344568081668</v>
      </c>
      <c r="CZ123" s="93">
        <f t="shared" si="941"/>
        <v>2.65344568081668</v>
      </c>
      <c r="DA123" s="93">
        <f t="shared" si="941"/>
        <v>2.65344568081668</v>
      </c>
      <c r="DD123" s="155">
        <v>1.2231864238489074</v>
      </c>
    </row>
    <row r="124" spans="1:108" s="4" customFormat="1" outlineLevel="1" x14ac:dyDescent="0.2">
      <c r="A124" s="3"/>
      <c r="AB124" s="16"/>
      <c r="AC124" s="16"/>
      <c r="AD124" s="16"/>
      <c r="AE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D124" s="117"/>
    </row>
    <row r="125" spans="1:108" s="4" customFormat="1" outlineLevel="1" x14ac:dyDescent="0.2">
      <c r="A125" s="3"/>
      <c r="AB125" s="16"/>
      <c r="AC125" s="16"/>
      <c r="AD125" s="16"/>
      <c r="AE125" s="16"/>
      <c r="CM125" s="16">
        <f>CM96*CM84</f>
        <v>4019.6932000000002</v>
      </c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D125" s="117"/>
    </row>
    <row r="126" spans="1:108" s="153" customFormat="1" outlineLevel="1" x14ac:dyDescent="0.2">
      <c r="A126" s="48" t="s">
        <v>340</v>
      </c>
      <c r="B126" s="153">
        <f t="shared" ref="B126:AE126" si="942">+B97*B84</f>
        <v>22.713939800000002</v>
      </c>
      <c r="C126" s="153">
        <f t="shared" si="942"/>
        <v>14.294968635</v>
      </c>
      <c r="D126" s="153" t="e">
        <f t="shared" si="942"/>
        <v>#DIV/0!</v>
      </c>
      <c r="E126" s="153" t="e">
        <f t="shared" ca="1" si="942"/>
        <v>#DIV/0!</v>
      </c>
      <c r="F126" s="153" t="e">
        <f t="shared" ca="1" si="942"/>
        <v>#DIV/0!</v>
      </c>
      <c r="G126" s="153" t="e">
        <f t="shared" ca="1" si="942"/>
        <v>#DIV/0!</v>
      </c>
      <c r="H126" s="153" t="e">
        <f t="shared" ca="1" si="942"/>
        <v>#DIV/0!</v>
      </c>
      <c r="I126" s="153" t="e">
        <f t="shared" ca="1" si="942"/>
        <v>#DIV/0!</v>
      </c>
      <c r="J126" s="153" t="e">
        <f t="shared" ca="1" si="942"/>
        <v>#DIV/0!</v>
      </c>
      <c r="K126" s="153" t="e">
        <f t="shared" ca="1" si="942"/>
        <v>#DIV/0!</v>
      </c>
      <c r="L126" s="153" t="e">
        <f t="shared" ca="1" si="942"/>
        <v>#DIV/0!</v>
      </c>
      <c r="M126" s="153" t="e">
        <f t="shared" ca="1" si="942"/>
        <v>#DIV/0!</v>
      </c>
      <c r="N126" s="153" t="e">
        <f t="shared" ca="1" si="942"/>
        <v>#DIV/0!</v>
      </c>
      <c r="O126" s="153" t="e">
        <f t="shared" ca="1" si="942"/>
        <v>#DIV/0!</v>
      </c>
      <c r="P126" s="153" t="e">
        <f t="shared" ca="1" si="942"/>
        <v>#DIV/0!</v>
      </c>
      <c r="Q126" s="153" t="e">
        <f t="shared" ca="1" si="942"/>
        <v>#DIV/0!</v>
      </c>
      <c r="R126" s="153" t="e">
        <f t="shared" ca="1" si="942"/>
        <v>#DIV/0!</v>
      </c>
      <c r="S126" s="153" t="e">
        <f t="shared" ca="1" si="942"/>
        <v>#DIV/0!</v>
      </c>
      <c r="T126" s="153" t="e">
        <f t="shared" ca="1" si="942"/>
        <v>#DIV/0!</v>
      </c>
      <c r="U126" s="153" t="e">
        <f t="shared" ca="1" si="942"/>
        <v>#DIV/0!</v>
      </c>
      <c r="V126" s="153" t="e">
        <f t="shared" ca="1" si="942"/>
        <v>#DIV/0!</v>
      </c>
      <c r="W126" s="153" t="e">
        <f t="shared" ca="1" si="942"/>
        <v>#DIV/0!</v>
      </c>
      <c r="X126" s="153" t="e">
        <f t="shared" ca="1" si="942"/>
        <v>#DIV/0!</v>
      </c>
      <c r="Y126" s="153" t="e">
        <f t="shared" ca="1" si="942"/>
        <v>#DIV/0!</v>
      </c>
      <c r="Z126" s="153" t="e">
        <f t="shared" ca="1" si="942"/>
        <v>#DIV/0!</v>
      </c>
      <c r="AA126" s="153" t="e">
        <f t="shared" ref="AA126" ca="1" si="943">+AA97*AA84</f>
        <v>#DIV/0!</v>
      </c>
      <c r="AB126" s="20" t="e">
        <f t="shared" ca="1" si="942"/>
        <v>#DIV/0!</v>
      </c>
      <c r="AC126" s="20" t="e">
        <f t="shared" ca="1" si="942"/>
        <v>#DIV/0!</v>
      </c>
      <c r="AD126" s="20" t="e">
        <f t="shared" ca="1" si="942"/>
        <v>#DIV/0!</v>
      </c>
      <c r="AE126" s="20" t="e">
        <f t="shared" ca="1" si="942"/>
        <v>#DIV/0!</v>
      </c>
      <c r="AL126" s="153">
        <f t="shared" ref="AL126:BQ126" si="944">+AL97*AL84</f>
        <v>329.85839999999996</v>
      </c>
      <c r="AM126" s="153">
        <f t="shared" si="944"/>
        <v>209.81561999999997</v>
      </c>
      <c r="AN126" s="153">
        <f t="shared" si="944"/>
        <v>166.41059999999999</v>
      </c>
      <c r="AO126" s="153">
        <f t="shared" si="944"/>
        <v>158.01599999999999</v>
      </c>
      <c r="AP126" s="153">
        <f t="shared" si="944"/>
        <v>230.35769999999999</v>
      </c>
      <c r="AQ126" s="153">
        <f t="shared" si="944"/>
        <v>295.29239999999999</v>
      </c>
      <c r="AR126" s="153">
        <f t="shared" si="944"/>
        <v>292.99622999999997</v>
      </c>
      <c r="AS126" s="153">
        <f t="shared" si="944"/>
        <v>294.77391</v>
      </c>
      <c r="AT126" s="153">
        <f t="shared" si="944"/>
        <v>268.62719999999996</v>
      </c>
      <c r="AU126" s="153">
        <f t="shared" si="944"/>
        <v>275.04659999999996</v>
      </c>
      <c r="AV126" s="153">
        <f t="shared" si="944"/>
        <v>271.09619999999995</v>
      </c>
      <c r="AW126" s="153">
        <f t="shared" si="944"/>
        <v>225.1728</v>
      </c>
      <c r="AX126" s="153">
        <f t="shared" si="944"/>
        <v>239.44361999999998</v>
      </c>
      <c r="AY126" s="153">
        <f t="shared" si="944"/>
        <v>275.04659999999996</v>
      </c>
      <c r="AZ126" s="153">
        <f t="shared" si="944"/>
        <v>212.33399999999997</v>
      </c>
      <c r="BA126" s="153">
        <f t="shared" si="944"/>
        <v>250.85039999999998</v>
      </c>
      <c r="BB126" s="153">
        <f t="shared" si="944"/>
        <v>345.16619999999995</v>
      </c>
      <c r="BC126" s="153">
        <f t="shared" si="944"/>
        <v>296.77379999999999</v>
      </c>
      <c r="BD126" s="153">
        <f t="shared" si="944"/>
        <v>493.30619999999993</v>
      </c>
      <c r="BE126" s="153">
        <f t="shared" si="944"/>
        <v>671.56799999999998</v>
      </c>
      <c r="BF126" s="153">
        <f t="shared" si="944"/>
        <v>685.88819999999998</v>
      </c>
      <c r="BG126" s="153">
        <f t="shared" si="944"/>
        <v>517.99619999999993</v>
      </c>
      <c r="BH126" s="153">
        <f t="shared" si="944"/>
        <v>419.23619999999994</v>
      </c>
      <c r="BI126" s="153">
        <f t="shared" si="944"/>
        <v>511.08299999999997</v>
      </c>
      <c r="BJ126" s="153">
        <f t="shared" si="944"/>
        <v>710.94854999999995</v>
      </c>
      <c r="BK126" s="153">
        <f t="shared" si="944"/>
        <v>676.48131000000001</v>
      </c>
      <c r="BL126" s="153">
        <f t="shared" si="944"/>
        <v>572.28950999999995</v>
      </c>
      <c r="BM126" s="153">
        <f t="shared" si="944"/>
        <v>491.33099999999996</v>
      </c>
      <c r="BN126" s="153">
        <f t="shared" si="944"/>
        <v>518.49</v>
      </c>
      <c r="BO126" s="153">
        <f t="shared" si="944"/>
        <v>296.27999999999997</v>
      </c>
      <c r="BP126" s="153">
        <f t="shared" si="944"/>
        <v>433.06259999999997</v>
      </c>
      <c r="BQ126" s="153">
        <f t="shared" si="944"/>
        <v>434.54399999999998</v>
      </c>
      <c r="BR126" s="153">
        <f t="shared" ref="BR126:CJ126" si="945">+BR97*BR84</f>
        <v>425.65559999999999</v>
      </c>
      <c r="BS126" s="153">
        <f t="shared" si="945"/>
        <v>488.86199999999997</v>
      </c>
      <c r="BT126" s="153">
        <f t="shared" si="945"/>
        <v>572.80799999999999</v>
      </c>
      <c r="BU126" s="153">
        <f t="shared" si="945"/>
        <v>727.34271000000001</v>
      </c>
      <c r="BV126" s="153">
        <f t="shared" si="945"/>
        <v>864.15</v>
      </c>
      <c r="BW126" s="153">
        <f t="shared" si="945"/>
        <v>906.12299999999993</v>
      </c>
      <c r="BX126" s="153">
        <f t="shared" si="945"/>
        <v>710.08439999999996</v>
      </c>
      <c r="BY126" s="153">
        <f t="shared" si="945"/>
        <v>679.41941999999995</v>
      </c>
      <c r="BZ126" s="153">
        <f t="shared" si="945"/>
        <v>797.48699999999997</v>
      </c>
      <c r="CA126" s="153">
        <f t="shared" si="945"/>
        <v>1485.8441999999998</v>
      </c>
      <c r="CB126" s="153">
        <f t="shared" si="945"/>
        <v>1496.2139999999999</v>
      </c>
      <c r="CC126" s="153">
        <f t="shared" si="945"/>
        <v>1624.6019999999999</v>
      </c>
      <c r="CD126" s="153">
        <f t="shared" si="945"/>
        <v>1806.8141999999998</v>
      </c>
      <c r="CE126" s="153">
        <f t="shared" si="945"/>
        <v>3181.5533999999998</v>
      </c>
      <c r="CF126" s="153">
        <f t="shared" si="945"/>
        <v>3159.8262</v>
      </c>
      <c r="CG126" s="153">
        <f t="shared" si="945"/>
        <v>3012.18</v>
      </c>
      <c r="CH126" s="153">
        <f t="shared" si="945"/>
        <v>2160.8687999999997</v>
      </c>
      <c r="CI126" s="153">
        <f t="shared" si="945"/>
        <v>1970.2619999999999</v>
      </c>
      <c r="CJ126" s="153">
        <f t="shared" si="945"/>
        <v>3153.3327300000001</v>
      </c>
      <c r="CK126" s="153">
        <f t="shared" ref="CK126:CL126" si="946">+CK97*CK84</f>
        <v>3288.7079999999996</v>
      </c>
      <c r="CL126" s="153">
        <f t="shared" si="946"/>
        <v>2933.1719999999996</v>
      </c>
      <c r="CM126" s="20">
        <f t="shared" ref="CM126:DA126" si="947">+CM97*CM84</f>
        <v>738.05166511674065</v>
      </c>
      <c r="CN126" s="20">
        <f t="shared" si="947"/>
        <v>1576.9883077278319</v>
      </c>
      <c r="CO126" s="20">
        <f t="shared" si="947"/>
        <v>3153.316764592556</v>
      </c>
      <c r="CP126" s="20">
        <f t="shared" si="947"/>
        <v>4245.0462476452676</v>
      </c>
      <c r="CQ126" s="20">
        <f t="shared" si="947"/>
        <v>6120.3347832572663</v>
      </c>
      <c r="CR126" s="20">
        <f t="shared" si="947"/>
        <v>8405.5401164398736</v>
      </c>
      <c r="CS126" s="20">
        <f t="shared" si="947"/>
        <v>10709.509996406578</v>
      </c>
      <c r="CT126" s="20">
        <f t="shared" si="947"/>
        <v>12907.684092074216</v>
      </c>
      <c r="CU126" s="20">
        <f t="shared" si="947"/>
        <v>15083.999356211471</v>
      </c>
      <c r="CV126" s="20">
        <f t="shared" si="947"/>
        <v>17832.690762799961</v>
      </c>
      <c r="CW126" s="20">
        <f t="shared" si="947"/>
        <v>20617.979122554694</v>
      </c>
      <c r="CX126" s="20">
        <f t="shared" si="947"/>
        <v>23286.97502005754</v>
      </c>
      <c r="CY126" s="20">
        <f t="shared" si="947"/>
        <v>25940.177544682054</v>
      </c>
      <c r="CZ126" s="20">
        <f t="shared" si="947"/>
        <v>29328.879147603853</v>
      </c>
      <c r="DA126" s="20">
        <f t="shared" si="947"/>
        <v>32773.605176445351</v>
      </c>
      <c r="DD126" s="21">
        <v>3288.7079999999996</v>
      </c>
    </row>
    <row r="127" spans="1:108" s="153" customFormat="1" outlineLevel="1" x14ac:dyDescent="0.2">
      <c r="A127" s="48" t="s">
        <v>341</v>
      </c>
      <c r="B127" s="153">
        <f t="shared" ref="B127:AE127" si="948">+B98*B84</f>
        <v>6.8388710050000006</v>
      </c>
      <c r="C127" s="153">
        <f t="shared" si="948"/>
        <v>5.3081489749999999</v>
      </c>
      <c r="D127" s="153" t="e">
        <f t="shared" si="948"/>
        <v>#DIV/0!</v>
      </c>
      <c r="E127" s="153" t="e">
        <f t="shared" ca="1" si="948"/>
        <v>#DIV/0!</v>
      </c>
      <c r="F127" s="153" t="e">
        <f t="shared" ca="1" si="948"/>
        <v>#DIV/0!</v>
      </c>
      <c r="G127" s="153" t="e">
        <f t="shared" ca="1" si="948"/>
        <v>#DIV/0!</v>
      </c>
      <c r="H127" s="153" t="e">
        <f t="shared" ca="1" si="948"/>
        <v>#DIV/0!</v>
      </c>
      <c r="I127" s="153" t="e">
        <f t="shared" ca="1" si="948"/>
        <v>#DIV/0!</v>
      </c>
      <c r="J127" s="153" t="e">
        <f t="shared" ca="1" si="948"/>
        <v>#DIV/0!</v>
      </c>
      <c r="K127" s="153" t="e">
        <f t="shared" ca="1" si="948"/>
        <v>#DIV/0!</v>
      </c>
      <c r="L127" s="153" t="e">
        <f t="shared" ca="1" si="948"/>
        <v>#DIV/0!</v>
      </c>
      <c r="M127" s="153" t="e">
        <f t="shared" ca="1" si="948"/>
        <v>#DIV/0!</v>
      </c>
      <c r="N127" s="153" t="e">
        <f t="shared" ca="1" si="948"/>
        <v>#DIV/0!</v>
      </c>
      <c r="O127" s="153" t="e">
        <f t="shared" ca="1" si="948"/>
        <v>#DIV/0!</v>
      </c>
      <c r="P127" s="153" t="e">
        <f t="shared" ca="1" si="948"/>
        <v>#DIV/0!</v>
      </c>
      <c r="Q127" s="153" t="e">
        <f t="shared" ca="1" si="948"/>
        <v>#DIV/0!</v>
      </c>
      <c r="R127" s="153" t="e">
        <f t="shared" ca="1" si="948"/>
        <v>#DIV/0!</v>
      </c>
      <c r="S127" s="153" t="e">
        <f t="shared" ca="1" si="948"/>
        <v>#DIV/0!</v>
      </c>
      <c r="T127" s="153" t="e">
        <f t="shared" ca="1" si="948"/>
        <v>#DIV/0!</v>
      </c>
      <c r="U127" s="153" t="e">
        <f t="shared" ca="1" si="948"/>
        <v>#DIV/0!</v>
      </c>
      <c r="V127" s="153" t="e">
        <f t="shared" ca="1" si="948"/>
        <v>#DIV/0!</v>
      </c>
      <c r="W127" s="153" t="e">
        <f t="shared" ca="1" si="948"/>
        <v>#DIV/0!</v>
      </c>
      <c r="X127" s="153" t="e">
        <f t="shared" ca="1" si="948"/>
        <v>#DIV/0!</v>
      </c>
      <c r="Y127" s="153" t="e">
        <f t="shared" ca="1" si="948"/>
        <v>#DIV/0!</v>
      </c>
      <c r="Z127" s="153" t="e">
        <f t="shared" ca="1" si="948"/>
        <v>#DIV/0!</v>
      </c>
      <c r="AA127" s="153" t="e">
        <f t="shared" ref="AA127" ca="1" si="949">+AA98*AA84</f>
        <v>#DIV/0!</v>
      </c>
      <c r="AB127" s="20" t="e">
        <f t="shared" ca="1" si="948"/>
        <v>#DIV/0!</v>
      </c>
      <c r="AC127" s="20" t="e">
        <f t="shared" ca="1" si="948"/>
        <v>#DIV/0!</v>
      </c>
      <c r="AD127" s="20" t="e">
        <f t="shared" ca="1" si="948"/>
        <v>#DIV/0!</v>
      </c>
      <c r="AE127" s="20" t="e">
        <f t="shared" ca="1" si="948"/>
        <v>#DIV/0!</v>
      </c>
      <c r="AL127" s="153">
        <f t="shared" ref="AL127:BQ127" si="950">+AL98*AL84</f>
        <v>178.31118000000001</v>
      </c>
      <c r="AM127" s="153">
        <f t="shared" si="950"/>
        <v>157.15185</v>
      </c>
      <c r="AN127" s="153">
        <f t="shared" si="950"/>
        <v>102.31535999999998</v>
      </c>
      <c r="AO127" s="153">
        <f t="shared" si="950"/>
        <v>114.06779999999999</v>
      </c>
      <c r="AP127" s="153">
        <f t="shared" si="950"/>
        <v>150.85589999999999</v>
      </c>
      <c r="AQ127" s="153">
        <f t="shared" si="950"/>
        <v>222.70379999999997</v>
      </c>
      <c r="AR127" s="153">
        <f t="shared" si="950"/>
        <v>197.54469</v>
      </c>
      <c r="AS127" s="153">
        <f t="shared" si="950"/>
        <v>207.39599999999999</v>
      </c>
      <c r="AT127" s="153">
        <f t="shared" si="950"/>
        <v>167.99075999999999</v>
      </c>
      <c r="AU127" s="153">
        <f t="shared" si="950"/>
        <v>167.892</v>
      </c>
      <c r="AV127" s="153">
        <f t="shared" si="950"/>
        <v>190.11299999999997</v>
      </c>
      <c r="AW127" s="153">
        <f t="shared" si="950"/>
        <v>167.892</v>
      </c>
      <c r="AX127" s="153">
        <f t="shared" si="950"/>
        <v>170.45975999999999</v>
      </c>
      <c r="AY127" s="153">
        <f t="shared" si="950"/>
        <v>182.70599999999999</v>
      </c>
      <c r="AZ127" s="153">
        <f t="shared" si="950"/>
        <v>173.8176</v>
      </c>
      <c r="BA127" s="153">
        <f t="shared" si="950"/>
        <v>174.80519999999999</v>
      </c>
      <c r="BB127" s="153">
        <f t="shared" si="950"/>
        <v>201.71729999999999</v>
      </c>
      <c r="BC127" s="153">
        <f t="shared" si="950"/>
        <v>232.13538</v>
      </c>
      <c r="BD127" s="153">
        <f t="shared" si="950"/>
        <v>239.29548</v>
      </c>
      <c r="BE127" s="153">
        <f t="shared" si="950"/>
        <v>380.22599999999994</v>
      </c>
      <c r="BF127" s="153">
        <f t="shared" si="950"/>
        <v>409.85399999999998</v>
      </c>
      <c r="BG127" s="153">
        <f t="shared" si="950"/>
        <v>370.84379999999999</v>
      </c>
      <c r="BH127" s="153">
        <f t="shared" si="950"/>
        <v>320.96999999999997</v>
      </c>
      <c r="BI127" s="153">
        <f t="shared" si="950"/>
        <v>309.66197999999997</v>
      </c>
      <c r="BJ127" s="153">
        <f t="shared" si="950"/>
        <v>478.98599999999999</v>
      </c>
      <c r="BK127" s="153">
        <f t="shared" si="950"/>
        <v>489.87428999999992</v>
      </c>
      <c r="BL127" s="153">
        <f t="shared" si="950"/>
        <v>365.43668999999994</v>
      </c>
      <c r="BM127" s="153">
        <f t="shared" si="950"/>
        <v>365.41199999999998</v>
      </c>
      <c r="BN127" s="153">
        <f t="shared" si="950"/>
        <v>167.892</v>
      </c>
      <c r="BO127" s="153">
        <f t="shared" si="950"/>
        <v>198.5076</v>
      </c>
      <c r="BP127" s="153">
        <f t="shared" si="950"/>
        <v>237.02399999999997</v>
      </c>
      <c r="BQ127" s="153">
        <f t="shared" si="950"/>
        <v>345.65999999999997</v>
      </c>
      <c r="BR127" s="153">
        <f t="shared" ref="BR127:CJ127" si="951">+BR98*BR84</f>
        <v>370.34999999999997</v>
      </c>
      <c r="BS127" s="153">
        <f t="shared" si="951"/>
        <v>377.75699999999995</v>
      </c>
      <c r="BT127" s="153">
        <f t="shared" si="951"/>
        <v>420.74228999999997</v>
      </c>
      <c r="BU127" s="153">
        <f t="shared" si="951"/>
        <v>426.07532999999995</v>
      </c>
      <c r="BV127" s="153">
        <f t="shared" si="951"/>
        <v>516.04568999999992</v>
      </c>
      <c r="BW127" s="153">
        <f t="shared" si="951"/>
        <v>493.79999999999995</v>
      </c>
      <c r="BX127" s="153">
        <f t="shared" si="951"/>
        <v>515.05808999999999</v>
      </c>
      <c r="BY127" s="153">
        <f t="shared" si="951"/>
        <v>559.17912000000001</v>
      </c>
      <c r="BZ127" s="153">
        <f t="shared" si="951"/>
        <v>625.17548999999997</v>
      </c>
      <c r="CA127" s="153">
        <f t="shared" si="951"/>
        <v>701.19599999999991</v>
      </c>
      <c r="CB127" s="153">
        <f t="shared" si="951"/>
        <v>1172.2811999999999</v>
      </c>
      <c r="CC127" s="153">
        <f t="shared" si="951"/>
        <v>1313.5079999999998</v>
      </c>
      <c r="CD127" s="153">
        <f t="shared" si="951"/>
        <v>1436.9579999999999</v>
      </c>
      <c r="CE127" s="153">
        <f t="shared" si="951"/>
        <v>1543.6681799999999</v>
      </c>
      <c r="CF127" s="153">
        <f t="shared" si="951"/>
        <v>2247.2837999999997</v>
      </c>
      <c r="CG127" s="153">
        <f t="shared" si="951"/>
        <v>2027.0489999999998</v>
      </c>
      <c r="CH127" s="153">
        <f t="shared" si="951"/>
        <v>1176.7253999999998</v>
      </c>
      <c r="CI127" s="153">
        <f t="shared" si="951"/>
        <v>1293.7066199999999</v>
      </c>
      <c r="CJ127" s="153">
        <f t="shared" si="951"/>
        <v>1679.9569799999999</v>
      </c>
      <c r="CK127" s="153">
        <f t="shared" ref="CK127:CL127" si="952">+CK98*CK84</f>
        <v>2234.4449999999997</v>
      </c>
      <c r="CL127" s="153">
        <f t="shared" si="952"/>
        <v>1995.4704899999999</v>
      </c>
      <c r="CM127" s="20">
        <f t="shared" ref="CM127:DA127" si="953">+CM98*CM84</f>
        <v>492.03444341116045</v>
      </c>
      <c r="CN127" s="20">
        <f t="shared" si="953"/>
        <v>1051.3255384852214</v>
      </c>
      <c r="CO127" s="20">
        <f t="shared" si="953"/>
        <v>2102.2111763950375</v>
      </c>
      <c r="CP127" s="20">
        <f t="shared" si="953"/>
        <v>2830.0308317635117</v>
      </c>
      <c r="CQ127" s="20">
        <f t="shared" si="953"/>
        <v>4080.2231888381775</v>
      </c>
      <c r="CR127" s="20">
        <f t="shared" si="953"/>
        <v>5603.693410959916</v>
      </c>
      <c r="CS127" s="20">
        <f t="shared" si="953"/>
        <v>7139.6733309377178</v>
      </c>
      <c r="CT127" s="20">
        <f t="shared" si="953"/>
        <v>8605.1227280494786</v>
      </c>
      <c r="CU127" s="20">
        <f t="shared" si="953"/>
        <v>10055.999570807648</v>
      </c>
      <c r="CV127" s="20">
        <f t="shared" si="953"/>
        <v>11888.460508533308</v>
      </c>
      <c r="CW127" s="20">
        <f t="shared" si="953"/>
        <v>13745.319415036463</v>
      </c>
      <c r="CX127" s="20">
        <f t="shared" si="953"/>
        <v>15524.650013371693</v>
      </c>
      <c r="CY127" s="20">
        <f t="shared" si="953"/>
        <v>17293.4516964547</v>
      </c>
      <c r="CZ127" s="20">
        <f t="shared" si="953"/>
        <v>19552.586098402568</v>
      </c>
      <c r="DA127" s="20">
        <f t="shared" si="953"/>
        <v>21849.070117630232</v>
      </c>
      <c r="DD127" s="21">
        <v>1176.7253999999998</v>
      </c>
    </row>
    <row r="128" spans="1:108" s="153" customFormat="1" outlineLevel="1" x14ac:dyDescent="0.2">
      <c r="A128" s="48" t="s">
        <v>80</v>
      </c>
      <c r="B128" s="153">
        <f>+B187</f>
        <v>29.918484605</v>
      </c>
      <c r="C128" s="153">
        <f t="shared" ref="C128:W128" si="954">+C187</f>
        <v>26.630345447000003</v>
      </c>
      <c r="D128" s="153">
        <f t="shared" si="954"/>
        <v>0</v>
      </c>
      <c r="E128" s="153">
        <f t="shared" si="954"/>
        <v>0</v>
      </c>
      <c r="F128" s="153">
        <f t="shared" si="954"/>
        <v>0</v>
      </c>
      <c r="G128" s="153">
        <f t="shared" si="954"/>
        <v>0</v>
      </c>
      <c r="H128" s="153">
        <f t="shared" si="954"/>
        <v>0</v>
      </c>
      <c r="I128" s="153">
        <f t="shared" si="954"/>
        <v>0</v>
      </c>
      <c r="J128" s="153">
        <f t="shared" si="954"/>
        <v>0</v>
      </c>
      <c r="K128" s="153">
        <f t="shared" si="954"/>
        <v>0</v>
      </c>
      <c r="L128" s="153">
        <f t="shared" si="954"/>
        <v>0</v>
      </c>
      <c r="M128" s="153">
        <f t="shared" si="954"/>
        <v>0</v>
      </c>
      <c r="N128" s="153">
        <f t="shared" si="954"/>
        <v>0</v>
      </c>
      <c r="O128" s="153">
        <f t="shared" si="954"/>
        <v>0</v>
      </c>
      <c r="P128" s="153">
        <f t="shared" si="954"/>
        <v>0</v>
      </c>
      <c r="Q128" s="153">
        <f t="shared" si="954"/>
        <v>0</v>
      </c>
      <c r="R128" s="153">
        <f t="shared" si="954"/>
        <v>0</v>
      </c>
      <c r="S128" s="153">
        <f t="shared" si="954"/>
        <v>0</v>
      </c>
      <c r="T128" s="153">
        <f t="shared" si="954"/>
        <v>0</v>
      </c>
      <c r="U128" s="153">
        <f t="shared" si="954"/>
        <v>0</v>
      </c>
      <c r="V128" s="153">
        <f t="shared" si="954"/>
        <v>0</v>
      </c>
      <c r="W128" s="153">
        <f t="shared" si="954"/>
        <v>0</v>
      </c>
      <c r="X128" s="153">
        <f t="shared" ref="X128:Y128" si="955">+X187</f>
        <v>0</v>
      </c>
      <c r="Y128" s="153">
        <f t="shared" si="955"/>
        <v>-130.46430000000001</v>
      </c>
      <c r="Z128" s="153">
        <f t="shared" ref="Z128:AA128" si="956">+Z187</f>
        <v>-62.5261</v>
      </c>
      <c r="AA128" s="153">
        <f t="shared" si="956"/>
        <v>-226.50280000000001</v>
      </c>
      <c r="AB128" s="20">
        <f t="shared" ref="AA128:AD128" si="957">+AB187</f>
        <v>-359.25345808520171</v>
      </c>
      <c r="AC128" s="20">
        <f t="shared" si="957"/>
        <v>-596.72427239335889</v>
      </c>
      <c r="AD128" s="20">
        <f t="shared" si="957"/>
        <v>-1002.0700937727865</v>
      </c>
      <c r="AE128" s="20">
        <f t="shared" ref="AE128" si="958">+AE187</f>
        <v>-1616.1380272478646</v>
      </c>
      <c r="AL128" s="153">
        <f t="shared" ref="AL128:AM128" si="959">+AL187</f>
        <v>3.4370000000000163</v>
      </c>
      <c r="AM128" s="153">
        <f t="shared" si="959"/>
        <v>0</v>
      </c>
      <c r="AN128" s="153">
        <f t="shared" ref="AN128:AO128" si="960">+AN187</f>
        <v>18.507999999999992</v>
      </c>
      <c r="AO128" s="153">
        <f t="shared" si="960"/>
        <v>0</v>
      </c>
      <c r="AP128" s="153">
        <f t="shared" ref="AP128:CD128" si="961">+AP187</f>
        <v>1.5760000000000192</v>
      </c>
      <c r="AQ128" s="153">
        <f t="shared" si="961"/>
        <v>0</v>
      </c>
      <c r="AR128" s="153">
        <f t="shared" si="961"/>
        <v>-4.2170000000000014</v>
      </c>
      <c r="AS128" s="153">
        <f t="shared" si="961"/>
        <v>0</v>
      </c>
      <c r="AT128" s="153">
        <f t="shared" si="961"/>
        <v>-7.7749999999999932</v>
      </c>
      <c r="AU128" s="153">
        <f t="shared" si="961"/>
        <v>0</v>
      </c>
      <c r="AV128" s="153">
        <f t="shared" si="961"/>
        <v>2.8020000000000009</v>
      </c>
      <c r="AW128" s="153">
        <f t="shared" si="961"/>
        <v>0</v>
      </c>
      <c r="AX128" s="153">
        <f t="shared" si="961"/>
        <v>-10.694000000000003</v>
      </c>
      <c r="AY128" s="153">
        <f t="shared" si="961"/>
        <v>0</v>
      </c>
      <c r="AZ128" s="153">
        <f t="shared" si="961"/>
        <v>-2.1000000000006125E-2</v>
      </c>
      <c r="BA128" s="153">
        <f t="shared" si="961"/>
        <v>0</v>
      </c>
      <c r="BB128" s="153">
        <f t="shared" si="961"/>
        <v>-4.5799999999999939</v>
      </c>
      <c r="BC128" s="153">
        <f t="shared" si="961"/>
        <v>0</v>
      </c>
      <c r="BD128" s="153">
        <f t="shared" si="961"/>
        <v>-4.5229999999999997</v>
      </c>
      <c r="BE128" s="153">
        <f t="shared" si="961"/>
        <v>0</v>
      </c>
      <c r="BF128" s="153">
        <f t="shared" si="961"/>
        <v>0.99799999999999289</v>
      </c>
      <c r="BG128" s="153">
        <f t="shared" si="961"/>
        <v>0</v>
      </c>
      <c r="BH128" s="153">
        <f t="shared" si="961"/>
        <v>-10.432</v>
      </c>
      <c r="BI128" s="153">
        <f t="shared" si="961"/>
        <v>0</v>
      </c>
      <c r="BJ128" s="153">
        <f t="shared" si="961"/>
        <v>-5.4789999999999939</v>
      </c>
      <c r="BK128" s="153">
        <f t="shared" si="961"/>
        <v>0</v>
      </c>
      <c r="BL128" s="153">
        <f t="shared" si="961"/>
        <v>-9.7959999999999923</v>
      </c>
      <c r="BM128" s="153">
        <f t="shared" si="961"/>
        <v>0</v>
      </c>
      <c r="BN128" s="153">
        <f t="shared" si="961"/>
        <v>-4.5259999999999989</v>
      </c>
      <c r="BO128" s="153">
        <f t="shared" si="961"/>
        <v>0</v>
      </c>
      <c r="BP128" s="153">
        <f t="shared" si="961"/>
        <v>11.356999999999998</v>
      </c>
      <c r="BQ128" s="153">
        <f t="shared" si="961"/>
        <v>0</v>
      </c>
      <c r="BR128" s="153">
        <f t="shared" si="961"/>
        <v>8.960000000000008</v>
      </c>
      <c r="BS128" s="153">
        <f t="shared" si="961"/>
        <v>0</v>
      </c>
      <c r="BT128" s="153">
        <f t="shared" si="961"/>
        <v>-2.1990000000000025</v>
      </c>
      <c r="BU128" s="153">
        <f t="shared" si="961"/>
        <v>0</v>
      </c>
      <c r="BV128" s="153">
        <f t="shared" si="961"/>
        <v>2.4539999999999949</v>
      </c>
      <c r="BW128" s="153">
        <f t="shared" si="961"/>
        <v>0</v>
      </c>
      <c r="BX128" s="153">
        <f t="shared" si="961"/>
        <v>2.9460000000000011</v>
      </c>
      <c r="BY128" s="153">
        <f t="shared" si="961"/>
        <v>0</v>
      </c>
      <c r="BZ128" s="153">
        <f t="shared" si="961"/>
        <v>-9.7930000000000046</v>
      </c>
      <c r="CA128" s="153">
        <f t="shared" si="961"/>
        <v>0</v>
      </c>
      <c r="CB128" s="153">
        <f t="shared" si="961"/>
        <v>-6.9840000000000106</v>
      </c>
      <c r="CC128" s="153">
        <f t="shared" si="961"/>
        <v>-130.465</v>
      </c>
      <c r="CD128" s="153">
        <f t="shared" si="961"/>
        <v>-95.793674627712193</v>
      </c>
      <c r="CE128" s="153">
        <f t="shared" ref="CE128:CF128" si="962">+CE187</f>
        <v>-77.486000000000004</v>
      </c>
      <c r="CF128" s="153">
        <f t="shared" si="962"/>
        <v>-82.720645352514254</v>
      </c>
      <c r="CG128" s="153">
        <f t="shared" ref="CG128:CH128" si="963">+CG187</f>
        <v>-62.5261</v>
      </c>
      <c r="CH128" s="153">
        <f t="shared" si="963"/>
        <v>88.119419527502373</v>
      </c>
      <c r="CI128" s="153">
        <f t="shared" ref="CI128:CJ128" si="964">+CI187</f>
        <v>-123.78</v>
      </c>
      <c r="CJ128" s="153">
        <f t="shared" si="964"/>
        <v>-109.746749726004</v>
      </c>
      <c r="CK128" s="153">
        <f t="shared" ref="CK128:CL128" si="965">+CK187</f>
        <v>-226.50299999999999</v>
      </c>
      <c r="CL128" s="153">
        <f t="shared" si="965"/>
        <v>-187.08523436928803</v>
      </c>
      <c r="CM128" s="20">
        <f t="shared" ref="CM128:DA128" si="966">+CM187</f>
        <v>-250.41233208929378</v>
      </c>
      <c r="CN128" s="20">
        <f t="shared" si="966"/>
        <v>-324.6363865310858</v>
      </c>
      <c r="CO128" s="20">
        <f t="shared" si="966"/>
        <v>-359.25345808520171</v>
      </c>
      <c r="CP128" s="20">
        <f t="shared" si="966"/>
        <v>-379.02603864222726</v>
      </c>
      <c r="CQ128" s="20">
        <f t="shared" si="966"/>
        <v>-406.10910926640963</v>
      </c>
      <c r="CR128" s="20">
        <f t="shared" si="966"/>
        <v>-525.42339577671112</v>
      </c>
      <c r="CS128" s="20">
        <f t="shared" si="966"/>
        <v>-596.72427239335889</v>
      </c>
      <c r="CT128" s="20">
        <f t="shared" si="966"/>
        <v>-649.78874877448061</v>
      </c>
      <c r="CU128" s="20">
        <f t="shared" si="966"/>
        <v>-710.99548363259839</v>
      </c>
      <c r="CV128" s="20">
        <f t="shared" si="966"/>
        <v>-885.5103400712261</v>
      </c>
      <c r="CW128" s="20">
        <f t="shared" si="966"/>
        <v>-1002.0700937727865</v>
      </c>
      <c r="CX128" s="20">
        <f t="shared" si="966"/>
        <v>-1096.4202028992845</v>
      </c>
      <c r="CY128" s="20">
        <f t="shared" si="966"/>
        <v>-1200.0112446198593</v>
      </c>
      <c r="CZ128" s="20">
        <f t="shared" si="966"/>
        <v>-1442.9466943079431</v>
      </c>
      <c r="DA128" s="20">
        <f t="shared" si="966"/>
        <v>-1616.1380272478646</v>
      </c>
      <c r="DD128" s="21">
        <v>-226.50299999999999</v>
      </c>
    </row>
    <row r="129" spans="1:108" s="153" customFormat="1" outlineLevel="1" x14ac:dyDescent="0.2">
      <c r="A129" s="48" t="s">
        <v>342</v>
      </c>
      <c r="B129" s="153">
        <f>+B126+B128</f>
        <v>52.632424405000002</v>
      </c>
      <c r="C129" s="153">
        <f t="shared" ref="C129:W129" si="967">+C126+C128</f>
        <v>40.925314082</v>
      </c>
      <c r="D129" s="153" t="e">
        <f t="shared" si="967"/>
        <v>#DIV/0!</v>
      </c>
      <c r="E129" s="153" t="e">
        <f t="shared" ca="1" si="967"/>
        <v>#DIV/0!</v>
      </c>
      <c r="F129" s="153" t="e">
        <f t="shared" ca="1" si="967"/>
        <v>#DIV/0!</v>
      </c>
      <c r="G129" s="153" t="e">
        <f t="shared" ca="1" si="967"/>
        <v>#DIV/0!</v>
      </c>
      <c r="H129" s="153" t="e">
        <f t="shared" ca="1" si="967"/>
        <v>#DIV/0!</v>
      </c>
      <c r="I129" s="153" t="e">
        <f t="shared" ca="1" si="967"/>
        <v>#DIV/0!</v>
      </c>
      <c r="J129" s="153" t="e">
        <f t="shared" ca="1" si="967"/>
        <v>#DIV/0!</v>
      </c>
      <c r="K129" s="153" t="e">
        <f t="shared" ca="1" si="967"/>
        <v>#DIV/0!</v>
      </c>
      <c r="L129" s="153" t="e">
        <f t="shared" ca="1" si="967"/>
        <v>#DIV/0!</v>
      </c>
      <c r="M129" s="153" t="e">
        <f t="shared" ca="1" si="967"/>
        <v>#DIV/0!</v>
      </c>
      <c r="N129" s="153" t="e">
        <f t="shared" ca="1" si="967"/>
        <v>#DIV/0!</v>
      </c>
      <c r="O129" s="153" t="e">
        <f t="shared" ca="1" si="967"/>
        <v>#DIV/0!</v>
      </c>
      <c r="P129" s="153" t="e">
        <f t="shared" ca="1" si="967"/>
        <v>#DIV/0!</v>
      </c>
      <c r="Q129" s="153" t="e">
        <f t="shared" ca="1" si="967"/>
        <v>#DIV/0!</v>
      </c>
      <c r="R129" s="153" t="e">
        <f t="shared" ca="1" si="967"/>
        <v>#DIV/0!</v>
      </c>
      <c r="S129" s="153" t="e">
        <f t="shared" ca="1" si="967"/>
        <v>#DIV/0!</v>
      </c>
      <c r="T129" s="153" t="e">
        <f t="shared" ca="1" si="967"/>
        <v>#DIV/0!</v>
      </c>
      <c r="U129" s="153" t="e">
        <f t="shared" ca="1" si="967"/>
        <v>#DIV/0!</v>
      </c>
      <c r="V129" s="153" t="e">
        <f t="shared" ca="1" si="967"/>
        <v>#DIV/0!</v>
      </c>
      <c r="W129" s="153" t="e">
        <f t="shared" ca="1" si="967"/>
        <v>#DIV/0!</v>
      </c>
      <c r="X129" s="153" t="e">
        <f t="shared" ref="X129:Y129" ca="1" si="968">+X126+X128</f>
        <v>#DIV/0!</v>
      </c>
      <c r="Y129" s="153" t="e">
        <f t="shared" ca="1" si="968"/>
        <v>#DIV/0!</v>
      </c>
      <c r="Z129" s="153" t="e">
        <f t="shared" ref="Z129:AA129" ca="1" si="969">+Z126+Z128</f>
        <v>#DIV/0!</v>
      </c>
      <c r="AA129" s="153" t="e">
        <f t="shared" ca="1" si="969"/>
        <v>#DIV/0!</v>
      </c>
      <c r="AB129" s="20" t="e">
        <f t="shared" ref="AA129:AD129" ca="1" si="970">+AB126+AB128</f>
        <v>#DIV/0!</v>
      </c>
      <c r="AC129" s="20" t="e">
        <f t="shared" ca="1" si="970"/>
        <v>#DIV/0!</v>
      </c>
      <c r="AD129" s="20" t="e">
        <f t="shared" ca="1" si="970"/>
        <v>#DIV/0!</v>
      </c>
      <c r="AE129" s="20" t="e">
        <f t="shared" ref="AE129" ca="1" si="971">+AE126+AE128</f>
        <v>#DIV/0!</v>
      </c>
      <c r="AL129" s="153">
        <f t="shared" ref="AL129" si="972">+AL126+AL128</f>
        <v>333.29539999999997</v>
      </c>
      <c r="AM129" s="153">
        <f t="shared" ref="AM129:AO129" si="973">+AM126+AM128</f>
        <v>209.81561999999997</v>
      </c>
      <c r="AN129" s="153">
        <f t="shared" si="973"/>
        <v>184.91859999999997</v>
      </c>
      <c r="AO129" s="153">
        <f t="shared" si="973"/>
        <v>158.01599999999999</v>
      </c>
      <c r="AP129" s="153">
        <f t="shared" ref="AP129:CD129" si="974">+AP126+AP128</f>
        <v>231.93370000000002</v>
      </c>
      <c r="AQ129" s="153">
        <f t="shared" si="974"/>
        <v>295.29239999999999</v>
      </c>
      <c r="AR129" s="153">
        <f t="shared" si="974"/>
        <v>288.77922999999998</v>
      </c>
      <c r="AS129" s="153">
        <f t="shared" si="974"/>
        <v>294.77391</v>
      </c>
      <c r="AT129" s="153">
        <f t="shared" si="974"/>
        <v>260.85219999999998</v>
      </c>
      <c r="AU129" s="153">
        <f t="shared" si="974"/>
        <v>275.04659999999996</v>
      </c>
      <c r="AV129" s="153">
        <f t="shared" si="974"/>
        <v>273.89819999999997</v>
      </c>
      <c r="AW129" s="153">
        <f t="shared" si="974"/>
        <v>225.1728</v>
      </c>
      <c r="AX129" s="153">
        <f t="shared" si="974"/>
        <v>228.74961999999999</v>
      </c>
      <c r="AY129" s="153">
        <f t="shared" si="974"/>
        <v>275.04659999999996</v>
      </c>
      <c r="AZ129" s="153">
        <f t="shared" si="974"/>
        <v>212.31299999999996</v>
      </c>
      <c r="BA129" s="153">
        <f t="shared" si="974"/>
        <v>250.85039999999998</v>
      </c>
      <c r="BB129" s="153">
        <f t="shared" si="974"/>
        <v>340.58619999999996</v>
      </c>
      <c r="BC129" s="153">
        <f t="shared" si="974"/>
        <v>296.77379999999999</v>
      </c>
      <c r="BD129" s="153">
        <f t="shared" si="974"/>
        <v>488.78319999999991</v>
      </c>
      <c r="BE129" s="153">
        <f t="shared" si="974"/>
        <v>671.56799999999998</v>
      </c>
      <c r="BF129" s="153">
        <f t="shared" si="974"/>
        <v>686.88620000000003</v>
      </c>
      <c r="BG129" s="153">
        <f t="shared" si="974"/>
        <v>517.99619999999993</v>
      </c>
      <c r="BH129" s="153">
        <f t="shared" si="974"/>
        <v>408.80419999999992</v>
      </c>
      <c r="BI129" s="153">
        <f t="shared" si="974"/>
        <v>511.08299999999997</v>
      </c>
      <c r="BJ129" s="153">
        <f t="shared" si="974"/>
        <v>705.46954999999991</v>
      </c>
      <c r="BK129" s="153">
        <f t="shared" si="974"/>
        <v>676.48131000000001</v>
      </c>
      <c r="BL129" s="153">
        <f t="shared" si="974"/>
        <v>562.49351000000001</v>
      </c>
      <c r="BM129" s="153">
        <f t="shared" si="974"/>
        <v>491.33099999999996</v>
      </c>
      <c r="BN129" s="153">
        <f t="shared" si="974"/>
        <v>513.96400000000006</v>
      </c>
      <c r="BO129" s="153">
        <f t="shared" si="974"/>
        <v>296.27999999999997</v>
      </c>
      <c r="BP129" s="153">
        <f t="shared" si="974"/>
        <v>444.41959999999995</v>
      </c>
      <c r="BQ129" s="153">
        <f t="shared" si="974"/>
        <v>434.54399999999998</v>
      </c>
      <c r="BR129" s="153">
        <f t="shared" si="974"/>
        <v>434.61559999999997</v>
      </c>
      <c r="BS129" s="153">
        <f t="shared" si="974"/>
        <v>488.86199999999997</v>
      </c>
      <c r="BT129" s="153">
        <f t="shared" si="974"/>
        <v>570.60900000000004</v>
      </c>
      <c r="BU129" s="153">
        <f t="shared" si="974"/>
        <v>727.34271000000001</v>
      </c>
      <c r="BV129" s="153">
        <f t="shared" si="974"/>
        <v>866.60399999999993</v>
      </c>
      <c r="BW129" s="153">
        <f t="shared" si="974"/>
        <v>906.12299999999993</v>
      </c>
      <c r="BX129" s="153">
        <f t="shared" si="974"/>
        <v>713.03039999999999</v>
      </c>
      <c r="BY129" s="153">
        <f t="shared" si="974"/>
        <v>679.41941999999995</v>
      </c>
      <c r="BZ129" s="153">
        <f t="shared" si="974"/>
        <v>787.69399999999996</v>
      </c>
      <c r="CA129" s="153">
        <f t="shared" si="974"/>
        <v>1485.8441999999998</v>
      </c>
      <c r="CB129" s="153">
        <f t="shared" si="974"/>
        <v>1489.23</v>
      </c>
      <c r="CC129" s="153">
        <f t="shared" si="974"/>
        <v>1494.1369999999999</v>
      </c>
      <c r="CD129" s="153">
        <f t="shared" si="974"/>
        <v>1711.0205253722877</v>
      </c>
      <c r="CE129" s="153">
        <f t="shared" ref="CE129:CF129" si="975">+CE126+CE128</f>
        <v>3104.0673999999999</v>
      </c>
      <c r="CF129" s="153">
        <f t="shared" si="975"/>
        <v>3077.1055546474859</v>
      </c>
      <c r="CG129" s="153">
        <f t="shared" ref="CG129:CH129" si="976">+CG126+CG128</f>
        <v>2949.6538999999998</v>
      </c>
      <c r="CH129" s="153">
        <f t="shared" si="976"/>
        <v>2248.9882195275022</v>
      </c>
      <c r="CI129" s="153">
        <f t="shared" ref="CI129:CJ129" si="977">+CI126+CI128</f>
        <v>1846.482</v>
      </c>
      <c r="CJ129" s="153">
        <f t="shared" si="977"/>
        <v>3043.585980273996</v>
      </c>
      <c r="CK129" s="153">
        <f t="shared" ref="CK129:CL129" si="978">+CK126+CK128</f>
        <v>3062.2049999999995</v>
      </c>
      <c r="CL129" s="153">
        <f t="shared" si="978"/>
        <v>2746.0867656307114</v>
      </c>
      <c r="CM129" s="20">
        <f t="shared" ref="CM129:DA129" si="979">+CM126+CM128</f>
        <v>487.63933302744687</v>
      </c>
      <c r="CN129" s="20">
        <f t="shared" si="979"/>
        <v>1252.3519211967459</v>
      </c>
      <c r="CO129" s="20">
        <f t="shared" si="979"/>
        <v>2794.0633065073544</v>
      </c>
      <c r="CP129" s="20">
        <f t="shared" si="979"/>
        <v>3866.0202090030402</v>
      </c>
      <c r="CQ129" s="20">
        <f t="shared" si="979"/>
        <v>5714.2256739908571</v>
      </c>
      <c r="CR129" s="20">
        <f t="shared" si="979"/>
        <v>7880.1167206631626</v>
      </c>
      <c r="CS129" s="20">
        <f t="shared" si="979"/>
        <v>10112.785724013218</v>
      </c>
      <c r="CT129" s="20">
        <f t="shared" si="979"/>
        <v>12257.895343299735</v>
      </c>
      <c r="CU129" s="20">
        <f t="shared" si="979"/>
        <v>14373.003872578873</v>
      </c>
      <c r="CV129" s="20">
        <f t="shared" si="979"/>
        <v>16947.180422728736</v>
      </c>
      <c r="CW129" s="20">
        <f t="shared" si="979"/>
        <v>19615.909028781909</v>
      </c>
      <c r="CX129" s="20">
        <f t="shared" si="979"/>
        <v>22190.554817158256</v>
      </c>
      <c r="CY129" s="20">
        <f t="shared" si="979"/>
        <v>24740.166300062196</v>
      </c>
      <c r="CZ129" s="20">
        <f t="shared" si="979"/>
        <v>27885.932453295911</v>
      </c>
      <c r="DA129" s="20">
        <f t="shared" si="979"/>
        <v>31157.467149197488</v>
      </c>
      <c r="DD129" s="21">
        <v>3062.2049999999995</v>
      </c>
    </row>
    <row r="130" spans="1:108" s="153" customFormat="1" outlineLevel="1" x14ac:dyDescent="0.2">
      <c r="A130" s="48" t="s">
        <v>345</v>
      </c>
      <c r="B130" s="153">
        <f>+B127+B128</f>
        <v>36.757355609999998</v>
      </c>
      <c r="C130" s="153">
        <f t="shared" ref="C130:W130" si="980">+C127+C128</f>
        <v>31.938494422000005</v>
      </c>
      <c r="D130" s="153" t="e">
        <f t="shared" si="980"/>
        <v>#DIV/0!</v>
      </c>
      <c r="E130" s="153" t="e">
        <f t="shared" ca="1" si="980"/>
        <v>#DIV/0!</v>
      </c>
      <c r="F130" s="153" t="e">
        <f t="shared" ca="1" si="980"/>
        <v>#DIV/0!</v>
      </c>
      <c r="G130" s="153" t="e">
        <f t="shared" ca="1" si="980"/>
        <v>#DIV/0!</v>
      </c>
      <c r="H130" s="153" t="e">
        <f t="shared" ca="1" si="980"/>
        <v>#DIV/0!</v>
      </c>
      <c r="I130" s="153" t="e">
        <f t="shared" ca="1" si="980"/>
        <v>#DIV/0!</v>
      </c>
      <c r="J130" s="153" t="e">
        <f t="shared" ca="1" si="980"/>
        <v>#DIV/0!</v>
      </c>
      <c r="K130" s="153" t="e">
        <f t="shared" ca="1" si="980"/>
        <v>#DIV/0!</v>
      </c>
      <c r="L130" s="153" t="e">
        <f t="shared" ca="1" si="980"/>
        <v>#DIV/0!</v>
      </c>
      <c r="M130" s="153" t="e">
        <f t="shared" ca="1" si="980"/>
        <v>#DIV/0!</v>
      </c>
      <c r="N130" s="153" t="e">
        <f t="shared" ca="1" si="980"/>
        <v>#DIV/0!</v>
      </c>
      <c r="O130" s="153" t="e">
        <f t="shared" ca="1" si="980"/>
        <v>#DIV/0!</v>
      </c>
      <c r="P130" s="153" t="e">
        <f t="shared" ca="1" si="980"/>
        <v>#DIV/0!</v>
      </c>
      <c r="Q130" s="153" t="e">
        <f t="shared" ca="1" si="980"/>
        <v>#DIV/0!</v>
      </c>
      <c r="R130" s="153" t="e">
        <f t="shared" ca="1" si="980"/>
        <v>#DIV/0!</v>
      </c>
      <c r="S130" s="153" t="e">
        <f t="shared" ca="1" si="980"/>
        <v>#DIV/0!</v>
      </c>
      <c r="T130" s="153" t="e">
        <f t="shared" ca="1" si="980"/>
        <v>#DIV/0!</v>
      </c>
      <c r="U130" s="153" t="e">
        <f t="shared" ca="1" si="980"/>
        <v>#DIV/0!</v>
      </c>
      <c r="V130" s="153" t="e">
        <f t="shared" ca="1" si="980"/>
        <v>#DIV/0!</v>
      </c>
      <c r="W130" s="153" t="e">
        <f t="shared" ca="1" si="980"/>
        <v>#DIV/0!</v>
      </c>
      <c r="X130" s="153" t="e">
        <f t="shared" ref="X130:Y130" ca="1" si="981">+X127+X128</f>
        <v>#DIV/0!</v>
      </c>
      <c r="Y130" s="153" t="e">
        <f t="shared" ca="1" si="981"/>
        <v>#DIV/0!</v>
      </c>
      <c r="Z130" s="153" t="e">
        <f t="shared" ref="Z130:AA130" ca="1" si="982">+Z127+Z128</f>
        <v>#DIV/0!</v>
      </c>
      <c r="AA130" s="153" t="e">
        <f t="shared" ca="1" si="982"/>
        <v>#DIV/0!</v>
      </c>
      <c r="AB130" s="20" t="e">
        <f t="shared" ref="AA130:AD130" ca="1" si="983">+AB127+AB128</f>
        <v>#DIV/0!</v>
      </c>
      <c r="AC130" s="20" t="e">
        <f t="shared" ca="1" si="983"/>
        <v>#DIV/0!</v>
      </c>
      <c r="AD130" s="20" t="e">
        <f t="shared" ca="1" si="983"/>
        <v>#DIV/0!</v>
      </c>
      <c r="AE130" s="20" t="e">
        <f t="shared" ref="AE130" ca="1" si="984">+AE127+AE128</f>
        <v>#DIV/0!</v>
      </c>
      <c r="AL130" s="153">
        <f t="shared" ref="AL130:AM130" si="985">+AL127+AL128</f>
        <v>181.74818000000002</v>
      </c>
      <c r="AM130" s="153">
        <f t="shared" si="985"/>
        <v>157.15185</v>
      </c>
      <c r="AN130" s="153">
        <f t="shared" ref="AN130:AO130" si="986">+AN127+AN128</f>
        <v>120.82335999999998</v>
      </c>
      <c r="AO130" s="153">
        <f t="shared" si="986"/>
        <v>114.06779999999999</v>
      </c>
      <c r="AP130" s="153">
        <f t="shared" ref="AP130:CD130" si="987">+AP127+AP128</f>
        <v>152.43190000000001</v>
      </c>
      <c r="AQ130" s="153">
        <f t="shared" si="987"/>
        <v>222.70379999999997</v>
      </c>
      <c r="AR130" s="153">
        <f t="shared" si="987"/>
        <v>193.32768999999999</v>
      </c>
      <c r="AS130" s="153">
        <f t="shared" si="987"/>
        <v>207.39599999999999</v>
      </c>
      <c r="AT130" s="153">
        <f t="shared" si="987"/>
        <v>160.21575999999999</v>
      </c>
      <c r="AU130" s="153">
        <f t="shared" si="987"/>
        <v>167.892</v>
      </c>
      <c r="AV130" s="153">
        <f t="shared" si="987"/>
        <v>192.91499999999996</v>
      </c>
      <c r="AW130" s="153">
        <f t="shared" si="987"/>
        <v>167.892</v>
      </c>
      <c r="AX130" s="153">
        <f t="shared" si="987"/>
        <v>159.76576</v>
      </c>
      <c r="AY130" s="153">
        <f t="shared" si="987"/>
        <v>182.70599999999999</v>
      </c>
      <c r="AZ130" s="153">
        <f t="shared" si="987"/>
        <v>173.79659999999998</v>
      </c>
      <c r="BA130" s="153">
        <f t="shared" si="987"/>
        <v>174.80519999999999</v>
      </c>
      <c r="BB130" s="153">
        <f t="shared" si="987"/>
        <v>197.13730000000001</v>
      </c>
      <c r="BC130" s="153">
        <f t="shared" si="987"/>
        <v>232.13538</v>
      </c>
      <c r="BD130" s="153">
        <f t="shared" si="987"/>
        <v>234.77248</v>
      </c>
      <c r="BE130" s="153">
        <f t="shared" si="987"/>
        <v>380.22599999999994</v>
      </c>
      <c r="BF130" s="153">
        <f t="shared" si="987"/>
        <v>410.85199999999998</v>
      </c>
      <c r="BG130" s="153">
        <f t="shared" si="987"/>
        <v>370.84379999999999</v>
      </c>
      <c r="BH130" s="153">
        <f t="shared" si="987"/>
        <v>310.53799999999995</v>
      </c>
      <c r="BI130" s="153">
        <f t="shared" si="987"/>
        <v>309.66197999999997</v>
      </c>
      <c r="BJ130" s="153">
        <f t="shared" si="987"/>
        <v>473.50700000000001</v>
      </c>
      <c r="BK130" s="153">
        <f t="shared" si="987"/>
        <v>489.87428999999992</v>
      </c>
      <c r="BL130" s="153">
        <f t="shared" si="987"/>
        <v>355.64068999999995</v>
      </c>
      <c r="BM130" s="153">
        <f t="shared" si="987"/>
        <v>365.41199999999998</v>
      </c>
      <c r="BN130" s="153">
        <f t="shared" si="987"/>
        <v>163.36599999999999</v>
      </c>
      <c r="BO130" s="153">
        <f t="shared" si="987"/>
        <v>198.5076</v>
      </c>
      <c r="BP130" s="153">
        <f t="shared" si="987"/>
        <v>248.38099999999997</v>
      </c>
      <c r="BQ130" s="153">
        <f t="shared" si="987"/>
        <v>345.65999999999997</v>
      </c>
      <c r="BR130" s="153">
        <f t="shared" si="987"/>
        <v>379.30999999999995</v>
      </c>
      <c r="BS130" s="153">
        <f t="shared" si="987"/>
        <v>377.75699999999995</v>
      </c>
      <c r="BT130" s="153">
        <f t="shared" si="987"/>
        <v>418.54328999999996</v>
      </c>
      <c r="BU130" s="153">
        <f t="shared" si="987"/>
        <v>426.07532999999995</v>
      </c>
      <c r="BV130" s="153">
        <f t="shared" si="987"/>
        <v>518.49968999999987</v>
      </c>
      <c r="BW130" s="153">
        <f t="shared" si="987"/>
        <v>493.79999999999995</v>
      </c>
      <c r="BX130" s="153">
        <f t="shared" si="987"/>
        <v>518.00409000000002</v>
      </c>
      <c r="BY130" s="153">
        <f t="shared" si="987"/>
        <v>559.17912000000001</v>
      </c>
      <c r="BZ130" s="153">
        <f t="shared" si="987"/>
        <v>615.38248999999996</v>
      </c>
      <c r="CA130" s="153">
        <f t="shared" si="987"/>
        <v>701.19599999999991</v>
      </c>
      <c r="CB130" s="153">
        <f t="shared" si="987"/>
        <v>1165.2972</v>
      </c>
      <c r="CC130" s="153">
        <f t="shared" si="987"/>
        <v>1183.0429999999999</v>
      </c>
      <c r="CD130" s="153">
        <f t="shared" si="987"/>
        <v>1341.1643253722877</v>
      </c>
      <c r="CE130" s="153">
        <f t="shared" ref="CE130:CF130" si="988">+CE127+CE128</f>
        <v>1466.1821799999998</v>
      </c>
      <c r="CF130" s="153">
        <f t="shared" si="988"/>
        <v>2164.5631546474856</v>
      </c>
      <c r="CG130" s="153">
        <f t="shared" ref="CG130:CH130" si="989">+CG127+CG128</f>
        <v>1964.5228999999997</v>
      </c>
      <c r="CH130" s="153">
        <f t="shared" si="989"/>
        <v>1264.8448195275023</v>
      </c>
      <c r="CI130" s="153">
        <f t="shared" ref="CI130:CJ130" si="990">+CI127+CI128</f>
        <v>1169.92662</v>
      </c>
      <c r="CJ130" s="153">
        <f t="shared" si="990"/>
        <v>1570.2102302739959</v>
      </c>
      <c r="CK130" s="153">
        <f t="shared" ref="CK130:CL130" si="991">+CK127+CK128</f>
        <v>2007.9419999999998</v>
      </c>
      <c r="CL130" s="153">
        <f t="shared" si="991"/>
        <v>1808.385255630712</v>
      </c>
      <c r="CM130" s="20">
        <f t="shared" ref="CM130:DA130" si="992">+CM127+CM128</f>
        <v>241.62211132186667</v>
      </c>
      <c r="CN130" s="20">
        <f t="shared" si="992"/>
        <v>726.68915195413558</v>
      </c>
      <c r="CO130" s="20">
        <f t="shared" si="992"/>
        <v>1742.9577183098359</v>
      </c>
      <c r="CP130" s="20">
        <f t="shared" si="992"/>
        <v>2451.0047931212844</v>
      </c>
      <c r="CQ130" s="20">
        <f t="shared" si="992"/>
        <v>3674.1140795717679</v>
      </c>
      <c r="CR130" s="20">
        <f t="shared" si="992"/>
        <v>5078.270015183205</v>
      </c>
      <c r="CS130" s="20">
        <f t="shared" si="992"/>
        <v>6542.9490585443591</v>
      </c>
      <c r="CT130" s="20">
        <f t="shared" si="992"/>
        <v>7955.3339792749975</v>
      </c>
      <c r="CU130" s="20">
        <f t="shared" si="992"/>
        <v>9345.0040871750498</v>
      </c>
      <c r="CV130" s="20">
        <f t="shared" si="992"/>
        <v>11002.950168462081</v>
      </c>
      <c r="CW130" s="20">
        <f t="shared" si="992"/>
        <v>12743.249321263676</v>
      </c>
      <c r="CX130" s="20">
        <f t="shared" si="992"/>
        <v>14428.229810472409</v>
      </c>
      <c r="CY130" s="20">
        <f t="shared" si="992"/>
        <v>16093.44045183484</v>
      </c>
      <c r="CZ130" s="20">
        <f t="shared" si="992"/>
        <v>18109.639404094625</v>
      </c>
      <c r="DA130" s="20">
        <f t="shared" si="992"/>
        <v>20232.932090382368</v>
      </c>
      <c r="DD130" s="21">
        <v>950.22239999999988</v>
      </c>
    </row>
    <row r="131" spans="1:108" s="153" customFormat="1" outlineLevel="1" x14ac:dyDescent="0.2">
      <c r="A131" s="48" t="s">
        <v>13</v>
      </c>
      <c r="B131" s="153">
        <f t="shared" ref="B131:AE131" si="993">+B47</f>
        <v>-3.3921743639999953</v>
      </c>
      <c r="C131" s="153">
        <f t="shared" si="993"/>
        <v>15.030995734000015</v>
      </c>
      <c r="D131" s="153">
        <f t="shared" si="993"/>
        <v>0</v>
      </c>
      <c r="E131" s="153">
        <f t="shared" si="993"/>
        <v>0</v>
      </c>
      <c r="F131" s="153">
        <f t="shared" si="993"/>
        <v>0</v>
      </c>
      <c r="G131" s="153">
        <f t="shared" si="993"/>
        <v>0</v>
      </c>
      <c r="H131" s="153">
        <f t="shared" si="993"/>
        <v>0</v>
      </c>
      <c r="I131" s="153">
        <f t="shared" si="993"/>
        <v>0</v>
      </c>
      <c r="J131" s="153">
        <f t="shared" si="993"/>
        <v>0</v>
      </c>
      <c r="K131" s="153">
        <f t="shared" si="993"/>
        <v>0</v>
      </c>
      <c r="L131" s="153">
        <f t="shared" si="993"/>
        <v>0</v>
      </c>
      <c r="M131" s="153">
        <f t="shared" si="993"/>
        <v>0</v>
      </c>
      <c r="N131" s="153">
        <f t="shared" si="993"/>
        <v>0</v>
      </c>
      <c r="O131" s="153">
        <f t="shared" si="993"/>
        <v>0</v>
      </c>
      <c r="P131" s="153">
        <f t="shared" si="993"/>
        <v>0</v>
      </c>
      <c r="Q131" s="153">
        <f t="shared" si="993"/>
        <v>0</v>
      </c>
      <c r="R131" s="153">
        <f t="shared" si="993"/>
        <v>0</v>
      </c>
      <c r="S131" s="153">
        <f t="shared" si="993"/>
        <v>0</v>
      </c>
      <c r="T131" s="153">
        <f t="shared" si="993"/>
        <v>0</v>
      </c>
      <c r="U131" s="153">
        <f t="shared" si="993"/>
        <v>0</v>
      </c>
      <c r="V131" s="153">
        <f t="shared" si="993"/>
        <v>0</v>
      </c>
      <c r="W131" s="153">
        <f t="shared" si="993"/>
        <v>0</v>
      </c>
      <c r="X131" s="153">
        <f t="shared" si="993"/>
        <v>0</v>
      </c>
      <c r="Y131" s="153">
        <f t="shared" si="993"/>
        <v>25.367499999999978</v>
      </c>
      <c r="Z131" s="153">
        <f t="shared" si="993"/>
        <v>-3.7890000000000157</v>
      </c>
      <c r="AA131" s="153">
        <f t="shared" ref="AA131" si="994">+AA47</f>
        <v>22.440200000000004</v>
      </c>
      <c r="AB131" s="20">
        <f t="shared" si="993"/>
        <v>69.856837471460949</v>
      </c>
      <c r="AC131" s="20">
        <f t="shared" si="993"/>
        <v>233.86841804203527</v>
      </c>
      <c r="AD131" s="20">
        <f t="shared" si="993"/>
        <v>441.95177281979409</v>
      </c>
      <c r="AE131" s="20">
        <f t="shared" si="993"/>
        <v>692.48928752609481</v>
      </c>
      <c r="AL131" s="153">
        <f t="shared" ref="AL131:BQ131" si="995">+SUM(AI47:AL47)</f>
        <v>-1.7920000000000087</v>
      </c>
      <c r="AM131" s="153">
        <f t="shared" si="995"/>
        <v>-26.659999999999997</v>
      </c>
      <c r="AN131" s="153">
        <f t="shared" si="995"/>
        <v>-33.646999999999998</v>
      </c>
      <c r="AO131" s="153">
        <f t="shared" si="995"/>
        <v>-23.902999999999992</v>
      </c>
      <c r="AP131" s="153">
        <f t="shared" si="995"/>
        <v>-26.480999999999995</v>
      </c>
      <c r="AQ131" s="153">
        <f t="shared" si="995"/>
        <v>-12.693000000000001</v>
      </c>
      <c r="AR131" s="153">
        <f t="shared" si="995"/>
        <v>-4.4500000000000064</v>
      </c>
      <c r="AS131" s="153">
        <f t="shared" si="995"/>
        <v>-19.739000000000019</v>
      </c>
      <c r="AT131" s="153">
        <f t="shared" si="995"/>
        <v>-8.4330000000000069</v>
      </c>
      <c r="AU131" s="153">
        <f t="shared" si="995"/>
        <v>-3.1420000000000066</v>
      </c>
      <c r="AV131" s="153">
        <f t="shared" si="995"/>
        <v>-0.94100000000000961</v>
      </c>
      <c r="AW131" s="153">
        <f t="shared" si="995"/>
        <v>8.3569999999999816</v>
      </c>
      <c r="AX131" s="153">
        <f t="shared" si="995"/>
        <v>4.3079999999999892</v>
      </c>
      <c r="AY131" s="153">
        <f t="shared" si="995"/>
        <v>-6.5020000000000149</v>
      </c>
      <c r="AZ131" s="153">
        <f t="shared" si="995"/>
        <v>-4.3970000000000073</v>
      </c>
      <c r="BA131" s="153">
        <f t="shared" si="995"/>
        <v>-1.9749999999999925</v>
      </c>
      <c r="BB131" s="153">
        <f t="shared" si="995"/>
        <v>-5.2999999999999048E-2</v>
      </c>
      <c r="BC131" s="153">
        <f t="shared" si="995"/>
        <v>8.7580000000000062</v>
      </c>
      <c r="BD131" s="153">
        <f t="shared" si="995"/>
        <v>11.596</v>
      </c>
      <c r="BE131" s="153">
        <f t="shared" si="995"/>
        <v>8.4959999999999951</v>
      </c>
      <c r="BF131" s="153">
        <f t="shared" si="995"/>
        <v>3.8120000000000083</v>
      </c>
      <c r="BG131" s="153">
        <f t="shared" si="995"/>
        <v>1.1250000000000071</v>
      </c>
      <c r="BH131" s="153">
        <f t="shared" si="995"/>
        <v>5.6890000000000072</v>
      </c>
      <c r="BI131" s="153">
        <f t="shared" si="995"/>
        <v>24.063999999999986</v>
      </c>
      <c r="BJ131" s="153">
        <f t="shared" si="995"/>
        <v>31.596999999999973</v>
      </c>
      <c r="BK131" s="153">
        <f t="shared" si="995"/>
        <v>39.912999999999961</v>
      </c>
      <c r="BL131" s="153">
        <f t="shared" si="995"/>
        <v>43.144999999999953</v>
      </c>
      <c r="BM131" s="153">
        <f t="shared" si="995"/>
        <v>24.754999999999988</v>
      </c>
      <c r="BN131" s="153">
        <f t="shared" si="995"/>
        <v>22.130999999999993</v>
      </c>
      <c r="BO131" s="153">
        <f t="shared" si="995"/>
        <v>6.3020000000000067</v>
      </c>
      <c r="BP131" s="153">
        <f t="shared" si="995"/>
        <v>-14.249999999999984</v>
      </c>
      <c r="BQ131" s="153">
        <f t="shared" si="995"/>
        <v>-18.401999999999994</v>
      </c>
      <c r="BR131" s="153">
        <f t="shared" ref="BR131:CW131" si="996">+SUM(BO47:BR47)</f>
        <v>-27.286999999999999</v>
      </c>
      <c r="BS131" s="153">
        <f t="shared" si="996"/>
        <v>-16.930999999999994</v>
      </c>
      <c r="BT131" s="153">
        <f t="shared" si="996"/>
        <v>-3.0539999999999914</v>
      </c>
      <c r="BU131" s="153">
        <f t="shared" si="996"/>
        <v>1.5659999999999989</v>
      </c>
      <c r="BV131" s="153">
        <f t="shared" si="996"/>
        <v>9.4880000000000102</v>
      </c>
      <c r="BW131" s="153">
        <f t="shared" si="996"/>
        <v>3.1510000000000034</v>
      </c>
      <c r="BX131" s="153">
        <f t="shared" si="996"/>
        <v>-5.3990000000000009</v>
      </c>
      <c r="BY131" s="153">
        <f t="shared" si="996"/>
        <v>-3.7539999999999907</v>
      </c>
      <c r="BZ131" s="153">
        <f t="shared" si="996"/>
        <v>6.6450000000000102</v>
      </c>
      <c r="CA131" s="153">
        <f t="shared" si="996"/>
        <v>20.956000000000003</v>
      </c>
      <c r="CB131" s="153">
        <f t="shared" si="996"/>
        <v>31.655000000000015</v>
      </c>
      <c r="CC131" s="153">
        <f t="shared" si="996"/>
        <v>36.717000000000013</v>
      </c>
      <c r="CD131" s="153">
        <f t="shared" si="996"/>
        <v>30.818999999999988</v>
      </c>
      <c r="CE131" s="153">
        <f t="shared" si="996"/>
        <v>24.214999999999989</v>
      </c>
      <c r="CF131" s="153">
        <f t="shared" si="996"/>
        <v>9.4139999999999873</v>
      </c>
      <c r="CG131" s="153">
        <f t="shared" si="996"/>
        <v>-3.7870000000000203</v>
      </c>
      <c r="CH131" s="153">
        <f t="shared" si="996"/>
        <v>-10.036000000000001</v>
      </c>
      <c r="CI131" s="153">
        <f t="shared" si="996"/>
        <v>-8.6840000000000117</v>
      </c>
      <c r="CJ131" s="153">
        <f t="shared" si="996"/>
        <v>11.277999999999963</v>
      </c>
      <c r="CK131" s="153">
        <f t="shared" si="996"/>
        <v>-7.9003000000000299</v>
      </c>
      <c r="CL131" s="153">
        <f t="shared" si="996"/>
        <v>-1.4973000000000241</v>
      </c>
      <c r="CM131" s="20">
        <f t="shared" si="996"/>
        <v>-9.067036100105355</v>
      </c>
      <c r="CN131" s="20">
        <f t="shared" si="996"/>
        <v>11.690206858732694</v>
      </c>
      <c r="CO131" s="20">
        <f t="shared" si="996"/>
        <v>69.856837471460807</v>
      </c>
      <c r="CP131" s="20">
        <f t="shared" si="996"/>
        <v>95.872172674162016</v>
      </c>
      <c r="CQ131" s="20">
        <f t="shared" si="996"/>
        <v>135.56485513560216</v>
      </c>
      <c r="CR131" s="20">
        <f t="shared" si="996"/>
        <v>184.7407563633052</v>
      </c>
      <c r="CS131" s="20">
        <f t="shared" si="996"/>
        <v>233.86841804203516</v>
      </c>
      <c r="CT131" s="20">
        <f t="shared" si="996"/>
        <v>280.26656817733289</v>
      </c>
      <c r="CU131" s="20">
        <f t="shared" si="996"/>
        <v>325.83546923793415</v>
      </c>
      <c r="CV131" s="20">
        <f t="shared" si="996"/>
        <v>383.77176089424211</v>
      </c>
      <c r="CW131" s="20">
        <f t="shared" si="996"/>
        <v>441.95177281979363</v>
      </c>
      <c r="CX131" s="20">
        <f t="shared" ref="CX131:DA131" si="997">+SUM(CU47:CX47)</f>
        <v>497.08053829277668</v>
      </c>
      <c r="CY131" s="20">
        <f t="shared" si="997"/>
        <v>551.43236532886613</v>
      </c>
      <c r="CZ131" s="20">
        <f t="shared" si="997"/>
        <v>621.69130589353585</v>
      </c>
      <c r="DA131" s="20">
        <f t="shared" si="997"/>
        <v>692.48928752609504</v>
      </c>
      <c r="DD131" s="21">
        <v>-38.655399999999986</v>
      </c>
    </row>
    <row r="132" spans="1:108" s="153" customFormat="1" outlineLevel="1" x14ac:dyDescent="0.2">
      <c r="A132" s="48" t="s">
        <v>343</v>
      </c>
      <c r="B132" s="153">
        <f>+B129/B131</f>
        <v>-15.515836969812108</v>
      </c>
      <c r="C132" s="153">
        <f t="shared" ref="C132:W132" si="998">+C129/C131</f>
        <v>2.7227280751219429</v>
      </c>
      <c r="D132" s="153" t="e">
        <f t="shared" si="998"/>
        <v>#DIV/0!</v>
      </c>
      <c r="E132" s="153" t="e">
        <f t="shared" ca="1" si="998"/>
        <v>#DIV/0!</v>
      </c>
      <c r="F132" s="153" t="e">
        <f t="shared" ca="1" si="998"/>
        <v>#DIV/0!</v>
      </c>
      <c r="G132" s="153" t="e">
        <f t="shared" ca="1" si="998"/>
        <v>#DIV/0!</v>
      </c>
      <c r="H132" s="153" t="e">
        <f t="shared" ca="1" si="998"/>
        <v>#DIV/0!</v>
      </c>
      <c r="I132" s="153" t="e">
        <f t="shared" ca="1" si="998"/>
        <v>#DIV/0!</v>
      </c>
      <c r="J132" s="153" t="e">
        <f t="shared" ca="1" si="998"/>
        <v>#DIV/0!</v>
      </c>
      <c r="K132" s="153" t="e">
        <f t="shared" ca="1" si="998"/>
        <v>#DIV/0!</v>
      </c>
      <c r="L132" s="153" t="e">
        <f t="shared" ca="1" si="998"/>
        <v>#DIV/0!</v>
      </c>
      <c r="M132" s="153" t="e">
        <f t="shared" ca="1" si="998"/>
        <v>#DIV/0!</v>
      </c>
      <c r="N132" s="153" t="e">
        <f t="shared" ca="1" si="998"/>
        <v>#DIV/0!</v>
      </c>
      <c r="O132" s="153" t="e">
        <f t="shared" ca="1" si="998"/>
        <v>#DIV/0!</v>
      </c>
      <c r="P132" s="153" t="e">
        <f t="shared" ca="1" si="998"/>
        <v>#DIV/0!</v>
      </c>
      <c r="Q132" s="153" t="e">
        <f t="shared" ca="1" si="998"/>
        <v>#DIV/0!</v>
      </c>
      <c r="R132" s="153" t="e">
        <f t="shared" ca="1" si="998"/>
        <v>#DIV/0!</v>
      </c>
      <c r="S132" s="153" t="e">
        <f t="shared" ca="1" si="998"/>
        <v>#DIV/0!</v>
      </c>
      <c r="T132" s="153" t="e">
        <f t="shared" ca="1" si="998"/>
        <v>#DIV/0!</v>
      </c>
      <c r="U132" s="153" t="e">
        <f t="shared" ca="1" si="998"/>
        <v>#DIV/0!</v>
      </c>
      <c r="V132" s="153" t="e">
        <f t="shared" ca="1" si="998"/>
        <v>#DIV/0!</v>
      </c>
      <c r="W132" s="153" t="e">
        <f t="shared" ca="1" si="998"/>
        <v>#DIV/0!</v>
      </c>
      <c r="X132" s="153" t="e">
        <f t="shared" ref="X132:Y132" ca="1" si="999">+X129/X131</f>
        <v>#DIV/0!</v>
      </c>
      <c r="Y132" s="153" t="e">
        <f t="shared" ca="1" si="999"/>
        <v>#DIV/0!</v>
      </c>
      <c r="Z132" s="153" t="e">
        <f t="shared" ref="Z132:AA132" ca="1" si="1000">+Z129/Z131</f>
        <v>#DIV/0!</v>
      </c>
      <c r="AA132" s="153" t="e">
        <f t="shared" ca="1" si="1000"/>
        <v>#DIV/0!</v>
      </c>
      <c r="AB132" s="20" t="e">
        <f t="shared" ref="AA132:AD132" ca="1" si="1001">+AB129/AB131</f>
        <v>#DIV/0!</v>
      </c>
      <c r="AC132" s="20" t="e">
        <f t="shared" ca="1" si="1001"/>
        <v>#DIV/0!</v>
      </c>
      <c r="AD132" s="20" t="e">
        <f t="shared" ca="1" si="1001"/>
        <v>#DIV/0!</v>
      </c>
      <c r="AE132" s="20" t="e">
        <f t="shared" ref="AE132" ca="1" si="1002">+AE129/AE131</f>
        <v>#DIV/0!</v>
      </c>
      <c r="AL132" s="153">
        <f t="shared" ref="AL132" si="1003">+AL129/AL131</f>
        <v>-185.99073660714194</v>
      </c>
      <c r="AM132" s="153">
        <f t="shared" ref="AM132:AO132" si="1004">+AM129/AM131</f>
        <v>-7.8700532633158291</v>
      </c>
      <c r="AN132" s="153">
        <f t="shared" si="1004"/>
        <v>-5.4958421255981209</v>
      </c>
      <c r="AO132" s="153">
        <f t="shared" si="1004"/>
        <v>-6.6107183198761685</v>
      </c>
      <c r="AP132" s="153">
        <f t="shared" ref="AP132:CD132" si="1005">+AP129/AP131</f>
        <v>-8.7584947698349787</v>
      </c>
      <c r="AQ132" s="153">
        <f t="shared" si="1005"/>
        <v>-23.264192862207512</v>
      </c>
      <c r="AR132" s="153">
        <f t="shared" si="1005"/>
        <v>-64.89420898876395</v>
      </c>
      <c r="AS132" s="153">
        <f t="shared" si="1005"/>
        <v>-14.933578702061894</v>
      </c>
      <c r="AT132" s="153">
        <f t="shared" si="1005"/>
        <v>-30.93231353017903</v>
      </c>
      <c r="AU132" s="153">
        <f t="shared" si="1005"/>
        <v>-87.538701464035455</v>
      </c>
      <c r="AV132" s="153">
        <f t="shared" si="1005"/>
        <v>-291.07141339000765</v>
      </c>
      <c r="AW132" s="153">
        <f t="shared" si="1005"/>
        <v>26.944214431015975</v>
      </c>
      <c r="AX132" s="153">
        <f t="shared" si="1005"/>
        <v>53.098797585886857</v>
      </c>
      <c r="AY132" s="153">
        <f t="shared" si="1005"/>
        <v>-42.301845585973446</v>
      </c>
      <c r="AZ132" s="153">
        <f t="shared" si="1005"/>
        <v>-48.285876734136821</v>
      </c>
      <c r="BA132" s="153">
        <f t="shared" si="1005"/>
        <v>-127.01286075949415</v>
      </c>
      <c r="BB132" s="153">
        <f t="shared" si="1005"/>
        <v>-6426.1547169812466</v>
      </c>
      <c r="BC132" s="153">
        <f t="shared" si="1005"/>
        <v>33.886024206439799</v>
      </c>
      <c r="BD132" s="153">
        <f t="shared" si="1005"/>
        <v>42.151017592273192</v>
      </c>
      <c r="BE132" s="153">
        <f t="shared" si="1005"/>
        <v>79.045197740113039</v>
      </c>
      <c r="BF132" s="153">
        <f t="shared" si="1005"/>
        <v>180.19050367261241</v>
      </c>
      <c r="BG132" s="153">
        <f t="shared" si="1005"/>
        <v>460.44106666666369</v>
      </c>
      <c r="BH132" s="153">
        <f t="shared" si="1005"/>
        <v>71.858709790824292</v>
      </c>
      <c r="BI132" s="153">
        <f t="shared" si="1005"/>
        <v>21.23848902925533</v>
      </c>
      <c r="BJ132" s="153">
        <f t="shared" si="1005"/>
        <v>22.327105421400784</v>
      </c>
      <c r="BK132" s="153">
        <f t="shared" si="1005"/>
        <v>16.948896600105247</v>
      </c>
      <c r="BL132" s="153">
        <f t="shared" si="1005"/>
        <v>13.037281492641108</v>
      </c>
      <c r="BM132" s="153">
        <f t="shared" si="1005"/>
        <v>19.847747929711176</v>
      </c>
      <c r="BN132" s="153">
        <f t="shared" si="1005"/>
        <v>23.223713343274149</v>
      </c>
      <c r="BO132" s="153">
        <f t="shared" si="1005"/>
        <v>47.013646461440757</v>
      </c>
      <c r="BP132" s="153">
        <f t="shared" si="1005"/>
        <v>-31.187340350877225</v>
      </c>
      <c r="BQ132" s="153">
        <f t="shared" si="1005"/>
        <v>-23.61395500489078</v>
      </c>
      <c r="BR132" s="153">
        <f t="shared" si="1005"/>
        <v>-15.927569905083006</v>
      </c>
      <c r="BS132" s="153">
        <f t="shared" si="1005"/>
        <v>-28.873781820329583</v>
      </c>
      <c r="BT132" s="153">
        <f t="shared" si="1005"/>
        <v>-186.83988212180802</v>
      </c>
      <c r="BU132" s="153">
        <f t="shared" si="1005"/>
        <v>464.45894636015356</v>
      </c>
      <c r="BV132" s="153">
        <f t="shared" si="1005"/>
        <v>91.336846543001585</v>
      </c>
      <c r="BW132" s="153">
        <f t="shared" si="1005"/>
        <v>287.56680418914596</v>
      </c>
      <c r="BX132" s="153">
        <f t="shared" si="1005"/>
        <v>-132.06712354139654</v>
      </c>
      <c r="BY132" s="153">
        <f t="shared" si="1005"/>
        <v>-180.98546084176922</v>
      </c>
      <c r="BZ132" s="153">
        <f t="shared" si="1005"/>
        <v>118.53935289691478</v>
      </c>
      <c r="CA132" s="153">
        <f t="shared" si="1005"/>
        <v>70.903044474136266</v>
      </c>
      <c r="CB132" s="153">
        <f t="shared" si="1005"/>
        <v>47.045648396777736</v>
      </c>
      <c r="CC132" s="153">
        <f t="shared" si="1005"/>
        <v>40.693330065092447</v>
      </c>
      <c r="CD132" s="153">
        <f t="shared" si="1005"/>
        <v>55.518366117404469</v>
      </c>
      <c r="CE132" s="153">
        <f t="shared" ref="CE132:CF132" si="1006">+CE129/CE131</f>
        <v>128.18779269048116</v>
      </c>
      <c r="CF132" s="153">
        <f t="shared" si="1006"/>
        <v>326.86483478303484</v>
      </c>
      <c r="CG132" s="153">
        <f t="shared" ref="CG132:CH132" si="1007">+CG129/CG131</f>
        <v>-778.88933192500235</v>
      </c>
      <c r="CH132" s="153">
        <f t="shared" si="1007"/>
        <v>-224.09209042721224</v>
      </c>
      <c r="CI132" s="153">
        <f t="shared" ref="CI132:CJ132" si="1008">+CI129/CI131</f>
        <v>-212.63035467526456</v>
      </c>
      <c r="CJ132" s="153">
        <f t="shared" si="1008"/>
        <v>269.8693013188514</v>
      </c>
      <c r="CK132" s="153">
        <f t="shared" ref="CK132:CL132" si="1009">+CK129/CK131</f>
        <v>-387.6061668544217</v>
      </c>
      <c r="CL132" s="153">
        <f t="shared" si="1009"/>
        <v>-1834.0257567826536</v>
      </c>
      <c r="CM132" s="20">
        <f t="shared" ref="CM132:DA132" si="1010">+CM129/CM131</f>
        <v>-53.781558564852382</v>
      </c>
      <c r="CN132" s="20">
        <f t="shared" si="1010"/>
        <v>107.1282943347771</v>
      </c>
      <c r="CO132" s="20">
        <f t="shared" si="1010"/>
        <v>39.996991098385124</v>
      </c>
      <c r="CP132" s="20">
        <f t="shared" si="1010"/>
        <v>40.3247376289507</v>
      </c>
      <c r="CQ132" s="20">
        <f t="shared" si="1010"/>
        <v>42.151232104184075</v>
      </c>
      <c r="CR132" s="20">
        <f t="shared" si="1010"/>
        <v>42.65499868998252</v>
      </c>
      <c r="CS132" s="20">
        <f t="shared" si="1010"/>
        <v>43.241348313202174</v>
      </c>
      <c r="CT132" s="20">
        <f t="shared" si="1010"/>
        <v>43.736559172993495</v>
      </c>
      <c r="CU132" s="20">
        <f t="shared" si="1010"/>
        <v>44.111231678351459</v>
      </c>
      <c r="CV132" s="20">
        <f t="shared" si="1010"/>
        <v>44.159529568406555</v>
      </c>
      <c r="CW132" s="20">
        <f t="shared" si="1010"/>
        <v>44.384727554380284</v>
      </c>
      <c r="CX132" s="20">
        <f t="shared" si="1010"/>
        <v>44.641769507556511</v>
      </c>
      <c r="CY132" s="20">
        <f t="shared" si="1010"/>
        <v>44.86527787556961</v>
      </c>
      <c r="CZ132" s="20">
        <f t="shared" si="1010"/>
        <v>44.854950019312888</v>
      </c>
      <c r="DA132" s="20">
        <f t="shared" si="1010"/>
        <v>44.993428361190908</v>
      </c>
      <c r="DD132" s="21">
        <v>-79.218039394237294</v>
      </c>
    </row>
    <row r="133" spans="1:108" s="153" customFormat="1" outlineLevel="1" x14ac:dyDescent="0.2">
      <c r="A133" s="48" t="s">
        <v>344</v>
      </c>
      <c r="B133" s="153">
        <f>+B130/B131</f>
        <v>-10.835927539602162</v>
      </c>
      <c r="C133" s="153">
        <f t="shared" ref="C133:W133" si="1011">+C130/C131</f>
        <v>2.1248422251731025</v>
      </c>
      <c r="D133" s="153" t="e">
        <f t="shared" si="1011"/>
        <v>#DIV/0!</v>
      </c>
      <c r="E133" s="153" t="e">
        <f t="shared" ca="1" si="1011"/>
        <v>#DIV/0!</v>
      </c>
      <c r="F133" s="153" t="e">
        <f t="shared" ca="1" si="1011"/>
        <v>#DIV/0!</v>
      </c>
      <c r="G133" s="153" t="e">
        <f t="shared" ca="1" si="1011"/>
        <v>#DIV/0!</v>
      </c>
      <c r="H133" s="153" t="e">
        <f t="shared" ca="1" si="1011"/>
        <v>#DIV/0!</v>
      </c>
      <c r="I133" s="153" t="e">
        <f t="shared" ca="1" si="1011"/>
        <v>#DIV/0!</v>
      </c>
      <c r="J133" s="153" t="e">
        <f t="shared" ca="1" si="1011"/>
        <v>#DIV/0!</v>
      </c>
      <c r="K133" s="153" t="e">
        <f t="shared" ca="1" si="1011"/>
        <v>#DIV/0!</v>
      </c>
      <c r="L133" s="153" t="e">
        <f t="shared" ca="1" si="1011"/>
        <v>#DIV/0!</v>
      </c>
      <c r="M133" s="153" t="e">
        <f t="shared" ca="1" si="1011"/>
        <v>#DIV/0!</v>
      </c>
      <c r="N133" s="153" t="e">
        <f t="shared" ca="1" si="1011"/>
        <v>#DIV/0!</v>
      </c>
      <c r="O133" s="153" t="e">
        <f t="shared" ca="1" si="1011"/>
        <v>#DIV/0!</v>
      </c>
      <c r="P133" s="153" t="e">
        <f t="shared" ca="1" si="1011"/>
        <v>#DIV/0!</v>
      </c>
      <c r="Q133" s="153" t="e">
        <f t="shared" ca="1" si="1011"/>
        <v>#DIV/0!</v>
      </c>
      <c r="R133" s="153" t="e">
        <f t="shared" ca="1" si="1011"/>
        <v>#DIV/0!</v>
      </c>
      <c r="S133" s="153" t="e">
        <f t="shared" ca="1" si="1011"/>
        <v>#DIV/0!</v>
      </c>
      <c r="T133" s="153" t="e">
        <f t="shared" ca="1" si="1011"/>
        <v>#DIV/0!</v>
      </c>
      <c r="U133" s="153" t="e">
        <f t="shared" ca="1" si="1011"/>
        <v>#DIV/0!</v>
      </c>
      <c r="V133" s="153" t="e">
        <f t="shared" ca="1" si="1011"/>
        <v>#DIV/0!</v>
      </c>
      <c r="W133" s="153" t="e">
        <f t="shared" ca="1" si="1011"/>
        <v>#DIV/0!</v>
      </c>
      <c r="X133" s="153" t="e">
        <f t="shared" ref="X133:Y133" ca="1" si="1012">+X130/X131</f>
        <v>#DIV/0!</v>
      </c>
      <c r="Y133" s="153" t="e">
        <f t="shared" ca="1" si="1012"/>
        <v>#DIV/0!</v>
      </c>
      <c r="Z133" s="153" t="e">
        <f t="shared" ref="Z133:AA133" ca="1" si="1013">+Z130/Z131</f>
        <v>#DIV/0!</v>
      </c>
      <c r="AA133" s="153" t="e">
        <f t="shared" ca="1" si="1013"/>
        <v>#DIV/0!</v>
      </c>
      <c r="AB133" s="20" t="e">
        <f t="shared" ref="AA133:AD133" ca="1" si="1014">+AB130/AB131</f>
        <v>#DIV/0!</v>
      </c>
      <c r="AC133" s="20" t="e">
        <f t="shared" ca="1" si="1014"/>
        <v>#DIV/0!</v>
      </c>
      <c r="AD133" s="20" t="e">
        <f t="shared" ca="1" si="1014"/>
        <v>#DIV/0!</v>
      </c>
      <c r="AE133" s="20" t="e">
        <f t="shared" ref="AE133" ca="1" si="1015">+AE130/AE131</f>
        <v>#DIV/0!</v>
      </c>
      <c r="AL133" s="153">
        <f t="shared" ref="AL133:AM133" si="1016">+AL130/AL131</f>
        <v>-101.42197544642809</v>
      </c>
      <c r="AM133" s="153">
        <f t="shared" si="1016"/>
        <v>-5.8946680420105029</v>
      </c>
      <c r="AN133" s="153">
        <f t="shared" ref="AN133:AO133" si="1017">+AN130/AN131</f>
        <v>-3.5909103337593242</v>
      </c>
      <c r="AO133" s="153">
        <f t="shared" si="1017"/>
        <v>-4.772112287160609</v>
      </c>
      <c r="AP133" s="153">
        <f t="shared" ref="AP133:CD133" si="1018">+AP130/AP131</f>
        <v>-5.7562743098825591</v>
      </c>
      <c r="AQ133" s="153">
        <f t="shared" si="1018"/>
        <v>-17.545402978019375</v>
      </c>
      <c r="AR133" s="153">
        <f t="shared" si="1018"/>
        <v>-43.444424719101058</v>
      </c>
      <c r="AS133" s="153">
        <f t="shared" si="1018"/>
        <v>-10.506915243933319</v>
      </c>
      <c r="AT133" s="153">
        <f t="shared" si="1018"/>
        <v>-18.9986671409937</v>
      </c>
      <c r="AU133" s="153">
        <f t="shared" si="1018"/>
        <v>-53.434754933163475</v>
      </c>
      <c r="AV133" s="153">
        <f t="shared" si="1018"/>
        <v>-205.01062699255897</v>
      </c>
      <c r="AW133" s="153">
        <f t="shared" si="1018"/>
        <v>20.089984444178576</v>
      </c>
      <c r="AX133" s="153">
        <f t="shared" si="1018"/>
        <v>37.085831012070656</v>
      </c>
      <c r="AY133" s="153">
        <f t="shared" si="1018"/>
        <v>-28.099969240233708</v>
      </c>
      <c r="AZ133" s="153">
        <f t="shared" si="1018"/>
        <v>-39.526176938821855</v>
      </c>
      <c r="BA133" s="153">
        <f t="shared" si="1018"/>
        <v>-88.508962025316777</v>
      </c>
      <c r="BB133" s="153">
        <f t="shared" si="1018"/>
        <v>-3719.5716981132746</v>
      </c>
      <c r="BC133" s="153">
        <f t="shared" si="1018"/>
        <v>26.505524092258486</v>
      </c>
      <c r="BD133" s="153">
        <f t="shared" si="1018"/>
        <v>20.245988271817868</v>
      </c>
      <c r="BE133" s="153">
        <f t="shared" si="1018"/>
        <v>44.753531073446347</v>
      </c>
      <c r="BF133" s="153">
        <f t="shared" si="1018"/>
        <v>107.77859391395569</v>
      </c>
      <c r="BG133" s="153">
        <f t="shared" si="1018"/>
        <v>329.63893333333124</v>
      </c>
      <c r="BH133" s="153">
        <f t="shared" si="1018"/>
        <v>54.585691685709186</v>
      </c>
      <c r="BI133" s="153">
        <f t="shared" si="1018"/>
        <v>12.868267121010645</v>
      </c>
      <c r="BJ133" s="153">
        <f t="shared" si="1018"/>
        <v>14.985821438744198</v>
      </c>
      <c r="BK133" s="153">
        <f t="shared" si="1018"/>
        <v>12.273552226091759</v>
      </c>
      <c r="BL133" s="153">
        <f t="shared" si="1018"/>
        <v>8.2429178352068675</v>
      </c>
      <c r="BM133" s="153">
        <f t="shared" si="1018"/>
        <v>14.761139163805298</v>
      </c>
      <c r="BN133" s="153">
        <f t="shared" si="1018"/>
        <v>7.3817721747774634</v>
      </c>
      <c r="BO133" s="153">
        <f t="shared" si="1018"/>
        <v>31.499143129165311</v>
      </c>
      <c r="BP133" s="153">
        <f t="shared" si="1018"/>
        <v>-17.430245614035105</v>
      </c>
      <c r="BQ133" s="153">
        <f t="shared" si="1018"/>
        <v>-18.783827844799482</v>
      </c>
      <c r="BR133" s="153">
        <f t="shared" si="1018"/>
        <v>-13.900758602997763</v>
      </c>
      <c r="BS133" s="153">
        <f t="shared" si="1018"/>
        <v>-22.311558679345584</v>
      </c>
      <c r="BT133" s="153">
        <f t="shared" si="1018"/>
        <v>-137.04757367387072</v>
      </c>
      <c r="BU133" s="153">
        <f t="shared" si="1018"/>
        <v>272.07875478927218</v>
      </c>
      <c r="BV133" s="153">
        <f t="shared" si="1018"/>
        <v>54.647943718381043</v>
      </c>
      <c r="BW133" s="153">
        <f t="shared" si="1018"/>
        <v>156.71215487146918</v>
      </c>
      <c r="BX133" s="153">
        <f t="shared" si="1018"/>
        <v>-95.944450824226692</v>
      </c>
      <c r="BY133" s="153">
        <f t="shared" si="1018"/>
        <v>-148.95554608417726</v>
      </c>
      <c r="BZ133" s="153">
        <f t="shared" si="1018"/>
        <v>92.608350639578475</v>
      </c>
      <c r="CA133" s="153">
        <f t="shared" si="1018"/>
        <v>33.460393204810067</v>
      </c>
      <c r="CB133" s="153">
        <f t="shared" si="1018"/>
        <v>36.812421418417294</v>
      </c>
      <c r="CC133" s="153">
        <f t="shared" si="1018"/>
        <v>32.220579023340676</v>
      </c>
      <c r="CD133" s="153">
        <f t="shared" si="1018"/>
        <v>43.517451097449246</v>
      </c>
      <c r="CE133" s="153">
        <f t="shared" ref="CE133:CF133" si="1019">+CE130/CE131</f>
        <v>60.548510427421036</v>
      </c>
      <c r="CF133" s="153">
        <f t="shared" si="1019"/>
        <v>229.93022675244194</v>
      </c>
      <c r="CG133" s="153">
        <f t="shared" ref="CG133:CH133" si="1020">+CG130/CG131</f>
        <v>-518.75439662001293</v>
      </c>
      <c r="CH133" s="153">
        <f t="shared" si="1020"/>
        <v>-126.03077117651476</v>
      </c>
      <c r="CI133" s="153">
        <f t="shared" ref="CI133:CJ133" si="1021">+CI130/CI131</f>
        <v>-134.72208889912463</v>
      </c>
      <c r="CJ133" s="153">
        <f t="shared" si="1021"/>
        <v>139.22772036478108</v>
      </c>
      <c r="CK133" s="153">
        <f t="shared" ref="CK133:CL133" si="1022">+CK130/CK131</f>
        <v>-254.16022176372951</v>
      </c>
      <c r="CL133" s="153">
        <f t="shared" si="1022"/>
        <v>-1207.7641458830449</v>
      </c>
      <c r="CM133" s="20">
        <f t="shared" ref="CM133:DA133" si="1023">+CM130/CM131</f>
        <v>-26.648411747148458</v>
      </c>
      <c r="CN133" s="20">
        <f t="shared" si="1023"/>
        <v>62.162214983500654</v>
      </c>
      <c r="CO133" s="20">
        <f t="shared" si="1023"/>
        <v>24.950424058659983</v>
      </c>
      <c r="CP133" s="20">
        <f t="shared" si="1023"/>
        <v>25.565341065665045</v>
      </c>
      <c r="CQ133" s="20">
        <f t="shared" si="1023"/>
        <v>27.102260950278321</v>
      </c>
      <c r="CR133" s="20">
        <f t="shared" si="1023"/>
        <v>27.488628471328997</v>
      </c>
      <c r="CS133" s="20">
        <f t="shared" si="1023"/>
        <v>27.977052709050863</v>
      </c>
      <c r="CT133" s="20">
        <f t="shared" si="1023"/>
        <v>28.38488383045895</v>
      </c>
      <c r="CU133" s="20">
        <f t="shared" si="1023"/>
        <v>28.680131444962694</v>
      </c>
      <c r="CV133" s="20">
        <f t="shared" si="1023"/>
        <v>28.670557059288733</v>
      </c>
      <c r="CW133" s="20">
        <f t="shared" si="1023"/>
        <v>28.834026934562726</v>
      </c>
      <c r="CX133" s="20">
        <f t="shared" si="1023"/>
        <v>29.025939860824504</v>
      </c>
      <c r="CY133" s="20">
        <f t="shared" si="1023"/>
        <v>29.184794842857926</v>
      </c>
      <c r="CZ133" s="20">
        <f t="shared" si="1023"/>
        <v>29.12963271710267</v>
      </c>
      <c r="DA133" s="20">
        <f t="shared" si="1023"/>
        <v>29.217682431831022</v>
      </c>
      <c r="DD133" s="21">
        <v>-24.581879892589399</v>
      </c>
    </row>
    <row r="134" spans="1:108" s="10" customFormat="1" x14ac:dyDescent="0.2">
      <c r="A134" s="141" t="s">
        <v>490</v>
      </c>
      <c r="AB134" s="19"/>
      <c r="AC134" s="19"/>
      <c r="AD134" s="19"/>
      <c r="AE134" s="19"/>
      <c r="CM134" s="20"/>
      <c r="CN134" s="20"/>
      <c r="CO134" s="20"/>
      <c r="CP134" s="20"/>
      <c r="CQ134" s="20"/>
      <c r="CR134" s="20"/>
      <c r="CS134" s="20"/>
      <c r="CT134" s="20"/>
      <c r="CU134" s="20"/>
      <c r="CV134" s="20"/>
      <c r="CW134" s="20"/>
      <c r="CX134" s="20"/>
      <c r="CY134" s="20"/>
      <c r="CZ134" s="20"/>
      <c r="DA134" s="20"/>
      <c r="DD134" s="122"/>
    </row>
    <row r="135" spans="1:108" x14ac:dyDescent="0.2">
      <c r="A135" s="144" t="s">
        <v>491</v>
      </c>
      <c r="AA135" s="2"/>
    </row>
    <row r="136" spans="1:108" s="22" customFormat="1" outlineLevel="1" x14ac:dyDescent="0.2">
      <c r="A136" s="22" t="s">
        <v>41</v>
      </c>
      <c r="B136" s="22">
        <f>'Annual Raw'!C41</f>
        <v>4.9378130000000002</v>
      </c>
      <c r="C136" s="22">
        <f>'Annual Raw'!D41</f>
        <v>4.9378130000000002</v>
      </c>
      <c r="D136" s="22">
        <f>'Annual Raw'!E41</f>
        <v>0</v>
      </c>
      <c r="E136" s="22">
        <f>'Annual Raw'!F41</f>
        <v>0</v>
      </c>
      <c r="F136" s="22">
        <f>'Annual Raw'!G41</f>
        <v>0</v>
      </c>
      <c r="G136" s="22">
        <f>'Annual Raw'!H41</f>
        <v>0</v>
      </c>
      <c r="H136" s="22">
        <f>'Annual Raw'!I41</f>
        <v>0</v>
      </c>
      <c r="I136" s="22">
        <f>'Annual Raw'!J41</f>
        <v>0</v>
      </c>
      <c r="J136" s="22">
        <f>'Annual Raw'!K41</f>
        <v>0</v>
      </c>
      <c r="K136" s="22">
        <f>'Annual Raw'!L41</f>
        <v>0</v>
      </c>
      <c r="L136" s="22">
        <f>'Annual Raw'!M41</f>
        <v>0</v>
      </c>
      <c r="M136" s="22">
        <f>'Annual Raw'!N41</f>
        <v>0</v>
      </c>
      <c r="N136" s="22">
        <f>'Annual Raw'!O41</f>
        <v>0</v>
      </c>
      <c r="O136" s="22">
        <f>'Annual Raw'!P41</f>
        <v>0</v>
      </c>
      <c r="P136" s="22">
        <f>'Annual Raw'!Q41</f>
        <v>0</v>
      </c>
      <c r="Q136" s="22">
        <f>'Annual Raw'!R41</f>
        <v>0</v>
      </c>
      <c r="R136" s="22">
        <f>'Annual Raw'!S41</f>
        <v>0</v>
      </c>
      <c r="S136" s="22">
        <f>'Annual Raw'!T41</f>
        <v>0</v>
      </c>
      <c r="T136" s="22">
        <f>'Annual Raw'!U41</f>
        <v>0</v>
      </c>
      <c r="U136" s="22">
        <f>'Annual Raw'!V41</f>
        <v>0</v>
      </c>
      <c r="V136" s="22">
        <f>'Annual Raw'!W41</f>
        <v>0</v>
      </c>
      <c r="W136" s="22">
        <f>'Annual Raw'!X41</f>
        <v>0</v>
      </c>
      <c r="X136" s="22">
        <f>'Annual Raw'!Y41</f>
        <v>0</v>
      </c>
      <c r="Y136" s="22">
        <f>'Annual Raw'!Z41</f>
        <v>4.9378000000000002</v>
      </c>
      <c r="Z136" s="22">
        <f>'Annual Raw'!AA41</f>
        <v>4.9378000000000002</v>
      </c>
      <c r="AA136" s="22">
        <f>'Annual Raw'!AB41</f>
        <v>4.9378000000000002</v>
      </c>
      <c r="AB136" s="23">
        <f>+CO136</f>
        <v>4.9379999999999997</v>
      </c>
      <c r="AC136" s="23">
        <f>+CS136</f>
        <v>4.9379999999999997</v>
      </c>
      <c r="AD136" s="23">
        <f>+CW136</f>
        <v>4.9379999999999997</v>
      </c>
      <c r="AE136" s="23">
        <f>+DA136</f>
        <v>4.9379999999999997</v>
      </c>
      <c r="AI136" s="22">
        <f>+'QTR Raw'!C56</f>
        <v>0</v>
      </c>
      <c r="AJ136" s="22">
        <f t="shared" ref="AJ136:AJ137" si="1024">+AI136</f>
        <v>0</v>
      </c>
      <c r="AK136" s="22">
        <f>+'QTR Raw'!E56</f>
        <v>0</v>
      </c>
      <c r="AL136" s="22">
        <f t="shared" ref="AL136:AL137" si="1025">+AK136</f>
        <v>0</v>
      </c>
      <c r="AM136" s="22">
        <f>+'QTR Raw'!G56</f>
        <v>0</v>
      </c>
      <c r="AN136" s="22">
        <f t="shared" ref="AN136:AN137" si="1026">+AM136</f>
        <v>0</v>
      </c>
      <c r="AO136" s="22">
        <f>+'QTR Raw'!I56</f>
        <v>0</v>
      </c>
      <c r="AP136" s="22">
        <f t="shared" ref="AP136:AP137" si="1027">+AO136</f>
        <v>0</v>
      </c>
      <c r="AQ136" s="22">
        <f>+'QTR Raw'!K56</f>
        <v>0</v>
      </c>
      <c r="AR136" s="22">
        <f t="shared" ref="AR136:AR137" si="1028">+AQ136</f>
        <v>0</v>
      </c>
      <c r="AS136" s="22">
        <f>+'QTR Raw'!M56</f>
        <v>0</v>
      </c>
      <c r="AT136" s="22">
        <f t="shared" ref="AT136:AT137" si="1029">+AS136</f>
        <v>0</v>
      </c>
      <c r="AU136" s="22">
        <f>+'QTR Raw'!O56</f>
        <v>0</v>
      </c>
      <c r="AV136" s="22">
        <f t="shared" ref="AV136:AV137" si="1030">+AU136</f>
        <v>0</v>
      </c>
      <c r="AW136" s="22">
        <f>+'QTR Raw'!Q56</f>
        <v>0</v>
      </c>
      <c r="AX136" s="22">
        <f t="shared" ref="AX136:AX137" si="1031">+AW136</f>
        <v>0</v>
      </c>
      <c r="AY136" s="22">
        <f>+'QTR Raw'!S56</f>
        <v>0</v>
      </c>
      <c r="AZ136" s="22">
        <f t="shared" ref="AZ136:AZ137" si="1032">+AY136</f>
        <v>0</v>
      </c>
      <c r="BA136" s="22">
        <f>+'QTR Raw'!U56</f>
        <v>0</v>
      </c>
      <c r="BB136" s="22">
        <f t="shared" ref="BB136:BB137" si="1033">+BA136</f>
        <v>0</v>
      </c>
      <c r="BC136" s="22">
        <f>+'QTR Raw'!W56</f>
        <v>0</v>
      </c>
      <c r="BD136" s="22">
        <f t="shared" ref="BD136:BD137" si="1034">+BC136</f>
        <v>0</v>
      </c>
      <c r="BE136" s="22">
        <f>+'QTR Raw'!Y56</f>
        <v>0</v>
      </c>
      <c r="BF136" s="22">
        <f t="shared" ref="BF136:BF137" si="1035">+BE136</f>
        <v>0</v>
      </c>
      <c r="BG136" s="22">
        <f>+'QTR Raw'!AA56</f>
        <v>0</v>
      </c>
      <c r="BH136" s="22">
        <f t="shared" ref="BH136:BH137" si="1036">+BG136</f>
        <v>0</v>
      </c>
      <c r="BI136" s="22">
        <f>+'QTR Raw'!AC56</f>
        <v>0</v>
      </c>
      <c r="BJ136" s="22">
        <f t="shared" ref="BJ136:BJ137" si="1037">+BI136</f>
        <v>0</v>
      </c>
      <c r="BK136" s="22">
        <f>+'QTR Raw'!AE56</f>
        <v>0</v>
      </c>
      <c r="BL136" s="22">
        <f t="shared" ref="BL136:BL137" si="1038">+BK136</f>
        <v>0</v>
      </c>
      <c r="BM136" s="22">
        <f>+'QTR Raw'!AG56</f>
        <v>0</v>
      </c>
      <c r="BN136" s="22">
        <f t="shared" ref="BN136:BN137" si="1039">+BM136</f>
        <v>0</v>
      </c>
      <c r="BO136" s="22">
        <f>+'QTR Raw'!AI56</f>
        <v>0</v>
      </c>
      <c r="BP136" s="22">
        <f t="shared" ref="BP136:BP137" si="1040">+BO136</f>
        <v>0</v>
      </c>
      <c r="BQ136" s="22">
        <f>+'QTR Raw'!AK56</f>
        <v>0</v>
      </c>
      <c r="BR136" s="22">
        <f t="shared" ref="BR136:BR137" si="1041">+BQ136</f>
        <v>0</v>
      </c>
      <c r="BS136" s="22">
        <f>+'QTR Raw'!AM56</f>
        <v>0</v>
      </c>
      <c r="BT136" s="22">
        <f t="shared" ref="BT136:BT137" si="1042">+BS136</f>
        <v>0</v>
      </c>
      <c r="BU136" s="22">
        <f>+'QTR Raw'!AO56</f>
        <v>0</v>
      </c>
      <c r="BV136" s="22">
        <f t="shared" ref="BV136:BV137" si="1043">+BU136</f>
        <v>0</v>
      </c>
      <c r="BW136" s="22">
        <f>+'QTR Raw'!AQ56</f>
        <v>0</v>
      </c>
      <c r="BX136" s="22">
        <f t="shared" ref="BX136:BX137" si="1044">+BW136</f>
        <v>0</v>
      </c>
      <c r="BY136" s="22">
        <f>+'QTR Raw'!AS56</f>
        <v>0</v>
      </c>
      <c r="BZ136" s="22">
        <f t="shared" ref="BZ136:BZ137" si="1045">+BY136</f>
        <v>0</v>
      </c>
      <c r="CA136" s="22">
        <f>+'QTR Raw'!AU56</f>
        <v>0</v>
      </c>
      <c r="CB136" s="22">
        <f t="shared" ref="CB136:CB137" si="1046">+CA136</f>
        <v>0</v>
      </c>
      <c r="CC136" s="22">
        <f>+'QTR Raw'!AW56</f>
        <v>4.9379999999999997</v>
      </c>
      <c r="CD136" s="22">
        <f t="shared" ref="CD136:CD137" si="1047">+CC136</f>
        <v>4.9379999999999997</v>
      </c>
      <c r="CE136" s="22">
        <f>+'QTR Raw'!AY56</f>
        <v>4.9379999999999997</v>
      </c>
      <c r="CF136" s="22">
        <f t="shared" ref="CF136:CL136" si="1048">+CE136</f>
        <v>4.9379999999999997</v>
      </c>
      <c r="CG136" s="22">
        <f>+Z136</f>
        <v>4.9378000000000002</v>
      </c>
      <c r="CH136" s="22">
        <f t="shared" si="1048"/>
        <v>4.9378000000000002</v>
      </c>
      <c r="CI136" s="22">
        <f>+'QTR Raw'!BC56</f>
        <v>4.9379999999999997</v>
      </c>
      <c r="CJ136" s="22">
        <f t="shared" si="1048"/>
        <v>4.9379999999999997</v>
      </c>
      <c r="CK136" s="22">
        <f>+'QTR Raw'!BE56</f>
        <v>4.9379999999999997</v>
      </c>
      <c r="CL136" s="22">
        <f t="shared" si="1048"/>
        <v>4.9379999999999997</v>
      </c>
      <c r="CM136" s="23">
        <f t="shared" ref="CM136:DA136" si="1049">CL136</f>
        <v>4.9379999999999997</v>
      </c>
      <c r="CN136" s="23">
        <f t="shared" si="1049"/>
        <v>4.9379999999999997</v>
      </c>
      <c r="CO136" s="23">
        <f t="shared" si="1049"/>
        <v>4.9379999999999997</v>
      </c>
      <c r="CP136" s="23">
        <f t="shared" si="1049"/>
        <v>4.9379999999999997</v>
      </c>
      <c r="CQ136" s="23">
        <f t="shared" si="1049"/>
        <v>4.9379999999999997</v>
      </c>
      <c r="CR136" s="23">
        <f t="shared" si="1049"/>
        <v>4.9379999999999997</v>
      </c>
      <c r="CS136" s="23">
        <f t="shared" si="1049"/>
        <v>4.9379999999999997</v>
      </c>
      <c r="CT136" s="23">
        <f t="shared" si="1049"/>
        <v>4.9379999999999997</v>
      </c>
      <c r="CU136" s="23">
        <f t="shared" si="1049"/>
        <v>4.9379999999999997</v>
      </c>
      <c r="CV136" s="23">
        <f t="shared" si="1049"/>
        <v>4.9379999999999997</v>
      </c>
      <c r="CW136" s="23">
        <f t="shared" si="1049"/>
        <v>4.9379999999999997</v>
      </c>
      <c r="CX136" s="23">
        <f t="shared" si="1049"/>
        <v>4.9379999999999997</v>
      </c>
      <c r="CY136" s="23">
        <f t="shared" si="1049"/>
        <v>4.9379999999999997</v>
      </c>
      <c r="CZ136" s="23">
        <f t="shared" si="1049"/>
        <v>4.9379999999999997</v>
      </c>
      <c r="DA136" s="23">
        <f t="shared" si="1049"/>
        <v>4.9379999999999997</v>
      </c>
      <c r="DD136" s="120">
        <v>4.9379999999999997</v>
      </c>
    </row>
    <row r="137" spans="1:108" s="22" customFormat="1" outlineLevel="1" x14ac:dyDescent="0.2">
      <c r="A137" s="22" t="s">
        <v>42</v>
      </c>
      <c r="B137" s="22">
        <f>'Annual Raw'!C42</f>
        <v>0</v>
      </c>
      <c r="C137" s="22">
        <f>'Annual Raw'!D42</f>
        <v>0</v>
      </c>
      <c r="D137" s="22">
        <f>'Annual Raw'!E42</f>
        <v>0</v>
      </c>
      <c r="E137" s="22">
        <f>'Annual Raw'!F42</f>
        <v>0</v>
      </c>
      <c r="F137" s="22">
        <f>'Annual Raw'!G42</f>
        <v>0</v>
      </c>
      <c r="G137" s="22">
        <f>'Annual Raw'!H42</f>
        <v>0</v>
      </c>
      <c r="H137" s="22">
        <f>'Annual Raw'!I42</f>
        <v>0</v>
      </c>
      <c r="I137" s="22">
        <f>'Annual Raw'!J42</f>
        <v>0</v>
      </c>
      <c r="J137" s="22">
        <f>'Annual Raw'!K42</f>
        <v>0</v>
      </c>
      <c r="K137" s="22">
        <f>'Annual Raw'!L42</f>
        <v>0</v>
      </c>
      <c r="L137" s="22">
        <f>'Annual Raw'!M42</f>
        <v>0</v>
      </c>
      <c r="M137" s="22">
        <f>'Annual Raw'!N42</f>
        <v>0</v>
      </c>
      <c r="N137" s="22">
        <f>'Annual Raw'!O42</f>
        <v>0</v>
      </c>
      <c r="O137" s="22">
        <f>'Annual Raw'!P42</f>
        <v>0</v>
      </c>
      <c r="P137" s="22">
        <f>'Annual Raw'!Q42</f>
        <v>0</v>
      </c>
      <c r="Q137" s="22">
        <f>'Annual Raw'!R42</f>
        <v>0</v>
      </c>
      <c r="R137" s="22">
        <f>'Annual Raw'!S42</f>
        <v>0</v>
      </c>
      <c r="S137" s="22">
        <f>'Annual Raw'!T42</f>
        <v>0</v>
      </c>
      <c r="T137" s="22">
        <f>'Annual Raw'!U42</f>
        <v>0</v>
      </c>
      <c r="U137" s="22">
        <f>'Annual Raw'!V42</f>
        <v>0</v>
      </c>
      <c r="V137" s="22">
        <f>'Annual Raw'!W42</f>
        <v>0</v>
      </c>
      <c r="W137" s="22">
        <f>'Annual Raw'!X42</f>
        <v>0</v>
      </c>
      <c r="X137" s="22">
        <f>'Annual Raw'!Y42</f>
        <v>0</v>
      </c>
      <c r="Y137" s="22">
        <f>'Annual Raw'!Z42</f>
        <v>0</v>
      </c>
      <c r="Z137" s="22">
        <f>'Annual Raw'!AA42</f>
        <v>0</v>
      </c>
      <c r="AA137" s="22">
        <f>'Annual Raw'!AB42</f>
        <v>0</v>
      </c>
      <c r="AB137" s="23">
        <f t="shared" ref="AB137:AB138" si="1050">+CO137</f>
        <v>0</v>
      </c>
      <c r="AC137" s="23">
        <f t="shared" ref="AC137:AC138" si="1051">+CS137</f>
        <v>0</v>
      </c>
      <c r="AD137" s="23">
        <f t="shared" ref="AD137:AD138" si="1052">+CW137</f>
        <v>0</v>
      </c>
      <c r="AE137" s="23">
        <f t="shared" ref="AE137:AE138" si="1053">+DA137</f>
        <v>0</v>
      </c>
      <c r="AI137" s="22">
        <f>+'QTR Raw'!C57</f>
        <v>0</v>
      </c>
      <c r="AJ137" s="22">
        <f t="shared" si="1024"/>
        <v>0</v>
      </c>
      <c r="AK137" s="22">
        <f>+'QTR Raw'!E57</f>
        <v>0</v>
      </c>
      <c r="AL137" s="22">
        <f t="shared" si="1025"/>
        <v>0</v>
      </c>
      <c r="AM137" s="22">
        <f>+'QTR Raw'!G57</f>
        <v>0</v>
      </c>
      <c r="AN137" s="22">
        <f t="shared" si="1026"/>
        <v>0</v>
      </c>
      <c r="AO137" s="22">
        <f>+'QTR Raw'!I57</f>
        <v>0</v>
      </c>
      <c r="AP137" s="22">
        <f t="shared" si="1027"/>
        <v>0</v>
      </c>
      <c r="AQ137" s="22">
        <f>+'QTR Raw'!K57</f>
        <v>0</v>
      </c>
      <c r="AR137" s="22">
        <f t="shared" si="1028"/>
        <v>0</v>
      </c>
      <c r="AS137" s="22">
        <f>+'QTR Raw'!M57</f>
        <v>0</v>
      </c>
      <c r="AT137" s="22">
        <f t="shared" si="1029"/>
        <v>0</v>
      </c>
      <c r="AU137" s="22">
        <f>+'QTR Raw'!O57</f>
        <v>0</v>
      </c>
      <c r="AV137" s="22">
        <f t="shared" si="1030"/>
        <v>0</v>
      </c>
      <c r="AW137" s="22">
        <f>+'QTR Raw'!Q57</f>
        <v>0</v>
      </c>
      <c r="AX137" s="22">
        <f t="shared" si="1031"/>
        <v>0</v>
      </c>
      <c r="AY137" s="22">
        <f>+'QTR Raw'!S57</f>
        <v>0</v>
      </c>
      <c r="AZ137" s="22">
        <f t="shared" si="1032"/>
        <v>0</v>
      </c>
      <c r="BA137" s="22">
        <f>+'QTR Raw'!U57</f>
        <v>0</v>
      </c>
      <c r="BB137" s="22">
        <f t="shared" si="1033"/>
        <v>0</v>
      </c>
      <c r="BC137" s="22">
        <f>+'QTR Raw'!W57</f>
        <v>0</v>
      </c>
      <c r="BD137" s="22">
        <f t="shared" si="1034"/>
        <v>0</v>
      </c>
      <c r="BE137" s="22">
        <f>+'QTR Raw'!Y57</f>
        <v>0</v>
      </c>
      <c r="BF137" s="22">
        <f t="shared" si="1035"/>
        <v>0</v>
      </c>
      <c r="BG137" s="22">
        <f>+'QTR Raw'!AA57</f>
        <v>0</v>
      </c>
      <c r="BH137" s="22">
        <f t="shared" si="1036"/>
        <v>0</v>
      </c>
      <c r="BI137" s="22">
        <f>+'QTR Raw'!AC57</f>
        <v>0</v>
      </c>
      <c r="BJ137" s="22">
        <f t="shared" si="1037"/>
        <v>0</v>
      </c>
      <c r="BK137" s="22">
        <f>+'QTR Raw'!AE57</f>
        <v>0</v>
      </c>
      <c r="BL137" s="22">
        <f t="shared" si="1038"/>
        <v>0</v>
      </c>
      <c r="BM137" s="22">
        <f>+'QTR Raw'!AG57</f>
        <v>0</v>
      </c>
      <c r="BN137" s="22">
        <f t="shared" si="1039"/>
        <v>0</v>
      </c>
      <c r="BO137" s="22">
        <f>+'QTR Raw'!AI57</f>
        <v>0</v>
      </c>
      <c r="BP137" s="22">
        <f t="shared" si="1040"/>
        <v>0</v>
      </c>
      <c r="BQ137" s="22">
        <f>+'QTR Raw'!AK57</f>
        <v>0</v>
      </c>
      <c r="BR137" s="22">
        <f t="shared" si="1041"/>
        <v>0</v>
      </c>
      <c r="BS137" s="22">
        <f>+'QTR Raw'!AM57</f>
        <v>0</v>
      </c>
      <c r="BT137" s="22">
        <f t="shared" si="1042"/>
        <v>0</v>
      </c>
      <c r="BU137" s="22">
        <f>+'QTR Raw'!AO57</f>
        <v>0</v>
      </c>
      <c r="BV137" s="22">
        <f t="shared" si="1043"/>
        <v>0</v>
      </c>
      <c r="BW137" s="22">
        <f>+'QTR Raw'!AQ57</f>
        <v>0</v>
      </c>
      <c r="BX137" s="22">
        <f t="shared" si="1044"/>
        <v>0</v>
      </c>
      <c r="BY137" s="22">
        <f>+'QTR Raw'!AS57</f>
        <v>0</v>
      </c>
      <c r="BZ137" s="22">
        <f t="shared" si="1045"/>
        <v>0</v>
      </c>
      <c r="CA137" s="22">
        <f>+'QTR Raw'!AU57</f>
        <v>0</v>
      </c>
      <c r="CB137" s="22">
        <f t="shared" si="1046"/>
        <v>0</v>
      </c>
      <c r="CC137" s="22">
        <f>+'QTR Raw'!AW57</f>
        <v>0</v>
      </c>
      <c r="CD137" s="22">
        <f t="shared" si="1047"/>
        <v>0</v>
      </c>
      <c r="CE137" s="22">
        <f>+'QTR Raw'!AY57</f>
        <v>0</v>
      </c>
      <c r="CF137" s="22">
        <f t="shared" ref="CF137:CL137" si="1054">+CE137</f>
        <v>0</v>
      </c>
      <c r="CG137" s="22">
        <f t="shared" ref="CG137:CG138" si="1055">+Z137</f>
        <v>0</v>
      </c>
      <c r="CH137" s="22">
        <f t="shared" si="1054"/>
        <v>0</v>
      </c>
      <c r="CI137" s="22">
        <f>+'QTR Raw'!BC57</f>
        <v>0</v>
      </c>
      <c r="CJ137" s="22">
        <f t="shared" si="1054"/>
        <v>0</v>
      </c>
      <c r="CK137" s="22">
        <f>+'QTR Raw'!BE57</f>
        <v>0</v>
      </c>
      <c r="CL137" s="22">
        <f t="shared" si="1054"/>
        <v>0</v>
      </c>
      <c r="CM137" s="23">
        <f t="shared" ref="CM137:DA137" si="1056">CL137</f>
        <v>0</v>
      </c>
      <c r="CN137" s="23">
        <f t="shared" si="1056"/>
        <v>0</v>
      </c>
      <c r="CO137" s="23">
        <f t="shared" si="1056"/>
        <v>0</v>
      </c>
      <c r="CP137" s="23">
        <f t="shared" si="1056"/>
        <v>0</v>
      </c>
      <c r="CQ137" s="23">
        <f t="shared" si="1056"/>
        <v>0</v>
      </c>
      <c r="CR137" s="23">
        <f t="shared" si="1056"/>
        <v>0</v>
      </c>
      <c r="CS137" s="23">
        <f t="shared" si="1056"/>
        <v>0</v>
      </c>
      <c r="CT137" s="23">
        <f t="shared" si="1056"/>
        <v>0</v>
      </c>
      <c r="CU137" s="23">
        <f t="shared" si="1056"/>
        <v>0</v>
      </c>
      <c r="CV137" s="23">
        <f t="shared" si="1056"/>
        <v>0</v>
      </c>
      <c r="CW137" s="23">
        <f t="shared" si="1056"/>
        <v>0</v>
      </c>
      <c r="CX137" s="23">
        <f t="shared" si="1056"/>
        <v>0</v>
      </c>
      <c r="CY137" s="23">
        <f t="shared" si="1056"/>
        <v>0</v>
      </c>
      <c r="CZ137" s="23">
        <f t="shared" si="1056"/>
        <v>0</v>
      </c>
      <c r="DA137" s="23">
        <f t="shared" si="1056"/>
        <v>0</v>
      </c>
      <c r="DD137" s="120">
        <v>0</v>
      </c>
    </row>
    <row r="138" spans="1:108" s="22" customFormat="1" outlineLevel="1" x14ac:dyDescent="0.2">
      <c r="A138" s="22" t="s">
        <v>43</v>
      </c>
      <c r="B138" s="22">
        <f>'Annual Raw'!C43</f>
        <v>40.619012677000001</v>
      </c>
      <c r="C138" s="22">
        <f>'Annual Raw'!D43</f>
        <v>45.273175105</v>
      </c>
      <c r="D138" s="22">
        <f>'Annual Raw'!E43</f>
        <v>0</v>
      </c>
      <c r="E138" s="22">
        <f>'Annual Raw'!F43</f>
        <v>0</v>
      </c>
      <c r="F138" s="22">
        <f>'Annual Raw'!G43</f>
        <v>0</v>
      </c>
      <c r="G138" s="22">
        <f>'Annual Raw'!H43</f>
        <v>0</v>
      </c>
      <c r="H138" s="22">
        <f>'Annual Raw'!I43</f>
        <v>0</v>
      </c>
      <c r="I138" s="22">
        <f>'Annual Raw'!J43</f>
        <v>0</v>
      </c>
      <c r="J138" s="22">
        <f>'Annual Raw'!K43</f>
        <v>0</v>
      </c>
      <c r="K138" s="22">
        <f>'Annual Raw'!L43</f>
        <v>0</v>
      </c>
      <c r="L138" s="22">
        <f>'Annual Raw'!M43</f>
        <v>0</v>
      </c>
      <c r="M138" s="22">
        <f>'Annual Raw'!N43</f>
        <v>0</v>
      </c>
      <c r="N138" s="22">
        <f>'Annual Raw'!O43</f>
        <v>0</v>
      </c>
      <c r="O138" s="22">
        <f>'Annual Raw'!P43</f>
        <v>0</v>
      </c>
      <c r="P138" s="22">
        <f>'Annual Raw'!Q43</f>
        <v>0</v>
      </c>
      <c r="Q138" s="22">
        <f>'Annual Raw'!R43</f>
        <v>0</v>
      </c>
      <c r="R138" s="22">
        <f>'Annual Raw'!S43</f>
        <v>0</v>
      </c>
      <c r="S138" s="22">
        <f>'Annual Raw'!T43</f>
        <v>0</v>
      </c>
      <c r="T138" s="22">
        <f>'Annual Raw'!U43</f>
        <v>0</v>
      </c>
      <c r="U138" s="22">
        <f>'Annual Raw'!V43</f>
        <v>0</v>
      </c>
      <c r="V138" s="22">
        <f>'Annual Raw'!W43</f>
        <v>0</v>
      </c>
      <c r="W138" s="22">
        <f>'Annual Raw'!X43</f>
        <v>0</v>
      </c>
      <c r="X138" s="22">
        <f>'Annual Raw'!Y43</f>
        <v>0</v>
      </c>
      <c r="Y138" s="22">
        <f>'Annual Raw'!Z43</f>
        <v>206.45429999999999</v>
      </c>
      <c r="Z138" s="22">
        <f>'Annual Raw'!AA43</f>
        <v>196.2139</v>
      </c>
      <c r="AA138" s="22">
        <f>'Annual Raw'!AB43</f>
        <v>205.20590000000001</v>
      </c>
      <c r="AB138" s="23">
        <f t="shared" si="1050"/>
        <v>259.80000544673294</v>
      </c>
      <c r="AC138" s="23">
        <f t="shared" si="1051"/>
        <v>438.29183872017592</v>
      </c>
      <c r="AD138" s="23">
        <f t="shared" si="1052"/>
        <v>781.92482409608749</v>
      </c>
      <c r="AE138" s="23">
        <f t="shared" si="1053"/>
        <v>1328.1515770368433</v>
      </c>
      <c r="AI138" s="22">
        <f>+'QTR Raw'!C58</f>
        <v>0</v>
      </c>
      <c r="AJ138" s="22">
        <f>+AI138+AJ67</f>
        <v>-3.7169999999999908</v>
      </c>
      <c r="AK138" s="22">
        <f>+'QTR Raw'!E58</f>
        <v>0</v>
      </c>
      <c r="AL138" s="22">
        <f>+AK138+AL67</f>
        <v>-3.4370000000000163</v>
      </c>
      <c r="AM138" s="22">
        <f>+'QTR Raw'!G58</f>
        <v>0</v>
      </c>
      <c r="AN138" s="22">
        <f>+AM138+AN67</f>
        <v>-18.507999999999992</v>
      </c>
      <c r="AO138" s="22">
        <f>+'QTR Raw'!I58</f>
        <v>0</v>
      </c>
      <c r="AP138" s="22">
        <f>+AO138+AP67</f>
        <v>-1.5760000000000192</v>
      </c>
      <c r="AQ138" s="22">
        <f>+'QTR Raw'!K58</f>
        <v>0</v>
      </c>
      <c r="AR138" s="22">
        <f>+AQ138+AR67</f>
        <v>4.2170000000000014</v>
      </c>
      <c r="AS138" s="22">
        <f>+'QTR Raw'!M58</f>
        <v>0</v>
      </c>
      <c r="AT138" s="22">
        <f>+AS138+AT67</f>
        <v>7.7749999999999932</v>
      </c>
      <c r="AU138" s="22">
        <f>+'QTR Raw'!O58</f>
        <v>0</v>
      </c>
      <c r="AV138" s="22">
        <f>+AU138+AV67</f>
        <v>-2.8020000000000009</v>
      </c>
      <c r="AW138" s="22">
        <f>+'QTR Raw'!Q58</f>
        <v>0</v>
      </c>
      <c r="AX138" s="22">
        <f>+AW138+AX67</f>
        <v>10.694000000000003</v>
      </c>
      <c r="AY138" s="22">
        <f>+'QTR Raw'!S58</f>
        <v>0</v>
      </c>
      <c r="AZ138" s="22">
        <f>+AY138+AZ67</f>
        <v>2.1000000000006236E-2</v>
      </c>
      <c r="BA138" s="22">
        <f>+'QTR Raw'!U58</f>
        <v>0</v>
      </c>
      <c r="BB138" s="22">
        <f>+BA138+BB67</f>
        <v>4.5799999999999939</v>
      </c>
      <c r="BC138" s="22">
        <f>+'QTR Raw'!W58</f>
        <v>0</v>
      </c>
      <c r="BD138" s="22">
        <f>+BC138+BD67</f>
        <v>4.5229999999999997</v>
      </c>
      <c r="BE138" s="22">
        <f>+'QTR Raw'!Y58</f>
        <v>0</v>
      </c>
      <c r="BF138" s="22">
        <f>+BE138+BF67</f>
        <v>-0.99799999999999289</v>
      </c>
      <c r="BG138" s="22">
        <f>+'QTR Raw'!AA58</f>
        <v>0</v>
      </c>
      <c r="BH138" s="22">
        <f>+BG138+BH67</f>
        <v>10.432</v>
      </c>
      <c r="BI138" s="22">
        <f>+'QTR Raw'!AC58</f>
        <v>0</v>
      </c>
      <c r="BJ138" s="22">
        <f>+BI138+BJ67</f>
        <v>5.4789999999999939</v>
      </c>
      <c r="BK138" s="22">
        <f>+'QTR Raw'!AE58</f>
        <v>0</v>
      </c>
      <c r="BL138" s="22">
        <f>+BK138+BL67</f>
        <v>9.7959999999999923</v>
      </c>
      <c r="BM138" s="22">
        <f>+'QTR Raw'!AG58</f>
        <v>0</v>
      </c>
      <c r="BN138" s="22">
        <f>+BM138+BN67</f>
        <v>4.5259999999999989</v>
      </c>
      <c r="BO138" s="22">
        <f>+'QTR Raw'!AI58</f>
        <v>0</v>
      </c>
      <c r="BP138" s="22">
        <f>+BO138+BP67</f>
        <v>-11.356999999999998</v>
      </c>
      <c r="BQ138" s="22">
        <f>+'QTR Raw'!AK58</f>
        <v>0</v>
      </c>
      <c r="BR138" s="22">
        <f>+BQ138+BR67</f>
        <v>-8.960000000000008</v>
      </c>
      <c r="BS138" s="22">
        <f>+'QTR Raw'!AM58</f>
        <v>0</v>
      </c>
      <c r="BT138" s="22">
        <f>+BS138+BT67</f>
        <v>2.1990000000000025</v>
      </c>
      <c r="BU138" s="22">
        <f>+'QTR Raw'!AO58</f>
        <v>0</v>
      </c>
      <c r="BV138" s="22">
        <f>+BU138+BV67</f>
        <v>-2.4539999999999949</v>
      </c>
      <c r="BW138" s="22">
        <f>+'QTR Raw'!AQ58</f>
        <v>0</v>
      </c>
      <c r="BX138" s="22">
        <f>+BW138+BX67</f>
        <v>-2.9460000000000011</v>
      </c>
      <c r="BY138" s="22">
        <f>+'QTR Raw'!AS58</f>
        <v>0</v>
      </c>
      <c r="BZ138" s="22">
        <f>+BY138+BZ67</f>
        <v>9.7930000000000046</v>
      </c>
      <c r="CA138" s="22">
        <f>+'QTR Raw'!AU58</f>
        <v>0</v>
      </c>
      <c r="CB138" s="22">
        <f>+CA138+CB67</f>
        <v>6.9840000000000106</v>
      </c>
      <c r="CC138" s="22">
        <f>+'QTR Raw'!AW58</f>
        <v>206.45400000000001</v>
      </c>
      <c r="CD138" s="22">
        <f>+CC138+CD67</f>
        <v>210.07299999999998</v>
      </c>
      <c r="CE138" s="22">
        <f>+'QTR Raw'!AY58</f>
        <v>206.75899999999999</v>
      </c>
      <c r="CF138" s="22">
        <f>+CE138+CF67</f>
        <v>199.262</v>
      </c>
      <c r="CG138" s="22">
        <f t="shared" si="1055"/>
        <v>196.2139</v>
      </c>
      <c r="CH138" s="22">
        <f>+CG138+CH67</f>
        <v>193.29990000000001</v>
      </c>
      <c r="CI138" s="22">
        <f>+'QTR Raw'!BC58</f>
        <v>197.59899999999999</v>
      </c>
      <c r="CJ138" s="22">
        <f>+CI138+CJ67</f>
        <v>206.51899999999998</v>
      </c>
      <c r="CK138" s="22">
        <f>+'QTR Raw'!BE58</f>
        <v>205.20599999999999</v>
      </c>
      <c r="CL138" s="22">
        <f>+CK138+CL67</f>
        <v>212.56700000000001</v>
      </c>
      <c r="CM138" s="23">
        <f t="shared" ref="CM138:DA138" si="1057">CL138+CM67</f>
        <v>207.32792110978286</v>
      </c>
      <c r="CN138" s="23">
        <f t="shared" si="1057"/>
        <v>230.86437110712851</v>
      </c>
      <c r="CO138" s="23">
        <f t="shared" si="1057"/>
        <v>259.80000544673294</v>
      </c>
      <c r="CP138" s="23">
        <f t="shared" si="1057"/>
        <v>283.31777079408778</v>
      </c>
      <c r="CQ138" s="23">
        <f t="shared" si="1057"/>
        <v>309.33350083073731</v>
      </c>
      <c r="CR138" s="23">
        <f t="shared" si="1057"/>
        <v>370.95670638112642</v>
      </c>
      <c r="CS138" s="23">
        <f t="shared" si="1057"/>
        <v>438.29183872017592</v>
      </c>
      <c r="CT138" s="23">
        <f t="shared" si="1057"/>
        <v>498.44583899532478</v>
      </c>
      <c r="CU138" s="23">
        <f t="shared" si="1057"/>
        <v>560.73349010092852</v>
      </c>
      <c r="CV138" s="23">
        <f t="shared" si="1057"/>
        <v>668.16821909445912</v>
      </c>
      <c r="CW138" s="23">
        <f t="shared" si="1057"/>
        <v>781.92482409608749</v>
      </c>
      <c r="CX138" s="23">
        <f t="shared" si="1057"/>
        <v>886.56208932961704</v>
      </c>
      <c r="CY138" s="23">
        <f t="shared" si="1057"/>
        <v>993.069782512296</v>
      </c>
      <c r="CZ138" s="23">
        <f t="shared" si="1057"/>
        <v>1156.9828715545234</v>
      </c>
      <c r="DA138" s="23">
        <f t="shared" si="1057"/>
        <v>1328.1515770368433</v>
      </c>
      <c r="DD138" s="120">
        <v>205.20599999999999</v>
      </c>
    </row>
    <row r="139" spans="1:108" s="21" customFormat="1" x14ac:dyDescent="0.2">
      <c r="A139" s="21" t="s">
        <v>44</v>
      </c>
      <c r="B139" s="21">
        <f>B136+B137+B138</f>
        <v>45.556825676999999</v>
      </c>
      <c r="C139" s="21">
        <f t="shared" ref="C139:V139" si="1058">C136+C137+C138</f>
        <v>50.210988104999998</v>
      </c>
      <c r="D139" s="21">
        <f t="shared" si="1058"/>
        <v>0</v>
      </c>
      <c r="E139" s="21">
        <f t="shared" si="1058"/>
        <v>0</v>
      </c>
      <c r="F139" s="21">
        <f t="shared" si="1058"/>
        <v>0</v>
      </c>
      <c r="G139" s="21">
        <f t="shared" si="1058"/>
        <v>0</v>
      </c>
      <c r="H139" s="21">
        <f t="shared" si="1058"/>
        <v>0</v>
      </c>
      <c r="I139" s="21">
        <f t="shared" si="1058"/>
        <v>0</v>
      </c>
      <c r="J139" s="21">
        <f t="shared" si="1058"/>
        <v>0</v>
      </c>
      <c r="K139" s="21">
        <f t="shared" si="1058"/>
        <v>0</v>
      </c>
      <c r="L139" s="21">
        <f t="shared" si="1058"/>
        <v>0</v>
      </c>
      <c r="M139" s="21">
        <f>M136+M137+M138</f>
        <v>0</v>
      </c>
      <c r="N139" s="21">
        <f t="shared" si="1058"/>
        <v>0</v>
      </c>
      <c r="O139" s="21">
        <f t="shared" si="1058"/>
        <v>0</v>
      </c>
      <c r="P139" s="21">
        <f t="shared" si="1058"/>
        <v>0</v>
      </c>
      <c r="Q139" s="21">
        <f t="shared" si="1058"/>
        <v>0</v>
      </c>
      <c r="R139" s="21">
        <f t="shared" si="1058"/>
        <v>0</v>
      </c>
      <c r="S139" s="21">
        <f t="shared" si="1058"/>
        <v>0</v>
      </c>
      <c r="T139" s="21">
        <f t="shared" si="1058"/>
        <v>0</v>
      </c>
      <c r="U139" s="21">
        <f t="shared" si="1058"/>
        <v>0</v>
      </c>
      <c r="V139" s="21">
        <f t="shared" si="1058"/>
        <v>0</v>
      </c>
      <c r="W139" s="21">
        <f t="shared" ref="W139" si="1059">W136+W137+W138</f>
        <v>0</v>
      </c>
      <c r="X139" s="21">
        <f t="shared" ref="X139:Y139" si="1060">X136+X137+X138</f>
        <v>0</v>
      </c>
      <c r="Y139" s="21">
        <f t="shared" si="1060"/>
        <v>211.3921</v>
      </c>
      <c r="Z139" s="21">
        <f t="shared" ref="Z139:AA139" si="1061">Z136+Z137+Z138</f>
        <v>201.15170000000001</v>
      </c>
      <c r="AA139" s="21">
        <f t="shared" si="1061"/>
        <v>210.14370000000002</v>
      </c>
      <c r="AB139" s="20">
        <f t="shared" ref="AA139:AD139" si="1062">AB136+AB137+AB138</f>
        <v>264.73800544673293</v>
      </c>
      <c r="AC139" s="20">
        <f t="shared" si="1062"/>
        <v>443.22983872017591</v>
      </c>
      <c r="AD139" s="20">
        <f t="shared" si="1062"/>
        <v>786.86282409608748</v>
      </c>
      <c r="AE139" s="20">
        <f t="shared" ref="AE139" si="1063">AE136+AE137+AE138</f>
        <v>1333.0895770368434</v>
      </c>
      <c r="AI139" s="21">
        <f t="shared" ref="AI139:AL139" si="1064">AI136+AI137+AI138</f>
        <v>0</v>
      </c>
      <c r="AJ139" s="21">
        <f t="shared" si="1064"/>
        <v>-3.7169999999999908</v>
      </c>
      <c r="AK139" s="21">
        <f t="shared" si="1064"/>
        <v>0</v>
      </c>
      <c r="AL139" s="21">
        <f t="shared" si="1064"/>
        <v>-3.4370000000000163</v>
      </c>
      <c r="AM139" s="21">
        <f t="shared" ref="AM139:AP139" si="1065">AM136+AM137+AM138</f>
        <v>0</v>
      </c>
      <c r="AN139" s="21">
        <f t="shared" si="1065"/>
        <v>-18.507999999999992</v>
      </c>
      <c r="AO139" s="21">
        <f t="shared" si="1065"/>
        <v>0</v>
      </c>
      <c r="AP139" s="21">
        <f t="shared" si="1065"/>
        <v>-1.5760000000000192</v>
      </c>
      <c r="AQ139" s="21">
        <f t="shared" ref="AQ139:AT139" si="1066">AQ136+AQ137+AQ138</f>
        <v>0</v>
      </c>
      <c r="AR139" s="21">
        <f t="shared" si="1066"/>
        <v>4.2170000000000014</v>
      </c>
      <c r="AS139" s="21">
        <f t="shared" si="1066"/>
        <v>0</v>
      </c>
      <c r="AT139" s="21">
        <f t="shared" si="1066"/>
        <v>7.7749999999999932</v>
      </c>
      <c r="AU139" s="21">
        <f t="shared" ref="AU139:AX139" si="1067">AU136+AU137+AU138</f>
        <v>0</v>
      </c>
      <c r="AV139" s="21">
        <f t="shared" si="1067"/>
        <v>-2.8020000000000009</v>
      </c>
      <c r="AW139" s="21">
        <f t="shared" si="1067"/>
        <v>0</v>
      </c>
      <c r="AX139" s="21">
        <f t="shared" si="1067"/>
        <v>10.694000000000003</v>
      </c>
      <c r="AY139" s="21">
        <f t="shared" ref="AY139:BB139" si="1068">AY136+AY137+AY138</f>
        <v>0</v>
      </c>
      <c r="AZ139" s="21">
        <f t="shared" si="1068"/>
        <v>2.1000000000006236E-2</v>
      </c>
      <c r="BA139" s="21">
        <f t="shared" si="1068"/>
        <v>0</v>
      </c>
      <c r="BB139" s="21">
        <f t="shared" si="1068"/>
        <v>4.5799999999999939</v>
      </c>
      <c r="BC139" s="21">
        <f t="shared" ref="BC139:BF139" si="1069">BC136+BC137+BC138</f>
        <v>0</v>
      </c>
      <c r="BD139" s="21">
        <f t="shared" si="1069"/>
        <v>4.5229999999999997</v>
      </c>
      <c r="BE139" s="21">
        <f t="shared" si="1069"/>
        <v>0</v>
      </c>
      <c r="BF139" s="21">
        <f t="shared" si="1069"/>
        <v>-0.99799999999999289</v>
      </c>
      <c r="BG139" s="21">
        <f t="shared" ref="BG139:BJ139" si="1070">BG136+BG137+BG138</f>
        <v>0</v>
      </c>
      <c r="BH139" s="21">
        <f t="shared" si="1070"/>
        <v>10.432</v>
      </c>
      <c r="BI139" s="21">
        <f t="shared" si="1070"/>
        <v>0</v>
      </c>
      <c r="BJ139" s="21">
        <f t="shared" si="1070"/>
        <v>5.4789999999999939</v>
      </c>
      <c r="BK139" s="21">
        <f t="shared" ref="BK139:BN139" si="1071">BK136+BK137+BK138</f>
        <v>0</v>
      </c>
      <c r="BL139" s="21">
        <f t="shared" si="1071"/>
        <v>9.7959999999999923</v>
      </c>
      <c r="BM139" s="21">
        <f t="shared" si="1071"/>
        <v>0</v>
      </c>
      <c r="BN139" s="21">
        <f t="shared" si="1071"/>
        <v>4.5259999999999989</v>
      </c>
      <c r="BO139" s="21">
        <f t="shared" ref="BO139:BR139" si="1072">BO136+BO137+BO138</f>
        <v>0</v>
      </c>
      <c r="BP139" s="21">
        <f t="shared" si="1072"/>
        <v>-11.356999999999998</v>
      </c>
      <c r="BQ139" s="21">
        <f t="shared" si="1072"/>
        <v>0</v>
      </c>
      <c r="BR139" s="21">
        <f t="shared" si="1072"/>
        <v>-8.960000000000008</v>
      </c>
      <c r="BS139" s="21">
        <f t="shared" ref="BS139:BV139" si="1073">BS136+BS137+BS138</f>
        <v>0</v>
      </c>
      <c r="BT139" s="21">
        <f t="shared" si="1073"/>
        <v>2.1990000000000025</v>
      </c>
      <c r="BU139" s="21">
        <f t="shared" si="1073"/>
        <v>0</v>
      </c>
      <c r="BV139" s="21">
        <f t="shared" si="1073"/>
        <v>-2.4539999999999949</v>
      </c>
      <c r="BW139" s="21">
        <f t="shared" ref="BW139:BZ139" si="1074">BW136+BW137+BW138</f>
        <v>0</v>
      </c>
      <c r="BX139" s="21">
        <f t="shared" si="1074"/>
        <v>-2.9460000000000011</v>
      </c>
      <c r="BY139" s="21">
        <f t="shared" si="1074"/>
        <v>0</v>
      </c>
      <c r="BZ139" s="21">
        <f t="shared" si="1074"/>
        <v>9.7930000000000046</v>
      </c>
      <c r="CA139" s="21">
        <f t="shared" ref="CA139:CD139" si="1075">CA136+CA137+CA138</f>
        <v>0</v>
      </c>
      <c r="CB139" s="21">
        <f t="shared" si="1075"/>
        <v>6.9840000000000106</v>
      </c>
      <c r="CC139" s="21">
        <f t="shared" si="1075"/>
        <v>211.392</v>
      </c>
      <c r="CD139" s="21">
        <f t="shared" si="1075"/>
        <v>215.01099999999997</v>
      </c>
      <c r="CE139" s="21">
        <f t="shared" ref="CE139" si="1076">CE136+CE137+CE138</f>
        <v>211.69699999999997</v>
      </c>
      <c r="CF139" s="21">
        <f t="shared" ref="CF139:CH139" si="1077">CF136+CF137+CF138</f>
        <v>204.2</v>
      </c>
      <c r="CG139" s="21">
        <f t="shared" ref="CG139" si="1078">CG136+CG137+CG138</f>
        <v>201.15170000000001</v>
      </c>
      <c r="CH139" s="21">
        <f t="shared" si="1077"/>
        <v>198.23770000000002</v>
      </c>
      <c r="CI139" s="21">
        <f t="shared" ref="CI139:CJ139" si="1079">CI136+CI137+CI138</f>
        <v>202.53699999999998</v>
      </c>
      <c r="CJ139" s="21">
        <f t="shared" si="1079"/>
        <v>211.45699999999997</v>
      </c>
      <c r="CK139" s="21">
        <f t="shared" ref="CK139:CL139" si="1080">CK136+CK137+CK138</f>
        <v>210.14399999999998</v>
      </c>
      <c r="CL139" s="21">
        <f t="shared" si="1080"/>
        <v>217.505</v>
      </c>
      <c r="CM139" s="20">
        <f t="shared" ref="CM139:DA139" si="1081">CM136+CM137+CM138</f>
        <v>212.26592110978285</v>
      </c>
      <c r="CN139" s="20">
        <f t="shared" si="1081"/>
        <v>235.80237110712849</v>
      </c>
      <c r="CO139" s="20">
        <f t="shared" si="1081"/>
        <v>264.73800544673293</v>
      </c>
      <c r="CP139" s="20">
        <f t="shared" si="1081"/>
        <v>288.25577079408777</v>
      </c>
      <c r="CQ139" s="20">
        <f t="shared" si="1081"/>
        <v>314.2715008307373</v>
      </c>
      <c r="CR139" s="20">
        <f t="shared" si="1081"/>
        <v>375.89470638112641</v>
      </c>
      <c r="CS139" s="20">
        <f t="shared" si="1081"/>
        <v>443.22983872017591</v>
      </c>
      <c r="CT139" s="20">
        <f t="shared" si="1081"/>
        <v>503.38383899532477</v>
      </c>
      <c r="CU139" s="20">
        <f t="shared" si="1081"/>
        <v>565.67149010092851</v>
      </c>
      <c r="CV139" s="20">
        <f t="shared" si="1081"/>
        <v>673.10621909445911</v>
      </c>
      <c r="CW139" s="20">
        <f t="shared" si="1081"/>
        <v>786.86282409608748</v>
      </c>
      <c r="CX139" s="20">
        <f t="shared" si="1081"/>
        <v>891.50008932961703</v>
      </c>
      <c r="CY139" s="20">
        <f t="shared" si="1081"/>
        <v>998.00778251229599</v>
      </c>
      <c r="CZ139" s="20">
        <f t="shared" si="1081"/>
        <v>1161.9208715545235</v>
      </c>
      <c r="DA139" s="20">
        <f t="shared" si="1081"/>
        <v>1333.0895770368434</v>
      </c>
      <c r="DD139" s="122">
        <v>210.14399999999998</v>
      </c>
    </row>
    <row r="140" spans="1:108" s="21" customFormat="1" x14ac:dyDescent="0.2">
      <c r="AB140" s="20"/>
      <c r="AC140" s="20"/>
      <c r="AD140" s="20"/>
      <c r="AE140" s="20"/>
      <c r="CM140" s="20"/>
      <c r="CN140" s="20"/>
      <c r="CO140" s="20"/>
      <c r="CP140" s="20"/>
      <c r="CQ140" s="20"/>
      <c r="CR140" s="20"/>
      <c r="CS140" s="20"/>
      <c r="CT140" s="20"/>
      <c r="CU140" s="20"/>
      <c r="CV140" s="20"/>
      <c r="CW140" s="20"/>
      <c r="CX140" s="20"/>
      <c r="CY140" s="20"/>
      <c r="CZ140" s="20"/>
      <c r="DA140" s="20"/>
      <c r="DD140" s="122"/>
    </row>
    <row r="141" spans="1:108" s="22" customFormat="1" x14ac:dyDescent="0.2">
      <c r="A141" s="22" t="s">
        <v>23</v>
      </c>
      <c r="B141" s="22">
        <f>'Annual Raw'!C45</f>
        <v>0</v>
      </c>
      <c r="C141" s="22">
        <f>'Annual Raw'!D45</f>
        <v>0</v>
      </c>
      <c r="D141" s="22">
        <f>'Annual Raw'!E45</f>
        <v>0</v>
      </c>
      <c r="E141" s="22">
        <f>'Annual Raw'!F45</f>
        <v>0</v>
      </c>
      <c r="F141" s="22">
        <f>'Annual Raw'!G45</f>
        <v>0</v>
      </c>
      <c r="G141" s="22">
        <f>'Annual Raw'!H45</f>
        <v>0</v>
      </c>
      <c r="H141" s="22">
        <f>'Annual Raw'!I45</f>
        <v>0</v>
      </c>
      <c r="I141" s="22">
        <f>'Annual Raw'!J45</f>
        <v>0</v>
      </c>
      <c r="J141" s="22">
        <f>'Annual Raw'!K45</f>
        <v>0</v>
      </c>
      <c r="K141" s="22">
        <f>'Annual Raw'!L45</f>
        <v>0</v>
      </c>
      <c r="L141" s="22">
        <f>'Annual Raw'!M45</f>
        <v>0</v>
      </c>
      <c r="M141" s="22">
        <f>'Annual Raw'!N45</f>
        <v>0</v>
      </c>
      <c r="N141" s="22">
        <f>'Annual Raw'!O45</f>
        <v>0</v>
      </c>
      <c r="O141" s="22">
        <f>'Annual Raw'!P45</f>
        <v>0</v>
      </c>
      <c r="P141" s="22">
        <f>'Annual Raw'!Q45</f>
        <v>0</v>
      </c>
      <c r="Q141" s="22">
        <f>'Annual Raw'!R45</f>
        <v>0</v>
      </c>
      <c r="R141" s="22">
        <f>'Annual Raw'!S45</f>
        <v>0</v>
      </c>
      <c r="S141" s="22">
        <f>'Annual Raw'!T45</f>
        <v>0</v>
      </c>
      <c r="T141" s="22">
        <f>'Annual Raw'!U45</f>
        <v>0</v>
      </c>
      <c r="U141" s="22">
        <f>'Annual Raw'!V45</f>
        <v>0</v>
      </c>
      <c r="V141" s="22">
        <f>'Annual Raw'!W45</f>
        <v>0</v>
      </c>
      <c r="W141" s="22">
        <f>'Annual Raw'!X45</f>
        <v>0</v>
      </c>
      <c r="X141" s="22">
        <f>'Annual Raw'!Y45</f>
        <v>0</v>
      </c>
      <c r="Y141" s="22">
        <f>'Annual Raw'!Z45</f>
        <v>0</v>
      </c>
      <c r="Z141" s="22">
        <f>'Annual Raw'!AA45</f>
        <v>0</v>
      </c>
      <c r="AA141" s="22">
        <f>'Annual Raw'!AB45</f>
        <v>0</v>
      </c>
      <c r="AB141" s="23">
        <f t="shared" ref="AB141" si="1082">+CO141</f>
        <v>0</v>
      </c>
      <c r="AC141" s="23">
        <f t="shared" ref="AC141" si="1083">+CS141</f>
        <v>0</v>
      </c>
      <c r="AD141" s="23">
        <f t="shared" ref="AD141" si="1084">+CW141</f>
        <v>0</v>
      </c>
      <c r="AE141" s="23">
        <f t="shared" ref="AE141" si="1085">+DA141</f>
        <v>0</v>
      </c>
      <c r="AI141" s="22">
        <f>+'QTR Raw'!C60</f>
        <v>0</v>
      </c>
      <c r="AJ141" s="22">
        <f t="shared" ref="AJ141" si="1086">+AI141</f>
        <v>0</v>
      </c>
      <c r="AK141" s="22">
        <f>+'QTR Raw'!E60</f>
        <v>0</v>
      </c>
      <c r="AL141" s="22">
        <f t="shared" ref="AL141" si="1087">+AK141</f>
        <v>0</v>
      </c>
      <c r="AM141" s="22">
        <f>+'QTR Raw'!G60</f>
        <v>0</v>
      </c>
      <c r="AN141" s="22">
        <f t="shared" ref="AN141" si="1088">+AM141</f>
        <v>0</v>
      </c>
      <c r="AO141" s="22">
        <f>+'QTR Raw'!I60</f>
        <v>0</v>
      </c>
      <c r="AP141" s="22">
        <f t="shared" ref="AP141" si="1089">+AO141</f>
        <v>0</v>
      </c>
      <c r="AQ141" s="22">
        <f>+'QTR Raw'!K60</f>
        <v>0</v>
      </c>
      <c r="AR141" s="22">
        <f t="shared" ref="AR141" si="1090">+AQ141</f>
        <v>0</v>
      </c>
      <c r="AS141" s="22">
        <f>+'QTR Raw'!M60</f>
        <v>0</v>
      </c>
      <c r="AT141" s="22">
        <f t="shared" ref="AT141" si="1091">+AS141</f>
        <v>0</v>
      </c>
      <c r="AU141" s="22">
        <f>+'QTR Raw'!O60</f>
        <v>0</v>
      </c>
      <c r="AV141" s="22">
        <f t="shared" ref="AV141" si="1092">+AU141</f>
        <v>0</v>
      </c>
      <c r="AW141" s="22">
        <f>+'QTR Raw'!Q60</f>
        <v>0</v>
      </c>
      <c r="AX141" s="22">
        <f t="shared" ref="AX141" si="1093">+AW141</f>
        <v>0</v>
      </c>
      <c r="AY141" s="22">
        <f>+'QTR Raw'!S60</f>
        <v>0</v>
      </c>
      <c r="AZ141" s="22">
        <f t="shared" ref="AZ141" si="1094">+AY141</f>
        <v>0</v>
      </c>
      <c r="BA141" s="22">
        <f>+'QTR Raw'!U60</f>
        <v>0</v>
      </c>
      <c r="BB141" s="22">
        <f t="shared" ref="BB141" si="1095">+BA141</f>
        <v>0</v>
      </c>
      <c r="BC141" s="22">
        <f>+'QTR Raw'!W60</f>
        <v>0</v>
      </c>
      <c r="BD141" s="22">
        <f t="shared" ref="BD141" si="1096">+BC141</f>
        <v>0</v>
      </c>
      <c r="BE141" s="22">
        <f>+'QTR Raw'!Y60</f>
        <v>0</v>
      </c>
      <c r="BF141" s="22">
        <f t="shared" ref="BF141" si="1097">+BE141</f>
        <v>0</v>
      </c>
      <c r="BG141" s="22">
        <f>+'QTR Raw'!AA60</f>
        <v>0</v>
      </c>
      <c r="BH141" s="22">
        <f t="shared" ref="BH141" si="1098">+BG141</f>
        <v>0</v>
      </c>
      <c r="BI141" s="22">
        <f>+'QTR Raw'!AC60</f>
        <v>0</v>
      </c>
      <c r="BJ141" s="22">
        <f t="shared" ref="BJ141" si="1099">+BI141</f>
        <v>0</v>
      </c>
      <c r="BK141" s="22">
        <f>+'QTR Raw'!AE60</f>
        <v>0</v>
      </c>
      <c r="BL141" s="22">
        <f t="shared" ref="BL141" si="1100">+BK141</f>
        <v>0</v>
      </c>
      <c r="BM141" s="22">
        <f>+'QTR Raw'!AG60</f>
        <v>0</v>
      </c>
      <c r="BN141" s="22">
        <f t="shared" ref="BN141" si="1101">+BM141</f>
        <v>0</v>
      </c>
      <c r="BO141" s="22">
        <f>+'QTR Raw'!AI60</f>
        <v>0</v>
      </c>
      <c r="BP141" s="22">
        <f t="shared" ref="BP141" si="1102">+BO141</f>
        <v>0</v>
      </c>
      <c r="BQ141" s="22">
        <f>+'QTR Raw'!AK60</f>
        <v>0</v>
      </c>
      <c r="BR141" s="22">
        <f t="shared" ref="BR141" si="1103">+BQ141</f>
        <v>0</v>
      </c>
      <c r="BS141" s="22">
        <f>+'QTR Raw'!AM60</f>
        <v>0</v>
      </c>
      <c r="BT141" s="22">
        <f t="shared" ref="BT141" si="1104">+BS141</f>
        <v>0</v>
      </c>
      <c r="BU141" s="22">
        <f>+'QTR Raw'!AO60</f>
        <v>0</v>
      </c>
      <c r="BV141" s="22">
        <f t="shared" ref="BV141" si="1105">+BU141</f>
        <v>0</v>
      </c>
      <c r="BW141" s="22">
        <f>+'QTR Raw'!AQ60</f>
        <v>0</v>
      </c>
      <c r="BX141" s="22">
        <f t="shared" ref="BX141" si="1106">+BW141</f>
        <v>0</v>
      </c>
      <c r="BY141" s="22">
        <f>+'QTR Raw'!AS60</f>
        <v>0</v>
      </c>
      <c r="BZ141" s="22">
        <f t="shared" ref="BZ141" si="1107">+BY141</f>
        <v>0</v>
      </c>
      <c r="CA141" s="22">
        <f>+'QTR Raw'!AU60</f>
        <v>0</v>
      </c>
      <c r="CB141" s="22">
        <f t="shared" ref="CB141" si="1108">+CA141</f>
        <v>0</v>
      </c>
      <c r="CC141" s="22">
        <f>+'QTR Raw'!AW60</f>
        <v>0</v>
      </c>
      <c r="CD141" s="22">
        <f t="shared" ref="CD141" si="1109">+CC141</f>
        <v>0</v>
      </c>
      <c r="CE141" s="22">
        <f>+'QTR Raw'!AY60</f>
        <v>0</v>
      </c>
      <c r="CF141" s="22">
        <f t="shared" ref="CF141:CL141" si="1110">+CE141</f>
        <v>0</v>
      </c>
      <c r="CG141" s="22">
        <f t="shared" ref="CG141:CG146" si="1111">+Z141</f>
        <v>0</v>
      </c>
      <c r="CH141" s="22">
        <f t="shared" si="1110"/>
        <v>0</v>
      </c>
      <c r="CI141" s="22">
        <f>+'QTR Raw'!BC60</f>
        <v>0</v>
      </c>
      <c r="CJ141" s="22">
        <f t="shared" si="1110"/>
        <v>0</v>
      </c>
      <c r="CK141" s="22">
        <f>+'QTR Raw'!BE60</f>
        <v>0</v>
      </c>
      <c r="CL141" s="22">
        <f t="shared" si="1110"/>
        <v>0</v>
      </c>
      <c r="CM141" s="23">
        <f t="shared" ref="CM141" si="1112">+CL141</f>
        <v>0</v>
      </c>
      <c r="CN141" s="23">
        <f t="shared" ref="CN141" si="1113">+CM141</f>
        <v>0</v>
      </c>
      <c r="CO141" s="23">
        <f t="shared" ref="CO141" si="1114">+CN141</f>
        <v>0</v>
      </c>
      <c r="CP141" s="23">
        <f t="shared" ref="CP141" si="1115">+CO141</f>
        <v>0</v>
      </c>
      <c r="CQ141" s="23">
        <f t="shared" ref="CQ141" si="1116">+CP141</f>
        <v>0</v>
      </c>
      <c r="CR141" s="23">
        <f t="shared" ref="CR141" si="1117">+CQ141</f>
        <v>0</v>
      </c>
      <c r="CS141" s="23">
        <f t="shared" ref="CS141" si="1118">+CR141</f>
        <v>0</v>
      </c>
      <c r="CT141" s="23">
        <f t="shared" ref="CT141" si="1119">+CS141</f>
        <v>0</v>
      </c>
      <c r="CU141" s="23">
        <f t="shared" ref="CU141" si="1120">+CT141</f>
        <v>0</v>
      </c>
      <c r="CV141" s="23">
        <f t="shared" ref="CV141" si="1121">+CU141</f>
        <v>0</v>
      </c>
      <c r="CW141" s="23">
        <f t="shared" ref="CW141" si="1122">+CV141</f>
        <v>0</v>
      </c>
      <c r="CX141" s="23">
        <f t="shared" ref="CX141" si="1123">+CW141</f>
        <v>0</v>
      </c>
      <c r="CY141" s="23">
        <f t="shared" ref="CY141" si="1124">+CX141</f>
        <v>0</v>
      </c>
      <c r="CZ141" s="23">
        <f t="shared" ref="CZ141" si="1125">+CY141</f>
        <v>0</v>
      </c>
      <c r="DA141" s="23">
        <f t="shared" ref="DA141" si="1126">+CZ141</f>
        <v>0</v>
      </c>
      <c r="DD141" s="120">
        <v>0</v>
      </c>
    </row>
    <row r="142" spans="1:108" s="22" customFormat="1" x14ac:dyDescent="0.2">
      <c r="AB142" s="23"/>
      <c r="AC142" s="23"/>
      <c r="AD142" s="23"/>
      <c r="AE142" s="23"/>
      <c r="CG142" s="22">
        <f t="shared" si="1111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0"/>
    </row>
    <row r="143" spans="1:108" s="22" customFormat="1" outlineLevel="1" x14ac:dyDescent="0.2">
      <c r="A143" s="22" t="s">
        <v>45</v>
      </c>
      <c r="B143" s="22">
        <f>'Annual Raw'!C47</f>
        <v>26.601812640999999</v>
      </c>
      <c r="C143" s="22">
        <f>'Annual Raw'!D47</f>
        <v>29.762912200999999</v>
      </c>
      <c r="D143" s="22">
        <f>'Annual Raw'!E47</f>
        <v>0</v>
      </c>
      <c r="E143" s="22">
        <f>'Annual Raw'!F47</f>
        <v>0</v>
      </c>
      <c r="F143" s="22">
        <f>'Annual Raw'!G47</f>
        <v>0</v>
      </c>
      <c r="G143" s="22">
        <f>'Annual Raw'!H47</f>
        <v>0</v>
      </c>
      <c r="H143" s="22">
        <f>'Annual Raw'!I47</f>
        <v>0</v>
      </c>
      <c r="I143" s="22">
        <f>'Annual Raw'!J47</f>
        <v>0</v>
      </c>
      <c r="J143" s="22">
        <f>'Annual Raw'!K47</f>
        <v>0</v>
      </c>
      <c r="K143" s="22">
        <f>'Annual Raw'!L47</f>
        <v>0</v>
      </c>
      <c r="L143" s="22">
        <f>'Annual Raw'!M47</f>
        <v>0</v>
      </c>
      <c r="M143" s="22">
        <f>'Annual Raw'!N47</f>
        <v>0</v>
      </c>
      <c r="N143" s="22">
        <f>'Annual Raw'!O47</f>
        <v>0</v>
      </c>
      <c r="O143" s="22">
        <f>'Annual Raw'!P47</f>
        <v>0</v>
      </c>
      <c r="P143" s="22">
        <f>'Annual Raw'!Q47</f>
        <v>0</v>
      </c>
      <c r="Q143" s="22">
        <f>'Annual Raw'!R47</f>
        <v>0</v>
      </c>
      <c r="R143" s="22">
        <f>'Annual Raw'!S47</f>
        <v>0</v>
      </c>
      <c r="S143" s="22">
        <f>'Annual Raw'!T47</f>
        <v>0</v>
      </c>
      <c r="T143" s="22">
        <f>'Annual Raw'!U47</f>
        <v>0</v>
      </c>
      <c r="U143" s="22">
        <f>'Annual Raw'!V47</f>
        <v>0</v>
      </c>
      <c r="V143" s="22">
        <f>'Annual Raw'!W47</f>
        <v>0</v>
      </c>
      <c r="W143" s="22">
        <f>'Annual Raw'!X47</f>
        <v>0</v>
      </c>
      <c r="X143" s="22">
        <f>'Annual Raw'!Y47</f>
        <v>0</v>
      </c>
      <c r="Y143" s="22">
        <f>'Annual Raw'!Z47</f>
        <v>0</v>
      </c>
      <c r="Z143" s="22">
        <f>'Annual Raw'!AA47</f>
        <v>0</v>
      </c>
      <c r="AA143" s="22">
        <f>'Annual Raw'!AB47</f>
        <v>0</v>
      </c>
      <c r="AB143" s="23">
        <f t="shared" ref="AB143:AB146" si="1127">+CO143</f>
        <v>0</v>
      </c>
      <c r="AC143" s="23">
        <f t="shared" ref="AC143:AC146" si="1128">+CS143</f>
        <v>0</v>
      </c>
      <c r="AD143" s="23">
        <f t="shared" ref="AD143:AD146" si="1129">+CW143</f>
        <v>0</v>
      </c>
      <c r="AE143" s="23">
        <f t="shared" ref="AE143:AE146" si="1130">+DA143</f>
        <v>0</v>
      </c>
      <c r="AI143" s="22">
        <f>+'QTR Raw'!C62</f>
        <v>0</v>
      </c>
      <c r="AJ143" s="22">
        <f t="shared" ref="AJ143:AJ146" si="1131">+AI143</f>
        <v>0</v>
      </c>
      <c r="AK143" s="22">
        <f>+'QTR Raw'!E62</f>
        <v>0</v>
      </c>
      <c r="AL143" s="22">
        <f t="shared" ref="AL143:AL146" si="1132">+AK143</f>
        <v>0</v>
      </c>
      <c r="AM143" s="22">
        <f>+'QTR Raw'!G62</f>
        <v>0</v>
      </c>
      <c r="AN143" s="22">
        <f t="shared" ref="AN143:AN146" si="1133">+AM143</f>
        <v>0</v>
      </c>
      <c r="AO143" s="22">
        <f>+'QTR Raw'!I62</f>
        <v>0</v>
      </c>
      <c r="AP143" s="22">
        <f t="shared" ref="AP143:AP146" si="1134">+AO143</f>
        <v>0</v>
      </c>
      <c r="AQ143" s="22">
        <f>+'QTR Raw'!K62</f>
        <v>0</v>
      </c>
      <c r="AR143" s="22">
        <f t="shared" ref="AR143:AR146" si="1135">+AQ143</f>
        <v>0</v>
      </c>
      <c r="AS143" s="22">
        <f>+'QTR Raw'!M62</f>
        <v>0</v>
      </c>
      <c r="AT143" s="22">
        <f t="shared" ref="AT143:AT146" si="1136">+AS143</f>
        <v>0</v>
      </c>
      <c r="AU143" s="22">
        <f>+'QTR Raw'!O62</f>
        <v>0</v>
      </c>
      <c r="AV143" s="22">
        <f t="shared" ref="AV143:AV146" si="1137">+AU143</f>
        <v>0</v>
      </c>
      <c r="AW143" s="22">
        <f>+'QTR Raw'!Q62</f>
        <v>0</v>
      </c>
      <c r="AX143" s="22">
        <f t="shared" ref="AX143:AX146" si="1138">+AW143</f>
        <v>0</v>
      </c>
      <c r="AY143" s="22">
        <f>+'QTR Raw'!S62</f>
        <v>0</v>
      </c>
      <c r="AZ143" s="22">
        <f t="shared" ref="AZ143:AZ146" si="1139">+AY143</f>
        <v>0</v>
      </c>
      <c r="BA143" s="22">
        <f>+'QTR Raw'!U62</f>
        <v>0</v>
      </c>
      <c r="BB143" s="22">
        <f t="shared" ref="BB143:BB146" si="1140">+BA143</f>
        <v>0</v>
      </c>
      <c r="BC143" s="22">
        <f>+'QTR Raw'!W62</f>
        <v>0</v>
      </c>
      <c r="BD143" s="22">
        <f t="shared" ref="BD143:BD146" si="1141">+BC143</f>
        <v>0</v>
      </c>
      <c r="BE143" s="22">
        <f>+'QTR Raw'!Y62</f>
        <v>0</v>
      </c>
      <c r="BF143" s="22">
        <f t="shared" ref="BF143:BF146" si="1142">+BE143</f>
        <v>0</v>
      </c>
      <c r="BG143" s="22">
        <f>+'QTR Raw'!AA62</f>
        <v>0</v>
      </c>
      <c r="BH143" s="22">
        <f t="shared" ref="BH143:BH146" si="1143">+BG143</f>
        <v>0</v>
      </c>
      <c r="BI143" s="22">
        <f>+'QTR Raw'!AC62</f>
        <v>0</v>
      </c>
      <c r="BJ143" s="22">
        <f t="shared" ref="BJ143:BJ146" si="1144">+BI143</f>
        <v>0</v>
      </c>
      <c r="BK143" s="22">
        <f>+'QTR Raw'!AE62</f>
        <v>0</v>
      </c>
      <c r="BL143" s="22">
        <f t="shared" ref="BL143:BL146" si="1145">+BK143</f>
        <v>0</v>
      </c>
      <c r="BM143" s="22">
        <f>+'QTR Raw'!AG62</f>
        <v>0</v>
      </c>
      <c r="BN143" s="22">
        <f t="shared" ref="BN143:BN146" si="1146">+BM143</f>
        <v>0</v>
      </c>
      <c r="BO143" s="22">
        <f>+'QTR Raw'!AI62</f>
        <v>0</v>
      </c>
      <c r="BP143" s="22">
        <f t="shared" ref="BP143:BP146" si="1147">+BO143</f>
        <v>0</v>
      </c>
      <c r="BQ143" s="22">
        <f>+'QTR Raw'!AK62</f>
        <v>0</v>
      </c>
      <c r="BR143" s="22">
        <f t="shared" ref="BR143:BR146" si="1148">+BQ143</f>
        <v>0</v>
      </c>
      <c r="BS143" s="22">
        <f>+'QTR Raw'!AM62</f>
        <v>0</v>
      </c>
      <c r="BT143" s="22">
        <f t="shared" ref="BT143:BT146" si="1149">+BS143</f>
        <v>0</v>
      </c>
      <c r="BU143" s="22">
        <f>+'QTR Raw'!AO62</f>
        <v>0</v>
      </c>
      <c r="BV143" s="22">
        <f t="shared" ref="BV143:BV146" si="1150">+BU143</f>
        <v>0</v>
      </c>
      <c r="BW143" s="22">
        <f>+'QTR Raw'!AQ62</f>
        <v>0</v>
      </c>
      <c r="BX143" s="22">
        <f t="shared" ref="BX143:BX146" si="1151">+BW143</f>
        <v>0</v>
      </c>
      <c r="BY143" s="22">
        <f>+'QTR Raw'!AS62</f>
        <v>0</v>
      </c>
      <c r="BZ143" s="22">
        <f t="shared" ref="BZ143:BZ146" si="1152">+BY143</f>
        <v>0</v>
      </c>
      <c r="CA143" s="22">
        <f>+'QTR Raw'!AU62</f>
        <v>0</v>
      </c>
      <c r="CB143" s="22">
        <f t="shared" ref="CB143:CB146" si="1153">+CA143</f>
        <v>0</v>
      </c>
      <c r="CC143" s="22">
        <f>+'QTR Raw'!AW62</f>
        <v>0</v>
      </c>
      <c r="CD143" s="22">
        <f t="shared" ref="CD143:CD146" si="1154">+CC143</f>
        <v>0</v>
      </c>
      <c r="CE143" s="22">
        <f>+'QTR Raw'!AY62</f>
        <v>0</v>
      </c>
      <c r="CF143" s="22">
        <f t="shared" ref="CF143:CL146" si="1155">+CE143</f>
        <v>0</v>
      </c>
      <c r="CG143" s="22">
        <f t="shared" si="1111"/>
        <v>0</v>
      </c>
      <c r="CH143" s="22">
        <f t="shared" si="1155"/>
        <v>0</v>
      </c>
      <c r="CI143" s="22">
        <f>+'QTR Raw'!BC62</f>
        <v>0</v>
      </c>
      <c r="CJ143" s="22">
        <f t="shared" si="1155"/>
        <v>0</v>
      </c>
      <c r="CK143" s="22">
        <f>+'QTR Raw'!BE62</f>
        <v>0</v>
      </c>
      <c r="CL143" s="22">
        <f t="shared" si="1155"/>
        <v>0</v>
      </c>
      <c r="CM143" s="23">
        <f t="shared" ref="CM143:CM146" si="1156">+CL143</f>
        <v>0</v>
      </c>
      <c r="CN143" s="23">
        <f t="shared" ref="CN143:CN146" si="1157">+CM143</f>
        <v>0</v>
      </c>
      <c r="CO143" s="23">
        <f t="shared" ref="CO143:CO146" si="1158">+CN143</f>
        <v>0</v>
      </c>
      <c r="CP143" s="23">
        <f t="shared" ref="CP143:CP146" si="1159">+CO143</f>
        <v>0</v>
      </c>
      <c r="CQ143" s="23">
        <f t="shared" ref="CQ143:CQ146" si="1160">+CP143</f>
        <v>0</v>
      </c>
      <c r="CR143" s="23">
        <f t="shared" ref="CR143:CR146" si="1161">+CQ143</f>
        <v>0</v>
      </c>
      <c r="CS143" s="23">
        <f t="shared" ref="CS143:CS146" si="1162">+CR143</f>
        <v>0</v>
      </c>
      <c r="CT143" s="23">
        <f t="shared" ref="CT143:CT146" si="1163">+CS143</f>
        <v>0</v>
      </c>
      <c r="CU143" s="23">
        <f t="shared" ref="CU143:CU146" si="1164">+CT143</f>
        <v>0</v>
      </c>
      <c r="CV143" s="23">
        <f t="shared" ref="CV143:CV146" si="1165">+CU143</f>
        <v>0</v>
      </c>
      <c r="CW143" s="23">
        <f t="shared" ref="CW143:CW146" si="1166">+CV143</f>
        <v>0</v>
      </c>
      <c r="CX143" s="23">
        <f t="shared" ref="CX143:CX146" si="1167">+CW143</f>
        <v>0</v>
      </c>
      <c r="CY143" s="23">
        <f t="shared" ref="CY143:CY146" si="1168">+CX143</f>
        <v>0</v>
      </c>
      <c r="CZ143" s="23">
        <f t="shared" ref="CZ143:CZ146" si="1169">+CY143</f>
        <v>0</v>
      </c>
      <c r="DA143" s="23">
        <f t="shared" ref="DA143:DA146" si="1170">+CZ143</f>
        <v>0</v>
      </c>
      <c r="DD143" s="120">
        <v>0</v>
      </c>
    </row>
    <row r="144" spans="1:108" s="22" customFormat="1" outlineLevel="1" x14ac:dyDescent="0.2">
      <c r="A144" s="22" t="s">
        <v>46</v>
      </c>
      <c r="B144" s="22">
        <f>'Annual Raw'!C48</f>
        <v>4.6601219599999997</v>
      </c>
      <c r="C144" s="22">
        <f>'Annual Raw'!D48</f>
        <v>3.8020562</v>
      </c>
      <c r="D144" s="22">
        <f>'Annual Raw'!E48</f>
        <v>0</v>
      </c>
      <c r="E144" s="22">
        <f>'Annual Raw'!F48</f>
        <v>0</v>
      </c>
      <c r="F144" s="22">
        <f>'Annual Raw'!G48</f>
        <v>0</v>
      </c>
      <c r="G144" s="22">
        <f>'Annual Raw'!H48</f>
        <v>0</v>
      </c>
      <c r="H144" s="22">
        <f>'Annual Raw'!I48</f>
        <v>0</v>
      </c>
      <c r="I144" s="22">
        <f>'Annual Raw'!J48</f>
        <v>0</v>
      </c>
      <c r="J144" s="22">
        <f>'Annual Raw'!K48</f>
        <v>0</v>
      </c>
      <c r="K144" s="22">
        <f>'Annual Raw'!L48</f>
        <v>0</v>
      </c>
      <c r="L144" s="22">
        <f>'Annual Raw'!M48</f>
        <v>0</v>
      </c>
      <c r="M144" s="22">
        <f>'Annual Raw'!N48</f>
        <v>0</v>
      </c>
      <c r="N144" s="22">
        <f>'Annual Raw'!O48</f>
        <v>0</v>
      </c>
      <c r="O144" s="22">
        <f>'Annual Raw'!P48</f>
        <v>0</v>
      </c>
      <c r="P144" s="22">
        <f>'Annual Raw'!Q48</f>
        <v>0</v>
      </c>
      <c r="Q144" s="22">
        <f>'Annual Raw'!R48</f>
        <v>0</v>
      </c>
      <c r="R144" s="22">
        <f>'Annual Raw'!S48</f>
        <v>0</v>
      </c>
      <c r="S144" s="22">
        <f>'Annual Raw'!T48</f>
        <v>0</v>
      </c>
      <c r="T144" s="22">
        <f>'Annual Raw'!U48</f>
        <v>0</v>
      </c>
      <c r="U144" s="22">
        <f>'Annual Raw'!V48</f>
        <v>0</v>
      </c>
      <c r="V144" s="22">
        <f>'Annual Raw'!W48</f>
        <v>0</v>
      </c>
      <c r="W144" s="22">
        <f>'Annual Raw'!X48</f>
        <v>0</v>
      </c>
      <c r="X144" s="22">
        <f>'Annual Raw'!Y48</f>
        <v>0</v>
      </c>
      <c r="Y144" s="22">
        <f>'Annual Raw'!Z48</f>
        <v>0</v>
      </c>
      <c r="Z144" s="22">
        <f>'Annual Raw'!AA48</f>
        <v>0</v>
      </c>
      <c r="AA144" s="22">
        <f>'Annual Raw'!AB48</f>
        <v>0</v>
      </c>
      <c r="AB144" s="23">
        <f t="shared" si="1127"/>
        <v>0</v>
      </c>
      <c r="AC144" s="23">
        <f t="shared" si="1128"/>
        <v>0</v>
      </c>
      <c r="AD144" s="23">
        <f t="shared" si="1129"/>
        <v>0</v>
      </c>
      <c r="AE144" s="23">
        <f t="shared" si="1130"/>
        <v>0</v>
      </c>
      <c r="AI144" s="22">
        <f>+'QTR Raw'!C63</f>
        <v>0</v>
      </c>
      <c r="AJ144" s="22">
        <f t="shared" si="1131"/>
        <v>0</v>
      </c>
      <c r="AK144" s="22">
        <f>+'QTR Raw'!E63</f>
        <v>0</v>
      </c>
      <c r="AL144" s="22">
        <f t="shared" si="1132"/>
        <v>0</v>
      </c>
      <c r="AM144" s="22">
        <f>+'QTR Raw'!G63</f>
        <v>0</v>
      </c>
      <c r="AN144" s="22">
        <f t="shared" si="1133"/>
        <v>0</v>
      </c>
      <c r="AO144" s="22">
        <f>+'QTR Raw'!I63</f>
        <v>0</v>
      </c>
      <c r="AP144" s="22">
        <f t="shared" si="1134"/>
        <v>0</v>
      </c>
      <c r="AQ144" s="22">
        <f>+'QTR Raw'!K63</f>
        <v>0</v>
      </c>
      <c r="AR144" s="22">
        <f t="shared" si="1135"/>
        <v>0</v>
      </c>
      <c r="AS144" s="22">
        <f>+'QTR Raw'!M63</f>
        <v>0</v>
      </c>
      <c r="AT144" s="22">
        <f t="shared" si="1136"/>
        <v>0</v>
      </c>
      <c r="AU144" s="22">
        <f>+'QTR Raw'!O63</f>
        <v>0</v>
      </c>
      <c r="AV144" s="22">
        <f t="shared" si="1137"/>
        <v>0</v>
      </c>
      <c r="AW144" s="22">
        <f>+'QTR Raw'!Q63</f>
        <v>0</v>
      </c>
      <c r="AX144" s="22">
        <f t="shared" si="1138"/>
        <v>0</v>
      </c>
      <c r="AY144" s="22">
        <f>+'QTR Raw'!S63</f>
        <v>0</v>
      </c>
      <c r="AZ144" s="22">
        <f t="shared" si="1139"/>
        <v>0</v>
      </c>
      <c r="BA144" s="22">
        <f>+'QTR Raw'!U63</f>
        <v>0</v>
      </c>
      <c r="BB144" s="22">
        <f t="shared" si="1140"/>
        <v>0</v>
      </c>
      <c r="BC144" s="22">
        <f>+'QTR Raw'!W63</f>
        <v>0</v>
      </c>
      <c r="BD144" s="22">
        <f t="shared" si="1141"/>
        <v>0</v>
      </c>
      <c r="BE144" s="22">
        <f>+'QTR Raw'!Y63</f>
        <v>0</v>
      </c>
      <c r="BF144" s="22">
        <f t="shared" si="1142"/>
        <v>0</v>
      </c>
      <c r="BG144" s="22">
        <f>+'QTR Raw'!AA63</f>
        <v>0</v>
      </c>
      <c r="BH144" s="22">
        <f t="shared" si="1143"/>
        <v>0</v>
      </c>
      <c r="BI144" s="22">
        <f>+'QTR Raw'!AC63</f>
        <v>0</v>
      </c>
      <c r="BJ144" s="22">
        <f t="shared" si="1144"/>
        <v>0</v>
      </c>
      <c r="BK144" s="22">
        <f>+'QTR Raw'!AE63</f>
        <v>0</v>
      </c>
      <c r="BL144" s="22">
        <f t="shared" si="1145"/>
        <v>0</v>
      </c>
      <c r="BM144" s="22">
        <f>+'QTR Raw'!AG63</f>
        <v>0</v>
      </c>
      <c r="BN144" s="22">
        <f t="shared" si="1146"/>
        <v>0</v>
      </c>
      <c r="BO144" s="22">
        <f>+'QTR Raw'!AI63</f>
        <v>0</v>
      </c>
      <c r="BP144" s="22">
        <f t="shared" si="1147"/>
        <v>0</v>
      </c>
      <c r="BQ144" s="22">
        <f>+'QTR Raw'!AK63</f>
        <v>0</v>
      </c>
      <c r="BR144" s="22">
        <f t="shared" si="1148"/>
        <v>0</v>
      </c>
      <c r="BS144" s="22">
        <f>+'QTR Raw'!AM63</f>
        <v>0</v>
      </c>
      <c r="BT144" s="22">
        <f t="shared" si="1149"/>
        <v>0</v>
      </c>
      <c r="BU144" s="22">
        <f>+'QTR Raw'!AO63</f>
        <v>0</v>
      </c>
      <c r="BV144" s="22">
        <f t="shared" si="1150"/>
        <v>0</v>
      </c>
      <c r="BW144" s="22">
        <f>+'QTR Raw'!AQ63</f>
        <v>0</v>
      </c>
      <c r="BX144" s="22">
        <f t="shared" si="1151"/>
        <v>0</v>
      </c>
      <c r="BY144" s="22">
        <f>+'QTR Raw'!AS63</f>
        <v>0</v>
      </c>
      <c r="BZ144" s="22">
        <f t="shared" si="1152"/>
        <v>0</v>
      </c>
      <c r="CA144" s="22">
        <f>+'QTR Raw'!AU63</f>
        <v>0</v>
      </c>
      <c r="CB144" s="22">
        <f t="shared" si="1153"/>
        <v>0</v>
      </c>
      <c r="CC144" s="22">
        <f>+'QTR Raw'!AW63</f>
        <v>0</v>
      </c>
      <c r="CD144" s="22">
        <f t="shared" si="1154"/>
        <v>0</v>
      </c>
      <c r="CE144" s="22">
        <f>+'QTR Raw'!AY63</f>
        <v>0</v>
      </c>
      <c r="CF144" s="22">
        <f t="shared" si="1155"/>
        <v>0</v>
      </c>
      <c r="CG144" s="22">
        <f t="shared" si="1111"/>
        <v>0</v>
      </c>
      <c r="CH144" s="22">
        <f t="shared" si="1155"/>
        <v>0</v>
      </c>
      <c r="CI144" s="22">
        <f>+'QTR Raw'!BC63</f>
        <v>0</v>
      </c>
      <c r="CJ144" s="22">
        <f t="shared" si="1155"/>
        <v>0</v>
      </c>
      <c r="CK144" s="22">
        <f>+'QTR Raw'!BE63</f>
        <v>0</v>
      </c>
      <c r="CL144" s="22">
        <f t="shared" si="1155"/>
        <v>0</v>
      </c>
      <c r="CM144" s="23">
        <f t="shared" si="1156"/>
        <v>0</v>
      </c>
      <c r="CN144" s="23">
        <f t="shared" si="1157"/>
        <v>0</v>
      </c>
      <c r="CO144" s="23">
        <f t="shared" si="1158"/>
        <v>0</v>
      </c>
      <c r="CP144" s="23">
        <f t="shared" si="1159"/>
        <v>0</v>
      </c>
      <c r="CQ144" s="23">
        <f t="shared" si="1160"/>
        <v>0</v>
      </c>
      <c r="CR144" s="23">
        <f t="shared" si="1161"/>
        <v>0</v>
      </c>
      <c r="CS144" s="23">
        <f t="shared" si="1162"/>
        <v>0</v>
      </c>
      <c r="CT144" s="23">
        <f t="shared" si="1163"/>
        <v>0</v>
      </c>
      <c r="CU144" s="23">
        <f t="shared" si="1164"/>
        <v>0</v>
      </c>
      <c r="CV144" s="23">
        <f t="shared" si="1165"/>
        <v>0</v>
      </c>
      <c r="CW144" s="23">
        <f t="shared" si="1166"/>
        <v>0</v>
      </c>
      <c r="CX144" s="23">
        <f t="shared" si="1167"/>
        <v>0</v>
      </c>
      <c r="CY144" s="23">
        <f t="shared" si="1168"/>
        <v>0</v>
      </c>
      <c r="CZ144" s="23">
        <f t="shared" si="1169"/>
        <v>0</v>
      </c>
      <c r="DA144" s="23">
        <f t="shared" si="1170"/>
        <v>0</v>
      </c>
      <c r="DD144" s="120">
        <v>0</v>
      </c>
    </row>
    <row r="145" spans="1:108" s="22" customFormat="1" outlineLevel="1" x14ac:dyDescent="0.2">
      <c r="A145" s="22" t="s">
        <v>47</v>
      </c>
      <c r="B145" s="22">
        <f>'Annual Raw'!C87+'Annual Raw'!C88+'Annual Raw'!C89+'Annual Raw'!C90</f>
        <v>0</v>
      </c>
      <c r="C145" s="22">
        <f>'Annual Raw'!D87+'Annual Raw'!D88+'Annual Raw'!D89+'Annual Raw'!D90</f>
        <v>0</v>
      </c>
      <c r="D145" s="22">
        <f>'Annual Raw'!E87+'Annual Raw'!E88+'Annual Raw'!E89+'Annual Raw'!E90</f>
        <v>0</v>
      </c>
      <c r="E145" s="22">
        <f>'Annual Raw'!F87+'Annual Raw'!F88+'Annual Raw'!F89+'Annual Raw'!F90</f>
        <v>0</v>
      </c>
      <c r="F145" s="22">
        <f>'Annual Raw'!G87+'Annual Raw'!G88+'Annual Raw'!G89+'Annual Raw'!G90</f>
        <v>0</v>
      </c>
      <c r="G145" s="22">
        <f>'Annual Raw'!H87+'Annual Raw'!H88+'Annual Raw'!H89+'Annual Raw'!H90</f>
        <v>0</v>
      </c>
      <c r="H145" s="22">
        <f>'Annual Raw'!I87+'Annual Raw'!I88+'Annual Raw'!I89+'Annual Raw'!I90</f>
        <v>0</v>
      </c>
      <c r="I145" s="22">
        <f>'Annual Raw'!J87+'Annual Raw'!J88+'Annual Raw'!J89+'Annual Raw'!J90</f>
        <v>0</v>
      </c>
      <c r="J145" s="22">
        <f>'Annual Raw'!K87+'Annual Raw'!K88+'Annual Raw'!K89+'Annual Raw'!K90</f>
        <v>0</v>
      </c>
      <c r="K145" s="22">
        <f>'Annual Raw'!L87+'Annual Raw'!L88+'Annual Raw'!L89+'Annual Raw'!L90</f>
        <v>0</v>
      </c>
      <c r="L145" s="22">
        <f>'Annual Raw'!M87+'Annual Raw'!M88+'Annual Raw'!M89+'Annual Raw'!M90</f>
        <v>0</v>
      </c>
      <c r="M145" s="22">
        <f>'Annual Raw'!N87+'Annual Raw'!N88+'Annual Raw'!N89+'Annual Raw'!N90</f>
        <v>0</v>
      </c>
      <c r="N145" s="22">
        <f>'Annual Raw'!O87+'Annual Raw'!O88+'Annual Raw'!O89+'Annual Raw'!O90</f>
        <v>0</v>
      </c>
      <c r="O145" s="22">
        <f>'Annual Raw'!P87+'Annual Raw'!P88+'Annual Raw'!P89+'Annual Raw'!P90</f>
        <v>0</v>
      </c>
      <c r="P145" s="22">
        <f>'Annual Raw'!Q87+'Annual Raw'!Q88+'Annual Raw'!Q89+'Annual Raw'!Q90</f>
        <v>0</v>
      </c>
      <c r="Q145" s="22">
        <f>'Annual Raw'!R87+'Annual Raw'!R88+'Annual Raw'!R89+'Annual Raw'!R90</f>
        <v>0</v>
      </c>
      <c r="R145" s="22">
        <f>'Annual Raw'!S87+'Annual Raw'!S88+'Annual Raw'!S89+'Annual Raw'!S90</f>
        <v>0</v>
      </c>
      <c r="S145" s="22">
        <f>'Annual Raw'!T87+'Annual Raw'!T88+'Annual Raw'!T89+'Annual Raw'!T90</f>
        <v>0</v>
      </c>
      <c r="T145" s="22">
        <f>'Annual Raw'!U87+'Annual Raw'!U88+'Annual Raw'!U89+'Annual Raw'!U90</f>
        <v>0</v>
      </c>
      <c r="U145" s="22">
        <f>'Annual Raw'!V87+'Annual Raw'!V88+'Annual Raw'!V89+'Annual Raw'!V90</f>
        <v>0</v>
      </c>
      <c r="V145" s="22">
        <f>'Annual Raw'!W87+'Annual Raw'!W88+'Annual Raw'!W89+'Annual Raw'!W90</f>
        <v>0</v>
      </c>
      <c r="W145" s="22">
        <f>'Annual Raw'!X87+'Annual Raw'!X88+'Annual Raw'!X89+'Annual Raw'!X90</f>
        <v>0</v>
      </c>
      <c r="X145" s="22">
        <f>'Annual Raw'!Y87+'Annual Raw'!Y88+'Annual Raw'!Y89+'Annual Raw'!Y90</f>
        <v>0</v>
      </c>
      <c r="Y145" s="22">
        <f>'Annual Raw'!Z87+'Annual Raw'!Z88+'Annual Raw'!Z89+'Annual Raw'!Z90</f>
        <v>0</v>
      </c>
      <c r="Z145" s="22">
        <f>'Annual Raw'!AA87+'Annual Raw'!AA88+'Annual Raw'!AA89+'Annual Raw'!AA90</f>
        <v>0</v>
      </c>
      <c r="AA145" s="22">
        <f>'Annual Raw'!AB87+'Annual Raw'!AB88+'Annual Raw'!AB89+'Annual Raw'!AB90</f>
        <v>0</v>
      </c>
      <c r="AB145" s="23">
        <f t="shared" si="1127"/>
        <v>0</v>
      </c>
      <c r="AC145" s="23">
        <f t="shared" si="1128"/>
        <v>0</v>
      </c>
      <c r="AD145" s="23">
        <f t="shared" si="1129"/>
        <v>0</v>
      </c>
      <c r="AE145" s="23">
        <f t="shared" si="1130"/>
        <v>0</v>
      </c>
      <c r="AI145" s="22">
        <f>+'QTR Raw'!C90</f>
        <v>0</v>
      </c>
      <c r="AJ145" s="22">
        <f t="shared" si="1131"/>
        <v>0</v>
      </c>
      <c r="AK145" s="22">
        <f>+'QTR Raw'!E90</f>
        <v>0</v>
      </c>
      <c r="AL145" s="22">
        <f t="shared" si="1132"/>
        <v>0</v>
      </c>
      <c r="AM145" s="22">
        <f>+'QTR Raw'!G90</f>
        <v>0</v>
      </c>
      <c r="AN145" s="22">
        <f t="shared" si="1133"/>
        <v>0</v>
      </c>
      <c r="AO145" s="22">
        <f>+'QTR Raw'!I90</f>
        <v>0</v>
      </c>
      <c r="AP145" s="22">
        <f t="shared" si="1134"/>
        <v>0</v>
      </c>
      <c r="AQ145" s="22">
        <f>+'QTR Raw'!K90</f>
        <v>0</v>
      </c>
      <c r="AR145" s="22">
        <f t="shared" si="1135"/>
        <v>0</v>
      </c>
      <c r="AS145" s="22">
        <f>+'QTR Raw'!M90</f>
        <v>0</v>
      </c>
      <c r="AT145" s="22">
        <f t="shared" si="1136"/>
        <v>0</v>
      </c>
      <c r="AU145" s="22">
        <f>+'QTR Raw'!O90</f>
        <v>0</v>
      </c>
      <c r="AV145" s="22">
        <f t="shared" si="1137"/>
        <v>0</v>
      </c>
      <c r="AW145" s="22">
        <f>+'QTR Raw'!Q90</f>
        <v>0</v>
      </c>
      <c r="AX145" s="22">
        <f t="shared" si="1138"/>
        <v>0</v>
      </c>
      <c r="AY145" s="22">
        <f>+'QTR Raw'!S90</f>
        <v>0</v>
      </c>
      <c r="AZ145" s="22">
        <f t="shared" si="1139"/>
        <v>0</v>
      </c>
      <c r="BA145" s="22">
        <f>+'QTR Raw'!U90</f>
        <v>0</v>
      </c>
      <c r="BB145" s="22">
        <f t="shared" si="1140"/>
        <v>0</v>
      </c>
      <c r="BC145" s="22">
        <f>+'QTR Raw'!W90</f>
        <v>0</v>
      </c>
      <c r="BD145" s="22">
        <f t="shared" si="1141"/>
        <v>0</v>
      </c>
      <c r="BE145" s="22">
        <f>+'QTR Raw'!Y90</f>
        <v>0</v>
      </c>
      <c r="BF145" s="22">
        <f t="shared" si="1142"/>
        <v>0</v>
      </c>
      <c r="BG145" s="22">
        <f>+'QTR Raw'!AA90</f>
        <v>0</v>
      </c>
      <c r="BH145" s="22">
        <f t="shared" si="1143"/>
        <v>0</v>
      </c>
      <c r="BI145" s="22">
        <f>+'QTR Raw'!AC90</f>
        <v>0</v>
      </c>
      <c r="BJ145" s="22">
        <f t="shared" si="1144"/>
        <v>0</v>
      </c>
      <c r="BK145" s="22">
        <f>+'QTR Raw'!AE90</f>
        <v>0</v>
      </c>
      <c r="BL145" s="22">
        <f t="shared" si="1145"/>
        <v>0</v>
      </c>
      <c r="BM145" s="22">
        <f>+'QTR Raw'!AG90</f>
        <v>0</v>
      </c>
      <c r="BN145" s="22">
        <f t="shared" si="1146"/>
        <v>0</v>
      </c>
      <c r="BO145" s="22">
        <f>+'QTR Raw'!AI90</f>
        <v>0</v>
      </c>
      <c r="BP145" s="22">
        <f t="shared" si="1147"/>
        <v>0</v>
      </c>
      <c r="BQ145" s="22">
        <f>+'QTR Raw'!AK90</f>
        <v>0</v>
      </c>
      <c r="BR145" s="22">
        <f t="shared" si="1148"/>
        <v>0</v>
      </c>
      <c r="BS145" s="22">
        <f>+'QTR Raw'!AM90</f>
        <v>0</v>
      </c>
      <c r="BT145" s="22">
        <f t="shared" si="1149"/>
        <v>0</v>
      </c>
      <c r="BU145" s="22">
        <f>+'QTR Raw'!AO90</f>
        <v>0</v>
      </c>
      <c r="BV145" s="22">
        <f t="shared" si="1150"/>
        <v>0</v>
      </c>
      <c r="BW145" s="22">
        <f>+'QTR Raw'!AQ90</f>
        <v>0</v>
      </c>
      <c r="BX145" s="22">
        <f t="shared" si="1151"/>
        <v>0</v>
      </c>
      <c r="BY145" s="22">
        <f>+'QTR Raw'!AS90</f>
        <v>0</v>
      </c>
      <c r="BZ145" s="22">
        <f t="shared" si="1152"/>
        <v>0</v>
      </c>
      <c r="CA145" s="22">
        <f>+'QTR Raw'!AU90</f>
        <v>0</v>
      </c>
      <c r="CB145" s="22">
        <f t="shared" si="1153"/>
        <v>0</v>
      </c>
      <c r="CC145" s="22">
        <f>+'QTR Raw'!AW90</f>
        <v>0</v>
      </c>
      <c r="CD145" s="22">
        <f t="shared" si="1154"/>
        <v>0</v>
      </c>
      <c r="CE145" s="22">
        <f>+'QTR Raw'!AY90</f>
        <v>0</v>
      </c>
      <c r="CF145" s="22">
        <f t="shared" si="1155"/>
        <v>0</v>
      </c>
      <c r="CG145" s="22">
        <f t="shared" si="1111"/>
        <v>0</v>
      </c>
      <c r="CH145" s="22">
        <f t="shared" si="1155"/>
        <v>0</v>
      </c>
      <c r="CI145" s="22">
        <f>+'QTR Raw'!BC90</f>
        <v>0</v>
      </c>
      <c r="CJ145" s="22">
        <f t="shared" si="1155"/>
        <v>0</v>
      </c>
      <c r="CK145" s="22">
        <f>+'QTR Raw'!BE90</f>
        <v>0</v>
      </c>
      <c r="CL145" s="22">
        <f t="shared" si="1155"/>
        <v>0</v>
      </c>
      <c r="CM145" s="23">
        <f t="shared" si="1156"/>
        <v>0</v>
      </c>
      <c r="CN145" s="23">
        <f t="shared" si="1157"/>
        <v>0</v>
      </c>
      <c r="CO145" s="23">
        <f t="shared" si="1158"/>
        <v>0</v>
      </c>
      <c r="CP145" s="23">
        <f t="shared" si="1159"/>
        <v>0</v>
      </c>
      <c r="CQ145" s="23">
        <f t="shared" si="1160"/>
        <v>0</v>
      </c>
      <c r="CR145" s="23">
        <f t="shared" si="1161"/>
        <v>0</v>
      </c>
      <c r="CS145" s="23">
        <f t="shared" si="1162"/>
        <v>0</v>
      </c>
      <c r="CT145" s="23">
        <f t="shared" si="1163"/>
        <v>0</v>
      </c>
      <c r="CU145" s="23">
        <f t="shared" si="1164"/>
        <v>0</v>
      </c>
      <c r="CV145" s="23">
        <f t="shared" si="1165"/>
        <v>0</v>
      </c>
      <c r="CW145" s="23">
        <f t="shared" si="1166"/>
        <v>0</v>
      </c>
      <c r="CX145" s="23">
        <f t="shared" si="1167"/>
        <v>0</v>
      </c>
      <c r="CY145" s="23">
        <f t="shared" si="1168"/>
        <v>0</v>
      </c>
      <c r="CZ145" s="23">
        <f t="shared" si="1169"/>
        <v>0</v>
      </c>
      <c r="DA145" s="23">
        <f t="shared" si="1170"/>
        <v>0</v>
      </c>
      <c r="DD145" s="120">
        <v>0</v>
      </c>
    </row>
    <row r="146" spans="1:108" s="22" customFormat="1" outlineLevel="1" x14ac:dyDescent="0.2">
      <c r="A146" s="22" t="s">
        <v>48</v>
      </c>
      <c r="B146" s="22">
        <f>'Annual Raw'!C56</f>
        <v>0</v>
      </c>
      <c r="C146" s="22">
        <f>'Annual Raw'!D56</f>
        <v>0</v>
      </c>
      <c r="D146" s="22">
        <f>'Annual Raw'!E56</f>
        <v>0</v>
      </c>
      <c r="E146" s="22">
        <f>'Annual Raw'!F56</f>
        <v>0</v>
      </c>
      <c r="F146" s="22">
        <f>'Annual Raw'!G56</f>
        <v>0</v>
      </c>
      <c r="G146" s="22">
        <f>'Annual Raw'!H56</f>
        <v>0</v>
      </c>
      <c r="H146" s="22">
        <f>'Annual Raw'!I56</f>
        <v>0</v>
      </c>
      <c r="I146" s="22">
        <f>'Annual Raw'!J56</f>
        <v>0</v>
      </c>
      <c r="J146" s="22">
        <f>'Annual Raw'!K56</f>
        <v>0</v>
      </c>
      <c r="K146" s="22">
        <f>'Annual Raw'!L56</f>
        <v>0</v>
      </c>
      <c r="L146" s="22">
        <f>'Annual Raw'!M56</f>
        <v>0</v>
      </c>
      <c r="M146" s="22">
        <f>'Annual Raw'!N56</f>
        <v>0</v>
      </c>
      <c r="N146" s="22">
        <f>'Annual Raw'!O56</f>
        <v>0</v>
      </c>
      <c r="O146" s="22">
        <f>'Annual Raw'!P56</f>
        <v>0</v>
      </c>
      <c r="P146" s="22">
        <f>'Annual Raw'!Q56</f>
        <v>0</v>
      </c>
      <c r="Q146" s="22">
        <f>'Annual Raw'!R56</f>
        <v>0</v>
      </c>
      <c r="R146" s="22">
        <f>'Annual Raw'!S56</f>
        <v>0</v>
      </c>
      <c r="S146" s="22">
        <f>'Annual Raw'!T56</f>
        <v>0</v>
      </c>
      <c r="T146" s="22">
        <f>'Annual Raw'!U56</f>
        <v>0</v>
      </c>
      <c r="U146" s="22">
        <f>'Annual Raw'!V56</f>
        <v>0</v>
      </c>
      <c r="V146" s="22">
        <f>'Annual Raw'!W56</f>
        <v>0</v>
      </c>
      <c r="W146" s="22">
        <f>'Annual Raw'!X56</f>
        <v>0</v>
      </c>
      <c r="X146" s="22">
        <f>'Annual Raw'!Y56</f>
        <v>0</v>
      </c>
      <c r="Y146" s="22">
        <f>'Annual Raw'!Z56</f>
        <v>0</v>
      </c>
      <c r="Z146" s="22">
        <f>'Annual Raw'!AA56</f>
        <v>0</v>
      </c>
      <c r="AA146" s="22">
        <f>'Annual Raw'!AB56</f>
        <v>0</v>
      </c>
      <c r="AB146" s="23">
        <f t="shared" si="1127"/>
        <v>0</v>
      </c>
      <c r="AC146" s="23">
        <f t="shared" si="1128"/>
        <v>0</v>
      </c>
      <c r="AD146" s="23">
        <f t="shared" si="1129"/>
        <v>0</v>
      </c>
      <c r="AE146" s="23">
        <f t="shared" si="1130"/>
        <v>0</v>
      </c>
      <c r="AI146" s="22">
        <f>+'QTR Raw'!C88</f>
        <v>0</v>
      </c>
      <c r="AJ146" s="22">
        <f t="shared" si="1131"/>
        <v>0</v>
      </c>
      <c r="AK146" s="22">
        <f>+'QTR Raw'!E88</f>
        <v>0</v>
      </c>
      <c r="AL146" s="22">
        <f t="shared" si="1132"/>
        <v>0</v>
      </c>
      <c r="AM146" s="22">
        <f>+'QTR Raw'!G88</f>
        <v>0</v>
      </c>
      <c r="AN146" s="22">
        <f t="shared" si="1133"/>
        <v>0</v>
      </c>
      <c r="AO146" s="22">
        <f>+'QTR Raw'!I88</f>
        <v>0</v>
      </c>
      <c r="AP146" s="22">
        <f t="shared" si="1134"/>
        <v>0</v>
      </c>
      <c r="AQ146" s="22">
        <f>+'QTR Raw'!K88</f>
        <v>0</v>
      </c>
      <c r="AR146" s="22">
        <f t="shared" si="1135"/>
        <v>0</v>
      </c>
      <c r="AS146" s="22">
        <f>+'QTR Raw'!M88</f>
        <v>0</v>
      </c>
      <c r="AT146" s="22">
        <f t="shared" si="1136"/>
        <v>0</v>
      </c>
      <c r="AU146" s="22">
        <f>+'QTR Raw'!O88</f>
        <v>0</v>
      </c>
      <c r="AV146" s="22">
        <f t="shared" si="1137"/>
        <v>0</v>
      </c>
      <c r="AW146" s="22">
        <f>+'QTR Raw'!Q88</f>
        <v>0</v>
      </c>
      <c r="AX146" s="22">
        <f t="shared" si="1138"/>
        <v>0</v>
      </c>
      <c r="AY146" s="22">
        <f>+'QTR Raw'!S88</f>
        <v>0</v>
      </c>
      <c r="AZ146" s="22">
        <f t="shared" si="1139"/>
        <v>0</v>
      </c>
      <c r="BA146" s="22">
        <f>+'QTR Raw'!U88</f>
        <v>0</v>
      </c>
      <c r="BB146" s="22">
        <f t="shared" si="1140"/>
        <v>0</v>
      </c>
      <c r="BC146" s="22">
        <f>+'QTR Raw'!W88</f>
        <v>0</v>
      </c>
      <c r="BD146" s="22">
        <f t="shared" si="1141"/>
        <v>0</v>
      </c>
      <c r="BE146" s="22">
        <f>+'QTR Raw'!Y88</f>
        <v>0</v>
      </c>
      <c r="BF146" s="22">
        <f t="shared" si="1142"/>
        <v>0</v>
      </c>
      <c r="BG146" s="22">
        <f>+'QTR Raw'!AA88</f>
        <v>0</v>
      </c>
      <c r="BH146" s="22">
        <f t="shared" si="1143"/>
        <v>0</v>
      </c>
      <c r="BI146" s="22">
        <f>+'QTR Raw'!AC88</f>
        <v>0</v>
      </c>
      <c r="BJ146" s="22">
        <f t="shared" si="1144"/>
        <v>0</v>
      </c>
      <c r="BK146" s="22">
        <f>+'QTR Raw'!AE88</f>
        <v>0</v>
      </c>
      <c r="BL146" s="22">
        <f t="shared" si="1145"/>
        <v>0</v>
      </c>
      <c r="BM146" s="22">
        <f>+'QTR Raw'!AG88</f>
        <v>0</v>
      </c>
      <c r="BN146" s="22">
        <f t="shared" si="1146"/>
        <v>0</v>
      </c>
      <c r="BO146" s="22">
        <f>+'QTR Raw'!AI88</f>
        <v>0</v>
      </c>
      <c r="BP146" s="22">
        <f t="shared" si="1147"/>
        <v>0</v>
      </c>
      <c r="BQ146" s="22">
        <f>+'QTR Raw'!AK88</f>
        <v>0</v>
      </c>
      <c r="BR146" s="22">
        <f t="shared" si="1148"/>
        <v>0</v>
      </c>
      <c r="BS146" s="22">
        <f>+'QTR Raw'!AM88</f>
        <v>0</v>
      </c>
      <c r="BT146" s="22">
        <f t="shared" si="1149"/>
        <v>0</v>
      </c>
      <c r="BU146" s="22">
        <f>+'QTR Raw'!AO88</f>
        <v>0</v>
      </c>
      <c r="BV146" s="22">
        <f t="shared" si="1150"/>
        <v>0</v>
      </c>
      <c r="BW146" s="22">
        <f>+'QTR Raw'!AQ88</f>
        <v>0</v>
      </c>
      <c r="BX146" s="22">
        <f t="shared" si="1151"/>
        <v>0</v>
      </c>
      <c r="BY146" s="22">
        <f>+'QTR Raw'!AS88</f>
        <v>0</v>
      </c>
      <c r="BZ146" s="22">
        <f t="shared" si="1152"/>
        <v>0</v>
      </c>
      <c r="CA146" s="22">
        <f>+'QTR Raw'!AU88</f>
        <v>0</v>
      </c>
      <c r="CB146" s="22">
        <f t="shared" si="1153"/>
        <v>0</v>
      </c>
      <c r="CC146" s="22">
        <f>+'QTR Raw'!AW88</f>
        <v>0</v>
      </c>
      <c r="CD146" s="22">
        <f t="shared" si="1154"/>
        <v>0</v>
      </c>
      <c r="CE146" s="22">
        <f>+'QTR Raw'!AY88</f>
        <v>0</v>
      </c>
      <c r="CF146" s="22">
        <f t="shared" si="1155"/>
        <v>0</v>
      </c>
      <c r="CG146" s="22">
        <f t="shared" si="1111"/>
        <v>0</v>
      </c>
      <c r="CH146" s="22">
        <f t="shared" si="1155"/>
        <v>0</v>
      </c>
      <c r="CI146" s="22">
        <f>+'QTR Raw'!BC88</f>
        <v>0</v>
      </c>
      <c r="CJ146" s="22">
        <f t="shared" si="1155"/>
        <v>0</v>
      </c>
      <c r="CK146" s="22">
        <f>+'QTR Raw'!BE88</f>
        <v>0</v>
      </c>
      <c r="CL146" s="22">
        <f t="shared" si="1155"/>
        <v>0</v>
      </c>
      <c r="CM146" s="23">
        <f t="shared" si="1156"/>
        <v>0</v>
      </c>
      <c r="CN146" s="23">
        <f t="shared" si="1157"/>
        <v>0</v>
      </c>
      <c r="CO146" s="23">
        <f t="shared" si="1158"/>
        <v>0</v>
      </c>
      <c r="CP146" s="23">
        <f t="shared" si="1159"/>
        <v>0</v>
      </c>
      <c r="CQ146" s="23">
        <f t="shared" si="1160"/>
        <v>0</v>
      </c>
      <c r="CR146" s="23">
        <f t="shared" si="1161"/>
        <v>0</v>
      </c>
      <c r="CS146" s="23">
        <f t="shared" si="1162"/>
        <v>0</v>
      </c>
      <c r="CT146" s="23">
        <f t="shared" si="1163"/>
        <v>0</v>
      </c>
      <c r="CU146" s="23">
        <f t="shared" si="1164"/>
        <v>0</v>
      </c>
      <c r="CV146" s="23">
        <f t="shared" si="1165"/>
        <v>0</v>
      </c>
      <c r="CW146" s="23">
        <f t="shared" si="1166"/>
        <v>0</v>
      </c>
      <c r="CX146" s="23">
        <f t="shared" si="1167"/>
        <v>0</v>
      </c>
      <c r="CY146" s="23">
        <f t="shared" si="1168"/>
        <v>0</v>
      </c>
      <c r="CZ146" s="23">
        <f t="shared" si="1169"/>
        <v>0</v>
      </c>
      <c r="DA146" s="23">
        <f t="shared" si="1170"/>
        <v>0</v>
      </c>
      <c r="DD146" s="120">
        <v>0</v>
      </c>
    </row>
    <row r="147" spans="1:108" s="21" customFormat="1" x14ac:dyDescent="0.2">
      <c r="A147" s="21" t="s">
        <v>49</v>
      </c>
      <c r="B147" s="21">
        <f>SUM(B143:B146)</f>
        <v>31.261934601</v>
      </c>
      <c r="C147" s="21">
        <f t="shared" ref="C147:V147" si="1171">SUM(C143:C146)</f>
        <v>33.564968401000002</v>
      </c>
      <c r="D147" s="21">
        <f t="shared" si="1171"/>
        <v>0</v>
      </c>
      <c r="E147" s="21">
        <f t="shared" si="1171"/>
        <v>0</v>
      </c>
      <c r="F147" s="21">
        <f t="shared" si="1171"/>
        <v>0</v>
      </c>
      <c r="G147" s="21">
        <f t="shared" si="1171"/>
        <v>0</v>
      </c>
      <c r="H147" s="21">
        <f t="shared" si="1171"/>
        <v>0</v>
      </c>
      <c r="I147" s="21">
        <f t="shared" si="1171"/>
        <v>0</v>
      </c>
      <c r="J147" s="21">
        <f t="shared" si="1171"/>
        <v>0</v>
      </c>
      <c r="K147" s="21">
        <f t="shared" si="1171"/>
        <v>0</v>
      </c>
      <c r="L147" s="21">
        <f t="shared" si="1171"/>
        <v>0</v>
      </c>
      <c r="M147" s="21">
        <f t="shared" si="1171"/>
        <v>0</v>
      </c>
      <c r="N147" s="21">
        <f t="shared" si="1171"/>
        <v>0</v>
      </c>
      <c r="O147" s="21">
        <f t="shared" si="1171"/>
        <v>0</v>
      </c>
      <c r="P147" s="21">
        <f t="shared" si="1171"/>
        <v>0</v>
      </c>
      <c r="Q147" s="21">
        <f t="shared" si="1171"/>
        <v>0</v>
      </c>
      <c r="R147" s="21">
        <f t="shared" si="1171"/>
        <v>0</v>
      </c>
      <c r="S147" s="21">
        <f t="shared" si="1171"/>
        <v>0</v>
      </c>
      <c r="T147" s="21">
        <f t="shared" si="1171"/>
        <v>0</v>
      </c>
      <c r="U147" s="21">
        <f t="shared" si="1171"/>
        <v>0</v>
      </c>
      <c r="V147" s="21">
        <f t="shared" si="1171"/>
        <v>0</v>
      </c>
      <c r="W147" s="21">
        <f t="shared" ref="W147" si="1172">SUM(W143:W146)</f>
        <v>0</v>
      </c>
      <c r="X147" s="21">
        <f t="shared" ref="X147:Y147" si="1173">SUM(X143:X146)</f>
        <v>0</v>
      </c>
      <c r="Y147" s="21">
        <f t="shared" si="1173"/>
        <v>0</v>
      </c>
      <c r="Z147" s="21">
        <f t="shared" ref="Z147:AA147" si="1174">SUM(Z143:Z146)</f>
        <v>0</v>
      </c>
      <c r="AA147" s="21">
        <f t="shared" si="1174"/>
        <v>0</v>
      </c>
      <c r="AB147" s="20">
        <f t="shared" ref="AA147:AD147" si="1175">SUM(AB143:AB146)</f>
        <v>0</v>
      </c>
      <c r="AC147" s="20">
        <f t="shared" si="1175"/>
        <v>0</v>
      </c>
      <c r="AD147" s="20">
        <f t="shared" si="1175"/>
        <v>0</v>
      </c>
      <c r="AE147" s="20">
        <f t="shared" ref="AE147" si="1176">SUM(AE143:AE146)</f>
        <v>0</v>
      </c>
      <c r="AI147" s="21">
        <f t="shared" ref="AI147:AL147" si="1177">SUM(AI143:AI146)</f>
        <v>0</v>
      </c>
      <c r="AJ147" s="21">
        <f t="shared" si="1177"/>
        <v>0</v>
      </c>
      <c r="AK147" s="21">
        <f t="shared" si="1177"/>
        <v>0</v>
      </c>
      <c r="AL147" s="21">
        <f t="shared" si="1177"/>
        <v>0</v>
      </c>
      <c r="AM147" s="21">
        <f t="shared" ref="AM147:AP147" si="1178">SUM(AM143:AM146)</f>
        <v>0</v>
      </c>
      <c r="AN147" s="21">
        <f t="shared" si="1178"/>
        <v>0</v>
      </c>
      <c r="AO147" s="21">
        <f t="shared" si="1178"/>
        <v>0</v>
      </c>
      <c r="AP147" s="21">
        <f t="shared" si="1178"/>
        <v>0</v>
      </c>
      <c r="AQ147" s="21">
        <f t="shared" ref="AQ147:AT147" si="1179">SUM(AQ143:AQ146)</f>
        <v>0</v>
      </c>
      <c r="AR147" s="21">
        <f t="shared" si="1179"/>
        <v>0</v>
      </c>
      <c r="AS147" s="21">
        <f t="shared" si="1179"/>
        <v>0</v>
      </c>
      <c r="AT147" s="21">
        <f t="shared" si="1179"/>
        <v>0</v>
      </c>
      <c r="AU147" s="21">
        <f t="shared" ref="AU147:AX147" si="1180">SUM(AU143:AU146)</f>
        <v>0</v>
      </c>
      <c r="AV147" s="21">
        <f t="shared" si="1180"/>
        <v>0</v>
      </c>
      <c r="AW147" s="21">
        <f t="shared" si="1180"/>
        <v>0</v>
      </c>
      <c r="AX147" s="21">
        <f t="shared" si="1180"/>
        <v>0</v>
      </c>
      <c r="AY147" s="21">
        <f t="shared" ref="AY147:BB147" si="1181">SUM(AY143:AY146)</f>
        <v>0</v>
      </c>
      <c r="AZ147" s="21">
        <f t="shared" si="1181"/>
        <v>0</v>
      </c>
      <c r="BA147" s="21">
        <f t="shared" si="1181"/>
        <v>0</v>
      </c>
      <c r="BB147" s="21">
        <f t="shared" si="1181"/>
        <v>0</v>
      </c>
      <c r="BC147" s="21">
        <f t="shared" ref="BC147:BF147" si="1182">SUM(BC143:BC146)</f>
        <v>0</v>
      </c>
      <c r="BD147" s="21">
        <f t="shared" si="1182"/>
        <v>0</v>
      </c>
      <c r="BE147" s="21">
        <f t="shared" si="1182"/>
        <v>0</v>
      </c>
      <c r="BF147" s="21">
        <f t="shared" si="1182"/>
        <v>0</v>
      </c>
      <c r="BG147" s="21">
        <f t="shared" ref="BG147:BJ147" si="1183">SUM(BG143:BG146)</f>
        <v>0</v>
      </c>
      <c r="BH147" s="21">
        <f t="shared" si="1183"/>
        <v>0</v>
      </c>
      <c r="BI147" s="21">
        <f t="shared" si="1183"/>
        <v>0</v>
      </c>
      <c r="BJ147" s="21">
        <f t="shared" si="1183"/>
        <v>0</v>
      </c>
      <c r="BK147" s="21">
        <f t="shared" ref="BK147:BN147" si="1184">SUM(BK143:BK146)</f>
        <v>0</v>
      </c>
      <c r="BL147" s="21">
        <f t="shared" si="1184"/>
        <v>0</v>
      </c>
      <c r="BM147" s="21">
        <f t="shared" si="1184"/>
        <v>0</v>
      </c>
      <c r="BN147" s="21">
        <f t="shared" si="1184"/>
        <v>0</v>
      </c>
      <c r="BO147" s="21">
        <f t="shared" ref="BO147:BR147" si="1185">SUM(BO143:BO146)</f>
        <v>0</v>
      </c>
      <c r="BP147" s="21">
        <f t="shared" si="1185"/>
        <v>0</v>
      </c>
      <c r="BQ147" s="21">
        <f t="shared" si="1185"/>
        <v>0</v>
      </c>
      <c r="BR147" s="21">
        <f t="shared" si="1185"/>
        <v>0</v>
      </c>
      <c r="BS147" s="21">
        <f t="shared" ref="BS147:BV147" si="1186">SUM(BS143:BS146)</f>
        <v>0</v>
      </c>
      <c r="BT147" s="21">
        <f t="shared" si="1186"/>
        <v>0</v>
      </c>
      <c r="BU147" s="21">
        <f t="shared" si="1186"/>
        <v>0</v>
      </c>
      <c r="BV147" s="21">
        <f t="shared" si="1186"/>
        <v>0</v>
      </c>
      <c r="BW147" s="21">
        <f t="shared" ref="BW147:BZ147" si="1187">SUM(BW143:BW146)</f>
        <v>0</v>
      </c>
      <c r="BX147" s="21">
        <f t="shared" si="1187"/>
        <v>0</v>
      </c>
      <c r="BY147" s="21">
        <f t="shared" si="1187"/>
        <v>0</v>
      </c>
      <c r="BZ147" s="21">
        <f t="shared" si="1187"/>
        <v>0</v>
      </c>
      <c r="CA147" s="21">
        <f t="shared" ref="CA147:CD147" si="1188">SUM(CA143:CA146)</f>
        <v>0</v>
      </c>
      <c r="CB147" s="21">
        <f t="shared" si="1188"/>
        <v>0</v>
      </c>
      <c r="CC147" s="21">
        <f t="shared" si="1188"/>
        <v>0</v>
      </c>
      <c r="CD147" s="21">
        <f t="shared" si="1188"/>
        <v>0</v>
      </c>
      <c r="CE147" s="21">
        <f t="shared" ref="CE147" si="1189">SUM(CE143:CE146)</f>
        <v>0</v>
      </c>
      <c r="CF147" s="21">
        <f t="shared" ref="CF147:CH147" si="1190">SUM(CF143:CF146)</f>
        <v>0</v>
      </c>
      <c r="CG147" s="21">
        <f t="shared" ref="CG147" si="1191">SUM(CG143:CG146)</f>
        <v>0</v>
      </c>
      <c r="CH147" s="21">
        <f t="shared" si="1190"/>
        <v>0</v>
      </c>
      <c r="CI147" s="21">
        <f t="shared" ref="CI147:CJ147" si="1192">SUM(CI143:CI146)</f>
        <v>0</v>
      </c>
      <c r="CJ147" s="21">
        <f t="shared" si="1192"/>
        <v>0</v>
      </c>
      <c r="CK147" s="21">
        <f t="shared" ref="CK147:CL147" si="1193">SUM(CK143:CK146)</f>
        <v>0</v>
      </c>
      <c r="CL147" s="21">
        <f t="shared" si="1193"/>
        <v>0</v>
      </c>
      <c r="CM147" s="20">
        <f t="shared" ref="CM147:DA147" si="1194">SUM(CM143:CM146)</f>
        <v>0</v>
      </c>
      <c r="CN147" s="20">
        <f t="shared" si="1194"/>
        <v>0</v>
      </c>
      <c r="CO147" s="20">
        <f t="shared" si="1194"/>
        <v>0</v>
      </c>
      <c r="CP147" s="20">
        <f t="shared" si="1194"/>
        <v>0</v>
      </c>
      <c r="CQ147" s="20">
        <f t="shared" si="1194"/>
        <v>0</v>
      </c>
      <c r="CR147" s="20">
        <f t="shared" si="1194"/>
        <v>0</v>
      </c>
      <c r="CS147" s="20">
        <f t="shared" si="1194"/>
        <v>0</v>
      </c>
      <c r="CT147" s="20">
        <f t="shared" si="1194"/>
        <v>0</v>
      </c>
      <c r="CU147" s="20">
        <f t="shared" si="1194"/>
        <v>0</v>
      </c>
      <c r="CV147" s="20">
        <f t="shared" si="1194"/>
        <v>0</v>
      </c>
      <c r="CW147" s="20">
        <f t="shared" si="1194"/>
        <v>0</v>
      </c>
      <c r="CX147" s="20">
        <f t="shared" si="1194"/>
        <v>0</v>
      </c>
      <c r="CY147" s="20">
        <f t="shared" si="1194"/>
        <v>0</v>
      </c>
      <c r="CZ147" s="20">
        <f t="shared" si="1194"/>
        <v>0</v>
      </c>
      <c r="DA147" s="20">
        <f t="shared" si="1194"/>
        <v>0</v>
      </c>
      <c r="DD147" s="122">
        <v>0</v>
      </c>
    </row>
    <row r="148" spans="1:108" s="25" customFormat="1" x14ac:dyDescent="0.2">
      <c r="A148" s="25" t="s">
        <v>437</v>
      </c>
      <c r="B148" s="25">
        <f>B147+B139+B141</f>
        <v>76.818760277999999</v>
      </c>
      <c r="C148" s="25">
        <f t="shared" ref="C148:V148" si="1195">C147+C139+C141</f>
        <v>83.775956506</v>
      </c>
      <c r="D148" s="25">
        <f>D147+D139+D141</f>
        <v>0</v>
      </c>
      <c r="E148" s="25">
        <f t="shared" si="1195"/>
        <v>0</v>
      </c>
      <c r="F148" s="25">
        <f t="shared" si="1195"/>
        <v>0</v>
      </c>
      <c r="G148" s="25">
        <f t="shared" si="1195"/>
        <v>0</v>
      </c>
      <c r="H148" s="25">
        <f t="shared" si="1195"/>
        <v>0</v>
      </c>
      <c r="I148" s="25">
        <f t="shared" si="1195"/>
        <v>0</v>
      </c>
      <c r="J148" s="25">
        <f t="shared" si="1195"/>
        <v>0</v>
      </c>
      <c r="K148" s="25">
        <f t="shared" si="1195"/>
        <v>0</v>
      </c>
      <c r="L148" s="25">
        <f t="shared" si="1195"/>
        <v>0</v>
      </c>
      <c r="M148" s="25">
        <f t="shared" si="1195"/>
        <v>0</v>
      </c>
      <c r="N148" s="25">
        <f t="shared" si="1195"/>
        <v>0</v>
      </c>
      <c r="O148" s="25">
        <f t="shared" si="1195"/>
        <v>0</v>
      </c>
      <c r="P148" s="25">
        <f t="shared" si="1195"/>
        <v>0</v>
      </c>
      <c r="Q148" s="25">
        <f t="shared" si="1195"/>
        <v>0</v>
      </c>
      <c r="R148" s="25">
        <f t="shared" si="1195"/>
        <v>0</v>
      </c>
      <c r="S148" s="25">
        <f t="shared" si="1195"/>
        <v>0</v>
      </c>
      <c r="T148" s="25">
        <f t="shared" si="1195"/>
        <v>0</v>
      </c>
      <c r="U148" s="25">
        <f t="shared" si="1195"/>
        <v>0</v>
      </c>
      <c r="V148" s="25">
        <f t="shared" si="1195"/>
        <v>0</v>
      </c>
      <c r="W148" s="25">
        <f t="shared" ref="W148" si="1196">W147+W139+W141</f>
        <v>0</v>
      </c>
      <c r="X148" s="25">
        <f t="shared" ref="X148:Y148" si="1197">X147+X139+X141</f>
        <v>0</v>
      </c>
      <c r="Y148" s="25">
        <f t="shared" si="1197"/>
        <v>211.3921</v>
      </c>
      <c r="Z148" s="25">
        <f t="shared" ref="Z148:AA148" si="1198">Z147+Z139+Z141</f>
        <v>201.15170000000001</v>
      </c>
      <c r="AA148" s="25">
        <f t="shared" si="1198"/>
        <v>210.14370000000002</v>
      </c>
      <c r="AB148" s="26">
        <f t="shared" ref="AA148:AD148" si="1199">AB147+AB139+AB141</f>
        <v>264.73800544673293</v>
      </c>
      <c r="AC148" s="26">
        <f t="shared" si="1199"/>
        <v>443.22983872017591</v>
      </c>
      <c r="AD148" s="26">
        <f t="shared" si="1199"/>
        <v>786.86282409608748</v>
      </c>
      <c r="AE148" s="26">
        <f t="shared" ref="AE148" si="1200">AE147+AE139+AE141</f>
        <v>1333.0895770368434</v>
      </c>
      <c r="AI148" s="25">
        <f t="shared" ref="AI148:AL148" si="1201">AI147+AI139+AI141</f>
        <v>0</v>
      </c>
      <c r="AJ148" s="25">
        <f t="shared" si="1201"/>
        <v>-3.7169999999999908</v>
      </c>
      <c r="AK148" s="25">
        <f t="shared" si="1201"/>
        <v>0</v>
      </c>
      <c r="AL148" s="25">
        <f t="shared" si="1201"/>
        <v>-3.4370000000000163</v>
      </c>
      <c r="AM148" s="25">
        <f t="shared" ref="AM148:AP148" si="1202">AM147+AM139+AM141</f>
        <v>0</v>
      </c>
      <c r="AN148" s="25">
        <f t="shared" si="1202"/>
        <v>-18.507999999999992</v>
      </c>
      <c r="AO148" s="25">
        <f t="shared" si="1202"/>
        <v>0</v>
      </c>
      <c r="AP148" s="25">
        <f t="shared" si="1202"/>
        <v>-1.5760000000000192</v>
      </c>
      <c r="AQ148" s="25">
        <f t="shared" ref="AQ148:AT148" si="1203">AQ147+AQ139+AQ141</f>
        <v>0</v>
      </c>
      <c r="AR148" s="25">
        <f t="shared" si="1203"/>
        <v>4.2170000000000014</v>
      </c>
      <c r="AS148" s="25">
        <f t="shared" si="1203"/>
        <v>0</v>
      </c>
      <c r="AT148" s="25">
        <f t="shared" si="1203"/>
        <v>7.7749999999999932</v>
      </c>
      <c r="AU148" s="25">
        <f t="shared" ref="AU148:AX148" si="1204">AU147+AU139+AU141</f>
        <v>0</v>
      </c>
      <c r="AV148" s="25">
        <f t="shared" si="1204"/>
        <v>-2.8020000000000009</v>
      </c>
      <c r="AW148" s="25">
        <f t="shared" si="1204"/>
        <v>0</v>
      </c>
      <c r="AX148" s="25">
        <f t="shared" si="1204"/>
        <v>10.694000000000003</v>
      </c>
      <c r="AY148" s="25">
        <f t="shared" ref="AY148:BB148" si="1205">AY147+AY139+AY141</f>
        <v>0</v>
      </c>
      <c r="AZ148" s="25">
        <f t="shared" si="1205"/>
        <v>2.1000000000006236E-2</v>
      </c>
      <c r="BA148" s="25">
        <f t="shared" si="1205"/>
        <v>0</v>
      </c>
      <c r="BB148" s="25">
        <f t="shared" si="1205"/>
        <v>4.5799999999999939</v>
      </c>
      <c r="BC148" s="25">
        <f t="shared" ref="BC148:BF148" si="1206">BC147+BC139+BC141</f>
        <v>0</v>
      </c>
      <c r="BD148" s="25">
        <f t="shared" si="1206"/>
        <v>4.5229999999999997</v>
      </c>
      <c r="BE148" s="25">
        <f t="shared" si="1206"/>
        <v>0</v>
      </c>
      <c r="BF148" s="25">
        <f t="shared" si="1206"/>
        <v>-0.99799999999999289</v>
      </c>
      <c r="BG148" s="25">
        <f t="shared" ref="BG148:BJ148" si="1207">BG147+BG139+BG141</f>
        <v>0</v>
      </c>
      <c r="BH148" s="25">
        <f t="shared" si="1207"/>
        <v>10.432</v>
      </c>
      <c r="BI148" s="25">
        <f t="shared" si="1207"/>
        <v>0</v>
      </c>
      <c r="BJ148" s="25">
        <f t="shared" si="1207"/>
        <v>5.4789999999999939</v>
      </c>
      <c r="BK148" s="25">
        <f t="shared" ref="BK148:BN148" si="1208">BK147+BK139+BK141</f>
        <v>0</v>
      </c>
      <c r="BL148" s="25">
        <f t="shared" si="1208"/>
        <v>9.7959999999999923</v>
      </c>
      <c r="BM148" s="25">
        <f t="shared" si="1208"/>
        <v>0</v>
      </c>
      <c r="BN148" s="25">
        <f t="shared" si="1208"/>
        <v>4.5259999999999989</v>
      </c>
      <c r="BO148" s="25">
        <f t="shared" ref="BO148:BR148" si="1209">BO147+BO139+BO141</f>
        <v>0</v>
      </c>
      <c r="BP148" s="25">
        <f t="shared" si="1209"/>
        <v>-11.356999999999998</v>
      </c>
      <c r="BQ148" s="25">
        <f t="shared" si="1209"/>
        <v>0</v>
      </c>
      <c r="BR148" s="25">
        <f t="shared" si="1209"/>
        <v>-8.960000000000008</v>
      </c>
      <c r="BS148" s="25">
        <f t="shared" ref="BS148:BV148" si="1210">BS147+BS139+BS141</f>
        <v>0</v>
      </c>
      <c r="BT148" s="25">
        <f t="shared" si="1210"/>
        <v>2.1990000000000025</v>
      </c>
      <c r="BU148" s="25">
        <f t="shared" si="1210"/>
        <v>0</v>
      </c>
      <c r="BV148" s="25">
        <f t="shared" si="1210"/>
        <v>-2.4539999999999949</v>
      </c>
      <c r="BW148" s="25">
        <f t="shared" ref="BW148:BZ148" si="1211">BW147+BW139+BW141</f>
        <v>0</v>
      </c>
      <c r="BX148" s="25">
        <f t="shared" si="1211"/>
        <v>-2.9460000000000011</v>
      </c>
      <c r="BY148" s="25">
        <f t="shared" si="1211"/>
        <v>0</v>
      </c>
      <c r="BZ148" s="25">
        <f t="shared" si="1211"/>
        <v>9.7930000000000046</v>
      </c>
      <c r="CA148" s="25">
        <f t="shared" ref="CA148:CD148" si="1212">CA147+CA139+CA141</f>
        <v>0</v>
      </c>
      <c r="CB148" s="25">
        <f t="shared" si="1212"/>
        <v>6.9840000000000106</v>
      </c>
      <c r="CC148" s="25">
        <f t="shared" si="1212"/>
        <v>211.392</v>
      </c>
      <c r="CD148" s="25">
        <f t="shared" si="1212"/>
        <v>215.01099999999997</v>
      </c>
      <c r="CE148" s="25">
        <f t="shared" ref="CE148" si="1213">CE147+CE139+CE141</f>
        <v>211.69699999999997</v>
      </c>
      <c r="CF148" s="25">
        <f t="shared" ref="CF148:CH148" si="1214">CF147+CF139+CF141</f>
        <v>204.2</v>
      </c>
      <c r="CG148" s="25">
        <f t="shared" ref="CG148" si="1215">CG147+CG139+CG141</f>
        <v>201.15170000000001</v>
      </c>
      <c r="CH148" s="25">
        <f t="shared" si="1214"/>
        <v>198.23770000000002</v>
      </c>
      <c r="CI148" s="25">
        <f t="shared" ref="CI148:CJ148" si="1216">CI147+CI139+CI141</f>
        <v>202.53699999999998</v>
      </c>
      <c r="CJ148" s="25">
        <f t="shared" si="1216"/>
        <v>211.45699999999997</v>
      </c>
      <c r="CK148" s="25">
        <f t="shared" ref="CK148:CL148" si="1217">CK147+CK139+CK141</f>
        <v>210.14399999999998</v>
      </c>
      <c r="CL148" s="25">
        <f t="shared" si="1217"/>
        <v>217.505</v>
      </c>
      <c r="CM148" s="26">
        <f t="shared" ref="CM148:DA148" si="1218">CM147+CM139+CM141</f>
        <v>212.26592110978285</v>
      </c>
      <c r="CN148" s="26">
        <f t="shared" si="1218"/>
        <v>235.80237110712849</v>
      </c>
      <c r="CO148" s="26">
        <f t="shared" si="1218"/>
        <v>264.73800544673293</v>
      </c>
      <c r="CP148" s="26">
        <f t="shared" si="1218"/>
        <v>288.25577079408777</v>
      </c>
      <c r="CQ148" s="26">
        <f t="shared" si="1218"/>
        <v>314.2715008307373</v>
      </c>
      <c r="CR148" s="26">
        <f t="shared" si="1218"/>
        <v>375.89470638112641</v>
      </c>
      <c r="CS148" s="26">
        <f t="shared" si="1218"/>
        <v>443.22983872017591</v>
      </c>
      <c r="CT148" s="26">
        <f t="shared" si="1218"/>
        <v>503.38383899532477</v>
      </c>
      <c r="CU148" s="26">
        <f t="shared" si="1218"/>
        <v>565.67149010092851</v>
      </c>
      <c r="CV148" s="26">
        <f t="shared" si="1218"/>
        <v>673.10621909445911</v>
      </c>
      <c r="CW148" s="26">
        <f t="shared" si="1218"/>
        <v>786.86282409608748</v>
      </c>
      <c r="CX148" s="26">
        <f t="shared" si="1218"/>
        <v>891.50008932961703</v>
      </c>
      <c r="CY148" s="26">
        <f t="shared" si="1218"/>
        <v>998.00778251229599</v>
      </c>
      <c r="CZ148" s="26">
        <f t="shared" si="1218"/>
        <v>1161.9208715545235</v>
      </c>
      <c r="DA148" s="26">
        <f t="shared" si="1218"/>
        <v>1333.0895770368434</v>
      </c>
      <c r="DD148" s="118">
        <v>210.14399999999998</v>
      </c>
    </row>
    <row r="149" spans="1:108" s="22" customFormat="1" x14ac:dyDescent="0.2">
      <c r="AB149" s="23"/>
      <c r="AC149" s="23"/>
      <c r="AD149" s="23"/>
      <c r="AE149" s="23"/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0"/>
    </row>
    <row r="150" spans="1:108" s="22" customFormat="1" outlineLevel="1" x14ac:dyDescent="0.2">
      <c r="A150" s="22" t="s">
        <v>50</v>
      </c>
      <c r="B150" s="22">
        <f>'Annual Raw'!C62</f>
        <v>39.986923535000003</v>
      </c>
      <c r="C150" s="22">
        <f>'Annual Raw'!D62</f>
        <v>43.116750701000001</v>
      </c>
      <c r="D150" s="22">
        <f>'Annual Raw'!E62</f>
        <v>0</v>
      </c>
      <c r="E150" s="22">
        <f>'Annual Raw'!F62-E154</f>
        <v>0</v>
      </c>
      <c r="F150" s="22">
        <f>'Annual Raw'!G62-F154</f>
        <v>0</v>
      </c>
      <c r="G150" s="22">
        <f>'Annual Raw'!H62-G154</f>
        <v>0</v>
      </c>
      <c r="H150" s="22">
        <f>'Annual Raw'!I62-H154</f>
        <v>0</v>
      </c>
      <c r="I150" s="22">
        <f>'Annual Raw'!J62-I154</f>
        <v>0</v>
      </c>
      <c r="J150" s="22">
        <f>'Annual Raw'!K62-J154</f>
        <v>0</v>
      </c>
      <c r="K150" s="22">
        <f>'Annual Raw'!L62-K154</f>
        <v>0</v>
      </c>
      <c r="L150" s="22">
        <f>'Annual Raw'!M62-L154</f>
        <v>0</v>
      </c>
      <c r="M150" s="22">
        <f>'Annual Raw'!N62-M154</f>
        <v>0</v>
      </c>
      <c r="N150" s="22">
        <f>'Annual Raw'!O62-N154</f>
        <v>0</v>
      </c>
      <c r="O150" s="22">
        <f>'Annual Raw'!P62-O154</f>
        <v>0</v>
      </c>
      <c r="P150" s="22">
        <f>'Annual Raw'!Q62-P154</f>
        <v>0</v>
      </c>
      <c r="Q150" s="22">
        <f>'Annual Raw'!R62-Q154</f>
        <v>0</v>
      </c>
      <c r="R150" s="22">
        <f>'Annual Raw'!S62-R154</f>
        <v>0</v>
      </c>
      <c r="S150" s="22">
        <f>'Annual Raw'!T62-S154</f>
        <v>0</v>
      </c>
      <c r="T150" s="22">
        <f>'Annual Raw'!U62-T154</f>
        <v>0</v>
      </c>
      <c r="U150" s="22">
        <f>'Annual Raw'!V62-U154</f>
        <v>0</v>
      </c>
      <c r="V150" s="22">
        <f>'Annual Raw'!W62-V154</f>
        <v>0</v>
      </c>
      <c r="W150" s="22">
        <f>'Annual Raw'!X62-W154</f>
        <v>0</v>
      </c>
      <c r="X150" s="22">
        <f>'Annual Raw'!Y62-X154</f>
        <v>0</v>
      </c>
      <c r="Y150" s="22">
        <f>'Annual Raw'!Z62-Y154</f>
        <v>92.999899999999997</v>
      </c>
      <c r="Z150" s="22">
        <f>'Annual Raw'!AA62-Z154</f>
        <v>96.406400000000005</v>
      </c>
      <c r="AA150" s="22">
        <f>'Annual Raw'!AB62-AA154</f>
        <v>105.3115</v>
      </c>
      <c r="AB150" s="23">
        <f t="shared" ref="AB150:AB152" si="1219">+CO150</f>
        <v>70.629099999999994</v>
      </c>
      <c r="AC150" s="23">
        <f t="shared" ref="AC150:AC152" si="1220">+CS150</f>
        <v>83.737099999999998</v>
      </c>
      <c r="AD150" s="23">
        <f t="shared" ref="AD150:AD152" si="1221">+CW150</f>
        <v>96.845100000000002</v>
      </c>
      <c r="AE150" s="23">
        <f t="shared" ref="AE150:AE152" si="1222">+DA150</f>
        <v>109.95310000000001</v>
      </c>
      <c r="AI150" s="22">
        <f>+'QTR Raw'!C68</f>
        <v>0</v>
      </c>
      <c r="AK150" s="22">
        <f>+'QTR Raw'!E68</f>
        <v>0</v>
      </c>
      <c r="AM150" s="22">
        <f>+'QTR Raw'!G68</f>
        <v>0</v>
      </c>
      <c r="AO150" s="22">
        <f>+'QTR Raw'!I68</f>
        <v>0</v>
      </c>
      <c r="AQ150" s="22">
        <f>+'QTR Raw'!K68</f>
        <v>0</v>
      </c>
      <c r="AS150" s="22">
        <f>+'QTR Raw'!M68</f>
        <v>0</v>
      </c>
      <c r="AU150" s="22">
        <f>+'QTR Raw'!O68</f>
        <v>0</v>
      </c>
      <c r="AW150" s="22">
        <f>+'QTR Raw'!Q68</f>
        <v>0</v>
      </c>
      <c r="AY150" s="22">
        <f>+'QTR Raw'!S68</f>
        <v>0</v>
      </c>
      <c r="BA150" s="22">
        <f>+'QTR Raw'!U68</f>
        <v>0</v>
      </c>
      <c r="BC150" s="22">
        <f>+'QTR Raw'!W68</f>
        <v>0</v>
      </c>
      <c r="BE150" s="22">
        <f>+'QTR Raw'!Y68</f>
        <v>0</v>
      </c>
      <c r="BG150" s="22">
        <f>+'QTR Raw'!AA68</f>
        <v>0</v>
      </c>
      <c r="BI150" s="22">
        <f>+'QTR Raw'!AC68</f>
        <v>0</v>
      </c>
      <c r="BK150" s="22">
        <f>+'QTR Raw'!AE68</f>
        <v>0</v>
      </c>
      <c r="BM150" s="22">
        <f>+'QTR Raw'!AG68</f>
        <v>0</v>
      </c>
      <c r="BO150" s="22">
        <f>+'QTR Raw'!AI68</f>
        <v>0</v>
      </c>
      <c r="BQ150" s="22">
        <f>+'QTR Raw'!AK68</f>
        <v>0</v>
      </c>
      <c r="BS150" s="22">
        <f>+'QTR Raw'!AM68</f>
        <v>0</v>
      </c>
      <c r="BU150" s="22">
        <f>+'QTR Raw'!AO68</f>
        <v>0</v>
      </c>
      <c r="BW150" s="22">
        <f>+'QTR Raw'!AQ68</f>
        <v>0</v>
      </c>
      <c r="BY150" s="22">
        <f>+'QTR Raw'!AS68</f>
        <v>0</v>
      </c>
      <c r="CA150" s="22">
        <f>+'QTR Raw'!AU68</f>
        <v>0</v>
      </c>
      <c r="CC150" s="22">
        <f>+'QTR Raw'!AW68</f>
        <v>48.951000000000001</v>
      </c>
      <c r="CE150" s="22">
        <f>+'QTR Raw'!AY68</f>
        <v>48.841000000000001</v>
      </c>
      <c r="CG150" s="22">
        <f t="shared" ref="CG150:CG156" si="1223">+Z150</f>
        <v>96.406400000000005</v>
      </c>
      <c r="CI150" s="22">
        <f>+CI151+CI153</f>
        <v>47.503999999999998</v>
      </c>
      <c r="CJ150" s="22">
        <f>+CJ151+CJ153</f>
        <v>49.054000000000002</v>
      </c>
      <c r="CK150" s="22">
        <f>+CK151+CK153</f>
        <v>57.521099999999997</v>
      </c>
      <c r="CL150" s="22">
        <f>+CL151+CL153</f>
        <v>60.798099999999998</v>
      </c>
      <c r="CM150" s="23">
        <f t="shared" ref="CM150:DA150" si="1224">+CM151+CM153</f>
        <v>64.075099999999992</v>
      </c>
      <c r="CN150" s="23">
        <f t="shared" si="1224"/>
        <v>67.352099999999993</v>
      </c>
      <c r="CO150" s="23">
        <f t="shared" si="1224"/>
        <v>70.629099999999994</v>
      </c>
      <c r="CP150" s="23">
        <f t="shared" si="1224"/>
        <v>73.906099999999995</v>
      </c>
      <c r="CQ150" s="23">
        <f t="shared" si="1224"/>
        <v>77.183099999999996</v>
      </c>
      <c r="CR150" s="23">
        <f t="shared" si="1224"/>
        <v>80.460099999999997</v>
      </c>
      <c r="CS150" s="23">
        <f t="shared" si="1224"/>
        <v>83.737099999999998</v>
      </c>
      <c r="CT150" s="23">
        <f t="shared" si="1224"/>
        <v>87.014099999999999</v>
      </c>
      <c r="CU150" s="23">
        <f t="shared" si="1224"/>
        <v>90.2911</v>
      </c>
      <c r="CV150" s="23">
        <f t="shared" si="1224"/>
        <v>93.568100000000001</v>
      </c>
      <c r="CW150" s="23">
        <f t="shared" si="1224"/>
        <v>96.845100000000002</v>
      </c>
      <c r="CX150" s="23">
        <f t="shared" si="1224"/>
        <v>100.1221</v>
      </c>
      <c r="CY150" s="23">
        <f t="shared" si="1224"/>
        <v>103.3991</v>
      </c>
      <c r="CZ150" s="23">
        <f t="shared" si="1224"/>
        <v>106.67610000000001</v>
      </c>
      <c r="DA150" s="23">
        <f t="shared" si="1224"/>
        <v>109.95310000000001</v>
      </c>
      <c r="DD150" s="120">
        <v>57.521099999999997</v>
      </c>
    </row>
    <row r="151" spans="1:108" s="22" customFormat="1" outlineLevel="1" x14ac:dyDescent="0.2">
      <c r="A151" s="22" t="s">
        <v>51</v>
      </c>
      <c r="B151" s="22">
        <f>'Annual Raw'!C63</f>
        <v>17.077851548999998</v>
      </c>
      <c r="C151" s="22">
        <f>'Annual Raw'!D63</f>
        <v>19.687981758999999</v>
      </c>
      <c r="D151" s="22">
        <f>'Annual Raw'!E63</f>
        <v>0</v>
      </c>
      <c r="E151" s="22">
        <f>'Annual Raw'!F63</f>
        <v>0</v>
      </c>
      <c r="F151" s="22">
        <f>'Annual Raw'!G63</f>
        <v>0</v>
      </c>
      <c r="G151" s="22">
        <f>'Annual Raw'!H63</f>
        <v>0</v>
      </c>
      <c r="H151" s="22">
        <f>'Annual Raw'!I63</f>
        <v>0</v>
      </c>
      <c r="I151" s="22">
        <f>'Annual Raw'!J63</f>
        <v>0</v>
      </c>
      <c r="J151" s="22">
        <f>'Annual Raw'!K63</f>
        <v>0</v>
      </c>
      <c r="K151" s="22">
        <f>'Annual Raw'!L63</f>
        <v>0</v>
      </c>
      <c r="L151" s="22">
        <f>'Annual Raw'!M63</f>
        <v>0</v>
      </c>
      <c r="M151" s="22">
        <f>'Annual Raw'!N63</f>
        <v>0</v>
      </c>
      <c r="N151" s="22">
        <f>'Annual Raw'!O63</f>
        <v>0</v>
      </c>
      <c r="O151" s="22">
        <f>'Annual Raw'!P63</f>
        <v>0</v>
      </c>
      <c r="P151" s="22">
        <f>'Annual Raw'!Q63</f>
        <v>0</v>
      </c>
      <c r="Q151" s="22">
        <f>'Annual Raw'!R63</f>
        <v>0</v>
      </c>
      <c r="R151" s="22">
        <f>'Annual Raw'!S63</f>
        <v>0</v>
      </c>
      <c r="S151" s="22">
        <f>'Annual Raw'!T63</f>
        <v>0</v>
      </c>
      <c r="T151" s="22">
        <f>'Annual Raw'!U63</f>
        <v>0</v>
      </c>
      <c r="U151" s="22">
        <f>'Annual Raw'!V63</f>
        <v>0</v>
      </c>
      <c r="V151" s="22">
        <f>'Annual Raw'!W63</f>
        <v>0</v>
      </c>
      <c r="W151" s="22">
        <f>'Annual Raw'!X63</f>
        <v>0</v>
      </c>
      <c r="X151" s="22">
        <f>'Annual Raw'!Y63</f>
        <v>0</v>
      </c>
      <c r="Y151" s="22">
        <f>'Annual Raw'!Z63</f>
        <v>40.005099999999999</v>
      </c>
      <c r="Z151" s="22">
        <f>'Annual Raw'!AA63</f>
        <v>43.605899999999998</v>
      </c>
      <c r="AA151" s="22">
        <f>'Annual Raw'!AB63</f>
        <v>48.527700000000003</v>
      </c>
      <c r="AB151" s="23">
        <f t="shared" si="1219"/>
        <v>19.777100000000001</v>
      </c>
      <c r="AC151" s="23">
        <f t="shared" si="1220"/>
        <v>32.885100000000001</v>
      </c>
      <c r="AD151" s="23">
        <f t="shared" si="1221"/>
        <v>45.993100000000005</v>
      </c>
      <c r="AE151" s="23">
        <f t="shared" si="1222"/>
        <v>59.10110000000001</v>
      </c>
      <c r="CG151" s="22">
        <f t="shared" si="1223"/>
        <v>43.605899999999998</v>
      </c>
      <c r="CI151" s="22">
        <f t="shared" ref="CI151:CL151" si="1225">CH151+CI51</f>
        <v>1.534</v>
      </c>
      <c r="CJ151" s="22">
        <f t="shared" si="1225"/>
        <v>3.0840000000000001</v>
      </c>
      <c r="CK151" s="22">
        <f t="shared" si="1225"/>
        <v>6.6691000000000003</v>
      </c>
      <c r="CL151" s="22">
        <f t="shared" si="1225"/>
        <v>9.9461000000000013</v>
      </c>
      <c r="CM151" s="23">
        <f t="shared" ref="CM151" si="1226">CL151+CM51</f>
        <v>13.223100000000001</v>
      </c>
      <c r="CN151" s="23">
        <f t="shared" ref="CN151" si="1227">CM151+CN51</f>
        <v>16.5001</v>
      </c>
      <c r="CO151" s="23">
        <f t="shared" ref="CO151" si="1228">CN151+CO51</f>
        <v>19.777100000000001</v>
      </c>
      <c r="CP151" s="23">
        <f t="shared" ref="CP151" si="1229">CO151+CP51</f>
        <v>23.054100000000002</v>
      </c>
      <c r="CQ151" s="23">
        <f t="shared" ref="CQ151" si="1230">CP151+CQ51</f>
        <v>26.331100000000003</v>
      </c>
      <c r="CR151" s="23">
        <f t="shared" ref="CR151" si="1231">CQ151+CR51</f>
        <v>29.608100000000004</v>
      </c>
      <c r="CS151" s="23">
        <f t="shared" ref="CS151" si="1232">CR151+CS51</f>
        <v>32.885100000000001</v>
      </c>
      <c r="CT151" s="23">
        <f t="shared" ref="CT151" si="1233">CS151+CT51</f>
        <v>36.162100000000002</v>
      </c>
      <c r="CU151" s="23">
        <f t="shared" ref="CU151" si="1234">CT151+CU51</f>
        <v>39.439100000000003</v>
      </c>
      <c r="CV151" s="23">
        <f t="shared" ref="CV151" si="1235">CU151+CV51</f>
        <v>42.716100000000004</v>
      </c>
      <c r="CW151" s="23">
        <f t="shared" ref="CW151" si="1236">CV151+CW51</f>
        <v>45.993100000000005</v>
      </c>
      <c r="CX151" s="23">
        <f t="shared" ref="CX151" si="1237">CW151+CX51</f>
        <v>49.270100000000006</v>
      </c>
      <c r="CY151" s="23">
        <f t="shared" ref="CY151" si="1238">CX151+CY51</f>
        <v>52.547100000000007</v>
      </c>
      <c r="CZ151" s="23">
        <f t="shared" ref="CZ151" si="1239">CY151+CZ51</f>
        <v>55.824100000000008</v>
      </c>
      <c r="DA151" s="23">
        <f t="shared" ref="DA151" si="1240">CZ151+DA51</f>
        <v>59.10110000000001</v>
      </c>
      <c r="DD151" s="120">
        <v>6.6691000000000003</v>
      </c>
    </row>
    <row r="152" spans="1:108" s="22" customFormat="1" outlineLevel="1" x14ac:dyDescent="0.2">
      <c r="A152" s="22" t="s">
        <v>52</v>
      </c>
      <c r="B152" s="22">
        <f>'Annual Raw'!C64</f>
        <v>0</v>
      </c>
      <c r="C152" s="22">
        <f>'Annual Raw'!D64</f>
        <v>0</v>
      </c>
      <c r="D152" s="22">
        <f>'Annual Raw'!E64</f>
        <v>0</v>
      </c>
      <c r="E152" s="22">
        <f>'Annual Raw'!F64</f>
        <v>0</v>
      </c>
      <c r="F152" s="22">
        <f>'Annual Raw'!G64</f>
        <v>0</v>
      </c>
      <c r="G152" s="22">
        <f>'Annual Raw'!H64</f>
        <v>0</v>
      </c>
      <c r="H152" s="22">
        <f>'Annual Raw'!I64</f>
        <v>0</v>
      </c>
      <c r="I152" s="22">
        <f>'Annual Raw'!J64</f>
        <v>0</v>
      </c>
      <c r="J152" s="22">
        <f>'Annual Raw'!K64</f>
        <v>0</v>
      </c>
      <c r="K152" s="22">
        <f>'Annual Raw'!L64</f>
        <v>0</v>
      </c>
      <c r="L152" s="22">
        <f>'Annual Raw'!M64</f>
        <v>0</v>
      </c>
      <c r="M152" s="22">
        <f>'Annual Raw'!N64</f>
        <v>0</v>
      </c>
      <c r="N152" s="22">
        <f>'Annual Raw'!O64</f>
        <v>0</v>
      </c>
      <c r="O152" s="22">
        <f>'Annual Raw'!P64</f>
        <v>0</v>
      </c>
      <c r="P152" s="22">
        <f>'Annual Raw'!Q64</f>
        <v>0</v>
      </c>
      <c r="Q152" s="22">
        <f>'Annual Raw'!R64</f>
        <v>0</v>
      </c>
      <c r="R152" s="22">
        <f>'Annual Raw'!S64</f>
        <v>0</v>
      </c>
      <c r="S152" s="22">
        <f>'Annual Raw'!T64</f>
        <v>0</v>
      </c>
      <c r="T152" s="22">
        <f>'Annual Raw'!U64</f>
        <v>0</v>
      </c>
      <c r="U152" s="22">
        <f>'Annual Raw'!V64</f>
        <v>0</v>
      </c>
      <c r="V152" s="22">
        <f>'Annual Raw'!W64</f>
        <v>0</v>
      </c>
      <c r="W152" s="22">
        <f>'Annual Raw'!X64</f>
        <v>0</v>
      </c>
      <c r="X152" s="22">
        <f>'Annual Raw'!Y64</f>
        <v>0</v>
      </c>
      <c r="Y152" s="22">
        <f>'Annual Raw'!Z64</f>
        <v>0</v>
      </c>
      <c r="Z152" s="22">
        <f>'Annual Raw'!AA64</f>
        <v>0</v>
      </c>
      <c r="AA152" s="22">
        <f>'Annual Raw'!AB64</f>
        <v>0</v>
      </c>
      <c r="AB152" s="23">
        <f t="shared" si="1219"/>
        <v>0</v>
      </c>
      <c r="AC152" s="23">
        <f t="shared" si="1220"/>
        <v>0</v>
      </c>
      <c r="AD152" s="23">
        <f t="shared" si="1221"/>
        <v>0</v>
      </c>
      <c r="AE152" s="23">
        <f t="shared" si="1222"/>
        <v>0</v>
      </c>
      <c r="AI152" s="22">
        <f>+'QTR Raw'!C70</f>
        <v>0</v>
      </c>
      <c r="AK152" s="22">
        <f>+'QTR Raw'!E70</f>
        <v>0</v>
      </c>
      <c r="AM152" s="22">
        <f>+'QTR Raw'!G70</f>
        <v>0</v>
      </c>
      <c r="AO152" s="22">
        <f>+'QTR Raw'!I70</f>
        <v>0</v>
      </c>
      <c r="AQ152" s="22">
        <f>+'QTR Raw'!K70</f>
        <v>0</v>
      </c>
      <c r="AS152" s="22">
        <f>+'QTR Raw'!M70</f>
        <v>0</v>
      </c>
      <c r="AU152" s="22">
        <f>+'QTR Raw'!O70</f>
        <v>0</v>
      </c>
      <c r="AW152" s="22">
        <f>+'QTR Raw'!Q70</f>
        <v>0</v>
      </c>
      <c r="AY152" s="22">
        <f>+'QTR Raw'!S70</f>
        <v>0</v>
      </c>
      <c r="BA152" s="22">
        <f>+'QTR Raw'!U70</f>
        <v>0</v>
      </c>
      <c r="BC152" s="22">
        <f>+'QTR Raw'!W70</f>
        <v>0</v>
      </c>
      <c r="BE152" s="22">
        <f>+'QTR Raw'!Y70</f>
        <v>0</v>
      </c>
      <c r="BG152" s="22">
        <f>+'QTR Raw'!AA70</f>
        <v>0</v>
      </c>
      <c r="BI152" s="22">
        <f>+'QTR Raw'!AC70</f>
        <v>0</v>
      </c>
      <c r="BK152" s="22">
        <f>+'QTR Raw'!AE70</f>
        <v>0</v>
      </c>
      <c r="BM152" s="22">
        <f>+'QTR Raw'!AG70</f>
        <v>0</v>
      </c>
      <c r="BO152" s="22">
        <f>+'QTR Raw'!AI70</f>
        <v>0</v>
      </c>
      <c r="BQ152" s="22">
        <f>+'QTR Raw'!AK70</f>
        <v>0</v>
      </c>
      <c r="BS152" s="22">
        <f>+'QTR Raw'!AM70</f>
        <v>0</v>
      </c>
      <c r="BU152" s="22">
        <f>+'QTR Raw'!AO70</f>
        <v>0</v>
      </c>
      <c r="BW152" s="22">
        <f>+'QTR Raw'!AQ70</f>
        <v>0</v>
      </c>
      <c r="BY152" s="22">
        <f>+'QTR Raw'!AS70</f>
        <v>0</v>
      </c>
      <c r="CA152" s="22">
        <f>+'QTR Raw'!AU70</f>
        <v>0</v>
      </c>
      <c r="CC152" s="22">
        <f>+'QTR Raw'!AW70</f>
        <v>0</v>
      </c>
      <c r="CE152" s="22">
        <f>+'QTR Raw'!AY70</f>
        <v>0</v>
      </c>
      <c r="CG152" s="22">
        <f t="shared" si="1223"/>
        <v>0</v>
      </c>
      <c r="CI152" s="22">
        <f>+'QTR Raw'!BC70</f>
        <v>0</v>
      </c>
      <c r="CJ152" s="22">
        <f t="shared" ref="CJ152:CL152" si="1241">+CI152</f>
        <v>0</v>
      </c>
      <c r="CK152" s="22">
        <f>+'QTR Raw'!BE70</f>
        <v>0</v>
      </c>
      <c r="CL152" s="22">
        <f t="shared" si="1241"/>
        <v>0</v>
      </c>
      <c r="CM152" s="23">
        <f t="shared" ref="CM152:DA153" si="1242">+CL152</f>
        <v>0</v>
      </c>
      <c r="CN152" s="23">
        <f t="shared" si="1242"/>
        <v>0</v>
      </c>
      <c r="CO152" s="23">
        <f t="shared" si="1242"/>
        <v>0</v>
      </c>
      <c r="CP152" s="23">
        <f t="shared" si="1242"/>
        <v>0</v>
      </c>
      <c r="CQ152" s="23">
        <f t="shared" si="1242"/>
        <v>0</v>
      </c>
      <c r="CR152" s="23">
        <f t="shared" si="1242"/>
        <v>0</v>
      </c>
      <c r="CS152" s="23">
        <f t="shared" si="1242"/>
        <v>0</v>
      </c>
      <c r="CT152" s="23">
        <f t="shared" si="1242"/>
        <v>0</v>
      </c>
      <c r="CU152" s="23">
        <f t="shared" si="1242"/>
        <v>0</v>
      </c>
      <c r="CV152" s="23">
        <f t="shared" si="1242"/>
        <v>0</v>
      </c>
      <c r="CW152" s="23">
        <f t="shared" si="1242"/>
        <v>0</v>
      </c>
      <c r="CX152" s="23">
        <f t="shared" si="1242"/>
        <v>0</v>
      </c>
      <c r="CY152" s="23">
        <f t="shared" si="1242"/>
        <v>0</v>
      </c>
      <c r="CZ152" s="23">
        <f t="shared" si="1242"/>
        <v>0</v>
      </c>
      <c r="DA152" s="23">
        <f t="shared" si="1242"/>
        <v>0</v>
      </c>
      <c r="DD152" s="120">
        <v>0</v>
      </c>
    </row>
    <row r="153" spans="1:108" s="21" customFormat="1" outlineLevel="1" x14ac:dyDescent="0.2">
      <c r="A153" s="21" t="s">
        <v>53</v>
      </c>
      <c r="B153" s="21">
        <f>+B150-B151-B152</f>
        <v>22.909071986000004</v>
      </c>
      <c r="C153" s="21">
        <f t="shared" ref="C153:W153" si="1243">+C150-C151-C152</f>
        <v>23.428768942000001</v>
      </c>
      <c r="D153" s="21">
        <f t="shared" si="1243"/>
        <v>0</v>
      </c>
      <c r="E153" s="21">
        <f t="shared" si="1243"/>
        <v>0</v>
      </c>
      <c r="F153" s="21">
        <f t="shared" si="1243"/>
        <v>0</v>
      </c>
      <c r="G153" s="21">
        <f t="shared" si="1243"/>
        <v>0</v>
      </c>
      <c r="H153" s="21">
        <f t="shared" si="1243"/>
        <v>0</v>
      </c>
      <c r="I153" s="21">
        <f t="shared" si="1243"/>
        <v>0</v>
      </c>
      <c r="J153" s="21">
        <f t="shared" si="1243"/>
        <v>0</v>
      </c>
      <c r="K153" s="21">
        <f t="shared" si="1243"/>
        <v>0</v>
      </c>
      <c r="L153" s="21">
        <f t="shared" si="1243"/>
        <v>0</v>
      </c>
      <c r="M153" s="21">
        <f t="shared" si="1243"/>
        <v>0</v>
      </c>
      <c r="N153" s="21">
        <f t="shared" si="1243"/>
        <v>0</v>
      </c>
      <c r="O153" s="21">
        <f t="shared" si="1243"/>
        <v>0</v>
      </c>
      <c r="P153" s="21">
        <f t="shared" si="1243"/>
        <v>0</v>
      </c>
      <c r="Q153" s="21">
        <f t="shared" si="1243"/>
        <v>0</v>
      </c>
      <c r="R153" s="21">
        <f t="shared" si="1243"/>
        <v>0</v>
      </c>
      <c r="S153" s="21">
        <f t="shared" si="1243"/>
        <v>0</v>
      </c>
      <c r="T153" s="21">
        <f t="shared" si="1243"/>
        <v>0</v>
      </c>
      <c r="U153" s="21">
        <f t="shared" si="1243"/>
        <v>0</v>
      </c>
      <c r="V153" s="21">
        <f t="shared" si="1243"/>
        <v>0</v>
      </c>
      <c r="W153" s="21">
        <f t="shared" si="1243"/>
        <v>0</v>
      </c>
      <c r="X153" s="21">
        <f t="shared" ref="X153:Y153" si="1244">+X150-X151-X152</f>
        <v>0</v>
      </c>
      <c r="Y153" s="21">
        <f t="shared" si="1244"/>
        <v>52.994799999999998</v>
      </c>
      <c r="Z153" s="21">
        <f t="shared" ref="Z153:AE153" si="1245">+Z150-Z151-Z152</f>
        <v>52.800500000000007</v>
      </c>
      <c r="AA153" s="21">
        <f t="shared" ref="AA153" si="1246">+AA150-AA151-AA152</f>
        <v>56.783799999999992</v>
      </c>
      <c r="AB153" s="20">
        <f t="shared" si="1245"/>
        <v>50.85199999999999</v>
      </c>
      <c r="AC153" s="20">
        <f t="shared" si="1245"/>
        <v>50.851999999999997</v>
      </c>
      <c r="AD153" s="20">
        <f t="shared" si="1245"/>
        <v>50.851999999999997</v>
      </c>
      <c r="AE153" s="20">
        <f t="shared" si="1245"/>
        <v>50.851999999999997</v>
      </c>
      <c r="AI153" s="21">
        <f t="shared" ref="AI153" si="1247">+AI150-AI151-AI152</f>
        <v>0</v>
      </c>
      <c r="AJ153" s="21">
        <f>+AI153</f>
        <v>0</v>
      </c>
      <c r="AK153" s="21">
        <f t="shared" ref="AK153" si="1248">+AK150-AK151-AK152</f>
        <v>0</v>
      </c>
      <c r="AL153" s="21">
        <f>+AK153</f>
        <v>0</v>
      </c>
      <c r="AM153" s="21">
        <f t="shared" ref="AM153" si="1249">+AM150-AM151-AM152</f>
        <v>0</v>
      </c>
      <c r="AN153" s="21">
        <f>+AM153</f>
        <v>0</v>
      </c>
      <c r="AO153" s="21">
        <f t="shared" ref="AO153" si="1250">+AO150-AO151-AO152</f>
        <v>0</v>
      </c>
      <c r="AP153" s="21">
        <f>+AO153</f>
        <v>0</v>
      </c>
      <c r="AQ153" s="21">
        <f t="shared" ref="AQ153" si="1251">+AQ150-AQ151-AQ152</f>
        <v>0</v>
      </c>
      <c r="AR153" s="21">
        <f>+AQ153</f>
        <v>0</v>
      </c>
      <c r="AS153" s="21">
        <f t="shared" ref="AS153" si="1252">+AS150-AS151-AS152</f>
        <v>0</v>
      </c>
      <c r="AT153" s="21">
        <f>+AS153</f>
        <v>0</v>
      </c>
      <c r="AU153" s="21">
        <f t="shared" ref="AU153" si="1253">+AU150-AU151-AU152</f>
        <v>0</v>
      </c>
      <c r="AV153" s="21">
        <f>+AU153</f>
        <v>0</v>
      </c>
      <c r="AW153" s="21">
        <f t="shared" ref="AW153" si="1254">+AW150-AW151-AW152</f>
        <v>0</v>
      </c>
      <c r="AX153" s="21">
        <f>+AW153</f>
        <v>0</v>
      </c>
      <c r="AY153" s="21">
        <f t="shared" ref="AY153" si="1255">+AY150-AY151-AY152</f>
        <v>0</v>
      </c>
      <c r="AZ153" s="21">
        <f>+AY153</f>
        <v>0</v>
      </c>
      <c r="BA153" s="21">
        <f t="shared" ref="BA153" si="1256">+BA150-BA151-BA152</f>
        <v>0</v>
      </c>
      <c r="BB153" s="21">
        <f>+BA153</f>
        <v>0</v>
      </c>
      <c r="BC153" s="21">
        <f t="shared" ref="BC153" si="1257">+BC150-BC151-BC152</f>
        <v>0</v>
      </c>
      <c r="BD153" s="21">
        <f>+BC153</f>
        <v>0</v>
      </c>
      <c r="BE153" s="21">
        <f t="shared" ref="BE153" si="1258">+BE150-BE151-BE152</f>
        <v>0</v>
      </c>
      <c r="BF153" s="21">
        <f>+BE153</f>
        <v>0</v>
      </c>
      <c r="BG153" s="21">
        <f t="shared" ref="BG153" si="1259">+BG150-BG151-BG152</f>
        <v>0</v>
      </c>
      <c r="BH153" s="21">
        <f>+BG153</f>
        <v>0</v>
      </c>
      <c r="BI153" s="21">
        <f t="shared" ref="BI153" si="1260">+BI150-BI151-BI152</f>
        <v>0</v>
      </c>
      <c r="BJ153" s="21">
        <f>+BI153</f>
        <v>0</v>
      </c>
      <c r="BK153" s="21">
        <f t="shared" ref="BK153" si="1261">+BK150-BK151-BK152</f>
        <v>0</v>
      </c>
      <c r="BL153" s="21">
        <f>+BK153</f>
        <v>0</v>
      </c>
      <c r="BM153" s="21">
        <f t="shared" ref="BM153" si="1262">+BM150-BM151-BM152</f>
        <v>0</v>
      </c>
      <c r="BN153" s="21">
        <f>+BM153</f>
        <v>0</v>
      </c>
      <c r="BO153" s="21">
        <f t="shared" ref="BO153" si="1263">+BO150-BO151-BO152</f>
        <v>0</v>
      </c>
      <c r="BP153" s="21">
        <f>+BO153</f>
        <v>0</v>
      </c>
      <c r="BQ153" s="21">
        <f t="shared" ref="BQ153" si="1264">+BQ150-BQ151-BQ152</f>
        <v>0</v>
      </c>
      <c r="BR153" s="21">
        <f>+BQ153</f>
        <v>0</v>
      </c>
      <c r="BS153" s="21">
        <f t="shared" ref="BS153" si="1265">+BS150-BS151-BS152</f>
        <v>0</v>
      </c>
      <c r="BT153" s="21">
        <f>+BS153</f>
        <v>0</v>
      </c>
      <c r="BU153" s="21">
        <f t="shared" ref="BU153" si="1266">+BU150-BU151-BU152</f>
        <v>0</v>
      </c>
      <c r="BV153" s="21">
        <f>+BU153</f>
        <v>0</v>
      </c>
      <c r="BW153" s="21">
        <f t="shared" ref="BW153" si="1267">+BW150-BW151-BW152</f>
        <v>0</v>
      </c>
      <c r="BX153" s="21">
        <f>+BW153</f>
        <v>0</v>
      </c>
      <c r="BY153" s="21">
        <f t="shared" ref="BY153" si="1268">+BY150-BY151-BY152</f>
        <v>0</v>
      </c>
      <c r="BZ153" s="21">
        <f>+BY153</f>
        <v>0</v>
      </c>
      <c r="CA153" s="21">
        <f t="shared" ref="CA153" si="1269">+CA150-CA151-CA152</f>
        <v>0</v>
      </c>
      <c r="CB153" s="21">
        <f>+CA153</f>
        <v>0</v>
      </c>
      <c r="CC153" s="21">
        <f t="shared" ref="CC153" si="1270">+CC150-CC151-CC152</f>
        <v>48.951000000000001</v>
      </c>
      <c r="CD153" s="21">
        <f>+CC153</f>
        <v>48.951000000000001</v>
      </c>
      <c r="CE153" s="21">
        <f t="shared" ref="CE153:CG153" si="1271">+CE150-CE151-CE152</f>
        <v>48.841000000000001</v>
      </c>
      <c r="CF153" s="21">
        <f>+CE153</f>
        <v>48.841000000000001</v>
      </c>
      <c r="CG153" s="21">
        <f t="shared" si="1271"/>
        <v>52.800500000000007</v>
      </c>
      <c r="CH153" s="21">
        <f t="shared" ref="CH153:CL153" si="1272">+CG153</f>
        <v>52.800500000000007</v>
      </c>
      <c r="CI153" s="21">
        <f>+'QTR Raw'!BC68</f>
        <v>45.97</v>
      </c>
      <c r="CJ153" s="21">
        <f t="shared" si="1272"/>
        <v>45.97</v>
      </c>
      <c r="CK153" s="21">
        <f>+'QTR Raw'!BE68</f>
        <v>50.851999999999997</v>
      </c>
      <c r="CL153" s="21">
        <f t="shared" si="1272"/>
        <v>50.851999999999997</v>
      </c>
      <c r="CM153" s="20">
        <f t="shared" si="1242"/>
        <v>50.851999999999997</v>
      </c>
      <c r="CN153" s="20">
        <f t="shared" si="1242"/>
        <v>50.851999999999997</v>
      </c>
      <c r="CO153" s="20">
        <f t="shared" si="1242"/>
        <v>50.851999999999997</v>
      </c>
      <c r="CP153" s="20">
        <f t="shared" si="1242"/>
        <v>50.851999999999997</v>
      </c>
      <c r="CQ153" s="20">
        <f t="shared" si="1242"/>
        <v>50.851999999999997</v>
      </c>
      <c r="CR153" s="20">
        <f t="shared" si="1242"/>
        <v>50.851999999999997</v>
      </c>
      <c r="CS153" s="20">
        <f t="shared" si="1242"/>
        <v>50.851999999999997</v>
      </c>
      <c r="CT153" s="20">
        <f t="shared" si="1242"/>
        <v>50.851999999999997</v>
      </c>
      <c r="CU153" s="20">
        <f t="shared" si="1242"/>
        <v>50.851999999999997</v>
      </c>
      <c r="CV153" s="20">
        <f t="shared" si="1242"/>
        <v>50.851999999999997</v>
      </c>
      <c r="CW153" s="20">
        <f t="shared" si="1242"/>
        <v>50.851999999999997</v>
      </c>
      <c r="CX153" s="20">
        <f t="shared" si="1242"/>
        <v>50.851999999999997</v>
      </c>
      <c r="CY153" s="20">
        <f t="shared" si="1242"/>
        <v>50.851999999999997</v>
      </c>
      <c r="CZ153" s="20">
        <f t="shared" si="1242"/>
        <v>50.851999999999997</v>
      </c>
      <c r="DA153" s="20">
        <f t="shared" si="1242"/>
        <v>50.851999999999997</v>
      </c>
      <c r="DD153" s="122">
        <v>50.851999999999997</v>
      </c>
    </row>
    <row r="154" spans="1:108" s="22" customFormat="1" outlineLevel="1" x14ac:dyDescent="0.2">
      <c r="A154" s="22" t="s">
        <v>54</v>
      </c>
      <c r="B154" s="22">
        <f>'Annual Raw'!C86</f>
        <v>0</v>
      </c>
      <c r="C154" s="22">
        <f>'Annual Raw'!D86</f>
        <v>0</v>
      </c>
      <c r="D154" s="22">
        <f>'Annual Raw'!E86</f>
        <v>0</v>
      </c>
      <c r="E154" s="22">
        <f>'Annual Raw'!F86</f>
        <v>0</v>
      </c>
      <c r="F154" s="22">
        <f>'Annual Raw'!G86</f>
        <v>0</v>
      </c>
      <c r="G154" s="22">
        <f>'Annual Raw'!H86</f>
        <v>0</v>
      </c>
      <c r="H154" s="22">
        <f>'Annual Raw'!I86</f>
        <v>0</v>
      </c>
      <c r="I154" s="22">
        <f>'Annual Raw'!J86</f>
        <v>0</v>
      </c>
      <c r="J154" s="22">
        <f>'Annual Raw'!K86</f>
        <v>0</v>
      </c>
      <c r="K154" s="22">
        <f>'Annual Raw'!L86</f>
        <v>0</v>
      </c>
      <c r="L154" s="22">
        <f>'Annual Raw'!M86</f>
        <v>0</v>
      </c>
      <c r="M154" s="22">
        <f>'Annual Raw'!N86</f>
        <v>0</v>
      </c>
      <c r="N154" s="22">
        <f>'Annual Raw'!O86</f>
        <v>0</v>
      </c>
      <c r="O154" s="22">
        <f>'Annual Raw'!P86</f>
        <v>0</v>
      </c>
      <c r="P154" s="22">
        <f>'Annual Raw'!Q86</f>
        <v>0</v>
      </c>
      <c r="Q154" s="22">
        <f>'Annual Raw'!R86</f>
        <v>0</v>
      </c>
      <c r="R154" s="22">
        <f>'Annual Raw'!S86</f>
        <v>0</v>
      </c>
      <c r="S154" s="22">
        <f>'Annual Raw'!T86</f>
        <v>0</v>
      </c>
      <c r="T154" s="22">
        <f>'Annual Raw'!U86</f>
        <v>0</v>
      </c>
      <c r="U154" s="22">
        <f>'Annual Raw'!V86</f>
        <v>0</v>
      </c>
      <c r="V154" s="22">
        <f>'Annual Raw'!W86</f>
        <v>0</v>
      </c>
      <c r="W154" s="22">
        <f>'Annual Raw'!X86</f>
        <v>0</v>
      </c>
      <c r="X154" s="22">
        <f>'Annual Raw'!Y86</f>
        <v>0</v>
      </c>
      <c r="Y154" s="22">
        <f>'Annual Raw'!Z86</f>
        <v>0</v>
      </c>
      <c r="Z154" s="22">
        <f>'Annual Raw'!AA86</f>
        <v>0</v>
      </c>
      <c r="AA154" s="22">
        <f>'Annual Raw'!AB86</f>
        <v>0</v>
      </c>
      <c r="AB154" s="23">
        <f t="shared" ref="AB154:AB156" si="1273">+CO154</f>
        <v>0</v>
      </c>
      <c r="AC154" s="23">
        <f t="shared" ref="AC154:AC156" si="1274">+CS154</f>
        <v>0</v>
      </c>
      <c r="AD154" s="23">
        <f t="shared" ref="AD154:AD156" si="1275">+CW154</f>
        <v>0</v>
      </c>
      <c r="AE154" s="23">
        <f t="shared" ref="AE154:AE156" si="1276">+DA154</f>
        <v>0</v>
      </c>
      <c r="AI154" s="22">
        <f>+'QTR Raw'!C72</f>
        <v>0</v>
      </c>
      <c r="AJ154" s="22">
        <f t="shared" ref="AJ154:AJ156" si="1277">+AI154</f>
        <v>0</v>
      </c>
      <c r="AK154" s="22">
        <f>+'QTR Raw'!E72</f>
        <v>0</v>
      </c>
      <c r="AL154" s="22">
        <f t="shared" ref="AL154:AL156" si="1278">+AK154</f>
        <v>0</v>
      </c>
      <c r="AM154" s="22">
        <f>+'QTR Raw'!G72</f>
        <v>0</v>
      </c>
      <c r="AN154" s="22">
        <f t="shared" ref="AN154:AN156" si="1279">+AM154</f>
        <v>0</v>
      </c>
      <c r="AO154" s="22">
        <f>+'QTR Raw'!I72</f>
        <v>0</v>
      </c>
      <c r="AP154" s="22">
        <f t="shared" ref="AP154:AP156" si="1280">+AO154</f>
        <v>0</v>
      </c>
      <c r="AQ154" s="22">
        <f>+'QTR Raw'!K72</f>
        <v>0</v>
      </c>
      <c r="AR154" s="22">
        <f t="shared" ref="AR154:AR156" si="1281">+AQ154</f>
        <v>0</v>
      </c>
      <c r="AS154" s="22">
        <f>+'QTR Raw'!M72</f>
        <v>0</v>
      </c>
      <c r="AT154" s="22">
        <f t="shared" ref="AT154:AT156" si="1282">+AS154</f>
        <v>0</v>
      </c>
      <c r="AU154" s="22">
        <f>+'QTR Raw'!O72</f>
        <v>0</v>
      </c>
      <c r="AV154" s="22">
        <f t="shared" ref="AV154:AV156" si="1283">+AU154</f>
        <v>0</v>
      </c>
      <c r="AW154" s="22">
        <f>+'QTR Raw'!Q72</f>
        <v>0</v>
      </c>
      <c r="AX154" s="22">
        <f t="shared" ref="AX154:AX156" si="1284">+AW154</f>
        <v>0</v>
      </c>
      <c r="AY154" s="22">
        <f>+'QTR Raw'!S72</f>
        <v>0</v>
      </c>
      <c r="AZ154" s="22">
        <f t="shared" ref="AZ154:AZ156" si="1285">+AY154</f>
        <v>0</v>
      </c>
      <c r="BA154" s="22">
        <f>+'QTR Raw'!U72</f>
        <v>0</v>
      </c>
      <c r="BB154" s="22">
        <f t="shared" ref="BB154:BB156" si="1286">+BA154</f>
        <v>0</v>
      </c>
      <c r="BC154" s="22">
        <f>+'QTR Raw'!W72</f>
        <v>0</v>
      </c>
      <c r="BD154" s="22">
        <f t="shared" ref="BD154:BD156" si="1287">+BC154</f>
        <v>0</v>
      </c>
      <c r="BE154" s="22">
        <f>+'QTR Raw'!Y72</f>
        <v>0</v>
      </c>
      <c r="BF154" s="22">
        <f t="shared" ref="BF154:BF156" si="1288">+BE154</f>
        <v>0</v>
      </c>
      <c r="BG154" s="22">
        <f>+'QTR Raw'!AA72</f>
        <v>0</v>
      </c>
      <c r="BH154" s="22">
        <f t="shared" ref="BH154:BH156" si="1289">+BG154</f>
        <v>0</v>
      </c>
      <c r="BI154" s="22">
        <f>+'QTR Raw'!AC72</f>
        <v>0</v>
      </c>
      <c r="BJ154" s="22">
        <f t="shared" ref="BJ154:BJ156" si="1290">+BI154</f>
        <v>0</v>
      </c>
      <c r="BK154" s="22">
        <f>+'QTR Raw'!AE72</f>
        <v>0</v>
      </c>
      <c r="BL154" s="22">
        <f t="shared" ref="BL154:BL156" si="1291">+BK154</f>
        <v>0</v>
      </c>
      <c r="BM154" s="22">
        <f>+'QTR Raw'!AG72</f>
        <v>0</v>
      </c>
      <c r="BN154" s="22">
        <f t="shared" ref="BN154:BN156" si="1292">+BM154</f>
        <v>0</v>
      </c>
      <c r="BO154" s="22">
        <f>+'QTR Raw'!AI72</f>
        <v>0</v>
      </c>
      <c r="BP154" s="22">
        <f t="shared" ref="BP154:BP156" si="1293">+BO154</f>
        <v>0</v>
      </c>
      <c r="BQ154" s="22">
        <f>+'QTR Raw'!AK72</f>
        <v>0</v>
      </c>
      <c r="BR154" s="22">
        <f t="shared" ref="BR154:BR156" si="1294">+BQ154</f>
        <v>0</v>
      </c>
      <c r="BS154" s="22">
        <f>+'QTR Raw'!AM72</f>
        <v>0</v>
      </c>
      <c r="BT154" s="22">
        <f t="shared" ref="BT154:BT156" si="1295">+BS154</f>
        <v>0</v>
      </c>
      <c r="BU154" s="22">
        <f>+'QTR Raw'!AO72</f>
        <v>0</v>
      </c>
      <c r="BV154" s="22">
        <f t="shared" ref="BV154:BV156" si="1296">+BU154</f>
        <v>0</v>
      </c>
      <c r="BW154" s="22">
        <f>+'QTR Raw'!AQ72</f>
        <v>0</v>
      </c>
      <c r="BX154" s="22">
        <f t="shared" ref="BX154:BX156" si="1297">+BW154</f>
        <v>0</v>
      </c>
      <c r="BY154" s="22">
        <f>+'QTR Raw'!AS72</f>
        <v>0</v>
      </c>
      <c r="BZ154" s="22">
        <f t="shared" ref="BZ154:BZ156" si="1298">+BY154</f>
        <v>0</v>
      </c>
      <c r="CA154" s="22">
        <f>+'QTR Raw'!AU72</f>
        <v>0</v>
      </c>
      <c r="CB154" s="22">
        <f t="shared" ref="CB154:CB156" si="1299">+CA154</f>
        <v>0</v>
      </c>
      <c r="CC154" s="22">
        <f>+'QTR Raw'!AW72</f>
        <v>0</v>
      </c>
      <c r="CD154" s="22">
        <f t="shared" ref="CD154:CD156" si="1300">+CC154</f>
        <v>0</v>
      </c>
      <c r="CE154" s="22">
        <f>+'QTR Raw'!AY72</f>
        <v>0</v>
      </c>
      <c r="CF154" s="22">
        <f t="shared" ref="CF154:CL156" si="1301">+CE154</f>
        <v>0</v>
      </c>
      <c r="CG154" s="22">
        <f t="shared" si="1223"/>
        <v>0</v>
      </c>
      <c r="CH154" s="22">
        <f t="shared" si="1301"/>
        <v>0</v>
      </c>
      <c r="CI154" s="22">
        <f>+'QTR Raw'!BC72</f>
        <v>0</v>
      </c>
      <c r="CJ154" s="22">
        <f t="shared" si="1301"/>
        <v>0</v>
      </c>
      <c r="CK154" s="22">
        <f>+'QTR Raw'!BE72</f>
        <v>0</v>
      </c>
      <c r="CL154" s="22">
        <f t="shared" si="1301"/>
        <v>0</v>
      </c>
      <c r="CM154" s="23">
        <f t="shared" ref="CM154:CM156" si="1302">+CL154</f>
        <v>0</v>
      </c>
      <c r="CN154" s="23">
        <f t="shared" ref="CN154:CN156" si="1303">+CM154</f>
        <v>0</v>
      </c>
      <c r="CO154" s="23">
        <f t="shared" ref="CO154:CO156" si="1304">+CN154</f>
        <v>0</v>
      </c>
      <c r="CP154" s="23">
        <f t="shared" ref="CP154:CP156" si="1305">+CO154</f>
        <v>0</v>
      </c>
      <c r="CQ154" s="23">
        <f t="shared" ref="CQ154:CQ156" si="1306">+CP154</f>
        <v>0</v>
      </c>
      <c r="CR154" s="23">
        <f t="shared" ref="CR154:CR156" si="1307">+CQ154</f>
        <v>0</v>
      </c>
      <c r="CS154" s="23">
        <f t="shared" ref="CS154:CS156" si="1308">+CR154</f>
        <v>0</v>
      </c>
      <c r="CT154" s="23">
        <f t="shared" ref="CT154:CT156" si="1309">+CS154</f>
        <v>0</v>
      </c>
      <c r="CU154" s="23">
        <f t="shared" ref="CU154:CU156" si="1310">+CT154</f>
        <v>0</v>
      </c>
      <c r="CV154" s="23">
        <f t="shared" ref="CV154:CV156" si="1311">+CU154</f>
        <v>0</v>
      </c>
      <c r="CW154" s="23">
        <f t="shared" ref="CW154:CW156" si="1312">+CV154</f>
        <v>0</v>
      </c>
      <c r="CX154" s="23">
        <f t="shared" ref="CX154:CX156" si="1313">+CW154</f>
        <v>0</v>
      </c>
      <c r="CY154" s="23">
        <f t="shared" ref="CY154:CY156" si="1314">+CX154</f>
        <v>0</v>
      </c>
      <c r="CZ154" s="23">
        <f t="shared" ref="CZ154:CZ156" si="1315">+CY154</f>
        <v>0</v>
      </c>
      <c r="DA154" s="23">
        <f t="shared" ref="DA154:DA156" si="1316">+CZ154</f>
        <v>0</v>
      </c>
      <c r="DD154" s="120">
        <v>0</v>
      </c>
    </row>
    <row r="155" spans="1:108" s="22" customFormat="1" outlineLevel="1" x14ac:dyDescent="0.2">
      <c r="A155" s="22" t="s">
        <v>55</v>
      </c>
      <c r="B155" s="22">
        <f>'Annual Raw'!C68</f>
        <v>0</v>
      </c>
      <c r="C155" s="22">
        <f>'Annual Raw'!D68</f>
        <v>0</v>
      </c>
      <c r="D155" s="22">
        <f>'Annual Raw'!E68</f>
        <v>0</v>
      </c>
      <c r="E155" s="22">
        <f>'Annual Raw'!F68</f>
        <v>0</v>
      </c>
      <c r="F155" s="22">
        <f>'Annual Raw'!G68</f>
        <v>0</v>
      </c>
      <c r="G155" s="22">
        <f>'Annual Raw'!H68</f>
        <v>0</v>
      </c>
      <c r="H155" s="22">
        <f>'Annual Raw'!I68</f>
        <v>0</v>
      </c>
      <c r="I155" s="22">
        <f>'Annual Raw'!J68</f>
        <v>0</v>
      </c>
      <c r="J155" s="22">
        <f>'Annual Raw'!K68</f>
        <v>0</v>
      </c>
      <c r="K155" s="22">
        <f>'Annual Raw'!L68</f>
        <v>0</v>
      </c>
      <c r="L155" s="22">
        <f>'Annual Raw'!M68</f>
        <v>0</v>
      </c>
      <c r="M155" s="22">
        <f>'Annual Raw'!N68</f>
        <v>0</v>
      </c>
      <c r="N155" s="22">
        <f>'Annual Raw'!O68</f>
        <v>0</v>
      </c>
      <c r="O155" s="22">
        <f>'Annual Raw'!P68</f>
        <v>0</v>
      </c>
      <c r="P155" s="22">
        <f>'Annual Raw'!Q68</f>
        <v>0</v>
      </c>
      <c r="Q155" s="22">
        <f>'Annual Raw'!R68</f>
        <v>0</v>
      </c>
      <c r="R155" s="22">
        <f>'Annual Raw'!S68</f>
        <v>0</v>
      </c>
      <c r="S155" s="22">
        <f>'Annual Raw'!T68</f>
        <v>0</v>
      </c>
      <c r="T155" s="22">
        <f>'Annual Raw'!U68</f>
        <v>0</v>
      </c>
      <c r="U155" s="22">
        <f>'Annual Raw'!V68</f>
        <v>0</v>
      </c>
      <c r="V155" s="22">
        <f>'Annual Raw'!W68</f>
        <v>0</v>
      </c>
      <c r="W155" s="22">
        <f>'Annual Raw'!X68</f>
        <v>0</v>
      </c>
      <c r="X155" s="22">
        <f>'Annual Raw'!Y68</f>
        <v>0</v>
      </c>
      <c r="Y155" s="22">
        <f>'Annual Raw'!Z68</f>
        <v>0</v>
      </c>
      <c r="Z155" s="22">
        <f>'Annual Raw'!AA68</f>
        <v>0</v>
      </c>
      <c r="AA155" s="22">
        <f>'Annual Raw'!AB68</f>
        <v>0</v>
      </c>
      <c r="AB155" s="23">
        <f t="shared" si="1273"/>
        <v>0</v>
      </c>
      <c r="AC155" s="23">
        <f t="shared" si="1274"/>
        <v>0</v>
      </c>
      <c r="AD155" s="23">
        <f t="shared" si="1275"/>
        <v>0</v>
      </c>
      <c r="AE155" s="23">
        <f t="shared" si="1276"/>
        <v>0</v>
      </c>
      <c r="AJ155" s="22">
        <f t="shared" si="1277"/>
        <v>0</v>
      </c>
      <c r="AL155" s="22">
        <f t="shared" si="1278"/>
        <v>0</v>
      </c>
      <c r="AN155" s="22">
        <f t="shared" si="1279"/>
        <v>0</v>
      </c>
      <c r="AP155" s="22">
        <f t="shared" si="1280"/>
        <v>0</v>
      </c>
      <c r="AR155" s="22">
        <f t="shared" si="1281"/>
        <v>0</v>
      </c>
      <c r="AT155" s="22">
        <f t="shared" si="1282"/>
        <v>0</v>
      </c>
      <c r="AV155" s="22">
        <f t="shared" si="1283"/>
        <v>0</v>
      </c>
      <c r="AX155" s="22">
        <f t="shared" si="1284"/>
        <v>0</v>
      </c>
      <c r="AZ155" s="22">
        <f t="shared" si="1285"/>
        <v>0</v>
      </c>
      <c r="BB155" s="22">
        <f t="shared" si="1286"/>
        <v>0</v>
      </c>
      <c r="BD155" s="22">
        <f t="shared" si="1287"/>
        <v>0</v>
      </c>
      <c r="BF155" s="22">
        <f t="shared" si="1288"/>
        <v>0</v>
      </c>
      <c r="BH155" s="22">
        <f t="shared" si="1289"/>
        <v>0</v>
      </c>
      <c r="BJ155" s="22">
        <f t="shared" si="1290"/>
        <v>0</v>
      </c>
      <c r="BL155" s="22">
        <f t="shared" si="1291"/>
        <v>0</v>
      </c>
      <c r="BN155" s="22">
        <f t="shared" si="1292"/>
        <v>0</v>
      </c>
      <c r="BP155" s="22">
        <f t="shared" si="1293"/>
        <v>0</v>
      </c>
      <c r="BR155" s="22">
        <f t="shared" si="1294"/>
        <v>0</v>
      </c>
      <c r="BT155" s="22">
        <f t="shared" si="1295"/>
        <v>0</v>
      </c>
      <c r="BV155" s="22">
        <f t="shared" si="1296"/>
        <v>0</v>
      </c>
      <c r="BX155" s="22">
        <f t="shared" si="1297"/>
        <v>0</v>
      </c>
      <c r="BZ155" s="22">
        <f t="shared" si="1298"/>
        <v>0</v>
      </c>
      <c r="CB155" s="22">
        <f t="shared" si="1299"/>
        <v>0</v>
      </c>
      <c r="CD155" s="22">
        <f t="shared" si="1300"/>
        <v>0</v>
      </c>
      <c r="CF155" s="22">
        <f t="shared" si="1301"/>
        <v>0</v>
      </c>
      <c r="CG155" s="22">
        <f t="shared" si="1223"/>
        <v>0</v>
      </c>
      <c r="CH155" s="22">
        <f t="shared" si="1301"/>
        <v>0</v>
      </c>
      <c r="CJ155" s="22">
        <f t="shared" si="1301"/>
        <v>0</v>
      </c>
      <c r="CL155" s="22">
        <f t="shared" si="1301"/>
        <v>0</v>
      </c>
      <c r="CM155" s="23">
        <f t="shared" si="1302"/>
        <v>0</v>
      </c>
      <c r="CN155" s="23">
        <f t="shared" si="1303"/>
        <v>0</v>
      </c>
      <c r="CO155" s="23">
        <f t="shared" si="1304"/>
        <v>0</v>
      </c>
      <c r="CP155" s="23">
        <f t="shared" si="1305"/>
        <v>0</v>
      </c>
      <c r="CQ155" s="23">
        <f t="shared" si="1306"/>
        <v>0</v>
      </c>
      <c r="CR155" s="23">
        <f t="shared" si="1307"/>
        <v>0</v>
      </c>
      <c r="CS155" s="23">
        <f t="shared" si="1308"/>
        <v>0</v>
      </c>
      <c r="CT155" s="23">
        <f t="shared" si="1309"/>
        <v>0</v>
      </c>
      <c r="CU155" s="23">
        <f t="shared" si="1310"/>
        <v>0</v>
      </c>
      <c r="CV155" s="23">
        <f t="shared" si="1311"/>
        <v>0</v>
      </c>
      <c r="CW155" s="23">
        <f t="shared" si="1312"/>
        <v>0</v>
      </c>
      <c r="CX155" s="23">
        <f t="shared" si="1313"/>
        <v>0</v>
      </c>
      <c r="CY155" s="23">
        <f t="shared" si="1314"/>
        <v>0</v>
      </c>
      <c r="CZ155" s="23">
        <f t="shared" si="1315"/>
        <v>0</v>
      </c>
      <c r="DA155" s="23">
        <f t="shared" si="1316"/>
        <v>0</v>
      </c>
      <c r="DD155" s="120">
        <v>0</v>
      </c>
    </row>
    <row r="156" spans="1:108" s="22" customFormat="1" outlineLevel="1" x14ac:dyDescent="0.2">
      <c r="A156" s="22" t="s">
        <v>56</v>
      </c>
      <c r="B156" s="22">
        <f>'Annual Raw'!C67+'Annual Raw'!C66+'Annual Raw'!C69+'Annual Raw'!C70</f>
        <v>1.521395574</v>
      </c>
      <c r="C156" s="22">
        <f>'Annual Raw'!D67+'Annual Raw'!D66+'Annual Raw'!D69+'Annual Raw'!D70</f>
        <v>1.5843519740000001</v>
      </c>
      <c r="D156" s="22">
        <f>'Annual Raw'!E67+'Annual Raw'!E66+'Annual Raw'!E69+'Annual Raw'!E70</f>
        <v>0</v>
      </c>
      <c r="E156" s="22">
        <f>'Annual Raw'!F67+'Annual Raw'!F66+'Annual Raw'!F69+'Annual Raw'!F70</f>
        <v>0</v>
      </c>
      <c r="F156" s="22">
        <f>'Annual Raw'!G67+'Annual Raw'!G66+'Annual Raw'!G69+'Annual Raw'!G70</f>
        <v>0</v>
      </c>
      <c r="G156" s="22">
        <f>'Annual Raw'!H67+'Annual Raw'!H66+'Annual Raw'!H69+'Annual Raw'!H70</f>
        <v>0</v>
      </c>
      <c r="H156" s="22">
        <f>'Annual Raw'!I67+'Annual Raw'!I66+'Annual Raw'!I69+'Annual Raw'!I70</f>
        <v>0</v>
      </c>
      <c r="I156" s="22">
        <f>'Annual Raw'!J67+'Annual Raw'!J66+'Annual Raw'!J69+'Annual Raw'!J70</f>
        <v>0</v>
      </c>
      <c r="J156" s="22">
        <f>'Annual Raw'!K67+'Annual Raw'!K66+'Annual Raw'!K69+'Annual Raw'!K70</f>
        <v>0</v>
      </c>
      <c r="K156" s="22">
        <f>'Annual Raw'!L67+'Annual Raw'!L66+'Annual Raw'!L69+'Annual Raw'!L70</f>
        <v>0</v>
      </c>
      <c r="L156" s="22">
        <f>'Annual Raw'!M67+'Annual Raw'!M66+'Annual Raw'!M69+'Annual Raw'!M70</f>
        <v>0</v>
      </c>
      <c r="M156" s="22">
        <f>'Annual Raw'!N67+'Annual Raw'!N66+'Annual Raw'!N69+'Annual Raw'!N70</f>
        <v>0</v>
      </c>
      <c r="N156" s="22">
        <f>'Annual Raw'!O67+'Annual Raw'!O66+'Annual Raw'!O69+'Annual Raw'!O70</f>
        <v>0</v>
      </c>
      <c r="O156" s="22">
        <f>'Annual Raw'!P67+'Annual Raw'!P66+'Annual Raw'!P69+'Annual Raw'!P70</f>
        <v>0</v>
      </c>
      <c r="P156" s="22">
        <f>'Annual Raw'!Q67+'Annual Raw'!Q66+'Annual Raw'!Q69+'Annual Raw'!Q70</f>
        <v>0</v>
      </c>
      <c r="Q156" s="22">
        <f>'Annual Raw'!R67+'Annual Raw'!R66+'Annual Raw'!R69+'Annual Raw'!R70</f>
        <v>0</v>
      </c>
      <c r="R156" s="22">
        <f>'Annual Raw'!S67+'Annual Raw'!S66+'Annual Raw'!S69+'Annual Raw'!S70</f>
        <v>0</v>
      </c>
      <c r="S156" s="22">
        <f>'Annual Raw'!T67+'Annual Raw'!T66+'Annual Raw'!T69+'Annual Raw'!T70</f>
        <v>0</v>
      </c>
      <c r="T156" s="22">
        <f>'Annual Raw'!U67+'Annual Raw'!U66+'Annual Raw'!U69+'Annual Raw'!U70</f>
        <v>0</v>
      </c>
      <c r="U156" s="22">
        <f>'Annual Raw'!V67+'Annual Raw'!V66+'Annual Raw'!V69+'Annual Raw'!V70</f>
        <v>0</v>
      </c>
      <c r="V156" s="22">
        <f>'Annual Raw'!W67+'Annual Raw'!W66+'Annual Raw'!W69+'Annual Raw'!W70</f>
        <v>0</v>
      </c>
      <c r="W156" s="22">
        <f>'Annual Raw'!X67+'Annual Raw'!X66+'Annual Raw'!X69+'Annual Raw'!X70</f>
        <v>0</v>
      </c>
      <c r="X156" s="22">
        <f>'Annual Raw'!Y67+'Annual Raw'!Y66+'Annual Raw'!Y69+'Annual Raw'!Y70</f>
        <v>0</v>
      </c>
      <c r="Y156" s="22">
        <f>'Annual Raw'!Z67+'Annual Raw'!Z66+'Annual Raw'!Z69+'Annual Raw'!Z70</f>
        <v>0.71609999999999996</v>
      </c>
      <c r="Z156" s="22">
        <f>'Annual Raw'!AA67+'Annual Raw'!AA66+'Annual Raw'!AA69+'Annual Raw'!AA70</f>
        <v>9.2767999999999997</v>
      </c>
      <c r="AA156" s="22">
        <f>'Annual Raw'!AB67+'Annual Raw'!AB66+'Annual Raw'!AB69+'Annual Raw'!AB70</f>
        <v>1.1389</v>
      </c>
      <c r="AB156" s="23">
        <f t="shared" si="1273"/>
        <v>1.139</v>
      </c>
      <c r="AC156" s="23">
        <f t="shared" si="1274"/>
        <v>1.139</v>
      </c>
      <c r="AD156" s="23">
        <f t="shared" si="1275"/>
        <v>1.139</v>
      </c>
      <c r="AE156" s="23">
        <f t="shared" si="1276"/>
        <v>1.139</v>
      </c>
      <c r="AI156" s="22">
        <f>+'QTR Raw'!C74</f>
        <v>0</v>
      </c>
      <c r="AJ156" s="22">
        <f t="shared" si="1277"/>
        <v>0</v>
      </c>
      <c r="AK156" s="22">
        <f>+'QTR Raw'!E74</f>
        <v>0</v>
      </c>
      <c r="AL156" s="22">
        <f t="shared" si="1278"/>
        <v>0</v>
      </c>
      <c r="AM156" s="22">
        <f>+'QTR Raw'!G74</f>
        <v>0</v>
      </c>
      <c r="AN156" s="22">
        <f t="shared" si="1279"/>
        <v>0</v>
      </c>
      <c r="AO156" s="22">
        <f>+'QTR Raw'!I74</f>
        <v>0</v>
      </c>
      <c r="AP156" s="22">
        <f t="shared" si="1280"/>
        <v>0</v>
      </c>
      <c r="AQ156" s="22">
        <f>+'QTR Raw'!K74</f>
        <v>0</v>
      </c>
      <c r="AR156" s="22">
        <f t="shared" si="1281"/>
        <v>0</v>
      </c>
      <c r="AS156" s="22">
        <f>+'QTR Raw'!M74</f>
        <v>0</v>
      </c>
      <c r="AT156" s="22">
        <f t="shared" si="1282"/>
        <v>0</v>
      </c>
      <c r="AU156" s="22">
        <f>+'QTR Raw'!O74</f>
        <v>0</v>
      </c>
      <c r="AV156" s="22">
        <f t="shared" si="1283"/>
        <v>0</v>
      </c>
      <c r="AW156" s="22">
        <f>+'QTR Raw'!Q74</f>
        <v>0</v>
      </c>
      <c r="AX156" s="22">
        <f t="shared" si="1284"/>
        <v>0</v>
      </c>
      <c r="AY156" s="22">
        <f>+'QTR Raw'!S74</f>
        <v>0</v>
      </c>
      <c r="AZ156" s="22">
        <f t="shared" si="1285"/>
        <v>0</v>
      </c>
      <c r="BA156" s="22">
        <f>+'QTR Raw'!U74</f>
        <v>0</v>
      </c>
      <c r="BB156" s="22">
        <f t="shared" si="1286"/>
        <v>0</v>
      </c>
      <c r="BC156" s="22">
        <f>+'QTR Raw'!W74</f>
        <v>0</v>
      </c>
      <c r="BD156" s="22">
        <f t="shared" si="1287"/>
        <v>0</v>
      </c>
      <c r="BE156" s="22">
        <f>+'QTR Raw'!Y74</f>
        <v>0</v>
      </c>
      <c r="BF156" s="22">
        <f t="shared" si="1288"/>
        <v>0</v>
      </c>
      <c r="BG156" s="22">
        <f>+'QTR Raw'!AA74</f>
        <v>0</v>
      </c>
      <c r="BH156" s="22">
        <f t="shared" si="1289"/>
        <v>0</v>
      </c>
      <c r="BI156" s="22">
        <f>+'QTR Raw'!AC74</f>
        <v>0</v>
      </c>
      <c r="BJ156" s="22">
        <f t="shared" si="1290"/>
        <v>0</v>
      </c>
      <c r="BK156" s="22">
        <f>+'QTR Raw'!AE74</f>
        <v>0</v>
      </c>
      <c r="BL156" s="22">
        <f t="shared" si="1291"/>
        <v>0</v>
      </c>
      <c r="BM156" s="22">
        <f>+'QTR Raw'!AG74</f>
        <v>0</v>
      </c>
      <c r="BN156" s="22">
        <f t="shared" si="1292"/>
        <v>0</v>
      </c>
      <c r="BO156" s="22">
        <f>+'QTR Raw'!AI74</f>
        <v>0</v>
      </c>
      <c r="BP156" s="22">
        <f t="shared" si="1293"/>
        <v>0</v>
      </c>
      <c r="BQ156" s="22">
        <f>+'QTR Raw'!AK74</f>
        <v>0</v>
      </c>
      <c r="BR156" s="22">
        <f t="shared" si="1294"/>
        <v>0</v>
      </c>
      <c r="BS156" s="22">
        <f>+'QTR Raw'!AM74</f>
        <v>0</v>
      </c>
      <c r="BT156" s="22">
        <f t="shared" si="1295"/>
        <v>0</v>
      </c>
      <c r="BU156" s="22">
        <f>+'QTR Raw'!AO74</f>
        <v>0</v>
      </c>
      <c r="BV156" s="22">
        <f t="shared" si="1296"/>
        <v>0</v>
      </c>
      <c r="BW156" s="22">
        <f>+'QTR Raw'!AQ74</f>
        <v>0</v>
      </c>
      <c r="BX156" s="22">
        <f t="shared" si="1297"/>
        <v>0</v>
      </c>
      <c r="BY156" s="22">
        <f>+'QTR Raw'!AS74</f>
        <v>0</v>
      </c>
      <c r="BZ156" s="22">
        <f t="shared" si="1298"/>
        <v>0</v>
      </c>
      <c r="CA156" s="22">
        <f>+'QTR Raw'!AU74</f>
        <v>0</v>
      </c>
      <c r="CB156" s="22">
        <f t="shared" si="1299"/>
        <v>0</v>
      </c>
      <c r="CC156" s="22">
        <f>+'QTR Raw'!AW74</f>
        <v>0.71599999999999997</v>
      </c>
      <c r="CD156" s="22">
        <f t="shared" si="1300"/>
        <v>0.71599999999999997</v>
      </c>
      <c r="CE156" s="22">
        <f>+'QTR Raw'!AY74</f>
        <v>3.1480000000000001</v>
      </c>
      <c r="CF156" s="22">
        <f t="shared" si="1301"/>
        <v>3.1480000000000001</v>
      </c>
      <c r="CG156" s="22">
        <f t="shared" si="1223"/>
        <v>9.2767999999999997</v>
      </c>
      <c r="CH156" s="22">
        <f t="shared" si="1301"/>
        <v>9.2767999999999997</v>
      </c>
      <c r="CI156" s="22">
        <f>+'QTR Raw'!BC74</f>
        <v>5.8710000000000004</v>
      </c>
      <c r="CJ156" s="22">
        <f t="shared" si="1301"/>
        <v>5.8710000000000004</v>
      </c>
      <c r="CK156" s="22">
        <f>+'QTR Raw'!BE74</f>
        <v>1.139</v>
      </c>
      <c r="CL156" s="22">
        <f t="shared" si="1301"/>
        <v>1.139</v>
      </c>
      <c r="CM156" s="23">
        <f t="shared" si="1302"/>
        <v>1.139</v>
      </c>
      <c r="CN156" s="23">
        <f t="shared" si="1303"/>
        <v>1.139</v>
      </c>
      <c r="CO156" s="23">
        <f t="shared" si="1304"/>
        <v>1.139</v>
      </c>
      <c r="CP156" s="23">
        <f t="shared" si="1305"/>
        <v>1.139</v>
      </c>
      <c r="CQ156" s="23">
        <f t="shared" si="1306"/>
        <v>1.139</v>
      </c>
      <c r="CR156" s="23">
        <f t="shared" si="1307"/>
        <v>1.139</v>
      </c>
      <c r="CS156" s="23">
        <f t="shared" si="1308"/>
        <v>1.139</v>
      </c>
      <c r="CT156" s="23">
        <f t="shared" si="1309"/>
        <v>1.139</v>
      </c>
      <c r="CU156" s="23">
        <f t="shared" si="1310"/>
        <v>1.139</v>
      </c>
      <c r="CV156" s="23">
        <f t="shared" si="1311"/>
        <v>1.139</v>
      </c>
      <c r="CW156" s="23">
        <f t="shared" si="1312"/>
        <v>1.139</v>
      </c>
      <c r="CX156" s="23">
        <f t="shared" si="1313"/>
        <v>1.139</v>
      </c>
      <c r="CY156" s="23">
        <f t="shared" si="1314"/>
        <v>1.139</v>
      </c>
      <c r="CZ156" s="23">
        <f t="shared" si="1315"/>
        <v>1.139</v>
      </c>
      <c r="DA156" s="23">
        <f t="shared" si="1316"/>
        <v>1.139</v>
      </c>
      <c r="DD156" s="120">
        <v>1.139</v>
      </c>
    </row>
    <row r="157" spans="1:108" s="21" customFormat="1" x14ac:dyDescent="0.2">
      <c r="A157" s="21" t="s">
        <v>57</v>
      </c>
      <c r="B157" s="21">
        <f>B153+B156+B155</f>
        <v>24.430467560000004</v>
      </c>
      <c r="C157" s="21">
        <f t="shared" ref="C157:D157" si="1317">C153+C156+C155</f>
        <v>25.013120916000002</v>
      </c>
      <c r="D157" s="21">
        <f t="shared" si="1317"/>
        <v>0</v>
      </c>
      <c r="E157" s="21">
        <f t="shared" ref="E157:Y157" si="1318">E153+E156+E155+E154</f>
        <v>0</v>
      </c>
      <c r="F157" s="21">
        <f t="shared" si="1318"/>
        <v>0</v>
      </c>
      <c r="G157" s="21">
        <f t="shared" si="1318"/>
        <v>0</v>
      </c>
      <c r="H157" s="21">
        <f t="shared" si="1318"/>
        <v>0</v>
      </c>
      <c r="I157" s="21">
        <f t="shared" si="1318"/>
        <v>0</v>
      </c>
      <c r="J157" s="21">
        <f t="shared" si="1318"/>
        <v>0</v>
      </c>
      <c r="K157" s="21">
        <f t="shared" si="1318"/>
        <v>0</v>
      </c>
      <c r="L157" s="21">
        <f t="shared" si="1318"/>
        <v>0</v>
      </c>
      <c r="M157" s="21">
        <f t="shared" si="1318"/>
        <v>0</v>
      </c>
      <c r="N157" s="21">
        <f t="shared" si="1318"/>
        <v>0</v>
      </c>
      <c r="O157" s="21">
        <f t="shared" si="1318"/>
        <v>0</v>
      </c>
      <c r="P157" s="21">
        <f t="shared" si="1318"/>
        <v>0</v>
      </c>
      <c r="Q157" s="21">
        <f t="shared" si="1318"/>
        <v>0</v>
      </c>
      <c r="R157" s="21">
        <f t="shared" si="1318"/>
        <v>0</v>
      </c>
      <c r="S157" s="21">
        <f t="shared" si="1318"/>
        <v>0</v>
      </c>
      <c r="T157" s="21">
        <f t="shared" si="1318"/>
        <v>0</v>
      </c>
      <c r="U157" s="21">
        <f t="shared" si="1318"/>
        <v>0</v>
      </c>
      <c r="V157" s="21">
        <f t="shared" si="1318"/>
        <v>0</v>
      </c>
      <c r="W157" s="21">
        <f t="shared" si="1318"/>
        <v>0</v>
      </c>
      <c r="X157" s="21">
        <f t="shared" si="1318"/>
        <v>0</v>
      </c>
      <c r="Y157" s="21">
        <f t="shared" si="1318"/>
        <v>53.710899999999995</v>
      </c>
      <c r="Z157" s="21">
        <f>Z153+Z156+Z155+Z154</f>
        <v>62.077300000000008</v>
      </c>
      <c r="AA157" s="21">
        <f>AA153+AA156+AA155+AA154</f>
        <v>57.922699999999992</v>
      </c>
      <c r="AB157" s="152">
        <f t="shared" ref="AB157:AE157" si="1319">AB153+AB156+AB155+AB154</f>
        <v>51.990999999999993</v>
      </c>
      <c r="AC157" s="152">
        <f t="shared" si="1319"/>
        <v>51.991</v>
      </c>
      <c r="AD157" s="152">
        <f t="shared" si="1319"/>
        <v>51.991</v>
      </c>
      <c r="AE157" s="152">
        <f t="shared" si="1319"/>
        <v>51.991</v>
      </c>
      <c r="AI157" s="21">
        <f t="shared" ref="AI157:AL157" si="1320">AI153+AI156+AI154+AI155</f>
        <v>0</v>
      </c>
      <c r="AJ157" s="21">
        <f t="shared" si="1320"/>
        <v>0</v>
      </c>
      <c r="AK157" s="21">
        <f t="shared" si="1320"/>
        <v>0</v>
      </c>
      <c r="AL157" s="21">
        <f t="shared" si="1320"/>
        <v>0</v>
      </c>
      <c r="AM157" s="21">
        <f t="shared" ref="AM157:AP157" si="1321">AM153+AM156+AM154+AM155</f>
        <v>0</v>
      </c>
      <c r="AN157" s="21">
        <f t="shared" si="1321"/>
        <v>0</v>
      </c>
      <c r="AO157" s="21">
        <f t="shared" si="1321"/>
        <v>0</v>
      </c>
      <c r="AP157" s="21">
        <f t="shared" si="1321"/>
        <v>0</v>
      </c>
      <c r="AQ157" s="21">
        <f t="shared" ref="AQ157:AT157" si="1322">AQ153+AQ156+AQ154+AQ155</f>
        <v>0</v>
      </c>
      <c r="AR157" s="21">
        <f t="shared" si="1322"/>
        <v>0</v>
      </c>
      <c r="AS157" s="21">
        <f t="shared" si="1322"/>
        <v>0</v>
      </c>
      <c r="AT157" s="21">
        <f t="shared" si="1322"/>
        <v>0</v>
      </c>
      <c r="AU157" s="21">
        <f t="shared" ref="AU157:AX157" si="1323">AU153+AU156+AU154+AU155</f>
        <v>0</v>
      </c>
      <c r="AV157" s="21">
        <f t="shared" si="1323"/>
        <v>0</v>
      </c>
      <c r="AW157" s="21">
        <f t="shared" si="1323"/>
        <v>0</v>
      </c>
      <c r="AX157" s="21">
        <f t="shared" si="1323"/>
        <v>0</v>
      </c>
      <c r="AY157" s="21">
        <f t="shared" ref="AY157:BB157" si="1324">AY153+AY156+AY154+AY155</f>
        <v>0</v>
      </c>
      <c r="AZ157" s="21">
        <f t="shared" si="1324"/>
        <v>0</v>
      </c>
      <c r="BA157" s="21">
        <f t="shared" si="1324"/>
        <v>0</v>
      </c>
      <c r="BB157" s="21">
        <f t="shared" si="1324"/>
        <v>0</v>
      </c>
      <c r="BC157" s="21">
        <f t="shared" ref="BC157:BF157" si="1325">BC153+BC156+BC154+BC155</f>
        <v>0</v>
      </c>
      <c r="BD157" s="21">
        <f t="shared" si="1325"/>
        <v>0</v>
      </c>
      <c r="BE157" s="21">
        <f t="shared" si="1325"/>
        <v>0</v>
      </c>
      <c r="BF157" s="21">
        <f t="shared" si="1325"/>
        <v>0</v>
      </c>
      <c r="BG157" s="21">
        <f t="shared" ref="BG157:BJ157" si="1326">BG153+BG156+BG154+BG155</f>
        <v>0</v>
      </c>
      <c r="BH157" s="21">
        <f t="shared" si="1326"/>
        <v>0</v>
      </c>
      <c r="BI157" s="21">
        <f t="shared" si="1326"/>
        <v>0</v>
      </c>
      <c r="BJ157" s="21">
        <f t="shared" si="1326"/>
        <v>0</v>
      </c>
      <c r="BK157" s="21">
        <f t="shared" ref="BK157:BN157" si="1327">BK153+BK156+BK154+BK155</f>
        <v>0</v>
      </c>
      <c r="BL157" s="21">
        <f t="shared" si="1327"/>
        <v>0</v>
      </c>
      <c r="BM157" s="21">
        <f t="shared" si="1327"/>
        <v>0</v>
      </c>
      <c r="BN157" s="21">
        <f t="shared" si="1327"/>
        <v>0</v>
      </c>
      <c r="BO157" s="21">
        <f t="shared" ref="BO157:BR157" si="1328">BO153+BO156+BO154+BO155</f>
        <v>0</v>
      </c>
      <c r="BP157" s="21">
        <f t="shared" si="1328"/>
        <v>0</v>
      </c>
      <c r="BQ157" s="21">
        <f t="shared" si="1328"/>
        <v>0</v>
      </c>
      <c r="BR157" s="21">
        <f t="shared" si="1328"/>
        <v>0</v>
      </c>
      <c r="BS157" s="21">
        <f t="shared" ref="BS157:BV157" si="1329">BS153+BS156+BS154+BS155</f>
        <v>0</v>
      </c>
      <c r="BT157" s="21">
        <f t="shared" si="1329"/>
        <v>0</v>
      </c>
      <c r="BU157" s="21">
        <f t="shared" si="1329"/>
        <v>0</v>
      </c>
      <c r="BV157" s="21">
        <f t="shared" si="1329"/>
        <v>0</v>
      </c>
      <c r="BW157" s="21">
        <f t="shared" ref="BW157:BZ157" si="1330">BW153+BW156+BW154+BW155</f>
        <v>0</v>
      </c>
      <c r="BX157" s="21">
        <f t="shared" si="1330"/>
        <v>0</v>
      </c>
      <c r="BY157" s="21">
        <f t="shared" si="1330"/>
        <v>0</v>
      </c>
      <c r="BZ157" s="21">
        <f t="shared" si="1330"/>
        <v>0</v>
      </c>
      <c r="CA157" s="21">
        <f t="shared" ref="CA157:CD157" si="1331">CA153+CA156+CA154+CA155</f>
        <v>0</v>
      </c>
      <c r="CB157" s="21">
        <f t="shared" si="1331"/>
        <v>0</v>
      </c>
      <c r="CC157" s="21">
        <f t="shared" si="1331"/>
        <v>49.667000000000002</v>
      </c>
      <c r="CD157" s="21">
        <f t="shared" si="1331"/>
        <v>49.667000000000002</v>
      </c>
      <c r="CE157" s="21">
        <f>CE150+CE156+CE154+CE155</f>
        <v>51.989000000000004</v>
      </c>
      <c r="CF157" s="21">
        <f t="shared" ref="CF157:CH157" si="1332">CF153+CF156+CF154+CF155</f>
        <v>51.989000000000004</v>
      </c>
      <c r="CG157" s="21">
        <f t="shared" ref="CG157:CJ157" si="1333">CG153+CG156+CG154+CG155</f>
        <v>62.077300000000008</v>
      </c>
      <c r="CH157" s="21">
        <f t="shared" si="1332"/>
        <v>62.077300000000008</v>
      </c>
      <c r="CI157" s="21">
        <f t="shared" si="1333"/>
        <v>51.841000000000001</v>
      </c>
      <c r="CJ157" s="21">
        <f t="shared" si="1333"/>
        <v>51.841000000000001</v>
      </c>
      <c r="CK157" s="21">
        <f t="shared" ref="CK157:CL157" si="1334">CK153+CK156+CK154+CK155</f>
        <v>51.991</v>
      </c>
      <c r="CL157" s="21">
        <f t="shared" si="1334"/>
        <v>51.991</v>
      </c>
      <c r="CM157" s="20">
        <f t="shared" ref="CM157:DA157" si="1335">CM153+CM156+CM154+CM155</f>
        <v>51.991</v>
      </c>
      <c r="CN157" s="20">
        <f t="shared" si="1335"/>
        <v>51.991</v>
      </c>
      <c r="CO157" s="20">
        <f t="shared" si="1335"/>
        <v>51.991</v>
      </c>
      <c r="CP157" s="20">
        <f t="shared" si="1335"/>
        <v>51.991</v>
      </c>
      <c r="CQ157" s="20">
        <f t="shared" si="1335"/>
        <v>51.991</v>
      </c>
      <c r="CR157" s="20">
        <f t="shared" si="1335"/>
        <v>51.991</v>
      </c>
      <c r="CS157" s="20">
        <f t="shared" si="1335"/>
        <v>51.991</v>
      </c>
      <c r="CT157" s="20">
        <f t="shared" si="1335"/>
        <v>51.991</v>
      </c>
      <c r="CU157" s="20">
        <f t="shared" si="1335"/>
        <v>51.991</v>
      </c>
      <c r="CV157" s="20">
        <f t="shared" si="1335"/>
        <v>51.991</v>
      </c>
      <c r="CW157" s="20">
        <f t="shared" si="1335"/>
        <v>51.991</v>
      </c>
      <c r="CX157" s="20">
        <f t="shared" si="1335"/>
        <v>51.991</v>
      </c>
      <c r="CY157" s="20">
        <f t="shared" si="1335"/>
        <v>51.991</v>
      </c>
      <c r="CZ157" s="20">
        <f t="shared" si="1335"/>
        <v>51.991</v>
      </c>
      <c r="DA157" s="20">
        <f t="shared" si="1335"/>
        <v>51.991</v>
      </c>
      <c r="DD157" s="122">
        <v>51.991</v>
      </c>
    </row>
    <row r="158" spans="1:108" s="22" customFormat="1" x14ac:dyDescent="0.2">
      <c r="AB158" s="23"/>
      <c r="AC158" s="23"/>
      <c r="AD158" s="23"/>
      <c r="AE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0"/>
    </row>
    <row r="159" spans="1:108" s="22" customFormat="1" x14ac:dyDescent="0.2">
      <c r="A159" s="22" t="s">
        <v>58</v>
      </c>
      <c r="B159" s="22">
        <f>'Annual Raw'!C71</f>
        <v>0.51026119999999997</v>
      </c>
      <c r="C159" s="22">
        <f>'Annual Raw'!D71</f>
        <v>0.51026119999999997</v>
      </c>
      <c r="D159" s="22">
        <f>'Annual Raw'!E71</f>
        <v>0</v>
      </c>
      <c r="E159" s="22">
        <f>'Annual Raw'!F71</f>
        <v>0</v>
      </c>
      <c r="F159" s="22">
        <f>'Annual Raw'!G71</f>
        <v>0</v>
      </c>
      <c r="G159" s="22">
        <f>'Annual Raw'!H71</f>
        <v>0</v>
      </c>
      <c r="H159" s="22">
        <f>'Annual Raw'!I71</f>
        <v>0</v>
      </c>
      <c r="I159" s="22">
        <f>'Annual Raw'!J71</f>
        <v>0</v>
      </c>
      <c r="J159" s="22">
        <f>'Annual Raw'!K71</f>
        <v>0</v>
      </c>
      <c r="K159" s="22">
        <f>'Annual Raw'!L71</f>
        <v>0</v>
      </c>
      <c r="L159" s="22">
        <f>'Annual Raw'!M71</f>
        <v>0</v>
      </c>
      <c r="M159" s="22">
        <f>'Annual Raw'!N71</f>
        <v>0</v>
      </c>
      <c r="N159" s="22">
        <f>'Annual Raw'!O71</f>
        <v>0</v>
      </c>
      <c r="O159" s="22">
        <f>'Annual Raw'!P71</f>
        <v>0</v>
      </c>
      <c r="P159" s="22">
        <f>'Annual Raw'!Q71</f>
        <v>0</v>
      </c>
      <c r="Q159" s="22">
        <f>'Annual Raw'!R71</f>
        <v>0</v>
      </c>
      <c r="R159" s="22">
        <f>'Annual Raw'!S71</f>
        <v>0</v>
      </c>
      <c r="S159" s="22">
        <f>'Annual Raw'!T71</f>
        <v>0</v>
      </c>
      <c r="T159" s="22">
        <f>'Annual Raw'!U71</f>
        <v>0</v>
      </c>
      <c r="U159" s="22">
        <f>'Annual Raw'!V71</f>
        <v>0</v>
      </c>
      <c r="V159" s="22">
        <f>'Annual Raw'!W71</f>
        <v>0</v>
      </c>
      <c r="W159" s="22">
        <f>'Annual Raw'!X71</f>
        <v>0</v>
      </c>
      <c r="X159" s="22">
        <f>'Annual Raw'!Y71</f>
        <v>0</v>
      </c>
      <c r="Y159" s="22">
        <f>'Annual Raw'!Z71</f>
        <v>0</v>
      </c>
      <c r="Z159" s="22">
        <f>'Annual Raw'!AA71</f>
        <v>0</v>
      </c>
      <c r="AA159" s="22">
        <f>'Annual Raw'!AB71</f>
        <v>0</v>
      </c>
      <c r="AB159" s="23">
        <f t="shared" ref="AB159" si="1336">+CO159</f>
        <v>0</v>
      </c>
      <c r="AC159" s="23">
        <f t="shared" ref="AC159" si="1337">+CS159</f>
        <v>0</v>
      </c>
      <c r="AD159" s="23">
        <f t="shared" ref="AD159" si="1338">+CW159</f>
        <v>0</v>
      </c>
      <c r="AE159" s="23">
        <f t="shared" ref="AE159" si="1339">+DA159</f>
        <v>0</v>
      </c>
      <c r="AI159" s="22">
        <f>+'QTR Raw'!C77</f>
        <v>0</v>
      </c>
      <c r="AJ159" s="22">
        <f t="shared" ref="AJ159" si="1340">+AI159</f>
        <v>0</v>
      </c>
      <c r="AK159" s="22">
        <f>+'QTR Raw'!E77</f>
        <v>0</v>
      </c>
      <c r="AL159" s="22">
        <f t="shared" ref="AL159" si="1341">+AK159</f>
        <v>0</v>
      </c>
      <c r="AM159" s="22">
        <f>+'QTR Raw'!G77</f>
        <v>0</v>
      </c>
      <c r="AN159" s="22">
        <f t="shared" ref="AN159" si="1342">+AM159</f>
        <v>0</v>
      </c>
      <c r="AO159" s="22">
        <f>+'QTR Raw'!I77</f>
        <v>0</v>
      </c>
      <c r="AP159" s="22">
        <f t="shared" ref="AP159" si="1343">+AO159</f>
        <v>0</v>
      </c>
      <c r="AQ159" s="22">
        <f>+'QTR Raw'!K77</f>
        <v>0</v>
      </c>
      <c r="AR159" s="22">
        <f t="shared" ref="AR159" si="1344">+AQ159</f>
        <v>0</v>
      </c>
      <c r="AS159" s="22">
        <f>+'QTR Raw'!M77</f>
        <v>0</v>
      </c>
      <c r="AT159" s="22">
        <f t="shared" ref="AT159" si="1345">+AS159</f>
        <v>0</v>
      </c>
      <c r="AU159" s="22">
        <f>+'QTR Raw'!O77</f>
        <v>0</v>
      </c>
      <c r="AV159" s="22">
        <f t="shared" ref="AV159" si="1346">+AU159</f>
        <v>0</v>
      </c>
      <c r="AW159" s="22">
        <f>+'QTR Raw'!Q77</f>
        <v>0</v>
      </c>
      <c r="AX159" s="22">
        <f t="shared" ref="AX159" si="1347">+AW159</f>
        <v>0</v>
      </c>
      <c r="AY159" s="22">
        <f>+'QTR Raw'!S77</f>
        <v>0</v>
      </c>
      <c r="AZ159" s="22">
        <f t="shared" ref="AZ159" si="1348">+AY159</f>
        <v>0</v>
      </c>
      <c r="BA159" s="22">
        <f>+'QTR Raw'!U77</f>
        <v>0</v>
      </c>
      <c r="BB159" s="22">
        <f t="shared" ref="BB159" si="1349">+BA159</f>
        <v>0</v>
      </c>
      <c r="BC159" s="22">
        <f>+'QTR Raw'!W77</f>
        <v>0</v>
      </c>
      <c r="BD159" s="22">
        <f t="shared" ref="BD159" si="1350">+BC159</f>
        <v>0</v>
      </c>
      <c r="BE159" s="22">
        <f>+'QTR Raw'!Y77</f>
        <v>0</v>
      </c>
      <c r="BF159" s="22">
        <f t="shared" ref="BF159" si="1351">+BE159</f>
        <v>0</v>
      </c>
      <c r="BG159" s="22">
        <f>+'QTR Raw'!AA77</f>
        <v>0</v>
      </c>
      <c r="BH159" s="22">
        <f t="shared" ref="BH159" si="1352">+BG159</f>
        <v>0</v>
      </c>
      <c r="BI159" s="22">
        <f>+'QTR Raw'!AC77</f>
        <v>0</v>
      </c>
      <c r="BJ159" s="22">
        <f t="shared" ref="BJ159" si="1353">+BI159</f>
        <v>0</v>
      </c>
      <c r="BK159" s="22">
        <f>+'QTR Raw'!AE77</f>
        <v>0</v>
      </c>
      <c r="BL159" s="22">
        <f t="shared" ref="BL159" si="1354">+BK159</f>
        <v>0</v>
      </c>
      <c r="BM159" s="22">
        <f>+'QTR Raw'!AG77</f>
        <v>0</v>
      </c>
      <c r="BN159" s="22">
        <f t="shared" ref="BN159" si="1355">+BM159</f>
        <v>0</v>
      </c>
      <c r="BO159" s="22">
        <f>+'QTR Raw'!AI77</f>
        <v>0</v>
      </c>
      <c r="BP159" s="22">
        <f t="shared" ref="BP159" si="1356">+BO159</f>
        <v>0</v>
      </c>
      <c r="BQ159" s="22">
        <f>+'QTR Raw'!AK77</f>
        <v>0</v>
      </c>
      <c r="BR159" s="22">
        <f t="shared" ref="BR159" si="1357">+BQ159</f>
        <v>0</v>
      </c>
      <c r="BS159" s="22">
        <f>+'QTR Raw'!AM77</f>
        <v>0</v>
      </c>
      <c r="BT159" s="22">
        <f t="shared" ref="BT159" si="1358">+BS159</f>
        <v>0</v>
      </c>
      <c r="BU159" s="22">
        <f>+'QTR Raw'!AO77</f>
        <v>0</v>
      </c>
      <c r="BV159" s="22">
        <f t="shared" ref="BV159" si="1359">+BU159</f>
        <v>0</v>
      </c>
      <c r="BW159" s="22">
        <f>+'QTR Raw'!AQ77</f>
        <v>0</v>
      </c>
      <c r="BX159" s="22">
        <f t="shared" ref="BX159" si="1360">+BW159</f>
        <v>0</v>
      </c>
      <c r="BY159" s="22">
        <f>+'QTR Raw'!AS77</f>
        <v>0</v>
      </c>
      <c r="BZ159" s="22">
        <f t="shared" ref="BZ159" si="1361">+BY159</f>
        <v>0</v>
      </c>
      <c r="CA159" s="22">
        <f>+'QTR Raw'!AU77</f>
        <v>0</v>
      </c>
      <c r="CB159" s="22">
        <f t="shared" ref="CB159" si="1362">+CA159</f>
        <v>0</v>
      </c>
      <c r="CC159" s="22">
        <f>+'QTR Raw'!AW77</f>
        <v>0</v>
      </c>
      <c r="CD159" s="22">
        <f t="shared" ref="CD159" si="1363">+CC159</f>
        <v>0</v>
      </c>
      <c r="CE159" s="22">
        <f>+'QTR Raw'!AY77</f>
        <v>0</v>
      </c>
      <c r="CF159" s="22">
        <f t="shared" ref="CF159:CL159" si="1364">+CE159</f>
        <v>0</v>
      </c>
      <c r="CG159" s="22">
        <f t="shared" ref="CG159" si="1365">+Z159</f>
        <v>0</v>
      </c>
      <c r="CH159" s="22">
        <f t="shared" si="1364"/>
        <v>0</v>
      </c>
      <c r="CI159" s="22">
        <f>+'QTR Raw'!BC77</f>
        <v>4.4340000000000002</v>
      </c>
      <c r="CJ159" s="22">
        <f t="shared" si="1364"/>
        <v>4.4340000000000002</v>
      </c>
      <c r="CK159" s="22">
        <f>+'QTR Raw'!BE77</f>
        <v>0</v>
      </c>
      <c r="CL159" s="22">
        <f t="shared" si="1364"/>
        <v>0</v>
      </c>
      <c r="CM159" s="23">
        <f t="shared" ref="CM159" si="1366">+CL159</f>
        <v>0</v>
      </c>
      <c r="CN159" s="23">
        <f t="shared" ref="CN159" si="1367">+CM159</f>
        <v>0</v>
      </c>
      <c r="CO159" s="23">
        <f t="shared" ref="CO159" si="1368">+CN159</f>
        <v>0</v>
      </c>
      <c r="CP159" s="23">
        <f t="shared" ref="CP159" si="1369">+CO159</f>
        <v>0</v>
      </c>
      <c r="CQ159" s="23">
        <f t="shared" ref="CQ159" si="1370">+CP159</f>
        <v>0</v>
      </c>
      <c r="CR159" s="23">
        <f t="shared" ref="CR159" si="1371">+CQ159</f>
        <v>0</v>
      </c>
      <c r="CS159" s="23">
        <f t="shared" ref="CS159" si="1372">+CR159</f>
        <v>0</v>
      </c>
      <c r="CT159" s="23">
        <f t="shared" ref="CT159" si="1373">+CS159</f>
        <v>0</v>
      </c>
      <c r="CU159" s="23">
        <f t="shared" ref="CU159" si="1374">+CT159</f>
        <v>0</v>
      </c>
      <c r="CV159" s="23">
        <f t="shared" ref="CV159" si="1375">+CU159</f>
        <v>0</v>
      </c>
      <c r="CW159" s="23">
        <f t="shared" ref="CW159" si="1376">+CV159</f>
        <v>0</v>
      </c>
      <c r="CX159" s="23">
        <f t="shared" ref="CX159" si="1377">+CW159</f>
        <v>0</v>
      </c>
      <c r="CY159" s="23">
        <f t="shared" ref="CY159" si="1378">+CX159</f>
        <v>0</v>
      </c>
      <c r="CZ159" s="23">
        <f t="shared" ref="CZ159" si="1379">+CY159</f>
        <v>0</v>
      </c>
      <c r="DA159" s="23">
        <f t="shared" ref="DA159" si="1380">+CZ159</f>
        <v>0</v>
      </c>
      <c r="DD159" s="120">
        <v>0</v>
      </c>
    </row>
    <row r="160" spans="1:108" s="22" customFormat="1" x14ac:dyDescent="0.2">
      <c r="AB160" s="23"/>
      <c r="AC160" s="23"/>
      <c r="AD160" s="23"/>
      <c r="AE160" s="23"/>
      <c r="CM160" s="23"/>
      <c r="CN160" s="23"/>
      <c r="CO160" s="23"/>
      <c r="CP160" s="23"/>
      <c r="CQ160" s="23"/>
      <c r="CR160" s="23"/>
      <c r="CS160" s="23"/>
      <c r="CT160" s="23"/>
      <c r="CU160" s="23"/>
      <c r="CV160" s="23"/>
      <c r="CW160" s="23"/>
      <c r="CX160" s="23"/>
      <c r="CY160" s="23"/>
      <c r="CZ160" s="23"/>
      <c r="DA160" s="23"/>
      <c r="DD160" s="120"/>
    </row>
    <row r="161" spans="1:108" s="22" customFormat="1" outlineLevel="1" x14ac:dyDescent="0.2">
      <c r="A161" s="22" t="s">
        <v>59</v>
      </c>
      <c r="B161" s="22">
        <f>'Annual Raw'!C72</f>
        <v>0</v>
      </c>
      <c r="C161" s="22">
        <f>'Annual Raw'!D72</f>
        <v>0</v>
      </c>
      <c r="D161" s="22">
        <f>'Annual Raw'!E72</f>
        <v>0</v>
      </c>
      <c r="E161" s="22">
        <f>'Annual Raw'!F72+'Annual Raw'!F61</f>
        <v>0</v>
      </c>
      <c r="F161" s="22">
        <f>'Annual Raw'!G72+'Annual Raw'!G61</f>
        <v>0</v>
      </c>
      <c r="G161" s="22">
        <f>'Annual Raw'!H72+'Annual Raw'!H61</f>
        <v>0</v>
      </c>
      <c r="H161" s="22">
        <f>'Annual Raw'!I72+'Annual Raw'!I61</f>
        <v>0</v>
      </c>
      <c r="I161" s="22">
        <f>'Annual Raw'!J72+'Annual Raw'!J61</f>
        <v>0</v>
      </c>
      <c r="J161" s="22">
        <f>'Annual Raw'!K72+'Annual Raw'!K61</f>
        <v>0</v>
      </c>
      <c r="K161" s="22">
        <f>'Annual Raw'!L72+'Annual Raw'!L61</f>
        <v>0</v>
      </c>
      <c r="L161" s="22">
        <f>'Annual Raw'!M72+'Annual Raw'!M61</f>
        <v>0</v>
      </c>
      <c r="M161" s="22">
        <f>'Annual Raw'!N72+'Annual Raw'!N61</f>
        <v>0</v>
      </c>
      <c r="N161" s="22">
        <f>'Annual Raw'!O72+'Annual Raw'!O61</f>
        <v>0</v>
      </c>
      <c r="O161" s="22">
        <f>'Annual Raw'!P72+'Annual Raw'!P61</f>
        <v>0</v>
      </c>
      <c r="P161" s="22">
        <f>'Annual Raw'!Q72+'Annual Raw'!Q61</f>
        <v>0</v>
      </c>
      <c r="Q161" s="22">
        <f>'Annual Raw'!R72+'Annual Raw'!R61</f>
        <v>0</v>
      </c>
      <c r="R161" s="22">
        <f>'Annual Raw'!S72+'Annual Raw'!S61</f>
        <v>0</v>
      </c>
      <c r="S161" s="22">
        <f>'Annual Raw'!T72+'Annual Raw'!T61</f>
        <v>0</v>
      </c>
      <c r="T161" s="22">
        <f>'Annual Raw'!U72+'Annual Raw'!U61</f>
        <v>0</v>
      </c>
      <c r="U161" s="22">
        <f>'Annual Raw'!V72+'Annual Raw'!V61</f>
        <v>0</v>
      </c>
      <c r="V161" s="22">
        <f>'Annual Raw'!W72+'Annual Raw'!W61</f>
        <v>0</v>
      </c>
      <c r="W161" s="22">
        <f>'Annual Raw'!X72+'Annual Raw'!X61</f>
        <v>0</v>
      </c>
      <c r="X161" s="22">
        <f>'Annual Raw'!Y72+'Annual Raw'!Y61</f>
        <v>0</v>
      </c>
      <c r="Y161" s="22">
        <f>'Annual Raw'!Z72+'Annual Raw'!Z61</f>
        <v>101.89409999999999</v>
      </c>
      <c r="Z161" s="22">
        <f>'Annual Raw'!AA72+'Annual Raw'!AA61</f>
        <v>72.437299999999993</v>
      </c>
      <c r="AA161" s="22">
        <f>'Annual Raw'!AB72+'Annual Raw'!AB61</f>
        <v>13.7058</v>
      </c>
      <c r="AB161" s="23">
        <f t="shared" ref="AB161:AB166" si="1381">+CO161</f>
        <v>0</v>
      </c>
      <c r="AC161" s="23">
        <f t="shared" ref="AC161:AC166" si="1382">+CS161</f>
        <v>0</v>
      </c>
      <c r="AD161" s="23">
        <f t="shared" ref="AD161:AD166" si="1383">+CW161</f>
        <v>0</v>
      </c>
      <c r="AE161" s="23">
        <f t="shared" ref="AE161:AE166" si="1384">+DA161</f>
        <v>0</v>
      </c>
      <c r="AI161" s="22">
        <f>+'QTR Raw'!C78</f>
        <v>0</v>
      </c>
      <c r="AJ161" s="22">
        <f t="shared" ref="AJ161:AJ162" si="1385">+AI161</f>
        <v>0</v>
      </c>
      <c r="AK161" s="22">
        <f>+'QTR Raw'!E78</f>
        <v>0</v>
      </c>
      <c r="AL161" s="22">
        <f t="shared" ref="AL161:AL162" si="1386">+AK161</f>
        <v>0</v>
      </c>
      <c r="AM161" s="22">
        <f>+'QTR Raw'!G78</f>
        <v>0</v>
      </c>
      <c r="AN161" s="22">
        <f t="shared" ref="AN161:AN162" si="1387">+AM161</f>
        <v>0</v>
      </c>
      <c r="AO161" s="22">
        <f>+'QTR Raw'!I78</f>
        <v>0</v>
      </c>
      <c r="AP161" s="22">
        <f t="shared" ref="AP161:AP162" si="1388">+AO161</f>
        <v>0</v>
      </c>
      <c r="AQ161" s="22">
        <f>+'QTR Raw'!K78</f>
        <v>0</v>
      </c>
      <c r="AR161" s="22">
        <f t="shared" ref="AR161:AR162" si="1389">+AQ161</f>
        <v>0</v>
      </c>
      <c r="AS161" s="22">
        <f>+'QTR Raw'!M78</f>
        <v>0</v>
      </c>
      <c r="AT161" s="22">
        <f t="shared" ref="AT161:AT162" si="1390">+AS161</f>
        <v>0</v>
      </c>
      <c r="AU161" s="22">
        <f>+'QTR Raw'!O78</f>
        <v>0</v>
      </c>
      <c r="AV161" s="22">
        <f t="shared" ref="AV161:AV162" si="1391">+AU161</f>
        <v>0</v>
      </c>
      <c r="AW161" s="22">
        <f>+'QTR Raw'!Q78</f>
        <v>0</v>
      </c>
      <c r="AX161" s="22">
        <f t="shared" ref="AX161:AX162" si="1392">+AW161</f>
        <v>0</v>
      </c>
      <c r="AY161" s="22">
        <f>+'QTR Raw'!S78</f>
        <v>0</v>
      </c>
      <c r="AZ161" s="22">
        <f t="shared" ref="AZ161:AZ162" si="1393">+AY161</f>
        <v>0</v>
      </c>
      <c r="BA161" s="22">
        <f>+'QTR Raw'!U78</f>
        <v>0</v>
      </c>
      <c r="BB161" s="22">
        <f t="shared" ref="BB161:BB162" si="1394">+BA161</f>
        <v>0</v>
      </c>
      <c r="BC161" s="22">
        <f>+'QTR Raw'!W78</f>
        <v>0</v>
      </c>
      <c r="BD161" s="22">
        <f t="shared" ref="BD161:BD162" si="1395">+BC161</f>
        <v>0</v>
      </c>
      <c r="BE161" s="22">
        <f>+'QTR Raw'!Y78</f>
        <v>0</v>
      </c>
      <c r="BF161" s="22">
        <f t="shared" ref="BF161:BF162" si="1396">+BE161</f>
        <v>0</v>
      </c>
      <c r="BG161" s="22">
        <f>+'QTR Raw'!AA78</f>
        <v>0</v>
      </c>
      <c r="BH161" s="22">
        <f t="shared" ref="BH161:BH162" si="1397">+BG161</f>
        <v>0</v>
      </c>
      <c r="BI161" s="22">
        <f>+'QTR Raw'!AC78</f>
        <v>0</v>
      </c>
      <c r="BJ161" s="22">
        <f t="shared" ref="BJ161:BJ162" si="1398">+BI161</f>
        <v>0</v>
      </c>
      <c r="BK161" s="22">
        <f>+'QTR Raw'!AE78</f>
        <v>0</v>
      </c>
      <c r="BL161" s="22">
        <f t="shared" ref="BL161:BL162" si="1399">+BK161</f>
        <v>0</v>
      </c>
      <c r="BM161" s="22">
        <f>+'QTR Raw'!AG78</f>
        <v>0</v>
      </c>
      <c r="BN161" s="22">
        <f t="shared" ref="BN161:BN162" si="1400">+BM161</f>
        <v>0</v>
      </c>
      <c r="BO161" s="22">
        <f>+'QTR Raw'!AI78</f>
        <v>0</v>
      </c>
      <c r="BP161" s="22">
        <f t="shared" ref="BP161:BP162" si="1401">+BO161</f>
        <v>0</v>
      </c>
      <c r="BQ161" s="22">
        <f>+'QTR Raw'!AK78</f>
        <v>0</v>
      </c>
      <c r="BR161" s="22">
        <f t="shared" ref="BR161:BR162" si="1402">+BQ161</f>
        <v>0</v>
      </c>
      <c r="BS161" s="22">
        <f>+'QTR Raw'!AM78</f>
        <v>0</v>
      </c>
      <c r="BT161" s="22">
        <f t="shared" ref="BT161:BT162" si="1403">+BS161</f>
        <v>0</v>
      </c>
      <c r="BU161" s="22">
        <f>+'QTR Raw'!AO78</f>
        <v>0</v>
      </c>
      <c r="BV161" s="22">
        <f t="shared" ref="BV161:BV162" si="1404">+BU161</f>
        <v>0</v>
      </c>
      <c r="BW161" s="22">
        <f>+'QTR Raw'!AQ78</f>
        <v>0</v>
      </c>
      <c r="BX161" s="22">
        <f t="shared" ref="BX161:BX162" si="1405">+BW161</f>
        <v>0</v>
      </c>
      <c r="BY161" s="22">
        <f>+'QTR Raw'!AS78</f>
        <v>0</v>
      </c>
      <c r="BZ161" s="22">
        <f t="shared" ref="BZ161:BZ162" si="1406">+BY161</f>
        <v>0</v>
      </c>
      <c r="CA161" s="22">
        <f>+'QTR Raw'!AU78</f>
        <v>0</v>
      </c>
      <c r="CB161" s="22">
        <f t="shared" ref="CB161:CB162" si="1407">+CA161</f>
        <v>0</v>
      </c>
      <c r="CC161" s="22">
        <f>+'QTR Raw'!AW78</f>
        <v>0</v>
      </c>
      <c r="CD161" s="22">
        <f t="shared" ref="CD161:CD162" si="1408">+CC161</f>
        <v>0</v>
      </c>
      <c r="CE161" s="22">
        <f>+'QTR Raw'!AY78</f>
        <v>0</v>
      </c>
      <c r="CF161" s="22">
        <f t="shared" ref="CF161:CL166" si="1409">+CE161</f>
        <v>0</v>
      </c>
      <c r="CG161" s="22">
        <f t="shared" ref="CG161:CG166" si="1410">+Z161</f>
        <v>72.437299999999993</v>
      </c>
      <c r="CH161" s="22">
        <f t="shared" si="1409"/>
        <v>72.437299999999993</v>
      </c>
      <c r="CI161" s="22">
        <f>+'QTR Raw'!BC78</f>
        <v>0</v>
      </c>
      <c r="CJ161" s="22">
        <f t="shared" si="1409"/>
        <v>0</v>
      </c>
      <c r="CK161" s="22">
        <f>+'QTR Raw'!BE78</f>
        <v>0</v>
      </c>
      <c r="CL161" s="22">
        <f t="shared" si="1409"/>
        <v>0</v>
      </c>
      <c r="CM161" s="23"/>
      <c r="CN161" s="23"/>
      <c r="CO161" s="23"/>
      <c r="CP161" s="23"/>
      <c r="CQ161" s="23"/>
      <c r="CR161" s="23"/>
      <c r="CS161" s="23"/>
      <c r="CT161" s="23"/>
      <c r="CU161" s="23"/>
      <c r="CV161" s="23"/>
      <c r="CW161" s="23"/>
      <c r="CX161" s="23"/>
      <c r="CY161" s="23"/>
      <c r="CZ161" s="23"/>
      <c r="DA161" s="23"/>
      <c r="DD161" s="120">
        <v>0</v>
      </c>
    </row>
    <row r="162" spans="1:108" s="22" customFormat="1" outlineLevel="1" x14ac:dyDescent="0.2">
      <c r="A162" s="22" t="s">
        <v>60</v>
      </c>
      <c r="B162" s="22">
        <f>'Annual Raw'!C73+'Annual Raw'!C81</f>
        <v>0</v>
      </c>
      <c r="C162" s="22">
        <f>'Annual Raw'!D73+'Annual Raw'!D81</f>
        <v>0</v>
      </c>
      <c r="D162" s="22">
        <f>'Annual Raw'!E73+'Annual Raw'!E81</f>
        <v>0</v>
      </c>
      <c r="E162" s="22">
        <f>'Annual Raw'!F73+'Annual Raw'!F81</f>
        <v>0</v>
      </c>
      <c r="F162" s="22">
        <f>'Annual Raw'!G73+'Annual Raw'!G81</f>
        <v>0</v>
      </c>
      <c r="G162" s="22">
        <f>'Annual Raw'!H73+'Annual Raw'!H81</f>
        <v>0</v>
      </c>
      <c r="H162" s="22">
        <f>'Annual Raw'!I73+'Annual Raw'!I81</f>
        <v>0</v>
      </c>
      <c r="I162" s="22">
        <f>'Annual Raw'!J73+'Annual Raw'!J81</f>
        <v>0</v>
      </c>
      <c r="J162" s="22">
        <f>'Annual Raw'!K73+'Annual Raw'!K81</f>
        <v>0</v>
      </c>
      <c r="K162" s="22">
        <f>'Annual Raw'!L73+'Annual Raw'!L81</f>
        <v>0</v>
      </c>
      <c r="L162" s="22">
        <f>'Annual Raw'!M73+'Annual Raw'!M81</f>
        <v>0</v>
      </c>
      <c r="M162" s="22">
        <f>'Annual Raw'!N73+'Annual Raw'!N81</f>
        <v>0</v>
      </c>
      <c r="N162" s="22">
        <f>'Annual Raw'!O73+'Annual Raw'!O81</f>
        <v>0</v>
      </c>
      <c r="O162" s="22">
        <f>'Annual Raw'!P73+'Annual Raw'!P81</f>
        <v>0</v>
      </c>
      <c r="P162" s="22">
        <f>'Annual Raw'!Q73+'Annual Raw'!Q81</f>
        <v>0</v>
      </c>
      <c r="Q162" s="22">
        <f>'Annual Raw'!R73+'Annual Raw'!R81</f>
        <v>0</v>
      </c>
      <c r="R162" s="22">
        <f>'Annual Raw'!S73+'Annual Raw'!S81</f>
        <v>0</v>
      </c>
      <c r="S162" s="22">
        <f>'Annual Raw'!T73+'Annual Raw'!T81</f>
        <v>0</v>
      </c>
      <c r="T162" s="22">
        <f>'Annual Raw'!U73+'Annual Raw'!U81</f>
        <v>0</v>
      </c>
      <c r="U162" s="22">
        <f>'Annual Raw'!V73+'Annual Raw'!V81</f>
        <v>0</v>
      </c>
      <c r="V162" s="22">
        <f>'Annual Raw'!W73+'Annual Raw'!W81</f>
        <v>0</v>
      </c>
      <c r="W162" s="22">
        <f>'Annual Raw'!X73+'Annual Raw'!X81</f>
        <v>0</v>
      </c>
      <c r="X162" s="22">
        <f>'Annual Raw'!Y73+'Annual Raw'!Y81</f>
        <v>0</v>
      </c>
      <c r="Y162" s="22">
        <f>'Annual Raw'!Z73+'Annual Raw'!Z81</f>
        <v>21.604299999999999</v>
      </c>
      <c r="Z162" s="22">
        <f>'Annual Raw'!AA73+'Annual Raw'!AA81</f>
        <v>12.4815</v>
      </c>
      <c r="AA162" s="22">
        <f>'Annual Raw'!AB73+'Annual Raw'!AB81</f>
        <v>13.6599</v>
      </c>
      <c r="AB162" s="23">
        <f t="shared" si="1381"/>
        <v>0</v>
      </c>
      <c r="AC162" s="23">
        <f t="shared" si="1382"/>
        <v>0</v>
      </c>
      <c r="AD162" s="23">
        <f t="shared" si="1383"/>
        <v>0</v>
      </c>
      <c r="AE162" s="23">
        <f t="shared" si="1384"/>
        <v>0</v>
      </c>
      <c r="AI162" s="22">
        <f>+'QTR Raw'!C79</f>
        <v>0</v>
      </c>
      <c r="AJ162" s="22">
        <f t="shared" si="1385"/>
        <v>0</v>
      </c>
      <c r="AK162" s="22">
        <f>+'QTR Raw'!E79</f>
        <v>0</v>
      </c>
      <c r="AL162" s="22">
        <f t="shared" si="1386"/>
        <v>0</v>
      </c>
      <c r="AM162" s="22">
        <f>+'QTR Raw'!G79</f>
        <v>0</v>
      </c>
      <c r="AN162" s="22">
        <f t="shared" si="1387"/>
        <v>0</v>
      </c>
      <c r="AO162" s="22">
        <f>+'QTR Raw'!I79</f>
        <v>0</v>
      </c>
      <c r="AP162" s="22">
        <f t="shared" si="1388"/>
        <v>0</v>
      </c>
      <c r="AQ162" s="22">
        <f>+'QTR Raw'!K79</f>
        <v>0</v>
      </c>
      <c r="AR162" s="22">
        <f t="shared" si="1389"/>
        <v>0</v>
      </c>
      <c r="AS162" s="22">
        <f>+'QTR Raw'!M79</f>
        <v>0</v>
      </c>
      <c r="AT162" s="22">
        <f t="shared" si="1390"/>
        <v>0</v>
      </c>
      <c r="AU162" s="22">
        <f>+'QTR Raw'!O79</f>
        <v>0</v>
      </c>
      <c r="AV162" s="22">
        <f t="shared" si="1391"/>
        <v>0</v>
      </c>
      <c r="AW162" s="22">
        <f>+'QTR Raw'!Q79</f>
        <v>0</v>
      </c>
      <c r="AX162" s="22">
        <f t="shared" si="1392"/>
        <v>0</v>
      </c>
      <c r="AY162" s="22">
        <f>+'QTR Raw'!S79</f>
        <v>0</v>
      </c>
      <c r="AZ162" s="22">
        <f t="shared" si="1393"/>
        <v>0</v>
      </c>
      <c r="BA162" s="22">
        <f>+'QTR Raw'!U79</f>
        <v>0</v>
      </c>
      <c r="BB162" s="22">
        <f t="shared" si="1394"/>
        <v>0</v>
      </c>
      <c r="BC162" s="22">
        <f>+'QTR Raw'!W79</f>
        <v>0</v>
      </c>
      <c r="BD162" s="22">
        <f t="shared" si="1395"/>
        <v>0</v>
      </c>
      <c r="BE162" s="22">
        <f>+'QTR Raw'!Y79</f>
        <v>0</v>
      </c>
      <c r="BF162" s="22">
        <f t="shared" si="1396"/>
        <v>0</v>
      </c>
      <c r="BG162" s="22">
        <f>+'QTR Raw'!AA79</f>
        <v>0</v>
      </c>
      <c r="BH162" s="22">
        <f t="shared" si="1397"/>
        <v>0</v>
      </c>
      <c r="BI162" s="22">
        <f>+'QTR Raw'!AC79</f>
        <v>0</v>
      </c>
      <c r="BJ162" s="22">
        <f t="shared" si="1398"/>
        <v>0</v>
      </c>
      <c r="BK162" s="22">
        <f>+'QTR Raw'!AE79</f>
        <v>0</v>
      </c>
      <c r="BL162" s="22">
        <f t="shared" si="1399"/>
        <v>0</v>
      </c>
      <c r="BM162" s="22">
        <f>+'QTR Raw'!AG79</f>
        <v>0</v>
      </c>
      <c r="BN162" s="22">
        <f t="shared" si="1400"/>
        <v>0</v>
      </c>
      <c r="BO162" s="22">
        <f>+'QTR Raw'!AI79</f>
        <v>0</v>
      </c>
      <c r="BP162" s="22">
        <f t="shared" si="1401"/>
        <v>0</v>
      </c>
      <c r="BQ162" s="22">
        <f>+'QTR Raw'!AK79</f>
        <v>0</v>
      </c>
      <c r="BR162" s="22">
        <f t="shared" si="1402"/>
        <v>0</v>
      </c>
      <c r="BS162" s="22">
        <f>+'QTR Raw'!AM79</f>
        <v>0</v>
      </c>
      <c r="BT162" s="22">
        <f t="shared" si="1403"/>
        <v>0</v>
      </c>
      <c r="BU162" s="22">
        <f>+'QTR Raw'!AO79</f>
        <v>0</v>
      </c>
      <c r="BV162" s="22">
        <f t="shared" si="1404"/>
        <v>0</v>
      </c>
      <c r="BW162" s="22">
        <f>+'QTR Raw'!AQ79</f>
        <v>0</v>
      </c>
      <c r="BX162" s="22">
        <f t="shared" si="1405"/>
        <v>0</v>
      </c>
      <c r="BY162" s="22">
        <f>+'QTR Raw'!AS79</f>
        <v>0</v>
      </c>
      <c r="BZ162" s="22">
        <f t="shared" si="1406"/>
        <v>0</v>
      </c>
      <c r="CA162" s="22">
        <f>+'QTR Raw'!AU79</f>
        <v>0</v>
      </c>
      <c r="CB162" s="22">
        <f t="shared" si="1407"/>
        <v>0</v>
      </c>
      <c r="CC162" s="22">
        <f>+'QTR Raw'!AW79</f>
        <v>127.541</v>
      </c>
      <c r="CD162" s="22">
        <f t="shared" si="1408"/>
        <v>127.541</v>
      </c>
      <c r="CE162" s="22">
        <f>+'QTR Raw'!AY79</f>
        <v>30.559000000000001</v>
      </c>
      <c r="CF162" s="22">
        <f t="shared" si="1409"/>
        <v>30.559000000000001</v>
      </c>
      <c r="CG162" s="22">
        <f t="shared" si="1410"/>
        <v>12.4815</v>
      </c>
      <c r="CH162" s="22">
        <f t="shared" si="1409"/>
        <v>12.4815</v>
      </c>
      <c r="CI162" s="22">
        <f>+'QTR Raw'!BC79</f>
        <v>32.637</v>
      </c>
      <c r="CJ162" s="22">
        <f t="shared" si="1409"/>
        <v>32.637</v>
      </c>
      <c r="CK162" s="22">
        <f>+'QTR Raw'!BE79</f>
        <v>33.298999999999999</v>
      </c>
      <c r="CL162" s="22">
        <f t="shared" si="1409"/>
        <v>33.298999999999999</v>
      </c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0">
        <v>33.298999999999999</v>
      </c>
    </row>
    <row r="163" spans="1:108" s="22" customFormat="1" outlineLevel="1" x14ac:dyDescent="0.2">
      <c r="A163" s="22" t="s">
        <v>61</v>
      </c>
      <c r="B163" s="22">
        <f>'Annual Raw'!C76</f>
        <v>42.492800000000003</v>
      </c>
      <c r="C163" s="22">
        <f>'Annual Raw'!D76</f>
        <v>32.476325299999999</v>
      </c>
      <c r="D163" s="22">
        <f>'Annual Raw'!E76</f>
        <v>0</v>
      </c>
      <c r="E163" s="22">
        <f>'Annual Raw'!F76</f>
        <v>0</v>
      </c>
      <c r="F163" s="22">
        <f>'Annual Raw'!G76</f>
        <v>0</v>
      </c>
      <c r="G163" s="22">
        <f>'Annual Raw'!H76</f>
        <v>0</v>
      </c>
      <c r="H163" s="22">
        <f>'Annual Raw'!I76</f>
        <v>0</v>
      </c>
      <c r="I163" s="22">
        <f>'Annual Raw'!J76</f>
        <v>0</v>
      </c>
      <c r="J163" s="22">
        <f>'Annual Raw'!K76</f>
        <v>0</v>
      </c>
      <c r="K163" s="22">
        <f>'Annual Raw'!L76</f>
        <v>0</v>
      </c>
      <c r="L163" s="22">
        <f>'Annual Raw'!M76</f>
        <v>0</v>
      </c>
      <c r="M163" s="22">
        <f>'Annual Raw'!N76</f>
        <v>0</v>
      </c>
      <c r="N163" s="22">
        <f>'Annual Raw'!O76</f>
        <v>0</v>
      </c>
      <c r="O163" s="22">
        <f>'Annual Raw'!P76</f>
        <v>0</v>
      </c>
      <c r="P163" s="22">
        <f>'Annual Raw'!Q76</f>
        <v>0</v>
      </c>
      <c r="Q163" s="22">
        <f>'Annual Raw'!R76</f>
        <v>0</v>
      </c>
      <c r="R163" s="22">
        <f>'Annual Raw'!S76</f>
        <v>0</v>
      </c>
      <c r="S163" s="22">
        <f>'Annual Raw'!T76</f>
        <v>0</v>
      </c>
      <c r="T163" s="22">
        <f>'Annual Raw'!U76</f>
        <v>0</v>
      </c>
      <c r="U163" s="22">
        <f>'Annual Raw'!V76</f>
        <v>0</v>
      </c>
      <c r="V163" s="22">
        <f>'Annual Raw'!W76</f>
        <v>0</v>
      </c>
      <c r="W163" s="22">
        <f>'Annual Raw'!X76</f>
        <v>0</v>
      </c>
      <c r="X163" s="22">
        <f>'Annual Raw'!Y76</f>
        <v>0</v>
      </c>
      <c r="Y163" s="22">
        <f>'Annual Raw'!Z76</f>
        <v>18.663399999999999</v>
      </c>
      <c r="Z163" s="22">
        <f>'Annual Raw'!AA76</f>
        <v>20.590800000000002</v>
      </c>
      <c r="AA163" s="22">
        <f>'Annual Raw'!AB76</f>
        <v>16.167400000000001</v>
      </c>
      <c r="AB163" s="23">
        <f t="shared" si="1381"/>
        <v>33.582138444023471</v>
      </c>
      <c r="AC163" s="23">
        <f t="shared" si="1382"/>
        <v>46.724074718411508</v>
      </c>
      <c r="AD163" s="23">
        <f t="shared" si="1383"/>
        <v>60.475179668709238</v>
      </c>
      <c r="AE163" s="23">
        <f t="shared" si="1384"/>
        <v>75.591827256034506</v>
      </c>
      <c r="AI163" s="22">
        <f>+'QTR Raw'!C81</f>
        <v>0</v>
      </c>
      <c r="AJ163" s="22">
        <f>+AJ198*AJ29/90</f>
        <v>0</v>
      </c>
      <c r="AK163" s="22">
        <f>+'QTR Raw'!E81</f>
        <v>0</v>
      </c>
      <c r="AL163" s="22">
        <f>+AL198*AL29/90</f>
        <v>0</v>
      </c>
      <c r="AM163" s="22">
        <f>+'QTR Raw'!G81</f>
        <v>0</v>
      </c>
      <c r="AN163" s="22">
        <f>+AN198*AN29/90</f>
        <v>0</v>
      </c>
      <c r="AO163" s="22">
        <f>+'QTR Raw'!I81</f>
        <v>0</v>
      </c>
      <c r="AP163" s="22">
        <f>+AP198*AP29/90</f>
        <v>0</v>
      </c>
      <c r="AQ163" s="22">
        <f>+'QTR Raw'!K81</f>
        <v>0</v>
      </c>
      <c r="AR163" s="22">
        <f>+AR198*AR29/90</f>
        <v>0</v>
      </c>
      <c r="AS163" s="22">
        <f>+'QTR Raw'!M81</f>
        <v>0</v>
      </c>
      <c r="AT163" s="22">
        <f>+AT198*AT29/90</f>
        <v>0</v>
      </c>
      <c r="AU163" s="22">
        <f>+'QTR Raw'!O81</f>
        <v>0</v>
      </c>
      <c r="AV163" s="22">
        <f>+AV198*AV29/90</f>
        <v>0</v>
      </c>
      <c r="AW163" s="22">
        <f>+'QTR Raw'!Q81</f>
        <v>0</v>
      </c>
      <c r="AX163" s="22">
        <f>+AX198*AX29/90</f>
        <v>0</v>
      </c>
      <c r="AY163" s="22">
        <f>+'QTR Raw'!S81</f>
        <v>0</v>
      </c>
      <c r="AZ163" s="22">
        <f>+AZ198*AZ29/90</f>
        <v>0</v>
      </c>
      <c r="BA163" s="22">
        <f>+'QTR Raw'!U81</f>
        <v>0</v>
      </c>
      <c r="BB163" s="22">
        <f>+BB198*BB29/90</f>
        <v>0</v>
      </c>
      <c r="BC163" s="22">
        <f>+'QTR Raw'!W81</f>
        <v>0</v>
      </c>
      <c r="BD163" s="22">
        <f>+BD198*BD29/90</f>
        <v>0</v>
      </c>
      <c r="BE163" s="22">
        <f>+'QTR Raw'!Y81</f>
        <v>0</v>
      </c>
      <c r="BF163" s="22">
        <f>+BF198*BF29/90</f>
        <v>0</v>
      </c>
      <c r="BG163" s="22">
        <f>+'QTR Raw'!AA81</f>
        <v>0</v>
      </c>
      <c r="BH163" s="22">
        <f>+BH198*BH29/90</f>
        <v>0</v>
      </c>
      <c r="BI163" s="22">
        <f>+'QTR Raw'!AC81</f>
        <v>0</v>
      </c>
      <c r="BJ163" s="22">
        <f>+BJ198*BJ29/90</f>
        <v>0</v>
      </c>
      <c r="BK163" s="22">
        <f>+'QTR Raw'!AE81</f>
        <v>0</v>
      </c>
      <c r="BL163" s="22">
        <f>+BL198*BL29/90</f>
        <v>0</v>
      </c>
      <c r="BM163" s="22">
        <f>+'QTR Raw'!AG81</f>
        <v>0</v>
      </c>
      <c r="BN163" s="22">
        <f>+BN198*BN29/90</f>
        <v>0</v>
      </c>
      <c r="BO163" s="22">
        <f>+'QTR Raw'!AI81</f>
        <v>0</v>
      </c>
      <c r="BP163" s="22">
        <f>+BP198*BP29/90</f>
        <v>0</v>
      </c>
      <c r="BQ163" s="22">
        <f>+'QTR Raw'!AK81</f>
        <v>0</v>
      </c>
      <c r="BR163" s="22">
        <f>+BR198*BR29/90</f>
        <v>0</v>
      </c>
      <c r="BS163" s="22">
        <f>+'QTR Raw'!AM81</f>
        <v>0</v>
      </c>
      <c r="BT163" s="22">
        <f>+BT198*BT29/90</f>
        <v>0</v>
      </c>
      <c r="BU163" s="22">
        <f>+'QTR Raw'!AO81</f>
        <v>0</v>
      </c>
      <c r="BV163" s="22">
        <f>+BV198*BV29/90</f>
        <v>0</v>
      </c>
      <c r="BW163" s="22">
        <f>+'QTR Raw'!AQ81</f>
        <v>0</v>
      </c>
      <c r="BX163" s="22">
        <f>+BX198*BX29/90</f>
        <v>0</v>
      </c>
      <c r="BY163" s="22">
        <f>+'QTR Raw'!AS81</f>
        <v>0</v>
      </c>
      <c r="BZ163" s="22">
        <f>+BZ198*BZ29/90</f>
        <v>0</v>
      </c>
      <c r="CA163" s="22">
        <f>+'QTR Raw'!AU81</f>
        <v>0</v>
      </c>
      <c r="CB163" s="22">
        <f>+CB198*CB29/90</f>
        <v>0</v>
      </c>
      <c r="CC163" s="22">
        <f>+'QTR Raw'!AW81</f>
        <v>18.663</v>
      </c>
      <c r="CD163" s="22">
        <f>+CD198*CD29/90</f>
        <v>10.809858221446774</v>
      </c>
      <c r="CE163" s="22">
        <f>+'QTR Raw'!AY81</f>
        <v>20.581</v>
      </c>
      <c r="CF163" s="22">
        <f>+CF198*CF29/90</f>
        <v>16.77530092081426</v>
      </c>
      <c r="CG163" s="22">
        <f t="shared" si="1410"/>
        <v>20.590800000000002</v>
      </c>
      <c r="CH163" s="22">
        <f>+CH198*CH29/90</f>
        <v>62.877669307012823</v>
      </c>
      <c r="CI163" s="22">
        <f>+'QTR Raw'!BC81</f>
        <v>15.3</v>
      </c>
      <c r="CJ163" s="22">
        <f>+CJ198*CJ29/90</f>
        <v>18.06979225017658</v>
      </c>
      <c r="CK163" s="22">
        <f>+'QTR Raw'!BE81</f>
        <v>16.167000000000002</v>
      </c>
      <c r="CL163" s="22">
        <f>+CL198*CL29/90</f>
        <v>24.385028643554222</v>
      </c>
      <c r="CM163" s="23">
        <f t="shared" ref="CM163:DA163" si="1411">+CM198*CM29/90</f>
        <v>21.021759469447385</v>
      </c>
      <c r="CN163" s="23">
        <f t="shared" si="1411"/>
        <v>32.316177511668663</v>
      </c>
      <c r="CO163" s="23">
        <f t="shared" si="1411"/>
        <v>33.582138444023471</v>
      </c>
      <c r="CP163" s="23">
        <f t="shared" si="1411"/>
        <v>32.747621146728285</v>
      </c>
      <c r="CQ163" s="23">
        <f t="shared" si="1411"/>
        <v>32.985450314651125</v>
      </c>
      <c r="CR163" s="23">
        <f t="shared" si="1411"/>
        <v>45.84041145969838</v>
      </c>
      <c r="CS163" s="23">
        <f t="shared" si="1411"/>
        <v>46.724074718411508</v>
      </c>
      <c r="CT163" s="23">
        <f t="shared" si="1411"/>
        <v>45.144358188954783</v>
      </c>
      <c r="CU163" s="23">
        <f t="shared" si="1411"/>
        <v>44.90350403730293</v>
      </c>
      <c r="CV163" s="23">
        <f t="shared" si="1411"/>
        <v>59.850570681984685</v>
      </c>
      <c r="CW163" s="23">
        <f t="shared" si="1411"/>
        <v>60.475179668709238</v>
      </c>
      <c r="CX163" s="23">
        <f t="shared" si="1411"/>
        <v>58.182953732765782</v>
      </c>
      <c r="CY163" s="23">
        <f t="shared" si="1411"/>
        <v>57.53305359924174</v>
      </c>
      <c r="CZ163" s="23">
        <f t="shared" si="1411"/>
        <v>75.141137184956818</v>
      </c>
      <c r="DA163" s="23">
        <f t="shared" si="1411"/>
        <v>75.591827256034506</v>
      </c>
      <c r="DD163" s="120">
        <v>16.167000000000002</v>
      </c>
    </row>
    <row r="164" spans="1:108" s="22" customFormat="1" outlineLevel="1" x14ac:dyDescent="0.2">
      <c r="A164" s="22" t="s">
        <v>62</v>
      </c>
      <c r="B164" s="22">
        <f>'Annual Raw'!C77</f>
        <v>24.366042050000001</v>
      </c>
      <c r="C164" s="22">
        <f>'Annual Raw'!D77</f>
        <v>51.128874660999998</v>
      </c>
      <c r="D164" s="22">
        <f>'Annual Raw'!E77</f>
        <v>0</v>
      </c>
      <c r="E164" s="22">
        <f>'Annual Raw'!F77</f>
        <v>0</v>
      </c>
      <c r="F164" s="22">
        <f>'Annual Raw'!G77</f>
        <v>0</v>
      </c>
      <c r="G164" s="22">
        <f>'Annual Raw'!H77</f>
        <v>0</v>
      </c>
      <c r="H164" s="22">
        <f>'Annual Raw'!I77</f>
        <v>0</v>
      </c>
      <c r="I164" s="22">
        <f>'Annual Raw'!J77</f>
        <v>0</v>
      </c>
      <c r="J164" s="22">
        <f>'Annual Raw'!K77</f>
        <v>0</v>
      </c>
      <c r="K164" s="22">
        <f>'Annual Raw'!L77</f>
        <v>0</v>
      </c>
      <c r="L164" s="22">
        <f>'Annual Raw'!M77</f>
        <v>0</v>
      </c>
      <c r="M164" s="22">
        <f>'Annual Raw'!N77</f>
        <v>0</v>
      </c>
      <c r="N164" s="22">
        <f>'Annual Raw'!O77</f>
        <v>0</v>
      </c>
      <c r="O164" s="22">
        <f>'Annual Raw'!P77</f>
        <v>0</v>
      </c>
      <c r="P164" s="22">
        <f>'Annual Raw'!Q77</f>
        <v>0</v>
      </c>
      <c r="Q164" s="22">
        <f>'Annual Raw'!R77</f>
        <v>0</v>
      </c>
      <c r="R164" s="22">
        <f>'Annual Raw'!S77</f>
        <v>0</v>
      </c>
      <c r="S164" s="22">
        <f>'Annual Raw'!T77</f>
        <v>0</v>
      </c>
      <c r="T164" s="22">
        <f>'Annual Raw'!U77</f>
        <v>0</v>
      </c>
      <c r="U164" s="22">
        <f>'Annual Raw'!V77</f>
        <v>0</v>
      </c>
      <c r="V164" s="22">
        <f>'Annual Raw'!W77</f>
        <v>0</v>
      </c>
      <c r="W164" s="22">
        <f>'Annual Raw'!X77</f>
        <v>0</v>
      </c>
      <c r="X164" s="22">
        <f>'Annual Raw'!Y77</f>
        <v>0</v>
      </c>
      <c r="Y164" s="22">
        <f>'Annual Raw'!Z77</f>
        <v>209.64160000000001</v>
      </c>
      <c r="Z164" s="22">
        <f>'Annual Raw'!AA77</f>
        <v>195.87520000000001</v>
      </c>
      <c r="AA164" s="22">
        <f>'Annual Raw'!AB77</f>
        <v>221.26480000000001</v>
      </c>
      <c r="AB164" s="23">
        <f t="shared" si="1381"/>
        <v>459.61228816829674</v>
      </c>
      <c r="AC164" s="23">
        <f t="shared" si="1382"/>
        <v>639.47562272340713</v>
      </c>
      <c r="AD164" s="23">
        <f t="shared" si="1383"/>
        <v>827.67616932003148</v>
      </c>
      <c r="AE164" s="23">
        <f t="shared" si="1384"/>
        <v>1034.565822837043</v>
      </c>
      <c r="AI164" s="22">
        <f>+'QTR Raw'!C82</f>
        <v>0</v>
      </c>
      <c r="AJ164" s="22">
        <f>+AJ199*AJ29/90</f>
        <v>0</v>
      </c>
      <c r="AK164" s="22">
        <f>+'QTR Raw'!E82</f>
        <v>0</v>
      </c>
      <c r="AL164" s="22">
        <f>+AL199*AL29/90</f>
        <v>0</v>
      </c>
      <c r="AM164" s="22">
        <f>+'QTR Raw'!G82</f>
        <v>0</v>
      </c>
      <c r="AN164" s="22">
        <f>+AN199*AN29/90</f>
        <v>0</v>
      </c>
      <c r="AO164" s="22">
        <f>+'QTR Raw'!I82</f>
        <v>0</v>
      </c>
      <c r="AP164" s="22">
        <f>+AP199*AP29/90</f>
        <v>0</v>
      </c>
      <c r="AQ164" s="22">
        <f>+'QTR Raw'!K82</f>
        <v>0</v>
      </c>
      <c r="AR164" s="22">
        <f>+AR199*AR29/90</f>
        <v>0</v>
      </c>
      <c r="AS164" s="22">
        <f>+'QTR Raw'!M82</f>
        <v>0</v>
      </c>
      <c r="AT164" s="22">
        <f>+AT199*AT29/90</f>
        <v>0</v>
      </c>
      <c r="AU164" s="22">
        <f>+'QTR Raw'!O82</f>
        <v>0</v>
      </c>
      <c r="AV164" s="22">
        <f>+AV199*AV29/90</f>
        <v>0</v>
      </c>
      <c r="AW164" s="22">
        <f>+'QTR Raw'!Q82</f>
        <v>0</v>
      </c>
      <c r="AX164" s="22">
        <f>+AX199*AX29/90</f>
        <v>0</v>
      </c>
      <c r="AY164" s="22">
        <f>+'QTR Raw'!S82</f>
        <v>0</v>
      </c>
      <c r="AZ164" s="22">
        <f>+AZ199*AZ29/90</f>
        <v>0</v>
      </c>
      <c r="BA164" s="22">
        <f>+'QTR Raw'!U82</f>
        <v>0</v>
      </c>
      <c r="BB164" s="22">
        <f>+BB199*BB29/90</f>
        <v>0</v>
      </c>
      <c r="BC164" s="22">
        <f>+'QTR Raw'!W82</f>
        <v>0</v>
      </c>
      <c r="BD164" s="22">
        <f>+BD199*BD29/90</f>
        <v>0</v>
      </c>
      <c r="BE164" s="22">
        <f>+'QTR Raw'!Y82</f>
        <v>0</v>
      </c>
      <c r="BF164" s="22">
        <f>+BF199*BF29/90</f>
        <v>0</v>
      </c>
      <c r="BG164" s="22">
        <f>+'QTR Raw'!AA82</f>
        <v>0</v>
      </c>
      <c r="BH164" s="22">
        <f>+BH199*BH29/90</f>
        <v>0</v>
      </c>
      <c r="BI164" s="22">
        <f>+'QTR Raw'!AC82</f>
        <v>0</v>
      </c>
      <c r="BJ164" s="22">
        <f>+BJ199*BJ29/90</f>
        <v>0</v>
      </c>
      <c r="BK164" s="22">
        <f>+'QTR Raw'!AE82</f>
        <v>0</v>
      </c>
      <c r="BL164" s="22">
        <f>+BL199*BL29/90</f>
        <v>0</v>
      </c>
      <c r="BM164" s="22">
        <f>+'QTR Raw'!AG82</f>
        <v>0</v>
      </c>
      <c r="BN164" s="22">
        <f>+BN199*BN29/90</f>
        <v>0</v>
      </c>
      <c r="BO164" s="22">
        <f>+'QTR Raw'!AI82</f>
        <v>0</v>
      </c>
      <c r="BP164" s="22">
        <f>+BP199*BP29/90</f>
        <v>0</v>
      </c>
      <c r="BQ164" s="22">
        <f>+'QTR Raw'!AK82</f>
        <v>0</v>
      </c>
      <c r="BR164" s="22">
        <f>+BR199*BR29/90</f>
        <v>0</v>
      </c>
      <c r="BS164" s="22">
        <f>+'QTR Raw'!AM82</f>
        <v>0</v>
      </c>
      <c r="BT164" s="22">
        <f>+BT199*BT29/90</f>
        <v>0</v>
      </c>
      <c r="BU164" s="22">
        <f>+'QTR Raw'!AO82</f>
        <v>0</v>
      </c>
      <c r="BV164" s="22">
        <f>+BV199*BV29/90</f>
        <v>0</v>
      </c>
      <c r="BW164" s="22">
        <f>+'QTR Raw'!AQ82</f>
        <v>0</v>
      </c>
      <c r="BX164" s="22">
        <f>+BX199*BX29/90</f>
        <v>0</v>
      </c>
      <c r="BY164" s="22">
        <f>+'QTR Raw'!AS82</f>
        <v>0</v>
      </c>
      <c r="BZ164" s="22">
        <f>+BZ199*BZ29/90</f>
        <v>0</v>
      </c>
      <c r="CA164" s="22">
        <f>+'QTR Raw'!AU82</f>
        <v>0</v>
      </c>
      <c r="CB164" s="22">
        <f>+CB199*CB29/90</f>
        <v>0</v>
      </c>
      <c r="CC164" s="22">
        <f>+'QTR Raw'!AW82</f>
        <v>209.642</v>
      </c>
      <c r="CD164" s="22">
        <f>+CD199*CD29/90</f>
        <v>121.42743917165215</v>
      </c>
      <c r="CE164" s="22">
        <f>+'QTR Raw'!AY82</f>
        <v>249.87799999999999</v>
      </c>
      <c r="CF164" s="22">
        <f>+CF199*CF29/90</f>
        <v>203.67225321856208</v>
      </c>
      <c r="CG164" s="22">
        <f t="shared" si="1410"/>
        <v>195.87520000000001</v>
      </c>
      <c r="CH164" s="22">
        <f>+CH199*CH29/90</f>
        <v>598.13975421280361</v>
      </c>
      <c r="CI164" s="22">
        <f>+'QTR Raw'!BC82</f>
        <v>238.28700000000001</v>
      </c>
      <c r="CJ164" s="22">
        <f>+CJ199*CJ29/90</f>
        <v>281.42461345868139</v>
      </c>
      <c r="CK164" s="22">
        <f>+'QTR Raw'!BE82</f>
        <v>221.26499999999999</v>
      </c>
      <c r="CL164" s="22">
        <f>+CL199*CL29/90</f>
        <v>333.73868762392686</v>
      </c>
      <c r="CM164" s="23">
        <f t="shared" ref="CM164:DA164" si="1412">+CM199*CM29/90</f>
        <v>287.70827048971836</v>
      </c>
      <c r="CN164" s="23">
        <f t="shared" si="1412"/>
        <v>442.28607763464879</v>
      </c>
      <c r="CO164" s="23">
        <f t="shared" si="1412"/>
        <v>459.61228816829674</v>
      </c>
      <c r="CP164" s="23">
        <f t="shared" si="1412"/>
        <v>448.19090697289755</v>
      </c>
      <c r="CQ164" s="23">
        <f t="shared" si="1412"/>
        <v>451.44588754074857</v>
      </c>
      <c r="CR164" s="23">
        <f t="shared" si="1412"/>
        <v>627.38161944888736</v>
      </c>
      <c r="CS164" s="23">
        <f t="shared" si="1412"/>
        <v>639.47562272340713</v>
      </c>
      <c r="CT164" s="23">
        <f t="shared" si="1412"/>
        <v>617.85528636599747</v>
      </c>
      <c r="CU164" s="23">
        <f t="shared" si="1412"/>
        <v>614.55890522755203</v>
      </c>
      <c r="CV164" s="23">
        <f t="shared" si="1412"/>
        <v>819.12763790123961</v>
      </c>
      <c r="CW164" s="23">
        <f t="shared" si="1412"/>
        <v>827.67616932003148</v>
      </c>
      <c r="CX164" s="23">
        <f t="shared" si="1412"/>
        <v>796.30427770646509</v>
      </c>
      <c r="CY164" s="23">
        <f t="shared" si="1412"/>
        <v>787.40960627427637</v>
      </c>
      <c r="CZ164" s="23">
        <f t="shared" si="1412"/>
        <v>1028.3975826825924</v>
      </c>
      <c r="DA164" s="23">
        <f t="shared" si="1412"/>
        <v>1034.565822837043</v>
      </c>
      <c r="DD164" s="120">
        <v>221.26499999999999</v>
      </c>
    </row>
    <row r="165" spans="1:108" s="22" customFormat="1" outlineLevel="1" x14ac:dyDescent="0.2">
      <c r="A165" s="22" t="s">
        <v>63</v>
      </c>
      <c r="B165" s="22">
        <f>'Annual Raw'!C79</f>
        <v>1.32457856</v>
      </c>
      <c r="C165" s="22">
        <f>'Annual Raw'!D79</f>
        <v>2.598270592</v>
      </c>
      <c r="D165" s="22">
        <f>'Annual Raw'!E79</f>
        <v>0</v>
      </c>
      <c r="E165" s="22">
        <f>'Annual Raw'!F79</f>
        <v>0</v>
      </c>
      <c r="F165" s="22">
        <f>'Annual Raw'!G79</f>
        <v>0</v>
      </c>
      <c r="G165" s="22">
        <f>'Annual Raw'!H79</f>
        <v>0</v>
      </c>
      <c r="H165" s="22">
        <f>'Annual Raw'!I79</f>
        <v>0</v>
      </c>
      <c r="I165" s="22">
        <f>'Annual Raw'!J79</f>
        <v>0</v>
      </c>
      <c r="J165" s="22">
        <f>'Annual Raw'!K79</f>
        <v>0</v>
      </c>
      <c r="K165" s="22">
        <f>'Annual Raw'!L79</f>
        <v>0</v>
      </c>
      <c r="L165" s="22">
        <f>'Annual Raw'!M79</f>
        <v>0</v>
      </c>
      <c r="M165" s="22">
        <f>'Annual Raw'!N79</f>
        <v>0</v>
      </c>
      <c r="N165" s="22">
        <f>'Annual Raw'!O79</f>
        <v>0</v>
      </c>
      <c r="O165" s="22">
        <f>'Annual Raw'!P79</f>
        <v>0</v>
      </c>
      <c r="P165" s="22">
        <f>'Annual Raw'!Q79</f>
        <v>0</v>
      </c>
      <c r="Q165" s="22">
        <f>'Annual Raw'!R79</f>
        <v>0</v>
      </c>
      <c r="R165" s="22">
        <f>'Annual Raw'!S79</f>
        <v>0</v>
      </c>
      <c r="S165" s="22">
        <f>'Annual Raw'!T79</f>
        <v>0</v>
      </c>
      <c r="T165" s="22">
        <f>'Annual Raw'!U79</f>
        <v>0</v>
      </c>
      <c r="U165" s="22">
        <f>'Annual Raw'!V79</f>
        <v>0</v>
      </c>
      <c r="V165" s="22">
        <f>'Annual Raw'!W79</f>
        <v>0</v>
      </c>
      <c r="W165" s="22">
        <f>'Annual Raw'!X79</f>
        <v>0</v>
      </c>
      <c r="X165" s="22">
        <f>'Annual Raw'!Y79</f>
        <v>0</v>
      </c>
      <c r="Y165" s="22">
        <f>'Annual Raw'!Z79</f>
        <v>11.8855</v>
      </c>
      <c r="Z165" s="22">
        <f>'Annual Raw'!AA79</f>
        <v>7.0861999999999998</v>
      </c>
      <c r="AA165" s="22">
        <f>'Annual Raw'!AB79</f>
        <v>2.0905</v>
      </c>
      <c r="AB165" s="23">
        <f t="shared" si="1381"/>
        <v>343.16014210230776</v>
      </c>
      <c r="AC165" s="23">
        <f t="shared" si="1382"/>
        <v>477.45143290070746</v>
      </c>
      <c r="AD165" s="23">
        <f t="shared" si="1383"/>
        <v>617.96753304940762</v>
      </c>
      <c r="AE165" s="23">
        <f t="shared" si="1384"/>
        <v>772.4374737538609</v>
      </c>
      <c r="AI165" s="22">
        <f>+'QTR Raw'!C84</f>
        <v>0</v>
      </c>
      <c r="AJ165" s="22">
        <f t="shared" ref="AJ165:AJ166" si="1413">+AI165</f>
        <v>0</v>
      </c>
      <c r="AK165" s="22">
        <f>+'QTR Raw'!E84</f>
        <v>0</v>
      </c>
      <c r="AL165" s="22">
        <f t="shared" ref="AL165:AL166" si="1414">+AK165</f>
        <v>0</v>
      </c>
      <c r="AM165" s="22">
        <f>+'QTR Raw'!G84</f>
        <v>0</v>
      </c>
      <c r="AN165" s="22">
        <f t="shared" ref="AN165:AN166" si="1415">+AM165</f>
        <v>0</v>
      </c>
      <c r="AO165" s="22">
        <f>+'QTR Raw'!I84</f>
        <v>0</v>
      </c>
      <c r="AP165" s="22">
        <f t="shared" ref="AP165:AP166" si="1416">+AO165</f>
        <v>0</v>
      </c>
      <c r="AQ165" s="22">
        <f>+'QTR Raw'!K84</f>
        <v>0</v>
      </c>
      <c r="AR165" s="22">
        <f t="shared" ref="AR165:AR166" si="1417">+AQ165</f>
        <v>0</v>
      </c>
      <c r="AS165" s="22">
        <f>+'QTR Raw'!M84</f>
        <v>0</v>
      </c>
      <c r="AT165" s="22">
        <f t="shared" ref="AT165:AT166" si="1418">+AS165</f>
        <v>0</v>
      </c>
      <c r="AU165" s="22">
        <f>+'QTR Raw'!O84</f>
        <v>0</v>
      </c>
      <c r="AV165" s="22">
        <f t="shared" ref="AV165:AV166" si="1419">+AU165</f>
        <v>0</v>
      </c>
      <c r="AW165" s="22">
        <f>+'QTR Raw'!Q84</f>
        <v>0</v>
      </c>
      <c r="AX165" s="22">
        <f t="shared" ref="AX165:AX166" si="1420">+AW165</f>
        <v>0</v>
      </c>
      <c r="AY165" s="22">
        <f>+'QTR Raw'!S84</f>
        <v>0</v>
      </c>
      <c r="AZ165" s="22">
        <f t="shared" ref="AZ165:AZ166" si="1421">+AY165</f>
        <v>0</v>
      </c>
      <c r="BA165" s="22">
        <f>+'QTR Raw'!U84</f>
        <v>0</v>
      </c>
      <c r="BB165" s="22">
        <f t="shared" ref="BB165:BB166" si="1422">+BA165</f>
        <v>0</v>
      </c>
      <c r="BC165" s="22">
        <f>+'QTR Raw'!W84</f>
        <v>0</v>
      </c>
      <c r="BD165" s="22">
        <f t="shared" ref="BD165:BD166" si="1423">+BC165</f>
        <v>0</v>
      </c>
      <c r="BE165" s="22">
        <f>+'QTR Raw'!Y84</f>
        <v>0</v>
      </c>
      <c r="BF165" s="22">
        <f t="shared" ref="BF165:BF166" si="1424">+BE165</f>
        <v>0</v>
      </c>
      <c r="BG165" s="22">
        <f>+'QTR Raw'!AA84</f>
        <v>0</v>
      </c>
      <c r="BH165" s="22">
        <f t="shared" ref="BH165:BH166" si="1425">+BG165</f>
        <v>0</v>
      </c>
      <c r="BI165" s="22">
        <f>+'QTR Raw'!AC84</f>
        <v>0</v>
      </c>
      <c r="BJ165" s="22">
        <f t="shared" ref="BJ165:BJ166" si="1426">+BI165</f>
        <v>0</v>
      </c>
      <c r="BK165" s="22">
        <f>+'QTR Raw'!AE84</f>
        <v>0</v>
      </c>
      <c r="BL165" s="22">
        <f t="shared" ref="BL165:BL166" si="1427">+BK165</f>
        <v>0</v>
      </c>
      <c r="BM165" s="22">
        <f>+'QTR Raw'!AG84</f>
        <v>0</v>
      </c>
      <c r="BN165" s="22">
        <f t="shared" ref="BN165:BN166" si="1428">+BM165</f>
        <v>0</v>
      </c>
      <c r="BO165" s="22">
        <f>+'QTR Raw'!AI84</f>
        <v>0</v>
      </c>
      <c r="BP165" s="22">
        <f t="shared" ref="BP165:BP166" si="1429">+BO165</f>
        <v>0</v>
      </c>
      <c r="BQ165" s="22">
        <f>+'QTR Raw'!AK84</f>
        <v>0</v>
      </c>
      <c r="BR165" s="22">
        <f t="shared" ref="BR165:BR166" si="1430">+BQ165</f>
        <v>0</v>
      </c>
      <c r="BS165" s="22">
        <f>+'QTR Raw'!AM84</f>
        <v>0</v>
      </c>
      <c r="BT165" s="22">
        <f t="shared" ref="BT165:BT166" si="1431">+BS165</f>
        <v>0</v>
      </c>
      <c r="BU165" s="22">
        <f>+'QTR Raw'!AO84</f>
        <v>0</v>
      </c>
      <c r="BV165" s="22">
        <f t="shared" ref="BV165:BV166" si="1432">+BU165</f>
        <v>0</v>
      </c>
      <c r="BW165" s="22">
        <f>+'QTR Raw'!AQ84</f>
        <v>0</v>
      </c>
      <c r="BX165" s="22">
        <f t="shared" ref="BX165:BX166" si="1433">+BW165</f>
        <v>0</v>
      </c>
      <c r="BY165" s="22">
        <f>+'QTR Raw'!AS84</f>
        <v>0</v>
      </c>
      <c r="BZ165" s="22">
        <f t="shared" ref="BZ165:BZ166" si="1434">+BY165</f>
        <v>0</v>
      </c>
      <c r="CA165" s="22">
        <f>+'QTR Raw'!AU84</f>
        <v>0</v>
      </c>
      <c r="CB165" s="22">
        <f t="shared" ref="CB165:CB166" si="1435">+CA165</f>
        <v>0</v>
      </c>
      <c r="CC165" s="22">
        <f>+'QTR Raw'!AW84</f>
        <v>291.697</v>
      </c>
      <c r="CD165" s="22">
        <f t="shared" ref="CD165:CD166" si="1436">+CC165</f>
        <v>291.697</v>
      </c>
      <c r="CE165" s="22">
        <f>+'QTR Raw'!AY84</f>
        <v>172.60599999999999</v>
      </c>
      <c r="CF165" s="22">
        <f t="shared" si="1409"/>
        <v>172.60599999999999</v>
      </c>
      <c r="CG165" s="22">
        <f t="shared" si="1410"/>
        <v>7.0861999999999998</v>
      </c>
      <c r="CH165" s="22">
        <f t="shared" si="1409"/>
        <v>7.0861999999999998</v>
      </c>
      <c r="CI165" s="22">
        <f>+'QTR Raw'!BC84</f>
        <v>101.01900000000001</v>
      </c>
      <c r="CJ165" s="22">
        <f t="shared" si="1409"/>
        <v>101.01900000000001</v>
      </c>
      <c r="CK165" s="22">
        <f>+'QTR Raw'!BE84</f>
        <v>131.904</v>
      </c>
      <c r="CL165" s="22">
        <f t="shared" si="1409"/>
        <v>131.904</v>
      </c>
      <c r="CM165" s="23">
        <f t="shared" ref="CM165:DA165" si="1437">CM29/90*CM200</f>
        <v>214.81151293567865</v>
      </c>
      <c r="CN165" s="23">
        <f t="shared" si="1437"/>
        <v>330.22388034021145</v>
      </c>
      <c r="CO165" s="23">
        <f t="shared" si="1437"/>
        <v>343.16014210230776</v>
      </c>
      <c r="CP165" s="23">
        <f t="shared" si="1437"/>
        <v>334.63260074862092</v>
      </c>
      <c r="CQ165" s="23">
        <f t="shared" si="1437"/>
        <v>337.06286561089325</v>
      </c>
      <c r="CR165" s="23">
        <f t="shared" si="1437"/>
        <v>468.42169198840554</v>
      </c>
      <c r="CS165" s="23">
        <f t="shared" si="1437"/>
        <v>477.45143290070746</v>
      </c>
      <c r="CT165" s="23">
        <f t="shared" si="1437"/>
        <v>461.30904966226871</v>
      </c>
      <c r="CU165" s="23">
        <f t="shared" si="1437"/>
        <v>458.84787390824249</v>
      </c>
      <c r="CV165" s="23">
        <f t="shared" si="1437"/>
        <v>611.58494639549178</v>
      </c>
      <c r="CW165" s="23">
        <f t="shared" si="1437"/>
        <v>617.96753304940762</v>
      </c>
      <c r="CX165" s="23">
        <f t="shared" si="1437"/>
        <v>594.54434994211078</v>
      </c>
      <c r="CY165" s="23">
        <f t="shared" si="1437"/>
        <v>587.9033249060144</v>
      </c>
      <c r="CZ165" s="23">
        <f t="shared" si="1437"/>
        <v>767.83208303126253</v>
      </c>
      <c r="DA165" s="23">
        <f t="shared" si="1437"/>
        <v>772.4374737538609</v>
      </c>
      <c r="DD165" s="120">
        <v>131.904</v>
      </c>
    </row>
    <row r="166" spans="1:108" s="22" customFormat="1" outlineLevel="1" x14ac:dyDescent="0.2">
      <c r="A166" s="22" t="s">
        <v>64</v>
      </c>
      <c r="B166" s="22">
        <f>'Annual Raw'!C80</f>
        <v>13.46727583</v>
      </c>
      <c r="C166" s="22">
        <f>'Annual Raw'!D80</f>
        <v>15.684007904</v>
      </c>
      <c r="D166" s="22">
        <f>'Annual Raw'!E80</f>
        <v>0</v>
      </c>
      <c r="E166" s="22">
        <f>'Annual Raw'!F80</f>
        <v>0</v>
      </c>
      <c r="F166" s="22">
        <f>'Annual Raw'!G80</f>
        <v>0</v>
      </c>
      <c r="G166" s="22">
        <f>'Annual Raw'!H80</f>
        <v>0</v>
      </c>
      <c r="H166" s="22">
        <f>'Annual Raw'!I80</f>
        <v>0</v>
      </c>
      <c r="I166" s="22">
        <f>'Annual Raw'!J80</f>
        <v>0</v>
      </c>
      <c r="J166" s="22">
        <f>'Annual Raw'!K80</f>
        <v>0</v>
      </c>
      <c r="K166" s="22">
        <f>'Annual Raw'!L80</f>
        <v>0</v>
      </c>
      <c r="L166" s="22">
        <f>'Annual Raw'!M80</f>
        <v>0</v>
      </c>
      <c r="M166" s="22">
        <f>'Annual Raw'!N80</f>
        <v>0</v>
      </c>
      <c r="N166" s="22">
        <f>'Annual Raw'!O80</f>
        <v>0</v>
      </c>
      <c r="O166" s="22">
        <f>'Annual Raw'!P80</f>
        <v>0</v>
      </c>
      <c r="P166" s="22">
        <f>'Annual Raw'!Q80</f>
        <v>0</v>
      </c>
      <c r="Q166" s="22">
        <f>'Annual Raw'!R80</f>
        <v>0</v>
      </c>
      <c r="R166" s="22">
        <f>'Annual Raw'!S80</f>
        <v>0</v>
      </c>
      <c r="S166" s="22">
        <f>'Annual Raw'!T80</f>
        <v>0</v>
      </c>
      <c r="T166" s="22">
        <f>'Annual Raw'!U80</f>
        <v>0</v>
      </c>
      <c r="U166" s="22">
        <f>'Annual Raw'!V80</f>
        <v>0</v>
      </c>
      <c r="V166" s="22">
        <f>'Annual Raw'!W80</f>
        <v>0</v>
      </c>
      <c r="W166" s="22">
        <f>'Annual Raw'!X80</f>
        <v>0</v>
      </c>
      <c r="X166" s="22">
        <f>'Annual Raw'!Y80</f>
        <v>0</v>
      </c>
      <c r="Y166" s="22">
        <f>'Annual Raw'!Z80</f>
        <v>279.81150000000002</v>
      </c>
      <c r="Z166" s="22">
        <f>'Annual Raw'!AA80</f>
        <v>141.547</v>
      </c>
      <c r="AA166" s="22">
        <f>'Annual Raw'!AB80</f>
        <v>129.81319999999999</v>
      </c>
      <c r="AB166" s="23">
        <f t="shared" si="1381"/>
        <v>0</v>
      </c>
      <c r="AC166" s="23">
        <f t="shared" si="1382"/>
        <v>0</v>
      </c>
      <c r="AD166" s="23">
        <f t="shared" si="1383"/>
        <v>0</v>
      </c>
      <c r="AE166" s="23">
        <f t="shared" si="1384"/>
        <v>0</v>
      </c>
      <c r="AI166" s="22">
        <f>+'QTR Raw'!C85</f>
        <v>0</v>
      </c>
      <c r="AJ166" s="22">
        <f t="shared" si="1413"/>
        <v>0</v>
      </c>
      <c r="AK166" s="22">
        <f>+'QTR Raw'!E85</f>
        <v>0</v>
      </c>
      <c r="AL166" s="22">
        <f t="shared" si="1414"/>
        <v>0</v>
      </c>
      <c r="AM166" s="22">
        <f>+'QTR Raw'!G85</f>
        <v>0</v>
      </c>
      <c r="AN166" s="22">
        <f t="shared" si="1415"/>
        <v>0</v>
      </c>
      <c r="AO166" s="22">
        <f>+'QTR Raw'!I85</f>
        <v>0</v>
      </c>
      <c r="AP166" s="22">
        <f t="shared" si="1416"/>
        <v>0</v>
      </c>
      <c r="AQ166" s="22">
        <f>+'QTR Raw'!K85</f>
        <v>0</v>
      </c>
      <c r="AR166" s="22">
        <f t="shared" si="1417"/>
        <v>0</v>
      </c>
      <c r="AS166" s="22">
        <f>+'QTR Raw'!M85</f>
        <v>0</v>
      </c>
      <c r="AT166" s="22">
        <f t="shared" si="1418"/>
        <v>0</v>
      </c>
      <c r="AU166" s="22">
        <f>+'QTR Raw'!O85</f>
        <v>0</v>
      </c>
      <c r="AV166" s="22">
        <f t="shared" si="1419"/>
        <v>0</v>
      </c>
      <c r="AW166" s="22">
        <f>+'QTR Raw'!Q85</f>
        <v>0</v>
      </c>
      <c r="AX166" s="22">
        <f t="shared" si="1420"/>
        <v>0</v>
      </c>
      <c r="AY166" s="22">
        <f>+'QTR Raw'!S85</f>
        <v>0</v>
      </c>
      <c r="AZ166" s="22">
        <f t="shared" si="1421"/>
        <v>0</v>
      </c>
      <c r="BA166" s="22">
        <f>+'QTR Raw'!U85</f>
        <v>0</v>
      </c>
      <c r="BB166" s="22">
        <f t="shared" si="1422"/>
        <v>0</v>
      </c>
      <c r="BC166" s="22">
        <f>+'QTR Raw'!W85</f>
        <v>0</v>
      </c>
      <c r="BD166" s="22">
        <f t="shared" si="1423"/>
        <v>0</v>
      </c>
      <c r="BE166" s="22">
        <f>+'QTR Raw'!Y85</f>
        <v>0</v>
      </c>
      <c r="BF166" s="22">
        <f t="shared" si="1424"/>
        <v>0</v>
      </c>
      <c r="BG166" s="22">
        <f>+'QTR Raw'!AA85</f>
        <v>0</v>
      </c>
      <c r="BH166" s="22">
        <f t="shared" si="1425"/>
        <v>0</v>
      </c>
      <c r="BI166" s="22">
        <f>+'QTR Raw'!AC85</f>
        <v>0</v>
      </c>
      <c r="BJ166" s="22">
        <f t="shared" si="1426"/>
        <v>0</v>
      </c>
      <c r="BK166" s="22">
        <f>+'QTR Raw'!AE85</f>
        <v>0</v>
      </c>
      <c r="BL166" s="22">
        <f t="shared" si="1427"/>
        <v>0</v>
      </c>
      <c r="BM166" s="22">
        <f>+'QTR Raw'!AG85</f>
        <v>0</v>
      </c>
      <c r="BN166" s="22">
        <f t="shared" si="1428"/>
        <v>0</v>
      </c>
      <c r="BO166" s="22">
        <f>+'QTR Raw'!AI85</f>
        <v>0</v>
      </c>
      <c r="BP166" s="22">
        <f t="shared" si="1429"/>
        <v>0</v>
      </c>
      <c r="BQ166" s="22">
        <f>+'QTR Raw'!AK85</f>
        <v>0</v>
      </c>
      <c r="BR166" s="22">
        <f t="shared" si="1430"/>
        <v>0</v>
      </c>
      <c r="BS166" s="22">
        <f>+'QTR Raw'!AM85</f>
        <v>0</v>
      </c>
      <c r="BT166" s="22">
        <f t="shared" si="1431"/>
        <v>0</v>
      </c>
      <c r="BU166" s="22">
        <f>+'QTR Raw'!AO85</f>
        <v>0</v>
      </c>
      <c r="BV166" s="22">
        <f t="shared" si="1432"/>
        <v>0</v>
      </c>
      <c r="BW166" s="22">
        <f>+'QTR Raw'!AQ85</f>
        <v>0</v>
      </c>
      <c r="BX166" s="22">
        <f t="shared" si="1433"/>
        <v>0</v>
      </c>
      <c r="BY166" s="22">
        <f>+'QTR Raw'!AS85</f>
        <v>0</v>
      </c>
      <c r="BZ166" s="22">
        <f t="shared" si="1434"/>
        <v>0</v>
      </c>
      <c r="CA166" s="22">
        <f>+'QTR Raw'!AU85</f>
        <v>0</v>
      </c>
      <c r="CB166" s="22">
        <f t="shared" si="1435"/>
        <v>0</v>
      </c>
      <c r="CC166" s="22">
        <f>+'QTR Raw'!AW85</f>
        <v>0</v>
      </c>
      <c r="CD166" s="22">
        <f t="shared" si="1436"/>
        <v>0</v>
      </c>
      <c r="CE166" s="22">
        <f>+'QTR Raw'!AY85</f>
        <v>0</v>
      </c>
      <c r="CF166" s="22">
        <f t="shared" si="1409"/>
        <v>0</v>
      </c>
      <c r="CG166" s="22">
        <f t="shared" si="1410"/>
        <v>141.547</v>
      </c>
      <c r="CH166" s="22">
        <f t="shared" si="1409"/>
        <v>141.547</v>
      </c>
      <c r="CI166" s="22">
        <f>+'QTR Raw'!BC85</f>
        <v>0</v>
      </c>
      <c r="CJ166" s="22">
        <f t="shared" si="1409"/>
        <v>0</v>
      </c>
      <c r="CK166" s="22">
        <f>+'QTR Raw'!BE85</f>
        <v>0</v>
      </c>
      <c r="CL166" s="22">
        <f t="shared" si="1409"/>
        <v>0</v>
      </c>
      <c r="CM166" s="23"/>
      <c r="CN166" s="23"/>
      <c r="CO166" s="23"/>
      <c r="CP166" s="23"/>
      <c r="CQ166" s="23"/>
      <c r="CR166" s="23"/>
      <c r="CS166" s="23"/>
      <c r="CT166" s="23"/>
      <c r="CU166" s="23"/>
      <c r="CV166" s="23"/>
      <c r="CW166" s="23"/>
      <c r="CX166" s="23"/>
      <c r="CY166" s="23"/>
      <c r="CZ166" s="23"/>
      <c r="DA166" s="23"/>
      <c r="DD166" s="120">
        <v>0</v>
      </c>
    </row>
    <row r="167" spans="1:108" s="21" customFormat="1" x14ac:dyDescent="0.2">
      <c r="A167" s="21" t="s">
        <v>65</v>
      </c>
      <c r="B167" s="21">
        <f>SUM(B161:B166)</f>
        <v>81.650696440000019</v>
      </c>
      <c r="C167" s="21">
        <f t="shared" ref="C167:V167" si="1438">SUM(C161:C166)</f>
        <v>101.887478457</v>
      </c>
      <c r="D167" s="21">
        <f t="shared" si="1438"/>
        <v>0</v>
      </c>
      <c r="E167" s="21">
        <f t="shared" si="1438"/>
        <v>0</v>
      </c>
      <c r="F167" s="21">
        <f t="shared" si="1438"/>
        <v>0</v>
      </c>
      <c r="G167" s="21">
        <f t="shared" si="1438"/>
        <v>0</v>
      </c>
      <c r="H167" s="21">
        <f t="shared" si="1438"/>
        <v>0</v>
      </c>
      <c r="I167" s="21">
        <f t="shared" si="1438"/>
        <v>0</v>
      </c>
      <c r="J167" s="21">
        <f t="shared" si="1438"/>
        <v>0</v>
      </c>
      <c r="K167" s="21">
        <f t="shared" si="1438"/>
        <v>0</v>
      </c>
      <c r="L167" s="21">
        <f>SUM(L161:L166)</f>
        <v>0</v>
      </c>
      <c r="M167" s="21">
        <f>SUM(M161:M166)</f>
        <v>0</v>
      </c>
      <c r="N167" s="21">
        <f t="shared" si="1438"/>
        <v>0</v>
      </c>
      <c r="O167" s="21">
        <f t="shared" si="1438"/>
        <v>0</v>
      </c>
      <c r="P167" s="21">
        <f t="shared" si="1438"/>
        <v>0</v>
      </c>
      <c r="Q167" s="21">
        <f t="shared" si="1438"/>
        <v>0</v>
      </c>
      <c r="R167" s="21">
        <f t="shared" si="1438"/>
        <v>0</v>
      </c>
      <c r="S167" s="21">
        <f t="shared" si="1438"/>
        <v>0</v>
      </c>
      <c r="T167" s="21">
        <f t="shared" si="1438"/>
        <v>0</v>
      </c>
      <c r="U167" s="21">
        <f t="shared" si="1438"/>
        <v>0</v>
      </c>
      <c r="V167" s="21">
        <f t="shared" si="1438"/>
        <v>0</v>
      </c>
      <c r="W167" s="21">
        <f t="shared" ref="W167" si="1439">SUM(W161:W166)</f>
        <v>0</v>
      </c>
      <c r="X167" s="21">
        <f t="shared" ref="X167:Y167" si="1440">SUM(X161:X166)</f>
        <v>0</v>
      </c>
      <c r="Y167" s="21">
        <f t="shared" si="1440"/>
        <v>643.50040000000001</v>
      </c>
      <c r="Z167" s="21">
        <f t="shared" ref="Z167:AA167" si="1441">SUM(Z161:Z166)</f>
        <v>450.01800000000003</v>
      </c>
      <c r="AA167" s="21">
        <f t="shared" si="1441"/>
        <v>396.70160000000004</v>
      </c>
      <c r="AB167" s="20">
        <f t="shared" ref="AA167:AD167" si="1442">SUM(AB161:AB166)</f>
        <v>836.35456871462793</v>
      </c>
      <c r="AC167" s="20">
        <f t="shared" si="1442"/>
        <v>1163.6511303425261</v>
      </c>
      <c r="AD167" s="20">
        <f t="shared" si="1442"/>
        <v>1506.1188820381483</v>
      </c>
      <c r="AE167" s="20">
        <f t="shared" ref="AE167" si="1443">SUM(AE161:AE166)</f>
        <v>1882.5951238469383</v>
      </c>
      <c r="AI167" s="21">
        <f t="shared" ref="AI167:AL167" si="1444">SUM(AI161:AI166)</f>
        <v>0</v>
      </c>
      <c r="AJ167" s="21">
        <f t="shared" si="1444"/>
        <v>0</v>
      </c>
      <c r="AK167" s="21">
        <f t="shared" si="1444"/>
        <v>0</v>
      </c>
      <c r="AL167" s="21">
        <f t="shared" si="1444"/>
        <v>0</v>
      </c>
      <c r="AM167" s="21">
        <f t="shared" ref="AM167:AP167" si="1445">SUM(AM161:AM166)</f>
        <v>0</v>
      </c>
      <c r="AN167" s="21">
        <f t="shared" si="1445"/>
        <v>0</v>
      </c>
      <c r="AO167" s="21">
        <f t="shared" si="1445"/>
        <v>0</v>
      </c>
      <c r="AP167" s="21">
        <f t="shared" si="1445"/>
        <v>0</v>
      </c>
      <c r="AQ167" s="21">
        <f t="shared" ref="AQ167:AT167" si="1446">SUM(AQ161:AQ166)</f>
        <v>0</v>
      </c>
      <c r="AR167" s="21">
        <f t="shared" si="1446"/>
        <v>0</v>
      </c>
      <c r="AS167" s="21">
        <f t="shared" si="1446"/>
        <v>0</v>
      </c>
      <c r="AT167" s="21">
        <f t="shared" si="1446"/>
        <v>0</v>
      </c>
      <c r="AU167" s="21">
        <f t="shared" ref="AU167:AX167" si="1447">SUM(AU161:AU166)</f>
        <v>0</v>
      </c>
      <c r="AV167" s="21">
        <f t="shared" si="1447"/>
        <v>0</v>
      </c>
      <c r="AW167" s="21">
        <f t="shared" si="1447"/>
        <v>0</v>
      </c>
      <c r="AX167" s="21">
        <f t="shared" si="1447"/>
        <v>0</v>
      </c>
      <c r="AY167" s="21">
        <f t="shared" ref="AY167:BB167" si="1448">SUM(AY161:AY166)</f>
        <v>0</v>
      </c>
      <c r="AZ167" s="21">
        <f t="shared" si="1448"/>
        <v>0</v>
      </c>
      <c r="BA167" s="21">
        <f t="shared" si="1448"/>
        <v>0</v>
      </c>
      <c r="BB167" s="21">
        <f t="shared" si="1448"/>
        <v>0</v>
      </c>
      <c r="BC167" s="21">
        <f t="shared" ref="BC167:BF167" si="1449">SUM(BC161:BC166)</f>
        <v>0</v>
      </c>
      <c r="BD167" s="21">
        <f t="shared" si="1449"/>
        <v>0</v>
      </c>
      <c r="BE167" s="21">
        <f t="shared" si="1449"/>
        <v>0</v>
      </c>
      <c r="BF167" s="21">
        <f t="shared" si="1449"/>
        <v>0</v>
      </c>
      <c r="BG167" s="21">
        <f t="shared" ref="BG167:BJ167" si="1450">SUM(BG161:BG166)</f>
        <v>0</v>
      </c>
      <c r="BH167" s="21">
        <f t="shared" si="1450"/>
        <v>0</v>
      </c>
      <c r="BI167" s="21">
        <f t="shared" si="1450"/>
        <v>0</v>
      </c>
      <c r="BJ167" s="21">
        <f t="shared" si="1450"/>
        <v>0</v>
      </c>
      <c r="BK167" s="21">
        <f t="shared" ref="BK167:BN167" si="1451">SUM(BK161:BK166)</f>
        <v>0</v>
      </c>
      <c r="BL167" s="21">
        <f t="shared" si="1451"/>
        <v>0</v>
      </c>
      <c r="BM167" s="21">
        <f t="shared" si="1451"/>
        <v>0</v>
      </c>
      <c r="BN167" s="21">
        <f t="shared" si="1451"/>
        <v>0</v>
      </c>
      <c r="BO167" s="21">
        <f t="shared" ref="BO167:BR167" si="1452">SUM(BO161:BO166)</f>
        <v>0</v>
      </c>
      <c r="BP167" s="21">
        <f t="shared" si="1452"/>
        <v>0</v>
      </c>
      <c r="BQ167" s="21">
        <f t="shared" si="1452"/>
        <v>0</v>
      </c>
      <c r="BR167" s="21">
        <f t="shared" si="1452"/>
        <v>0</v>
      </c>
      <c r="BS167" s="21">
        <f t="shared" ref="BS167:BV167" si="1453">SUM(BS161:BS166)</f>
        <v>0</v>
      </c>
      <c r="BT167" s="21">
        <f t="shared" si="1453"/>
        <v>0</v>
      </c>
      <c r="BU167" s="21">
        <f t="shared" si="1453"/>
        <v>0</v>
      </c>
      <c r="BV167" s="21">
        <f t="shared" si="1453"/>
        <v>0</v>
      </c>
      <c r="BW167" s="21">
        <f t="shared" ref="BW167:BZ167" si="1454">SUM(BW161:BW166)</f>
        <v>0</v>
      </c>
      <c r="BX167" s="21">
        <f t="shared" si="1454"/>
        <v>0</v>
      </c>
      <c r="BY167" s="21">
        <f t="shared" si="1454"/>
        <v>0</v>
      </c>
      <c r="BZ167" s="21">
        <f t="shared" si="1454"/>
        <v>0</v>
      </c>
      <c r="CA167" s="21">
        <f t="shared" ref="CA167:CD167" si="1455">SUM(CA161:CA166)</f>
        <v>0</v>
      </c>
      <c r="CB167" s="21">
        <f t="shared" si="1455"/>
        <v>0</v>
      </c>
      <c r="CC167" s="21">
        <f t="shared" si="1455"/>
        <v>647.54300000000001</v>
      </c>
      <c r="CD167" s="21">
        <f t="shared" si="1455"/>
        <v>551.47529739309891</v>
      </c>
      <c r="CE167" s="21">
        <f t="shared" ref="CE167" si="1456">SUM(CE161:CE166)</f>
        <v>473.62399999999997</v>
      </c>
      <c r="CF167" s="21">
        <f t="shared" ref="CF167:CH167" si="1457">SUM(CF161:CF166)</f>
        <v>423.61255413937636</v>
      </c>
      <c r="CG167" s="21">
        <f t="shared" ref="CG167" si="1458">SUM(CG161:CG166)</f>
        <v>450.01800000000003</v>
      </c>
      <c r="CH167" s="21">
        <f t="shared" si="1457"/>
        <v>894.56942351981638</v>
      </c>
      <c r="CI167" s="21">
        <f t="shared" ref="CI167:CJ167" si="1459">SUM(CI161:CI166)</f>
        <v>387.24299999999999</v>
      </c>
      <c r="CJ167" s="21">
        <f t="shared" si="1459"/>
        <v>433.15040570885799</v>
      </c>
      <c r="CK167" s="21">
        <f t="shared" ref="CK167:CL167" si="1460">SUM(CK161:CK166)</f>
        <v>402.63499999999999</v>
      </c>
      <c r="CL167" s="21">
        <f t="shared" si="1460"/>
        <v>523.32671626748106</v>
      </c>
      <c r="CM167" s="20">
        <f t="shared" ref="CM167:DA167" si="1461">SUM(CM161:CM166)</f>
        <v>523.54154289484438</v>
      </c>
      <c r="CN167" s="20">
        <f t="shared" si="1461"/>
        <v>804.82613548652898</v>
      </c>
      <c r="CO167" s="20">
        <f t="shared" si="1461"/>
        <v>836.35456871462793</v>
      </c>
      <c r="CP167" s="20">
        <f t="shared" si="1461"/>
        <v>815.57112886824677</v>
      </c>
      <c r="CQ167" s="20">
        <f t="shared" si="1461"/>
        <v>821.4942034662929</v>
      </c>
      <c r="CR167" s="20">
        <f t="shared" si="1461"/>
        <v>1141.6437228969912</v>
      </c>
      <c r="CS167" s="20">
        <f t="shared" si="1461"/>
        <v>1163.6511303425261</v>
      </c>
      <c r="CT167" s="20">
        <f t="shared" si="1461"/>
        <v>1124.308694217221</v>
      </c>
      <c r="CU167" s="20">
        <f t="shared" si="1461"/>
        <v>1118.3102831730976</v>
      </c>
      <c r="CV167" s="20">
        <f t="shared" si="1461"/>
        <v>1490.5631549787161</v>
      </c>
      <c r="CW167" s="20">
        <f t="shared" si="1461"/>
        <v>1506.1188820381483</v>
      </c>
      <c r="CX167" s="20">
        <f t="shared" si="1461"/>
        <v>1449.0315813813418</v>
      </c>
      <c r="CY167" s="20">
        <f t="shared" si="1461"/>
        <v>1432.8459847795325</v>
      </c>
      <c r="CZ167" s="20">
        <f t="shared" si="1461"/>
        <v>1871.3708028988117</v>
      </c>
      <c r="DA167" s="20">
        <f t="shared" si="1461"/>
        <v>1882.5951238469383</v>
      </c>
      <c r="DD167" s="122">
        <v>402.63499999999999</v>
      </c>
    </row>
    <row r="168" spans="1:108" s="22" customFormat="1" outlineLevel="1" x14ac:dyDescent="0.2">
      <c r="A168" s="22" t="s">
        <v>66</v>
      </c>
      <c r="B168" s="22">
        <f>'Annual Raw'!C50+'Annual Raw'!C58</f>
        <v>0</v>
      </c>
      <c r="C168" s="22">
        <f>'Annual Raw'!D50+'Annual Raw'!D58</f>
        <v>0</v>
      </c>
      <c r="D168" s="22">
        <f>'Annual Raw'!E50+'Annual Raw'!E58</f>
        <v>0</v>
      </c>
      <c r="E168" s="22">
        <f>'Annual Raw'!F50+'Annual Raw'!F58</f>
        <v>0</v>
      </c>
      <c r="F168" s="22">
        <f>'Annual Raw'!G50+'Annual Raw'!G58</f>
        <v>0</v>
      </c>
      <c r="G168" s="22">
        <f>'Annual Raw'!H50+'Annual Raw'!H58</f>
        <v>0</v>
      </c>
      <c r="H168" s="22">
        <f>'Annual Raw'!I50+'Annual Raw'!I58</f>
        <v>0</v>
      </c>
      <c r="I168" s="22">
        <f>'Annual Raw'!J50+'Annual Raw'!J58</f>
        <v>0</v>
      </c>
      <c r="J168" s="22">
        <f>'Annual Raw'!K50+'Annual Raw'!K58</f>
        <v>0</v>
      </c>
      <c r="K168" s="22">
        <f>'Annual Raw'!L50+'Annual Raw'!L58</f>
        <v>0</v>
      </c>
      <c r="L168" s="22">
        <f>'Annual Raw'!M50+'Annual Raw'!M58</f>
        <v>0</v>
      </c>
      <c r="M168" s="22">
        <f>'Annual Raw'!N50+'Annual Raw'!N58</f>
        <v>0</v>
      </c>
      <c r="N168" s="22">
        <f>'Annual Raw'!O50+'Annual Raw'!O58</f>
        <v>0</v>
      </c>
      <c r="O168" s="22">
        <f>'Annual Raw'!P50+'Annual Raw'!P58</f>
        <v>0</v>
      </c>
      <c r="P168" s="22">
        <f>'Annual Raw'!Q50+'Annual Raw'!Q58</f>
        <v>0</v>
      </c>
      <c r="Q168" s="22">
        <f>'Annual Raw'!R50+'Annual Raw'!R58</f>
        <v>0</v>
      </c>
      <c r="R168" s="22">
        <f>'Annual Raw'!S50+'Annual Raw'!S58</f>
        <v>0</v>
      </c>
      <c r="S168" s="22">
        <f>'Annual Raw'!T50+'Annual Raw'!T58</f>
        <v>0</v>
      </c>
      <c r="T168" s="22">
        <f>'Annual Raw'!U50+'Annual Raw'!U58</f>
        <v>0</v>
      </c>
      <c r="U168" s="22">
        <f>'Annual Raw'!V50+'Annual Raw'!V58</f>
        <v>0</v>
      </c>
      <c r="V168" s="22">
        <f>'Annual Raw'!W50+'Annual Raw'!W58</f>
        <v>0</v>
      </c>
      <c r="W168" s="22">
        <f>'Annual Raw'!X50+'Annual Raw'!X58</f>
        <v>0</v>
      </c>
      <c r="X168" s="22">
        <f>'Annual Raw'!Y50+'Annual Raw'!Y58</f>
        <v>0</v>
      </c>
      <c r="Y168" s="22">
        <f>'Annual Raw'!Z50+'Annual Raw'!Z58</f>
        <v>1.5674999999999999</v>
      </c>
      <c r="Z168" s="22">
        <f>'Annual Raw'!AA50+'Annual Raw'!AA58</f>
        <v>4.5339</v>
      </c>
      <c r="AA168" s="22">
        <f>'Annual Raw'!AB50+'Annual Raw'!AB58</f>
        <v>3.7435</v>
      </c>
      <c r="AB168" s="23">
        <f t="shared" ref="AB168:AB174" si="1462">+CO168</f>
        <v>0</v>
      </c>
      <c r="AC168" s="23">
        <f t="shared" ref="AC168:AC174" si="1463">+CS168</f>
        <v>0</v>
      </c>
      <c r="AD168" s="23">
        <f t="shared" ref="AD168:AD174" si="1464">+CW168</f>
        <v>0</v>
      </c>
      <c r="AE168" s="23">
        <f t="shared" ref="AE168:AE174" si="1465">+DA168</f>
        <v>0</v>
      </c>
      <c r="AI168" s="22">
        <f>+'QTR Raw'!C64</f>
        <v>0</v>
      </c>
      <c r="AJ168" s="22">
        <f t="shared" ref="AJ168:AJ171" si="1466">+AI168</f>
        <v>0</v>
      </c>
      <c r="AK168" s="22">
        <f>+'QTR Raw'!E64</f>
        <v>0</v>
      </c>
      <c r="AL168" s="22">
        <f t="shared" ref="AL168:AL171" si="1467">+AK168</f>
        <v>0</v>
      </c>
      <c r="AM168" s="22">
        <f>+'QTR Raw'!G64</f>
        <v>0</v>
      </c>
      <c r="AN168" s="22">
        <f t="shared" ref="AN168:AN171" si="1468">+AM168</f>
        <v>0</v>
      </c>
      <c r="AO168" s="22">
        <f>+'QTR Raw'!I64</f>
        <v>0</v>
      </c>
      <c r="AP168" s="22">
        <f t="shared" ref="AP168:AP171" si="1469">+AO168</f>
        <v>0</v>
      </c>
      <c r="AQ168" s="22">
        <f>+'QTR Raw'!K64</f>
        <v>0</v>
      </c>
      <c r="AR168" s="22">
        <f t="shared" ref="AR168:AR171" si="1470">+AQ168</f>
        <v>0</v>
      </c>
      <c r="AS168" s="22">
        <f>+'QTR Raw'!M64</f>
        <v>0</v>
      </c>
      <c r="AT168" s="22">
        <f t="shared" ref="AT168:AT171" si="1471">+AS168</f>
        <v>0</v>
      </c>
      <c r="AU168" s="22">
        <f>+'QTR Raw'!O64</f>
        <v>0</v>
      </c>
      <c r="AV168" s="22">
        <f t="shared" ref="AV168:AV171" si="1472">+AU168</f>
        <v>0</v>
      </c>
      <c r="AW168" s="22">
        <f>+'QTR Raw'!Q64</f>
        <v>0</v>
      </c>
      <c r="AX168" s="22">
        <f t="shared" ref="AX168:AX171" si="1473">+AW168</f>
        <v>0</v>
      </c>
      <c r="AY168" s="22">
        <f>+'QTR Raw'!S64</f>
        <v>0</v>
      </c>
      <c r="AZ168" s="22">
        <f t="shared" ref="AZ168:AZ171" si="1474">+AY168</f>
        <v>0</v>
      </c>
      <c r="BA168" s="22">
        <f>+'QTR Raw'!U64</f>
        <v>0</v>
      </c>
      <c r="BB168" s="22">
        <f t="shared" ref="BB168:BB171" si="1475">+BA168</f>
        <v>0</v>
      </c>
      <c r="BC168" s="22">
        <f>+'QTR Raw'!W64</f>
        <v>0</v>
      </c>
      <c r="BD168" s="22">
        <f t="shared" ref="BD168:BD171" si="1476">+BC168</f>
        <v>0</v>
      </c>
      <c r="BE168" s="22">
        <f>+'QTR Raw'!Y64</f>
        <v>0</v>
      </c>
      <c r="BF168" s="22">
        <f t="shared" ref="BF168:BF171" si="1477">+BE168</f>
        <v>0</v>
      </c>
      <c r="BG168" s="22">
        <f>+'QTR Raw'!AA64</f>
        <v>0</v>
      </c>
      <c r="BH168" s="22">
        <f t="shared" ref="BH168:BH171" si="1478">+BG168</f>
        <v>0</v>
      </c>
      <c r="BI168" s="22">
        <f>+'QTR Raw'!AC64</f>
        <v>0</v>
      </c>
      <c r="BJ168" s="22">
        <f t="shared" ref="BJ168:BJ171" si="1479">+BI168</f>
        <v>0</v>
      </c>
      <c r="BK168" s="22">
        <f>+'QTR Raw'!AE64</f>
        <v>0</v>
      </c>
      <c r="BL168" s="22">
        <f t="shared" ref="BL168:BL171" si="1480">+BK168</f>
        <v>0</v>
      </c>
      <c r="BM168" s="22">
        <f>+'QTR Raw'!AG64</f>
        <v>0</v>
      </c>
      <c r="BN168" s="22">
        <f t="shared" ref="BN168:BN171" si="1481">+BM168</f>
        <v>0</v>
      </c>
      <c r="BO168" s="22">
        <f>+'QTR Raw'!AI64</f>
        <v>0</v>
      </c>
      <c r="BP168" s="22">
        <f t="shared" ref="BP168:BP171" si="1482">+BO168</f>
        <v>0</v>
      </c>
      <c r="BQ168" s="22">
        <f>+'QTR Raw'!AK64</f>
        <v>0</v>
      </c>
      <c r="BR168" s="22">
        <f t="shared" ref="BR168:BR171" si="1483">+BQ168</f>
        <v>0</v>
      </c>
      <c r="BS168" s="22">
        <f>+'QTR Raw'!AM64</f>
        <v>0</v>
      </c>
      <c r="BT168" s="22">
        <f t="shared" ref="BT168:BT171" si="1484">+BS168</f>
        <v>0</v>
      </c>
      <c r="BU168" s="22">
        <f>+'QTR Raw'!AO64</f>
        <v>0</v>
      </c>
      <c r="BV168" s="22">
        <f t="shared" ref="BV168:BV171" si="1485">+BU168</f>
        <v>0</v>
      </c>
      <c r="BW168" s="22">
        <f>+'QTR Raw'!AQ64</f>
        <v>0</v>
      </c>
      <c r="BX168" s="22">
        <f t="shared" ref="BX168:BX171" si="1486">+BW168</f>
        <v>0</v>
      </c>
      <c r="BY168" s="22">
        <f>+'QTR Raw'!AS64</f>
        <v>0</v>
      </c>
      <c r="BZ168" s="22">
        <f t="shared" ref="BZ168:BZ171" si="1487">+BY168</f>
        <v>0</v>
      </c>
      <c r="CA168" s="22">
        <f>+'QTR Raw'!AU64</f>
        <v>0</v>
      </c>
      <c r="CB168" s="22">
        <f t="shared" ref="CB168:CB171" si="1488">+CA168</f>
        <v>0</v>
      </c>
      <c r="CC168" s="22">
        <f>+'QTR Raw'!AW64</f>
        <v>1.5680000000000001</v>
      </c>
      <c r="CD168" s="22">
        <f t="shared" ref="CD168:CD171" si="1489">+CC168</f>
        <v>1.5680000000000001</v>
      </c>
      <c r="CE168" s="22">
        <f>+'QTR Raw'!AY64</f>
        <v>4.8019999999999996</v>
      </c>
      <c r="CF168" s="22">
        <f t="shared" ref="CF168:CL174" si="1490">+CE168</f>
        <v>4.8019999999999996</v>
      </c>
      <c r="CG168" s="22">
        <f t="shared" ref="CG168:CG174" si="1491">+Z168</f>
        <v>4.5339</v>
      </c>
      <c r="CH168" s="22">
        <f t="shared" si="1490"/>
        <v>4.5339</v>
      </c>
      <c r="CI168" s="22">
        <f>+'QTR Raw'!BC64</f>
        <v>3.7210000000000001</v>
      </c>
      <c r="CJ168" s="22">
        <f t="shared" si="1490"/>
        <v>3.7210000000000001</v>
      </c>
      <c r="CK168" s="22">
        <f>+'QTR Raw'!BE64</f>
        <v>3.7440000000000002</v>
      </c>
      <c r="CL168" s="22">
        <f t="shared" si="1490"/>
        <v>3.7440000000000002</v>
      </c>
      <c r="CM168" s="23"/>
      <c r="CN168" s="23"/>
      <c r="CO168" s="23"/>
      <c r="CP168" s="23"/>
      <c r="CQ168" s="23"/>
      <c r="CR168" s="23"/>
      <c r="CS168" s="23"/>
      <c r="CT168" s="23"/>
      <c r="CU168" s="23"/>
      <c r="CV168" s="23"/>
      <c r="CW168" s="23"/>
      <c r="CX168" s="23"/>
      <c r="CY168" s="23"/>
      <c r="CZ168" s="23"/>
      <c r="DA168" s="23"/>
      <c r="DD168" s="120">
        <v>3.7440000000000002</v>
      </c>
    </row>
    <row r="169" spans="1:108" s="22" customFormat="1" outlineLevel="1" x14ac:dyDescent="0.2">
      <c r="A169" s="22" t="s">
        <v>67</v>
      </c>
      <c r="B169" s="22">
        <f>'Annual Raw'!C51</f>
        <v>0</v>
      </c>
      <c r="C169" s="22">
        <f>'Annual Raw'!D51</f>
        <v>0</v>
      </c>
      <c r="D169" s="22">
        <f>'Annual Raw'!E51</f>
        <v>0</v>
      </c>
      <c r="E169" s="22">
        <f>'Annual Raw'!F51</f>
        <v>0</v>
      </c>
      <c r="F169" s="22">
        <f>'Annual Raw'!G51</f>
        <v>0</v>
      </c>
      <c r="G169" s="22">
        <f>'Annual Raw'!H51</f>
        <v>0</v>
      </c>
      <c r="H169" s="22">
        <f>'Annual Raw'!I51</f>
        <v>0</v>
      </c>
      <c r="I169" s="22">
        <f>'Annual Raw'!J51</f>
        <v>0</v>
      </c>
      <c r="J169" s="22">
        <f>'Annual Raw'!K51</f>
        <v>0</v>
      </c>
      <c r="K169" s="22">
        <f>'Annual Raw'!L51</f>
        <v>0</v>
      </c>
      <c r="L169" s="22">
        <f>'Annual Raw'!M51</f>
        <v>0</v>
      </c>
      <c r="M169" s="22">
        <f>'Annual Raw'!N51</f>
        <v>0</v>
      </c>
      <c r="N169" s="22">
        <f>'Annual Raw'!O51</f>
        <v>0</v>
      </c>
      <c r="O169" s="22">
        <f>'Annual Raw'!P51</f>
        <v>0</v>
      </c>
      <c r="P169" s="22">
        <f>'Annual Raw'!Q51</f>
        <v>0</v>
      </c>
      <c r="Q169" s="22">
        <f>'Annual Raw'!R51</f>
        <v>0</v>
      </c>
      <c r="R169" s="22">
        <f>'Annual Raw'!S51</f>
        <v>0</v>
      </c>
      <c r="S169" s="22">
        <f>'Annual Raw'!T51</f>
        <v>0</v>
      </c>
      <c r="T169" s="22">
        <f>'Annual Raw'!U51</f>
        <v>0</v>
      </c>
      <c r="U169" s="22">
        <f>'Annual Raw'!V51</f>
        <v>0</v>
      </c>
      <c r="V169" s="22">
        <f>'Annual Raw'!W51</f>
        <v>0</v>
      </c>
      <c r="W169" s="22">
        <f>'Annual Raw'!X51</f>
        <v>0</v>
      </c>
      <c r="X169" s="22">
        <f>'Annual Raw'!Y51</f>
        <v>0</v>
      </c>
      <c r="Y169" s="22">
        <f>'Annual Raw'!Z51</f>
        <v>22.875900000000001</v>
      </c>
      <c r="Z169" s="22">
        <f>'Annual Raw'!AA51</f>
        <v>18.361799999999999</v>
      </c>
      <c r="AA169" s="22">
        <f>'Annual Raw'!AB51</f>
        <v>7.3240999999999996</v>
      </c>
      <c r="AB169" s="23">
        <f t="shared" si="1462"/>
        <v>0</v>
      </c>
      <c r="AC169" s="23">
        <f t="shared" si="1463"/>
        <v>0</v>
      </c>
      <c r="AD169" s="23">
        <f t="shared" si="1464"/>
        <v>0</v>
      </c>
      <c r="AE169" s="23">
        <f t="shared" si="1465"/>
        <v>0</v>
      </c>
      <c r="AI169" s="22">
        <f>+'QTR Raw'!C65</f>
        <v>0</v>
      </c>
      <c r="AJ169" s="22">
        <f t="shared" si="1466"/>
        <v>0</v>
      </c>
      <c r="AK169" s="22">
        <f>+'QTR Raw'!E65</f>
        <v>0</v>
      </c>
      <c r="AL169" s="22">
        <f t="shared" si="1467"/>
        <v>0</v>
      </c>
      <c r="AM169" s="22">
        <f>+'QTR Raw'!G65</f>
        <v>0</v>
      </c>
      <c r="AN169" s="22">
        <f t="shared" si="1468"/>
        <v>0</v>
      </c>
      <c r="AO169" s="22">
        <f>+'QTR Raw'!I65</f>
        <v>0</v>
      </c>
      <c r="AP169" s="22">
        <f t="shared" si="1469"/>
        <v>0</v>
      </c>
      <c r="AQ169" s="22">
        <f>+'QTR Raw'!K65</f>
        <v>0</v>
      </c>
      <c r="AR169" s="22">
        <f t="shared" si="1470"/>
        <v>0</v>
      </c>
      <c r="AS169" s="22">
        <f>+'QTR Raw'!M65</f>
        <v>0</v>
      </c>
      <c r="AT169" s="22">
        <f t="shared" si="1471"/>
        <v>0</v>
      </c>
      <c r="AU169" s="22">
        <f>+'QTR Raw'!O65</f>
        <v>0</v>
      </c>
      <c r="AV169" s="22">
        <f t="shared" si="1472"/>
        <v>0</v>
      </c>
      <c r="AW169" s="22">
        <f>+'QTR Raw'!Q65</f>
        <v>0</v>
      </c>
      <c r="AX169" s="22">
        <f t="shared" si="1473"/>
        <v>0</v>
      </c>
      <c r="AY169" s="22">
        <f>+'QTR Raw'!S65</f>
        <v>0</v>
      </c>
      <c r="AZ169" s="22">
        <f t="shared" si="1474"/>
        <v>0</v>
      </c>
      <c r="BA169" s="22">
        <f>+'QTR Raw'!U65</f>
        <v>0</v>
      </c>
      <c r="BB169" s="22">
        <f t="shared" si="1475"/>
        <v>0</v>
      </c>
      <c r="BC169" s="22">
        <f>+'QTR Raw'!W65</f>
        <v>0</v>
      </c>
      <c r="BD169" s="22">
        <f t="shared" si="1476"/>
        <v>0</v>
      </c>
      <c r="BE169" s="22">
        <f>+'QTR Raw'!Y65</f>
        <v>0</v>
      </c>
      <c r="BF169" s="22">
        <f t="shared" si="1477"/>
        <v>0</v>
      </c>
      <c r="BG169" s="22">
        <f>+'QTR Raw'!AA65</f>
        <v>0</v>
      </c>
      <c r="BH169" s="22">
        <f t="shared" si="1478"/>
        <v>0</v>
      </c>
      <c r="BI169" s="22">
        <f>+'QTR Raw'!AC65</f>
        <v>0</v>
      </c>
      <c r="BJ169" s="22">
        <f t="shared" si="1479"/>
        <v>0</v>
      </c>
      <c r="BK169" s="22">
        <f>+'QTR Raw'!AE65</f>
        <v>0</v>
      </c>
      <c r="BL169" s="22">
        <f t="shared" si="1480"/>
        <v>0</v>
      </c>
      <c r="BM169" s="22">
        <f>+'QTR Raw'!AG65</f>
        <v>0</v>
      </c>
      <c r="BN169" s="22">
        <f t="shared" si="1481"/>
        <v>0</v>
      </c>
      <c r="BO169" s="22">
        <f>+'QTR Raw'!AI65</f>
        <v>0</v>
      </c>
      <c r="BP169" s="22">
        <f t="shared" si="1482"/>
        <v>0</v>
      </c>
      <c r="BQ169" s="22">
        <f>+'QTR Raw'!AK65</f>
        <v>0</v>
      </c>
      <c r="BR169" s="22">
        <f t="shared" si="1483"/>
        <v>0</v>
      </c>
      <c r="BS169" s="22">
        <f>+'QTR Raw'!AM65</f>
        <v>0</v>
      </c>
      <c r="BT169" s="22">
        <f t="shared" si="1484"/>
        <v>0</v>
      </c>
      <c r="BU169" s="22">
        <f>+'QTR Raw'!AO65</f>
        <v>0</v>
      </c>
      <c r="BV169" s="22">
        <f t="shared" si="1485"/>
        <v>0</v>
      </c>
      <c r="BW169" s="22">
        <f>+'QTR Raw'!AQ65</f>
        <v>0</v>
      </c>
      <c r="BX169" s="22">
        <f t="shared" si="1486"/>
        <v>0</v>
      </c>
      <c r="BY169" s="22">
        <f>+'QTR Raw'!AS65</f>
        <v>0</v>
      </c>
      <c r="BZ169" s="22">
        <f t="shared" si="1487"/>
        <v>0</v>
      </c>
      <c r="CA169" s="22">
        <f>+'QTR Raw'!AU65</f>
        <v>0</v>
      </c>
      <c r="CB169" s="22">
        <f t="shared" si="1488"/>
        <v>0</v>
      </c>
      <c r="CC169" s="22">
        <f>+'QTR Raw'!AW65</f>
        <v>22.876000000000001</v>
      </c>
      <c r="CD169" s="22">
        <f t="shared" si="1489"/>
        <v>22.876000000000001</v>
      </c>
      <c r="CE169" s="22">
        <f>+'QTR Raw'!AY65</f>
        <v>22.65</v>
      </c>
      <c r="CF169" s="22">
        <f t="shared" si="1490"/>
        <v>22.65</v>
      </c>
      <c r="CG169" s="22">
        <f t="shared" si="1491"/>
        <v>18.361799999999999</v>
      </c>
      <c r="CH169" s="22">
        <f t="shared" si="1490"/>
        <v>18.361799999999999</v>
      </c>
      <c r="CI169" s="22">
        <f>+'QTR Raw'!BC65</f>
        <v>14.401999999999999</v>
      </c>
      <c r="CJ169" s="22">
        <f t="shared" si="1490"/>
        <v>14.401999999999999</v>
      </c>
      <c r="CK169" s="22">
        <f>+'QTR Raw'!BE65</f>
        <v>7.3239999999999998</v>
      </c>
      <c r="CL169" s="22">
        <f t="shared" si="1490"/>
        <v>7.3239999999999998</v>
      </c>
      <c r="CM169" s="23"/>
      <c r="CN169" s="23"/>
      <c r="CO169" s="23"/>
      <c r="CP169" s="23"/>
      <c r="CQ169" s="23"/>
      <c r="CR169" s="23"/>
      <c r="CS169" s="23"/>
      <c r="CT169" s="23"/>
      <c r="CU169" s="23"/>
      <c r="CV169" s="23"/>
      <c r="CW169" s="23"/>
      <c r="CX169" s="23"/>
      <c r="CY169" s="23"/>
      <c r="CZ169" s="23"/>
      <c r="DA169" s="23"/>
      <c r="DD169" s="120">
        <v>7.3239999999999998</v>
      </c>
    </row>
    <row r="170" spans="1:108" s="22" customFormat="1" outlineLevel="1" x14ac:dyDescent="0.2">
      <c r="A170" s="22" t="s">
        <v>68</v>
      </c>
      <c r="B170" s="22">
        <f>'Annual Raw'!C52</f>
        <v>0</v>
      </c>
      <c r="C170" s="22">
        <f>'Annual Raw'!D52</f>
        <v>0</v>
      </c>
      <c r="D170" s="22">
        <f>'Annual Raw'!E52</f>
        <v>0</v>
      </c>
      <c r="E170" s="22">
        <f>'Annual Raw'!F52</f>
        <v>0</v>
      </c>
      <c r="F170" s="22">
        <f>'Annual Raw'!G52</f>
        <v>0</v>
      </c>
      <c r="G170" s="22">
        <f>'Annual Raw'!H52</f>
        <v>0</v>
      </c>
      <c r="H170" s="22">
        <f>'Annual Raw'!I52</f>
        <v>0</v>
      </c>
      <c r="I170" s="22">
        <f>'Annual Raw'!J52</f>
        <v>0</v>
      </c>
      <c r="J170" s="22">
        <f>'Annual Raw'!K52</f>
        <v>0</v>
      </c>
      <c r="K170" s="22">
        <f>'Annual Raw'!L52</f>
        <v>0</v>
      </c>
      <c r="L170" s="22">
        <f>'Annual Raw'!M52</f>
        <v>0</v>
      </c>
      <c r="M170" s="22">
        <f>'Annual Raw'!N52</f>
        <v>0</v>
      </c>
      <c r="N170" s="22">
        <f>'Annual Raw'!O52</f>
        <v>0</v>
      </c>
      <c r="O170" s="22">
        <f>'Annual Raw'!P52</f>
        <v>0</v>
      </c>
      <c r="P170" s="22">
        <f>'Annual Raw'!Q52</f>
        <v>0</v>
      </c>
      <c r="Q170" s="22">
        <f>'Annual Raw'!R52</f>
        <v>0</v>
      </c>
      <c r="R170" s="22">
        <f>'Annual Raw'!S52</f>
        <v>0</v>
      </c>
      <c r="S170" s="22">
        <f>'Annual Raw'!T52</f>
        <v>0</v>
      </c>
      <c r="T170" s="22">
        <f>'Annual Raw'!U52</f>
        <v>0</v>
      </c>
      <c r="U170" s="22">
        <f>'Annual Raw'!V52</f>
        <v>0</v>
      </c>
      <c r="V170" s="22">
        <f>'Annual Raw'!W52</f>
        <v>0</v>
      </c>
      <c r="W170" s="22">
        <f>'Annual Raw'!X52</f>
        <v>0</v>
      </c>
      <c r="X170" s="22">
        <f>'Annual Raw'!Y52</f>
        <v>0</v>
      </c>
      <c r="Y170" s="22">
        <f>'Annual Raw'!Z52</f>
        <v>14.978400000000001</v>
      </c>
      <c r="Z170" s="22">
        <f>'Annual Raw'!AA52</f>
        <v>12.247</v>
      </c>
      <c r="AA170" s="22">
        <f>'Annual Raw'!AB52</f>
        <v>11.396599999999999</v>
      </c>
      <c r="AB170" s="23">
        <f t="shared" si="1462"/>
        <v>0</v>
      </c>
      <c r="AC170" s="23">
        <f t="shared" si="1463"/>
        <v>0</v>
      </c>
      <c r="AD170" s="23">
        <f t="shared" si="1464"/>
        <v>0</v>
      </c>
      <c r="AE170" s="23">
        <f t="shared" si="1465"/>
        <v>0</v>
      </c>
      <c r="AI170" s="22">
        <f>+'QTR Raw'!C66</f>
        <v>0</v>
      </c>
      <c r="AJ170" s="22">
        <f t="shared" si="1466"/>
        <v>0</v>
      </c>
      <c r="AK170" s="22">
        <f>+'QTR Raw'!E66</f>
        <v>0</v>
      </c>
      <c r="AL170" s="22">
        <f t="shared" si="1467"/>
        <v>0</v>
      </c>
      <c r="AM170" s="22">
        <f>+'QTR Raw'!G66</f>
        <v>0</v>
      </c>
      <c r="AN170" s="22">
        <f t="shared" si="1468"/>
        <v>0</v>
      </c>
      <c r="AO170" s="22">
        <f>+'QTR Raw'!I66</f>
        <v>0</v>
      </c>
      <c r="AP170" s="22">
        <f t="shared" si="1469"/>
        <v>0</v>
      </c>
      <c r="AQ170" s="22">
        <f>+'QTR Raw'!K66</f>
        <v>0</v>
      </c>
      <c r="AR170" s="22">
        <f t="shared" si="1470"/>
        <v>0</v>
      </c>
      <c r="AS170" s="22">
        <f>+'QTR Raw'!M66</f>
        <v>0</v>
      </c>
      <c r="AT170" s="22">
        <f t="shared" si="1471"/>
        <v>0</v>
      </c>
      <c r="AU170" s="22">
        <f>+'QTR Raw'!O66</f>
        <v>0</v>
      </c>
      <c r="AV170" s="22">
        <f t="shared" si="1472"/>
        <v>0</v>
      </c>
      <c r="AW170" s="22">
        <f>+'QTR Raw'!Q66</f>
        <v>0</v>
      </c>
      <c r="AX170" s="22">
        <f t="shared" si="1473"/>
        <v>0</v>
      </c>
      <c r="AY170" s="22">
        <f>+'QTR Raw'!S66</f>
        <v>0</v>
      </c>
      <c r="AZ170" s="22">
        <f t="shared" si="1474"/>
        <v>0</v>
      </c>
      <c r="BA170" s="22">
        <f>+'QTR Raw'!U66</f>
        <v>0</v>
      </c>
      <c r="BB170" s="22">
        <f t="shared" si="1475"/>
        <v>0</v>
      </c>
      <c r="BC170" s="22">
        <f>+'QTR Raw'!W66</f>
        <v>0</v>
      </c>
      <c r="BD170" s="22">
        <f t="shared" si="1476"/>
        <v>0</v>
      </c>
      <c r="BE170" s="22">
        <f>+'QTR Raw'!Y66</f>
        <v>0</v>
      </c>
      <c r="BF170" s="22">
        <f t="shared" si="1477"/>
        <v>0</v>
      </c>
      <c r="BG170" s="22">
        <f>+'QTR Raw'!AA66</f>
        <v>0</v>
      </c>
      <c r="BH170" s="22">
        <f t="shared" si="1478"/>
        <v>0</v>
      </c>
      <c r="BI170" s="22">
        <f>+'QTR Raw'!AC66</f>
        <v>0</v>
      </c>
      <c r="BJ170" s="22">
        <f t="shared" si="1479"/>
        <v>0</v>
      </c>
      <c r="BK170" s="22">
        <f>+'QTR Raw'!AE66</f>
        <v>0</v>
      </c>
      <c r="BL170" s="22">
        <f t="shared" si="1480"/>
        <v>0</v>
      </c>
      <c r="BM170" s="22">
        <f>+'QTR Raw'!AG66</f>
        <v>0</v>
      </c>
      <c r="BN170" s="22">
        <f t="shared" si="1481"/>
        <v>0</v>
      </c>
      <c r="BO170" s="22">
        <f>+'QTR Raw'!AI66</f>
        <v>0</v>
      </c>
      <c r="BP170" s="22">
        <f t="shared" si="1482"/>
        <v>0</v>
      </c>
      <c r="BQ170" s="22">
        <f>+'QTR Raw'!AK66</f>
        <v>0</v>
      </c>
      <c r="BR170" s="22">
        <f t="shared" si="1483"/>
        <v>0</v>
      </c>
      <c r="BS170" s="22">
        <f>+'QTR Raw'!AM66</f>
        <v>0</v>
      </c>
      <c r="BT170" s="22">
        <f t="shared" si="1484"/>
        <v>0</v>
      </c>
      <c r="BU170" s="22">
        <f>+'QTR Raw'!AO66</f>
        <v>0</v>
      </c>
      <c r="BV170" s="22">
        <f t="shared" si="1485"/>
        <v>0</v>
      </c>
      <c r="BW170" s="22">
        <f>+'QTR Raw'!AQ66</f>
        <v>0</v>
      </c>
      <c r="BX170" s="22">
        <f t="shared" si="1486"/>
        <v>0</v>
      </c>
      <c r="BY170" s="22">
        <f>+'QTR Raw'!AS66</f>
        <v>0</v>
      </c>
      <c r="BZ170" s="22">
        <f t="shared" si="1487"/>
        <v>0</v>
      </c>
      <c r="CA170" s="22">
        <f>+'QTR Raw'!AU66</f>
        <v>0</v>
      </c>
      <c r="CB170" s="22">
        <f t="shared" si="1488"/>
        <v>0</v>
      </c>
      <c r="CC170" s="22">
        <f>+'QTR Raw'!AW66</f>
        <v>14.978</v>
      </c>
      <c r="CD170" s="22">
        <f t="shared" si="1489"/>
        <v>14.978</v>
      </c>
      <c r="CE170" s="22">
        <f>+'QTR Raw'!AY66</f>
        <v>2.323</v>
      </c>
      <c r="CF170" s="22">
        <f t="shared" si="1490"/>
        <v>2.323</v>
      </c>
      <c r="CG170" s="22">
        <f t="shared" si="1491"/>
        <v>12.247</v>
      </c>
      <c r="CH170" s="22">
        <f t="shared" si="1490"/>
        <v>12.247</v>
      </c>
      <c r="CI170" s="22">
        <f>+'QTR Raw'!BC66</f>
        <v>3.63</v>
      </c>
      <c r="CJ170" s="22">
        <f t="shared" si="1490"/>
        <v>3.63</v>
      </c>
      <c r="CK170" s="22">
        <f>+'QTR Raw'!BE66</f>
        <v>11.397</v>
      </c>
      <c r="CL170" s="22">
        <f t="shared" si="1490"/>
        <v>11.397</v>
      </c>
      <c r="CM170" s="23"/>
      <c r="CN170" s="23"/>
      <c r="CO170" s="23"/>
      <c r="CP170" s="23"/>
      <c r="CQ170" s="23"/>
      <c r="CR170" s="23"/>
      <c r="CS170" s="23"/>
      <c r="CT170" s="23"/>
      <c r="CU170" s="23"/>
      <c r="CV170" s="23"/>
      <c r="CW170" s="23"/>
      <c r="CX170" s="23"/>
      <c r="CY170" s="23"/>
      <c r="CZ170" s="23"/>
      <c r="DA170" s="23"/>
      <c r="DD170" s="120">
        <v>11.397</v>
      </c>
    </row>
    <row r="171" spans="1:108" s="22" customFormat="1" outlineLevel="1" x14ac:dyDescent="0.2">
      <c r="A171" s="22" t="s">
        <v>69</v>
      </c>
      <c r="B171" s="22">
        <v>0</v>
      </c>
      <c r="C171" s="22">
        <v>0</v>
      </c>
      <c r="D171" s="22">
        <v>0</v>
      </c>
      <c r="E171" s="22">
        <v>0</v>
      </c>
      <c r="F171" s="22">
        <v>0</v>
      </c>
      <c r="G171" s="22">
        <v>0</v>
      </c>
      <c r="H171" s="22">
        <v>0</v>
      </c>
      <c r="I171" s="22">
        <v>0</v>
      </c>
      <c r="J171" s="22">
        <v>0</v>
      </c>
      <c r="K171" s="22">
        <v>0</v>
      </c>
      <c r="L171" s="22">
        <v>0</v>
      </c>
      <c r="M171" s="22">
        <v>0</v>
      </c>
      <c r="N171" s="22">
        <v>0</v>
      </c>
      <c r="O171" s="22">
        <v>0</v>
      </c>
      <c r="P171" s="22">
        <v>0</v>
      </c>
      <c r="Q171" s="22">
        <v>0</v>
      </c>
      <c r="R171" s="22">
        <v>0</v>
      </c>
      <c r="S171" s="22">
        <v>0</v>
      </c>
      <c r="T171" s="22">
        <v>0</v>
      </c>
      <c r="U171" s="22">
        <v>0</v>
      </c>
      <c r="V171" s="22">
        <v>0</v>
      </c>
      <c r="W171" s="22">
        <v>0</v>
      </c>
      <c r="X171" s="22">
        <v>0</v>
      </c>
      <c r="Y171" s="22">
        <v>0</v>
      </c>
      <c r="Z171" s="22">
        <v>0</v>
      </c>
      <c r="AA171" s="22">
        <v>0</v>
      </c>
      <c r="AB171" s="23">
        <f t="shared" si="1462"/>
        <v>685.02826403314384</v>
      </c>
      <c r="AC171" s="23">
        <f t="shared" si="1463"/>
        <v>953.10523021813708</v>
      </c>
      <c r="AD171" s="23">
        <f t="shared" si="1464"/>
        <v>1233.6083782931653</v>
      </c>
      <c r="AE171" s="23">
        <f t="shared" si="1465"/>
        <v>1541.966670365812</v>
      </c>
      <c r="AI171" s="22">
        <f>+'QTR Raw'!C87</f>
        <v>0</v>
      </c>
      <c r="AJ171" s="22">
        <f t="shared" si="1466"/>
        <v>0</v>
      </c>
      <c r="AK171" s="22">
        <f>+'QTR Raw'!E87</f>
        <v>0</v>
      </c>
      <c r="AL171" s="22">
        <f t="shared" si="1467"/>
        <v>0</v>
      </c>
      <c r="AM171" s="22">
        <f>+'QTR Raw'!G87</f>
        <v>0</v>
      </c>
      <c r="AN171" s="22">
        <f t="shared" si="1468"/>
        <v>0</v>
      </c>
      <c r="AO171" s="22">
        <f>+'QTR Raw'!I87</f>
        <v>0</v>
      </c>
      <c r="AP171" s="22">
        <f t="shared" si="1469"/>
        <v>0</v>
      </c>
      <c r="AQ171" s="22">
        <f>+'QTR Raw'!K87</f>
        <v>0</v>
      </c>
      <c r="AR171" s="22">
        <f t="shared" si="1470"/>
        <v>0</v>
      </c>
      <c r="AS171" s="22">
        <f>+'QTR Raw'!M87</f>
        <v>0</v>
      </c>
      <c r="AT171" s="22">
        <f t="shared" si="1471"/>
        <v>0</v>
      </c>
      <c r="AU171" s="22">
        <f>+'QTR Raw'!O87</f>
        <v>0</v>
      </c>
      <c r="AV171" s="22">
        <f t="shared" si="1472"/>
        <v>0</v>
      </c>
      <c r="AW171" s="22">
        <f>+'QTR Raw'!Q87</f>
        <v>0</v>
      </c>
      <c r="AX171" s="22">
        <f t="shared" si="1473"/>
        <v>0</v>
      </c>
      <c r="AY171" s="22">
        <f>+'QTR Raw'!S87</f>
        <v>0</v>
      </c>
      <c r="AZ171" s="22">
        <f t="shared" si="1474"/>
        <v>0</v>
      </c>
      <c r="BA171" s="22">
        <f>+'QTR Raw'!U87</f>
        <v>0</v>
      </c>
      <c r="BB171" s="22">
        <f t="shared" si="1475"/>
        <v>0</v>
      </c>
      <c r="BC171" s="22">
        <f>+'QTR Raw'!W87</f>
        <v>0</v>
      </c>
      <c r="BD171" s="22">
        <f t="shared" si="1476"/>
        <v>0</v>
      </c>
      <c r="BE171" s="22">
        <f>+'QTR Raw'!Y87</f>
        <v>0</v>
      </c>
      <c r="BF171" s="22">
        <f t="shared" si="1477"/>
        <v>0</v>
      </c>
      <c r="BG171" s="22">
        <f>+'QTR Raw'!AA87</f>
        <v>0</v>
      </c>
      <c r="BH171" s="22">
        <f t="shared" si="1478"/>
        <v>0</v>
      </c>
      <c r="BI171" s="22">
        <f>+'QTR Raw'!AC87</f>
        <v>0</v>
      </c>
      <c r="BJ171" s="22">
        <f t="shared" si="1479"/>
        <v>0</v>
      </c>
      <c r="BK171" s="22">
        <f>+'QTR Raw'!AE87</f>
        <v>0</v>
      </c>
      <c r="BL171" s="22">
        <f t="shared" si="1480"/>
        <v>0</v>
      </c>
      <c r="BM171" s="22">
        <f>+'QTR Raw'!AG87</f>
        <v>0</v>
      </c>
      <c r="BN171" s="22">
        <f t="shared" si="1481"/>
        <v>0</v>
      </c>
      <c r="BO171" s="22">
        <f>+'QTR Raw'!AI87</f>
        <v>0</v>
      </c>
      <c r="BP171" s="22">
        <f t="shared" si="1482"/>
        <v>0</v>
      </c>
      <c r="BQ171" s="22">
        <f>+'QTR Raw'!AK87</f>
        <v>0</v>
      </c>
      <c r="BR171" s="22">
        <f t="shared" si="1483"/>
        <v>0</v>
      </c>
      <c r="BS171" s="22">
        <f>+'QTR Raw'!AM87</f>
        <v>0</v>
      </c>
      <c r="BT171" s="22">
        <f t="shared" si="1484"/>
        <v>0</v>
      </c>
      <c r="BU171" s="22">
        <f>+'QTR Raw'!AO87</f>
        <v>0</v>
      </c>
      <c r="BV171" s="22">
        <f t="shared" si="1485"/>
        <v>0</v>
      </c>
      <c r="BW171" s="22">
        <f>+'QTR Raw'!AQ87</f>
        <v>0</v>
      </c>
      <c r="BX171" s="22">
        <f t="shared" si="1486"/>
        <v>0</v>
      </c>
      <c r="BY171" s="22">
        <f>+'QTR Raw'!AS87</f>
        <v>0</v>
      </c>
      <c r="BZ171" s="22">
        <f t="shared" si="1487"/>
        <v>0</v>
      </c>
      <c r="CA171" s="22">
        <f>+'QTR Raw'!AU87</f>
        <v>0</v>
      </c>
      <c r="CB171" s="22">
        <f t="shared" si="1488"/>
        <v>0</v>
      </c>
      <c r="CC171" s="22">
        <f>+'QTR Raw'!AW87</f>
        <v>0</v>
      </c>
      <c r="CD171" s="22">
        <f t="shared" si="1489"/>
        <v>0</v>
      </c>
      <c r="CE171" s="22">
        <f>+'QTR Raw'!AY87</f>
        <v>0</v>
      </c>
      <c r="CF171" s="22">
        <f t="shared" si="1490"/>
        <v>0</v>
      </c>
      <c r="CG171" s="22">
        <f t="shared" si="1491"/>
        <v>0</v>
      </c>
      <c r="CH171" s="22">
        <f t="shared" si="1490"/>
        <v>0</v>
      </c>
      <c r="CI171" s="22">
        <f>+'QTR Raw'!BC87</f>
        <v>0</v>
      </c>
      <c r="CJ171" s="22">
        <f t="shared" si="1490"/>
        <v>0</v>
      </c>
      <c r="CK171" s="22">
        <f>+'QTR Raw'!BE87</f>
        <v>0</v>
      </c>
      <c r="CL171" s="22">
        <f t="shared" si="1490"/>
        <v>0</v>
      </c>
      <c r="CM171" s="23">
        <f t="shared" ref="CM171:DA171" si="1492">CM29/90*CM203</f>
        <v>428.81424660556911</v>
      </c>
      <c r="CN171" s="23">
        <f t="shared" si="1492"/>
        <v>659.20444637274306</v>
      </c>
      <c r="CO171" s="23">
        <f t="shared" si="1492"/>
        <v>685.02826403314384</v>
      </c>
      <c r="CP171" s="23">
        <f t="shared" si="1492"/>
        <v>668.0052880715433</v>
      </c>
      <c r="CQ171" s="23">
        <f t="shared" si="1492"/>
        <v>672.85666769140278</v>
      </c>
      <c r="CR171" s="23">
        <f t="shared" si="1492"/>
        <v>935.07974595318683</v>
      </c>
      <c r="CS171" s="23">
        <f t="shared" si="1492"/>
        <v>953.10523021813708</v>
      </c>
      <c r="CT171" s="23">
        <f t="shared" si="1492"/>
        <v>920.88124086016364</v>
      </c>
      <c r="CU171" s="23">
        <f t="shared" si="1492"/>
        <v>915.96815583830698</v>
      </c>
      <c r="CV171" s="23">
        <f t="shared" si="1492"/>
        <v>1220.8672358376714</v>
      </c>
      <c r="CW171" s="23">
        <f t="shared" si="1492"/>
        <v>1233.6083782931653</v>
      </c>
      <c r="CX171" s="23">
        <f t="shared" si="1492"/>
        <v>1186.8502018807712</v>
      </c>
      <c r="CY171" s="23">
        <f t="shared" si="1492"/>
        <v>1173.5931556981716</v>
      </c>
      <c r="CZ171" s="23">
        <f t="shared" si="1492"/>
        <v>1532.7732285151108</v>
      </c>
      <c r="DA171" s="23">
        <f t="shared" si="1492"/>
        <v>1541.966670365812</v>
      </c>
      <c r="DD171" s="120">
        <v>0</v>
      </c>
    </row>
    <row r="172" spans="1:108" s="22" customFormat="1" outlineLevel="1" x14ac:dyDescent="0.2">
      <c r="A172" s="22" t="s">
        <v>70</v>
      </c>
      <c r="B172" s="22">
        <f>'Annual Raw'!C54</f>
        <v>25.471541445</v>
      </c>
      <c r="C172" s="22">
        <f>'Annual Raw'!D54</f>
        <v>31.764165409</v>
      </c>
      <c r="D172" s="22">
        <f>'Annual Raw'!E54</f>
        <v>0</v>
      </c>
      <c r="E172" s="22">
        <f>'Annual Raw'!F54</f>
        <v>0</v>
      </c>
      <c r="F172" s="22">
        <f>'Annual Raw'!G54</f>
        <v>0</v>
      </c>
      <c r="G172" s="22">
        <f>'Annual Raw'!H54</f>
        <v>0</v>
      </c>
      <c r="H172" s="22">
        <f>'Annual Raw'!I54</f>
        <v>0</v>
      </c>
      <c r="I172" s="22">
        <f>'Annual Raw'!J54</f>
        <v>0</v>
      </c>
      <c r="J172" s="22">
        <f>'Annual Raw'!K54</f>
        <v>0</v>
      </c>
      <c r="K172" s="22">
        <f>'Annual Raw'!L54</f>
        <v>0</v>
      </c>
      <c r="L172" s="22">
        <f>'Annual Raw'!M54</f>
        <v>0</v>
      </c>
      <c r="M172" s="22">
        <f>'Annual Raw'!N54</f>
        <v>0</v>
      </c>
      <c r="N172" s="22">
        <f>'Annual Raw'!O54</f>
        <v>0</v>
      </c>
      <c r="O172" s="22">
        <f>'Annual Raw'!P54</f>
        <v>0</v>
      </c>
      <c r="P172" s="22">
        <f>'Annual Raw'!Q54</f>
        <v>0</v>
      </c>
      <c r="Q172" s="22">
        <f>'Annual Raw'!R54</f>
        <v>0</v>
      </c>
      <c r="R172" s="22">
        <f>'Annual Raw'!S54</f>
        <v>0</v>
      </c>
      <c r="S172" s="22">
        <f>'Annual Raw'!T54</f>
        <v>0</v>
      </c>
      <c r="T172" s="22">
        <f>'Annual Raw'!U54</f>
        <v>0</v>
      </c>
      <c r="U172" s="22">
        <f>'Annual Raw'!V54</f>
        <v>0</v>
      </c>
      <c r="V172" s="22">
        <f>'Annual Raw'!W54</f>
        <v>0</v>
      </c>
      <c r="W172" s="22">
        <f>'Annual Raw'!X54</f>
        <v>0</v>
      </c>
      <c r="X172" s="22">
        <f>'Annual Raw'!Y54</f>
        <v>0</v>
      </c>
      <c r="Y172" s="22">
        <f>'Annual Raw'!Z54</f>
        <v>311.16000000000003</v>
      </c>
      <c r="Z172" s="22">
        <f>'Annual Raw'!AA54</f>
        <v>144.5309</v>
      </c>
      <c r="AA172" s="22">
        <f>'Annual Raw'!AB54</f>
        <v>145.4066</v>
      </c>
      <c r="AB172" s="23">
        <f t="shared" si="1462"/>
        <v>302.03775731995279</v>
      </c>
      <c r="AC172" s="23">
        <f t="shared" si="1463"/>
        <v>420.23633379757189</v>
      </c>
      <c r="AD172" s="23">
        <f t="shared" si="1464"/>
        <v>543.91377342168209</v>
      </c>
      <c r="AE172" s="23">
        <f t="shared" si="1465"/>
        <v>679.87290369214782</v>
      </c>
      <c r="AI172" s="22">
        <f>+'QTR Raw'!C89</f>
        <v>0</v>
      </c>
      <c r="AJ172" s="22">
        <f>+AJ202*AJ29/90</f>
        <v>0</v>
      </c>
      <c r="AK172" s="22">
        <f>+'QTR Raw'!E89</f>
        <v>0</v>
      </c>
      <c r="AL172" s="22">
        <f>+AL202*AL29/90</f>
        <v>0</v>
      </c>
      <c r="AM172" s="22">
        <f>+'QTR Raw'!G89</f>
        <v>0</v>
      </c>
      <c r="AN172" s="22">
        <f>+AN202*AN29/90</f>
        <v>0</v>
      </c>
      <c r="AO172" s="22">
        <f>+'QTR Raw'!I89</f>
        <v>0</v>
      </c>
      <c r="AP172" s="22">
        <f>+AP202*AP29/90</f>
        <v>0</v>
      </c>
      <c r="AQ172" s="22">
        <f>+'QTR Raw'!K89</f>
        <v>0</v>
      </c>
      <c r="AR172" s="22">
        <f>+AR202*AR29/90</f>
        <v>0</v>
      </c>
      <c r="AS172" s="22">
        <f>+'QTR Raw'!M89</f>
        <v>0</v>
      </c>
      <c r="AT172" s="22">
        <f>+AT202*AT29/90</f>
        <v>0</v>
      </c>
      <c r="AU172" s="22">
        <f>+'QTR Raw'!O89</f>
        <v>0</v>
      </c>
      <c r="AV172" s="22">
        <f>+AV202*AV29/90</f>
        <v>0</v>
      </c>
      <c r="AW172" s="22">
        <f>+'QTR Raw'!Q89</f>
        <v>0</v>
      </c>
      <c r="AX172" s="22">
        <f>+AX202*AX29/90</f>
        <v>0</v>
      </c>
      <c r="AY172" s="22">
        <f>+'QTR Raw'!S89</f>
        <v>0</v>
      </c>
      <c r="AZ172" s="22">
        <f>+AZ202*AZ29/90</f>
        <v>0</v>
      </c>
      <c r="BA172" s="22">
        <f>+'QTR Raw'!U89</f>
        <v>0</v>
      </c>
      <c r="BB172" s="22">
        <f>+BB202*BB29/90</f>
        <v>0</v>
      </c>
      <c r="BC172" s="22">
        <f>+'QTR Raw'!W89</f>
        <v>0</v>
      </c>
      <c r="BD172" s="22">
        <f>+BD202*BD29/90</f>
        <v>0</v>
      </c>
      <c r="BE172" s="22">
        <f>+'QTR Raw'!Y89</f>
        <v>0</v>
      </c>
      <c r="BF172" s="22">
        <f>+BF202*BF29/90</f>
        <v>0</v>
      </c>
      <c r="BG172" s="22">
        <f>+'QTR Raw'!AA89</f>
        <v>0</v>
      </c>
      <c r="BH172" s="22">
        <f>+BH202*BH29/90</f>
        <v>0</v>
      </c>
      <c r="BI172" s="22">
        <f>+'QTR Raw'!AC89</f>
        <v>0</v>
      </c>
      <c r="BJ172" s="22">
        <f>+BJ202*BJ29/90</f>
        <v>0</v>
      </c>
      <c r="BK172" s="22">
        <f>+'QTR Raw'!AE89</f>
        <v>0</v>
      </c>
      <c r="BL172" s="22">
        <f>+BL202*BL29/90</f>
        <v>0</v>
      </c>
      <c r="BM172" s="22">
        <f>+'QTR Raw'!AG89</f>
        <v>0</v>
      </c>
      <c r="BN172" s="22">
        <f>+BN202*BN29/90</f>
        <v>0</v>
      </c>
      <c r="BO172" s="22">
        <f>+'QTR Raw'!AI89</f>
        <v>0</v>
      </c>
      <c r="BP172" s="22">
        <f>+BP202*BP29/90</f>
        <v>0</v>
      </c>
      <c r="BQ172" s="22">
        <f>+'QTR Raw'!AK89</f>
        <v>0</v>
      </c>
      <c r="BR172" s="22">
        <f>+BR202*BR29/90</f>
        <v>0</v>
      </c>
      <c r="BS172" s="22">
        <f>+'QTR Raw'!AM89</f>
        <v>0</v>
      </c>
      <c r="BT172" s="22">
        <f>+BT202*BT29/90</f>
        <v>0</v>
      </c>
      <c r="BU172" s="22">
        <f>+'QTR Raw'!AO89</f>
        <v>0</v>
      </c>
      <c r="BV172" s="22">
        <f>+BV202*BV29/90</f>
        <v>0</v>
      </c>
      <c r="BW172" s="22">
        <f>+'QTR Raw'!AQ89</f>
        <v>0</v>
      </c>
      <c r="BX172" s="22">
        <f>+BX202*BX29/90</f>
        <v>0</v>
      </c>
      <c r="BY172" s="22">
        <f>+'QTR Raw'!AS89</f>
        <v>0</v>
      </c>
      <c r="BZ172" s="22">
        <f>+BZ202*BZ29/90</f>
        <v>0</v>
      </c>
      <c r="CA172" s="22">
        <f>+'QTR Raw'!AU89</f>
        <v>0</v>
      </c>
      <c r="CB172" s="22">
        <f>+CB202*CB29/90</f>
        <v>0</v>
      </c>
      <c r="CC172" s="22">
        <f>+'QTR Raw'!AW89</f>
        <v>319.30200000000002</v>
      </c>
      <c r="CD172" s="22">
        <f>+CD202*CD29/90</f>
        <v>184.94397202081112</v>
      </c>
      <c r="CE172" s="22">
        <f>+'QTR Raw'!AY89</f>
        <v>201.607</v>
      </c>
      <c r="CF172" s="22">
        <f>+CF202*CF29/90</f>
        <v>164.32719949189064</v>
      </c>
      <c r="CG172" s="22">
        <f t="shared" si="1491"/>
        <v>144.5309</v>
      </c>
      <c r="CH172" s="22">
        <f>+CH202*CH29/90</f>
        <v>441.35080399231396</v>
      </c>
      <c r="CI172" s="22">
        <f>+'QTR Raw'!BC89</f>
        <v>126.79600000000001</v>
      </c>
      <c r="CJ172" s="22">
        <f>+CJ202*CJ29/90</f>
        <v>149.75015543486205</v>
      </c>
      <c r="CK172" s="22">
        <f>+'QTR Raw'!BE89</f>
        <v>145.40600000000001</v>
      </c>
      <c r="CL172" s="22">
        <f>+CL202*CL29/90</f>
        <v>219.3189506367691</v>
      </c>
      <c r="CM172" s="23">
        <f t="shared" ref="CM172:DA172" si="1493">+CM202*CM29/90</f>
        <v>189.0697072687862</v>
      </c>
      <c r="CN172" s="23">
        <f t="shared" si="1493"/>
        <v>290.65170453774317</v>
      </c>
      <c r="CO172" s="23">
        <f t="shared" si="1493"/>
        <v>302.03775731995279</v>
      </c>
      <c r="CP172" s="23">
        <f t="shared" si="1493"/>
        <v>294.53210864484282</v>
      </c>
      <c r="CQ172" s="23">
        <f t="shared" si="1493"/>
        <v>296.67114421056243</v>
      </c>
      <c r="CR172" s="23">
        <f t="shared" si="1493"/>
        <v>412.28866633938901</v>
      </c>
      <c r="CS172" s="23">
        <f t="shared" si="1493"/>
        <v>420.23633379757189</v>
      </c>
      <c r="CT172" s="23">
        <f t="shared" si="1493"/>
        <v>406.02836313621327</v>
      </c>
      <c r="CU172" s="23">
        <f t="shared" si="1493"/>
        <v>403.86212086646071</v>
      </c>
      <c r="CV172" s="23">
        <f t="shared" si="1493"/>
        <v>538.29604011781191</v>
      </c>
      <c r="CW172" s="23">
        <f t="shared" si="1493"/>
        <v>543.91377342168209</v>
      </c>
      <c r="CX172" s="23">
        <f t="shared" si="1493"/>
        <v>523.29749307023826</v>
      </c>
      <c r="CY172" s="23">
        <f t="shared" si="1493"/>
        <v>517.45229118892473</v>
      </c>
      <c r="CZ172" s="23">
        <f t="shared" si="1493"/>
        <v>675.81939713712075</v>
      </c>
      <c r="DA172" s="23">
        <f t="shared" si="1493"/>
        <v>679.87290369214782</v>
      </c>
      <c r="DD172" s="120">
        <v>145.40600000000001</v>
      </c>
    </row>
    <row r="173" spans="1:108" s="22" customFormat="1" outlineLevel="1" x14ac:dyDescent="0.2">
      <c r="A173" s="22" t="s">
        <v>71</v>
      </c>
      <c r="B173" s="22">
        <f>'Annual Raw'!C55-Template!B145</f>
        <v>3.6716632840000001</v>
      </c>
      <c r="C173" s="22">
        <f>'Annual Raw'!D55-Template!C145</f>
        <v>15.105437069000001</v>
      </c>
      <c r="D173" s="22">
        <f>'Annual Raw'!E55-Template!D145</f>
        <v>0</v>
      </c>
      <c r="E173" s="22">
        <f>'Annual Raw'!F55-Template!E145</f>
        <v>0</v>
      </c>
      <c r="F173" s="22">
        <f>'Annual Raw'!G55-Template!F145</f>
        <v>0</v>
      </c>
      <c r="G173" s="22">
        <f>'Annual Raw'!H55-Template!G145</f>
        <v>0</v>
      </c>
      <c r="H173" s="22">
        <f>'Annual Raw'!I55-Template!H145</f>
        <v>0</v>
      </c>
      <c r="I173" s="22">
        <f>'Annual Raw'!J55-Template!I145</f>
        <v>0</v>
      </c>
      <c r="J173" s="22">
        <f>'Annual Raw'!K55-Template!J145</f>
        <v>0</v>
      </c>
      <c r="K173" s="22">
        <f>'Annual Raw'!L55-Template!K145</f>
        <v>0</v>
      </c>
      <c r="L173" s="22">
        <f>'Annual Raw'!M55-Template!L145</f>
        <v>0</v>
      </c>
      <c r="M173" s="22">
        <f>'Annual Raw'!N55-Template!M145</f>
        <v>0</v>
      </c>
      <c r="N173" s="22">
        <f>'Annual Raw'!O55-Template!N145</f>
        <v>0</v>
      </c>
      <c r="O173" s="22">
        <f>'Annual Raw'!P55-Template!O145</f>
        <v>0</v>
      </c>
      <c r="P173" s="22">
        <f>'Annual Raw'!Q55-Template!P145</f>
        <v>0</v>
      </c>
      <c r="Q173" s="22">
        <f>'Annual Raw'!R55-Template!Q145</f>
        <v>0</v>
      </c>
      <c r="R173" s="22">
        <f>'Annual Raw'!S55-Template!R145</f>
        <v>0</v>
      </c>
      <c r="S173" s="22">
        <f>'Annual Raw'!T55-Template!S145</f>
        <v>0</v>
      </c>
      <c r="T173" s="22">
        <f>'Annual Raw'!U55-Template!T145</f>
        <v>0</v>
      </c>
      <c r="U173" s="22">
        <f>'Annual Raw'!V55-Template!U145</f>
        <v>0</v>
      </c>
      <c r="V173" s="22">
        <f>'Annual Raw'!W55-Template!V145</f>
        <v>0</v>
      </c>
      <c r="W173" s="22">
        <f>'Annual Raw'!X55-Template!W145</f>
        <v>0</v>
      </c>
      <c r="X173" s="22">
        <f>'Annual Raw'!Y55-Template!X145</f>
        <v>0</v>
      </c>
      <c r="Y173" s="22">
        <f>'Annual Raw'!Z55-Template!Y145</f>
        <v>257.13869999999997</v>
      </c>
      <c r="Z173" s="22">
        <f>'Annual Raw'!AA55-Template!Z145</f>
        <v>182.833</v>
      </c>
      <c r="AA173" s="22">
        <f>'Annual Raw'!AB55-Template!AA145</f>
        <v>265.74200000000002</v>
      </c>
      <c r="AB173" s="23">
        <f t="shared" si="1462"/>
        <v>0</v>
      </c>
      <c r="AC173" s="23">
        <f t="shared" si="1463"/>
        <v>0</v>
      </c>
      <c r="AD173" s="23">
        <f t="shared" si="1464"/>
        <v>0</v>
      </c>
      <c r="AE173" s="23">
        <f t="shared" si="1465"/>
        <v>0</v>
      </c>
      <c r="AI173" s="22">
        <f>+'QTR Raw'!C91</f>
        <v>0</v>
      </c>
      <c r="AJ173" s="22">
        <f t="shared" ref="AJ173:AJ174" si="1494">+AI173</f>
        <v>0</v>
      </c>
      <c r="AK173" s="22">
        <f>+'QTR Raw'!E91</f>
        <v>0</v>
      </c>
      <c r="AL173" s="22">
        <f t="shared" ref="AL173:AL174" si="1495">+AK173</f>
        <v>0</v>
      </c>
      <c r="AM173" s="22">
        <f>+'QTR Raw'!G91</f>
        <v>0</v>
      </c>
      <c r="AN173" s="22">
        <f t="shared" ref="AN173:AN174" si="1496">+AM173</f>
        <v>0</v>
      </c>
      <c r="AO173" s="22">
        <f>+'QTR Raw'!I91</f>
        <v>0</v>
      </c>
      <c r="AP173" s="22">
        <f t="shared" ref="AP173:AP174" si="1497">+AO173</f>
        <v>0</v>
      </c>
      <c r="AQ173" s="22">
        <f>+'QTR Raw'!K91</f>
        <v>0</v>
      </c>
      <c r="AR173" s="22">
        <f t="shared" ref="AR173:AR174" si="1498">+AQ173</f>
        <v>0</v>
      </c>
      <c r="AS173" s="22">
        <f>+'QTR Raw'!M91</f>
        <v>0</v>
      </c>
      <c r="AT173" s="22">
        <f t="shared" ref="AT173:AT174" si="1499">+AS173</f>
        <v>0</v>
      </c>
      <c r="AU173" s="22">
        <f>+'QTR Raw'!O91</f>
        <v>0</v>
      </c>
      <c r="AV173" s="22">
        <f t="shared" ref="AV173:AV174" si="1500">+AU173</f>
        <v>0</v>
      </c>
      <c r="AW173" s="22">
        <f>+'QTR Raw'!Q91</f>
        <v>0</v>
      </c>
      <c r="AX173" s="22">
        <f t="shared" ref="AX173:AX174" si="1501">+AW173</f>
        <v>0</v>
      </c>
      <c r="AY173" s="22">
        <f>+'QTR Raw'!S91</f>
        <v>0</v>
      </c>
      <c r="AZ173" s="22">
        <f t="shared" ref="AZ173:AZ174" si="1502">+AY173</f>
        <v>0</v>
      </c>
      <c r="BA173" s="22">
        <f>+'QTR Raw'!U91</f>
        <v>0</v>
      </c>
      <c r="BB173" s="22">
        <f t="shared" ref="BB173:BB174" si="1503">+BA173</f>
        <v>0</v>
      </c>
      <c r="BC173" s="22">
        <f>+'QTR Raw'!W91</f>
        <v>0</v>
      </c>
      <c r="BD173" s="22">
        <f t="shared" ref="BD173:BD174" si="1504">+BC173</f>
        <v>0</v>
      </c>
      <c r="BE173" s="22">
        <f>+'QTR Raw'!Y91</f>
        <v>0</v>
      </c>
      <c r="BF173" s="22">
        <f t="shared" ref="BF173:BF174" si="1505">+BE173</f>
        <v>0</v>
      </c>
      <c r="BG173" s="22">
        <f>+'QTR Raw'!AA91</f>
        <v>0</v>
      </c>
      <c r="BH173" s="22">
        <f t="shared" ref="BH173:BH174" si="1506">+BG173</f>
        <v>0</v>
      </c>
      <c r="BI173" s="22">
        <f>+'QTR Raw'!AC91</f>
        <v>0</v>
      </c>
      <c r="BJ173" s="22">
        <f t="shared" ref="BJ173:BJ174" si="1507">+BI173</f>
        <v>0</v>
      </c>
      <c r="BK173" s="22">
        <f>+'QTR Raw'!AE91</f>
        <v>0</v>
      </c>
      <c r="BL173" s="22">
        <f t="shared" ref="BL173:BL174" si="1508">+BK173</f>
        <v>0</v>
      </c>
      <c r="BM173" s="22">
        <f>+'QTR Raw'!AG91</f>
        <v>0</v>
      </c>
      <c r="BN173" s="22">
        <f t="shared" ref="BN173:BN174" si="1509">+BM173</f>
        <v>0</v>
      </c>
      <c r="BO173" s="22">
        <f>+'QTR Raw'!AI91</f>
        <v>0</v>
      </c>
      <c r="BP173" s="22">
        <f t="shared" ref="BP173:BP174" si="1510">+BO173</f>
        <v>0</v>
      </c>
      <c r="BQ173" s="22">
        <f>+'QTR Raw'!AK91</f>
        <v>0</v>
      </c>
      <c r="BR173" s="22">
        <f t="shared" ref="BR173:BR174" si="1511">+BQ173</f>
        <v>0</v>
      </c>
      <c r="BS173" s="22">
        <f>+'QTR Raw'!AM91</f>
        <v>0</v>
      </c>
      <c r="BT173" s="22">
        <f t="shared" ref="BT173:BT174" si="1512">+BS173</f>
        <v>0</v>
      </c>
      <c r="BU173" s="22">
        <f>+'QTR Raw'!AO91</f>
        <v>0</v>
      </c>
      <c r="BV173" s="22">
        <f t="shared" ref="BV173:BV174" si="1513">+BU173</f>
        <v>0</v>
      </c>
      <c r="BW173" s="22">
        <f>+'QTR Raw'!AQ91</f>
        <v>0</v>
      </c>
      <c r="BX173" s="22">
        <f t="shared" ref="BX173:BX174" si="1514">+BW173</f>
        <v>0</v>
      </c>
      <c r="BY173" s="22">
        <f>+'QTR Raw'!AS91</f>
        <v>0</v>
      </c>
      <c r="BZ173" s="22">
        <f t="shared" ref="BZ173:BZ174" si="1515">+BY173</f>
        <v>0</v>
      </c>
      <c r="CA173" s="22">
        <f>+'QTR Raw'!AU91</f>
        <v>0</v>
      </c>
      <c r="CB173" s="22">
        <f t="shared" ref="CB173:CB174" si="1516">+CA173</f>
        <v>0</v>
      </c>
      <c r="CC173" s="22">
        <f>+'QTR Raw'!AW91</f>
        <v>251.96100000000001</v>
      </c>
      <c r="CD173" s="22">
        <f t="shared" ref="CD173:CD174" si="1517">+CC173</f>
        <v>251.96100000000001</v>
      </c>
      <c r="CE173" s="22">
        <f>+'QTR Raw'!AY91</f>
        <v>138.10900000000001</v>
      </c>
      <c r="CF173" s="22">
        <f t="shared" si="1490"/>
        <v>138.10900000000001</v>
      </c>
      <c r="CG173" s="22">
        <f t="shared" si="1491"/>
        <v>182.833</v>
      </c>
      <c r="CH173" s="22">
        <f t="shared" si="1490"/>
        <v>182.833</v>
      </c>
      <c r="CI173" s="22">
        <f>+'QTR Raw'!BC91</f>
        <v>193.536</v>
      </c>
      <c r="CJ173" s="22">
        <f t="shared" si="1490"/>
        <v>193.536</v>
      </c>
      <c r="CK173" s="22">
        <f>+'QTR Raw'!BE91</f>
        <v>266.28899999999999</v>
      </c>
      <c r="CL173" s="22">
        <f t="shared" si="1490"/>
        <v>266.28899999999999</v>
      </c>
      <c r="CM173" s="23"/>
      <c r="CN173" s="23"/>
      <c r="CO173" s="23"/>
      <c r="CP173" s="23"/>
      <c r="CQ173" s="23"/>
      <c r="CR173" s="23"/>
      <c r="CS173" s="23"/>
      <c r="CT173" s="23"/>
      <c r="CU173" s="23"/>
      <c r="CV173" s="23"/>
      <c r="CW173" s="23"/>
      <c r="CX173" s="23"/>
      <c r="CY173" s="23"/>
      <c r="CZ173" s="23"/>
      <c r="DA173" s="23"/>
      <c r="DD173" s="120">
        <v>266.28899999999999</v>
      </c>
    </row>
    <row r="174" spans="1:108" s="22" customFormat="1" outlineLevel="1" x14ac:dyDescent="0.2">
      <c r="A174" s="22" t="s">
        <v>72</v>
      </c>
      <c r="B174" s="22">
        <f>'Annual Raw'!C57</f>
        <v>2.5499999999999998</v>
      </c>
      <c r="C174" s="22">
        <f>'Annual Raw'!D57</f>
        <v>4.1603674499999999</v>
      </c>
      <c r="D174" s="22">
        <f>'Annual Raw'!E57</f>
        <v>0</v>
      </c>
      <c r="E174" s="22">
        <f>'Annual Raw'!F57</f>
        <v>0</v>
      </c>
      <c r="F174" s="22">
        <f>'Annual Raw'!G57</f>
        <v>0</v>
      </c>
      <c r="G174" s="22">
        <f>'Annual Raw'!H57</f>
        <v>0</v>
      </c>
      <c r="H174" s="22">
        <f>'Annual Raw'!I57</f>
        <v>0</v>
      </c>
      <c r="I174" s="22">
        <f>'Annual Raw'!J57</f>
        <v>0</v>
      </c>
      <c r="J174" s="22">
        <f>'Annual Raw'!K57</f>
        <v>0</v>
      </c>
      <c r="K174" s="22">
        <f>'Annual Raw'!L57</f>
        <v>0</v>
      </c>
      <c r="L174" s="22">
        <f>'Annual Raw'!M57</f>
        <v>0</v>
      </c>
      <c r="M174" s="22">
        <f>'Annual Raw'!N57</f>
        <v>0</v>
      </c>
      <c r="N174" s="22">
        <f>'Annual Raw'!O57</f>
        <v>0</v>
      </c>
      <c r="O174" s="22">
        <f>'Annual Raw'!P57</f>
        <v>0</v>
      </c>
      <c r="P174" s="22">
        <f>'Annual Raw'!Q57</f>
        <v>0</v>
      </c>
      <c r="Q174" s="22">
        <f>'Annual Raw'!R57</f>
        <v>0</v>
      </c>
      <c r="R174" s="22">
        <f>'Annual Raw'!S57</f>
        <v>0</v>
      </c>
      <c r="S174" s="22">
        <f>'Annual Raw'!T57</f>
        <v>0</v>
      </c>
      <c r="T174" s="22">
        <f>'Annual Raw'!U57</f>
        <v>0</v>
      </c>
      <c r="U174" s="22">
        <f>'Annual Raw'!V57</f>
        <v>0</v>
      </c>
      <c r="V174" s="22">
        <f>'Annual Raw'!W57</f>
        <v>0</v>
      </c>
      <c r="W174" s="22">
        <f>'Annual Raw'!X57</f>
        <v>0</v>
      </c>
      <c r="X174" s="22">
        <f>'Annual Raw'!Y57</f>
        <v>0</v>
      </c>
      <c r="Y174" s="22">
        <f>'Annual Raw'!Z57</f>
        <v>7.6718999999999999</v>
      </c>
      <c r="Z174" s="22">
        <f>'Annual Raw'!AA57</f>
        <v>14.409000000000001</v>
      </c>
      <c r="AA174" s="22">
        <f>'Annual Raw'!AB57</f>
        <v>41.576599999999999</v>
      </c>
      <c r="AB174" s="23">
        <f t="shared" si="1462"/>
        <v>0</v>
      </c>
      <c r="AC174" s="23">
        <f t="shared" si="1463"/>
        <v>0</v>
      </c>
      <c r="AD174" s="23">
        <f t="shared" si="1464"/>
        <v>0</v>
      </c>
      <c r="AE174" s="23">
        <f t="shared" si="1465"/>
        <v>0</v>
      </c>
      <c r="AI174" s="22">
        <f>+'QTR Raw'!C92</f>
        <v>0</v>
      </c>
      <c r="AJ174" s="22">
        <f t="shared" si="1494"/>
        <v>0</v>
      </c>
      <c r="AK174" s="22">
        <f>+'QTR Raw'!E92</f>
        <v>0</v>
      </c>
      <c r="AL174" s="22">
        <f t="shared" si="1495"/>
        <v>0</v>
      </c>
      <c r="AM174" s="22">
        <f>+'QTR Raw'!G92</f>
        <v>0</v>
      </c>
      <c r="AN174" s="22">
        <f t="shared" si="1496"/>
        <v>0</v>
      </c>
      <c r="AO174" s="22">
        <f>+'QTR Raw'!I92</f>
        <v>0</v>
      </c>
      <c r="AP174" s="22">
        <f t="shared" si="1497"/>
        <v>0</v>
      </c>
      <c r="AQ174" s="22">
        <f>+'QTR Raw'!K92</f>
        <v>0</v>
      </c>
      <c r="AR174" s="22">
        <f t="shared" si="1498"/>
        <v>0</v>
      </c>
      <c r="AS174" s="22">
        <f>+'QTR Raw'!M92</f>
        <v>0</v>
      </c>
      <c r="AT174" s="22">
        <f t="shared" si="1499"/>
        <v>0</v>
      </c>
      <c r="AU174" s="22">
        <f>+'QTR Raw'!O92</f>
        <v>0</v>
      </c>
      <c r="AV174" s="22">
        <f t="shared" si="1500"/>
        <v>0</v>
      </c>
      <c r="AW174" s="22">
        <f>+'QTR Raw'!Q92</f>
        <v>0</v>
      </c>
      <c r="AX174" s="22">
        <f t="shared" si="1501"/>
        <v>0</v>
      </c>
      <c r="AY174" s="22">
        <f>+'QTR Raw'!S92</f>
        <v>0</v>
      </c>
      <c r="AZ174" s="22">
        <f t="shared" si="1502"/>
        <v>0</v>
      </c>
      <c r="BA174" s="22">
        <f>+'QTR Raw'!U92</f>
        <v>0</v>
      </c>
      <c r="BB174" s="22">
        <f t="shared" si="1503"/>
        <v>0</v>
      </c>
      <c r="BC174" s="22">
        <f>+'QTR Raw'!W92</f>
        <v>0</v>
      </c>
      <c r="BD174" s="22">
        <f t="shared" si="1504"/>
        <v>0</v>
      </c>
      <c r="BE174" s="22">
        <f>+'QTR Raw'!Y92</f>
        <v>0</v>
      </c>
      <c r="BF174" s="22">
        <f t="shared" si="1505"/>
        <v>0</v>
      </c>
      <c r="BG174" s="22">
        <f>+'QTR Raw'!AA92</f>
        <v>0</v>
      </c>
      <c r="BH174" s="22">
        <f t="shared" si="1506"/>
        <v>0</v>
      </c>
      <c r="BI174" s="22">
        <f>+'QTR Raw'!AC92</f>
        <v>0</v>
      </c>
      <c r="BJ174" s="22">
        <f t="shared" si="1507"/>
        <v>0</v>
      </c>
      <c r="BK174" s="22">
        <f>+'QTR Raw'!AE92</f>
        <v>0</v>
      </c>
      <c r="BL174" s="22">
        <f t="shared" si="1508"/>
        <v>0</v>
      </c>
      <c r="BM174" s="22">
        <f>+'QTR Raw'!AG92</f>
        <v>0</v>
      </c>
      <c r="BN174" s="22">
        <f t="shared" si="1509"/>
        <v>0</v>
      </c>
      <c r="BO174" s="22">
        <f>+'QTR Raw'!AI92</f>
        <v>0</v>
      </c>
      <c r="BP174" s="22">
        <f t="shared" si="1510"/>
        <v>0</v>
      </c>
      <c r="BQ174" s="22">
        <f>+'QTR Raw'!AK92</f>
        <v>0</v>
      </c>
      <c r="BR174" s="22">
        <f t="shared" si="1511"/>
        <v>0</v>
      </c>
      <c r="BS174" s="22">
        <f>+'QTR Raw'!AM92</f>
        <v>0</v>
      </c>
      <c r="BT174" s="22">
        <f t="shared" si="1512"/>
        <v>0</v>
      </c>
      <c r="BU174" s="22">
        <f>+'QTR Raw'!AO92</f>
        <v>0</v>
      </c>
      <c r="BV174" s="22">
        <f t="shared" si="1513"/>
        <v>0</v>
      </c>
      <c r="BW174" s="22">
        <f>+'QTR Raw'!AQ92</f>
        <v>0</v>
      </c>
      <c r="BX174" s="22">
        <f t="shared" si="1514"/>
        <v>0</v>
      </c>
      <c r="BY174" s="22">
        <f>+'QTR Raw'!AS92</f>
        <v>0</v>
      </c>
      <c r="BZ174" s="22">
        <f t="shared" si="1515"/>
        <v>0</v>
      </c>
      <c r="CA174" s="22">
        <f>+'QTR Raw'!AU92</f>
        <v>0</v>
      </c>
      <c r="CB174" s="22">
        <f t="shared" si="1516"/>
        <v>0</v>
      </c>
      <c r="CC174" s="22">
        <f>+'QTR Raw'!AW92</f>
        <v>4.7080000000000002</v>
      </c>
      <c r="CD174" s="22">
        <f t="shared" si="1517"/>
        <v>4.7080000000000002</v>
      </c>
      <c r="CE174" s="22">
        <f>+'QTR Raw'!AY92</f>
        <v>21.937999999999999</v>
      </c>
      <c r="CF174" s="22">
        <f t="shared" si="1490"/>
        <v>21.937999999999999</v>
      </c>
      <c r="CG174" s="22">
        <f t="shared" si="1491"/>
        <v>14.409000000000001</v>
      </c>
      <c r="CH174" s="22">
        <f t="shared" si="1490"/>
        <v>14.409000000000001</v>
      </c>
      <c r="CI174" s="22">
        <f>+'QTR Raw'!BC92</f>
        <v>25.675999999999998</v>
      </c>
      <c r="CJ174" s="22">
        <f t="shared" si="1490"/>
        <v>25.675999999999998</v>
      </c>
      <c r="CK174" s="22">
        <f>+'QTR Raw'!BE92</f>
        <v>41.03</v>
      </c>
      <c r="CL174" s="22">
        <f t="shared" si="1490"/>
        <v>41.03</v>
      </c>
      <c r="CM174" s="23"/>
      <c r="CN174" s="23"/>
      <c r="CO174" s="23"/>
      <c r="CP174" s="23"/>
      <c r="CQ174" s="23"/>
      <c r="CR174" s="23"/>
      <c r="CS174" s="23"/>
      <c r="CT174" s="23"/>
      <c r="CU174" s="23"/>
      <c r="CV174" s="23"/>
      <c r="CW174" s="23"/>
      <c r="CX174" s="23"/>
      <c r="CY174" s="23"/>
      <c r="CZ174" s="23"/>
      <c r="DA174" s="23"/>
      <c r="DD174" s="120">
        <v>41.03</v>
      </c>
    </row>
    <row r="175" spans="1:108" s="21" customFormat="1" x14ac:dyDescent="0.2">
      <c r="A175" s="21" t="s">
        <v>73</v>
      </c>
      <c r="B175" s="21">
        <f>SUM(B168:B174)</f>
        <v>31.693204729000001</v>
      </c>
      <c r="C175" s="21">
        <f t="shared" ref="C175:V175" si="1518">SUM(C168:C174)</f>
        <v>51.029969928000007</v>
      </c>
      <c r="D175" s="21">
        <f t="shared" si="1518"/>
        <v>0</v>
      </c>
      <c r="E175" s="21">
        <f t="shared" si="1518"/>
        <v>0</v>
      </c>
      <c r="F175" s="21">
        <f t="shared" si="1518"/>
        <v>0</v>
      </c>
      <c r="G175" s="21">
        <f t="shared" si="1518"/>
        <v>0</v>
      </c>
      <c r="H175" s="21">
        <f t="shared" si="1518"/>
        <v>0</v>
      </c>
      <c r="I175" s="21">
        <f t="shared" si="1518"/>
        <v>0</v>
      </c>
      <c r="J175" s="21">
        <f t="shared" si="1518"/>
        <v>0</v>
      </c>
      <c r="K175" s="21">
        <f t="shared" si="1518"/>
        <v>0</v>
      </c>
      <c r="L175" s="21">
        <f t="shared" si="1518"/>
        <v>0</v>
      </c>
      <c r="M175" s="21">
        <f t="shared" si="1518"/>
        <v>0</v>
      </c>
      <c r="N175" s="21">
        <f t="shared" si="1518"/>
        <v>0</v>
      </c>
      <c r="O175" s="21">
        <f t="shared" si="1518"/>
        <v>0</v>
      </c>
      <c r="P175" s="21">
        <f t="shared" si="1518"/>
        <v>0</v>
      </c>
      <c r="Q175" s="21">
        <f t="shared" si="1518"/>
        <v>0</v>
      </c>
      <c r="R175" s="21">
        <f t="shared" si="1518"/>
        <v>0</v>
      </c>
      <c r="S175" s="21">
        <f t="shared" si="1518"/>
        <v>0</v>
      </c>
      <c r="T175" s="21">
        <f t="shared" si="1518"/>
        <v>0</v>
      </c>
      <c r="U175" s="21">
        <f t="shared" si="1518"/>
        <v>0</v>
      </c>
      <c r="V175" s="21">
        <f t="shared" si="1518"/>
        <v>0</v>
      </c>
      <c r="W175" s="21">
        <f t="shared" ref="W175" si="1519">SUM(W168:W174)</f>
        <v>0</v>
      </c>
      <c r="X175" s="21">
        <f t="shared" ref="X175:Y175" si="1520">SUM(X168:X174)</f>
        <v>0</v>
      </c>
      <c r="Y175" s="21">
        <f t="shared" si="1520"/>
        <v>615.39240000000007</v>
      </c>
      <c r="Z175" s="21">
        <f t="shared" ref="Z175:AA175" si="1521">SUM(Z168:Z174)</f>
        <v>376.91559999999998</v>
      </c>
      <c r="AA175" s="21">
        <f t="shared" si="1521"/>
        <v>475.18939999999998</v>
      </c>
      <c r="AB175" s="20">
        <f t="shared" ref="AA175:AD175" si="1522">SUM(AB168:AB174)</f>
        <v>987.06602135309663</v>
      </c>
      <c r="AC175" s="20">
        <f t="shared" si="1522"/>
        <v>1373.3415640157091</v>
      </c>
      <c r="AD175" s="20">
        <f t="shared" si="1522"/>
        <v>1777.5221517148475</v>
      </c>
      <c r="AE175" s="20">
        <f t="shared" ref="AE175" si="1523">SUM(AE168:AE174)</f>
        <v>2221.8395740579599</v>
      </c>
      <c r="AI175" s="21">
        <f t="shared" ref="AI175:AL175" si="1524">SUM(AI168:AI174)</f>
        <v>0</v>
      </c>
      <c r="AJ175" s="21">
        <f t="shared" si="1524"/>
        <v>0</v>
      </c>
      <c r="AK175" s="21">
        <f t="shared" si="1524"/>
        <v>0</v>
      </c>
      <c r="AL175" s="21">
        <f t="shared" si="1524"/>
        <v>0</v>
      </c>
      <c r="AM175" s="21">
        <f t="shared" ref="AM175:AP175" si="1525">SUM(AM168:AM174)</f>
        <v>0</v>
      </c>
      <c r="AN175" s="21">
        <f t="shared" si="1525"/>
        <v>0</v>
      </c>
      <c r="AO175" s="21">
        <f t="shared" si="1525"/>
        <v>0</v>
      </c>
      <c r="AP175" s="21">
        <f t="shared" si="1525"/>
        <v>0</v>
      </c>
      <c r="AQ175" s="21">
        <f t="shared" ref="AQ175:AT175" si="1526">SUM(AQ168:AQ174)</f>
        <v>0</v>
      </c>
      <c r="AR175" s="21">
        <f t="shared" si="1526"/>
        <v>0</v>
      </c>
      <c r="AS175" s="21">
        <f t="shared" si="1526"/>
        <v>0</v>
      </c>
      <c r="AT175" s="21">
        <f t="shared" si="1526"/>
        <v>0</v>
      </c>
      <c r="AU175" s="21">
        <f t="shared" ref="AU175:AX175" si="1527">SUM(AU168:AU174)</f>
        <v>0</v>
      </c>
      <c r="AV175" s="21">
        <f t="shared" si="1527"/>
        <v>0</v>
      </c>
      <c r="AW175" s="21">
        <f t="shared" si="1527"/>
        <v>0</v>
      </c>
      <c r="AX175" s="21">
        <f t="shared" si="1527"/>
        <v>0</v>
      </c>
      <c r="AY175" s="21">
        <f t="shared" ref="AY175:BB175" si="1528">SUM(AY168:AY174)</f>
        <v>0</v>
      </c>
      <c r="AZ175" s="21">
        <f t="shared" si="1528"/>
        <v>0</v>
      </c>
      <c r="BA175" s="21">
        <f t="shared" si="1528"/>
        <v>0</v>
      </c>
      <c r="BB175" s="21">
        <f t="shared" si="1528"/>
        <v>0</v>
      </c>
      <c r="BC175" s="21">
        <f t="shared" ref="BC175:BF175" si="1529">SUM(BC168:BC174)</f>
        <v>0</v>
      </c>
      <c r="BD175" s="21">
        <f t="shared" si="1529"/>
        <v>0</v>
      </c>
      <c r="BE175" s="21">
        <f t="shared" si="1529"/>
        <v>0</v>
      </c>
      <c r="BF175" s="21">
        <f t="shared" si="1529"/>
        <v>0</v>
      </c>
      <c r="BG175" s="21">
        <f t="shared" ref="BG175:BJ175" si="1530">SUM(BG168:BG174)</f>
        <v>0</v>
      </c>
      <c r="BH175" s="21">
        <f t="shared" si="1530"/>
        <v>0</v>
      </c>
      <c r="BI175" s="21">
        <f t="shared" si="1530"/>
        <v>0</v>
      </c>
      <c r="BJ175" s="21">
        <f t="shared" si="1530"/>
        <v>0</v>
      </c>
      <c r="BK175" s="21">
        <f t="shared" ref="BK175:BN175" si="1531">SUM(BK168:BK174)</f>
        <v>0</v>
      </c>
      <c r="BL175" s="21">
        <f t="shared" si="1531"/>
        <v>0</v>
      </c>
      <c r="BM175" s="21">
        <f t="shared" si="1531"/>
        <v>0</v>
      </c>
      <c r="BN175" s="21">
        <f t="shared" si="1531"/>
        <v>0</v>
      </c>
      <c r="BO175" s="21">
        <f t="shared" ref="BO175:BR175" si="1532">SUM(BO168:BO174)</f>
        <v>0</v>
      </c>
      <c r="BP175" s="21">
        <f t="shared" si="1532"/>
        <v>0</v>
      </c>
      <c r="BQ175" s="21">
        <f t="shared" si="1532"/>
        <v>0</v>
      </c>
      <c r="BR175" s="21">
        <f t="shared" si="1532"/>
        <v>0</v>
      </c>
      <c r="BS175" s="21">
        <f t="shared" ref="BS175:BV175" si="1533">SUM(BS168:BS174)</f>
        <v>0</v>
      </c>
      <c r="BT175" s="21">
        <f t="shared" si="1533"/>
        <v>0</v>
      </c>
      <c r="BU175" s="21">
        <f t="shared" si="1533"/>
        <v>0</v>
      </c>
      <c r="BV175" s="21">
        <f t="shared" si="1533"/>
        <v>0</v>
      </c>
      <c r="BW175" s="21">
        <f t="shared" ref="BW175:BZ175" si="1534">SUM(BW168:BW174)</f>
        <v>0</v>
      </c>
      <c r="BX175" s="21">
        <f t="shared" si="1534"/>
        <v>0</v>
      </c>
      <c r="BY175" s="21">
        <f t="shared" si="1534"/>
        <v>0</v>
      </c>
      <c r="BZ175" s="21">
        <f t="shared" si="1534"/>
        <v>0</v>
      </c>
      <c r="CA175" s="21">
        <f t="shared" ref="CA175:CD175" si="1535">SUM(CA168:CA174)</f>
        <v>0</v>
      </c>
      <c r="CB175" s="21">
        <f t="shared" si="1535"/>
        <v>0</v>
      </c>
      <c r="CC175" s="21">
        <f t="shared" si="1535"/>
        <v>615.39300000000003</v>
      </c>
      <c r="CD175" s="21">
        <f t="shared" si="1535"/>
        <v>481.03497202081115</v>
      </c>
      <c r="CE175" s="21">
        <f t="shared" ref="CE175" si="1536">SUM(CE168:CE174)</f>
        <v>391.42899999999997</v>
      </c>
      <c r="CF175" s="21">
        <f t="shared" ref="CF175:CH175" si="1537">SUM(CF168:CF174)</f>
        <v>354.14919949189061</v>
      </c>
      <c r="CG175" s="21">
        <f t="shared" ref="CG175" si="1538">SUM(CG168:CG174)</f>
        <v>376.91559999999998</v>
      </c>
      <c r="CH175" s="21">
        <f t="shared" si="1537"/>
        <v>673.73550399231397</v>
      </c>
      <c r="CI175" s="21">
        <f t="shared" ref="CI175:CJ175" si="1539">SUM(CI168:CI174)</f>
        <v>367.76100000000002</v>
      </c>
      <c r="CJ175" s="21">
        <f t="shared" si="1539"/>
        <v>390.71515543486203</v>
      </c>
      <c r="CK175" s="21">
        <f t="shared" ref="CK175:CL175" si="1540">SUM(CK168:CK174)</f>
        <v>475.18999999999994</v>
      </c>
      <c r="CL175" s="21">
        <f t="shared" si="1540"/>
        <v>549.10295063676904</v>
      </c>
      <c r="CM175" s="20">
        <f t="shared" ref="CM175:DA175" si="1541">SUM(CM168:CM174)</f>
        <v>617.88395387435526</v>
      </c>
      <c r="CN175" s="20">
        <f t="shared" si="1541"/>
        <v>949.85615091048624</v>
      </c>
      <c r="CO175" s="20">
        <f t="shared" si="1541"/>
        <v>987.06602135309663</v>
      </c>
      <c r="CP175" s="20">
        <f t="shared" si="1541"/>
        <v>962.53739671638618</v>
      </c>
      <c r="CQ175" s="20">
        <f t="shared" si="1541"/>
        <v>969.52781190196515</v>
      </c>
      <c r="CR175" s="20">
        <f t="shared" si="1541"/>
        <v>1347.3684122925758</v>
      </c>
      <c r="CS175" s="20">
        <f t="shared" si="1541"/>
        <v>1373.3415640157091</v>
      </c>
      <c r="CT175" s="20">
        <f t="shared" si="1541"/>
        <v>1326.909603996377</v>
      </c>
      <c r="CU175" s="20">
        <f t="shared" si="1541"/>
        <v>1319.8302767047676</v>
      </c>
      <c r="CV175" s="20">
        <f t="shared" si="1541"/>
        <v>1759.1632759554832</v>
      </c>
      <c r="CW175" s="20">
        <f t="shared" si="1541"/>
        <v>1777.5221517148475</v>
      </c>
      <c r="CX175" s="20">
        <f t="shared" si="1541"/>
        <v>1710.1476949510095</v>
      </c>
      <c r="CY175" s="20">
        <f t="shared" si="1541"/>
        <v>1691.0454468870962</v>
      </c>
      <c r="CZ175" s="20">
        <f t="shared" si="1541"/>
        <v>2208.5926256522316</v>
      </c>
      <c r="DA175" s="20">
        <f t="shared" si="1541"/>
        <v>2221.8395740579599</v>
      </c>
      <c r="DD175" s="122">
        <v>475.18999999999994</v>
      </c>
    </row>
    <row r="176" spans="1:108" s="21" customFormat="1" x14ac:dyDescent="0.2">
      <c r="A176" s="21" t="s">
        <v>74</v>
      </c>
      <c r="B176" s="21">
        <f>B167-B175</f>
        <v>49.957491711000017</v>
      </c>
      <c r="C176" s="21">
        <f t="shared" ref="C176:V176" si="1542">C167-C175</f>
        <v>50.857508528999993</v>
      </c>
      <c r="D176" s="21">
        <f t="shared" si="1542"/>
        <v>0</v>
      </c>
      <c r="E176" s="21">
        <f t="shared" si="1542"/>
        <v>0</v>
      </c>
      <c r="F176" s="21">
        <f t="shared" si="1542"/>
        <v>0</v>
      </c>
      <c r="G176" s="21">
        <f t="shared" si="1542"/>
        <v>0</v>
      </c>
      <c r="H176" s="21">
        <f t="shared" si="1542"/>
        <v>0</v>
      </c>
      <c r="I176" s="21">
        <f t="shared" si="1542"/>
        <v>0</v>
      </c>
      <c r="J176" s="21">
        <f t="shared" si="1542"/>
        <v>0</v>
      </c>
      <c r="K176" s="21">
        <f t="shared" si="1542"/>
        <v>0</v>
      </c>
      <c r="L176" s="21">
        <f t="shared" si="1542"/>
        <v>0</v>
      </c>
      <c r="M176" s="21">
        <f t="shared" si="1542"/>
        <v>0</v>
      </c>
      <c r="N176" s="21">
        <f t="shared" si="1542"/>
        <v>0</v>
      </c>
      <c r="O176" s="21">
        <f t="shared" si="1542"/>
        <v>0</v>
      </c>
      <c r="P176" s="21">
        <f t="shared" si="1542"/>
        <v>0</v>
      </c>
      <c r="Q176" s="21">
        <f t="shared" si="1542"/>
        <v>0</v>
      </c>
      <c r="R176" s="21">
        <f t="shared" si="1542"/>
        <v>0</v>
      </c>
      <c r="S176" s="21">
        <f t="shared" si="1542"/>
        <v>0</v>
      </c>
      <c r="T176" s="21">
        <f t="shared" si="1542"/>
        <v>0</v>
      </c>
      <c r="U176" s="21">
        <f t="shared" si="1542"/>
        <v>0</v>
      </c>
      <c r="V176" s="21">
        <f t="shared" si="1542"/>
        <v>0</v>
      </c>
      <c r="W176" s="21">
        <f t="shared" ref="W176" si="1543">W167-W175</f>
        <v>0</v>
      </c>
      <c r="X176" s="21">
        <f t="shared" ref="X176:Y176" si="1544">X167-X175</f>
        <v>0</v>
      </c>
      <c r="Y176" s="21">
        <f t="shared" si="1544"/>
        <v>28.107999999999947</v>
      </c>
      <c r="Z176" s="21">
        <f t="shared" ref="Z176:AA176" si="1545">Z167-Z175</f>
        <v>73.102400000000046</v>
      </c>
      <c r="AA176" s="21">
        <f t="shared" si="1545"/>
        <v>-78.487799999999936</v>
      </c>
      <c r="AB176" s="20">
        <f t="shared" ref="AA176:AD176" si="1546">AB167-AB175</f>
        <v>-150.7114526384687</v>
      </c>
      <c r="AC176" s="20">
        <f t="shared" si="1546"/>
        <v>-209.69043367318295</v>
      </c>
      <c r="AD176" s="20">
        <f t="shared" si="1546"/>
        <v>-271.40326967669921</v>
      </c>
      <c r="AE176" s="20">
        <f t="shared" ref="AE176" si="1547">AE167-AE175</f>
        <v>-339.24445021102156</v>
      </c>
      <c r="AI176" s="21">
        <f t="shared" ref="AI176:AL176" si="1548">AI167-AI175</f>
        <v>0</v>
      </c>
      <c r="AJ176" s="21">
        <f t="shared" si="1548"/>
        <v>0</v>
      </c>
      <c r="AK176" s="21">
        <f t="shared" si="1548"/>
        <v>0</v>
      </c>
      <c r="AL176" s="21">
        <f t="shared" si="1548"/>
        <v>0</v>
      </c>
      <c r="AM176" s="21">
        <f t="shared" ref="AM176:AP176" si="1549">AM167-AM175</f>
        <v>0</v>
      </c>
      <c r="AN176" s="21">
        <f t="shared" si="1549"/>
        <v>0</v>
      </c>
      <c r="AO176" s="21">
        <f t="shared" si="1549"/>
        <v>0</v>
      </c>
      <c r="AP176" s="21">
        <f t="shared" si="1549"/>
        <v>0</v>
      </c>
      <c r="AQ176" s="21">
        <f t="shared" ref="AQ176:AT176" si="1550">AQ167-AQ175</f>
        <v>0</v>
      </c>
      <c r="AR176" s="21">
        <f t="shared" si="1550"/>
        <v>0</v>
      </c>
      <c r="AS176" s="21">
        <f t="shared" si="1550"/>
        <v>0</v>
      </c>
      <c r="AT176" s="21">
        <f t="shared" si="1550"/>
        <v>0</v>
      </c>
      <c r="AU176" s="21">
        <f t="shared" ref="AU176:AX176" si="1551">AU167-AU175</f>
        <v>0</v>
      </c>
      <c r="AV176" s="21">
        <f t="shared" si="1551"/>
        <v>0</v>
      </c>
      <c r="AW176" s="21">
        <f t="shared" si="1551"/>
        <v>0</v>
      </c>
      <c r="AX176" s="21">
        <f t="shared" si="1551"/>
        <v>0</v>
      </c>
      <c r="AY176" s="21">
        <f t="shared" ref="AY176:BB176" si="1552">AY167-AY175</f>
        <v>0</v>
      </c>
      <c r="AZ176" s="21">
        <f t="shared" si="1552"/>
        <v>0</v>
      </c>
      <c r="BA176" s="21">
        <f t="shared" si="1552"/>
        <v>0</v>
      </c>
      <c r="BB176" s="21">
        <f t="shared" si="1552"/>
        <v>0</v>
      </c>
      <c r="BC176" s="21">
        <f t="shared" ref="BC176:BF176" si="1553">BC167-BC175</f>
        <v>0</v>
      </c>
      <c r="BD176" s="21">
        <f t="shared" si="1553"/>
        <v>0</v>
      </c>
      <c r="BE176" s="21">
        <f t="shared" si="1553"/>
        <v>0</v>
      </c>
      <c r="BF176" s="21">
        <f t="shared" si="1553"/>
        <v>0</v>
      </c>
      <c r="BG176" s="21">
        <f t="shared" ref="BG176:BJ176" si="1554">BG167-BG175</f>
        <v>0</v>
      </c>
      <c r="BH176" s="21">
        <f t="shared" si="1554"/>
        <v>0</v>
      </c>
      <c r="BI176" s="21">
        <f t="shared" si="1554"/>
        <v>0</v>
      </c>
      <c r="BJ176" s="21">
        <f t="shared" si="1554"/>
        <v>0</v>
      </c>
      <c r="BK176" s="21">
        <f t="shared" ref="BK176:BN176" si="1555">BK167-BK175</f>
        <v>0</v>
      </c>
      <c r="BL176" s="21">
        <f t="shared" si="1555"/>
        <v>0</v>
      </c>
      <c r="BM176" s="21">
        <f t="shared" si="1555"/>
        <v>0</v>
      </c>
      <c r="BN176" s="21">
        <f t="shared" si="1555"/>
        <v>0</v>
      </c>
      <c r="BO176" s="21">
        <f t="shared" ref="BO176:BR176" si="1556">BO167-BO175</f>
        <v>0</v>
      </c>
      <c r="BP176" s="21">
        <f t="shared" si="1556"/>
        <v>0</v>
      </c>
      <c r="BQ176" s="21">
        <f t="shared" si="1556"/>
        <v>0</v>
      </c>
      <c r="BR176" s="21">
        <f t="shared" si="1556"/>
        <v>0</v>
      </c>
      <c r="BS176" s="21">
        <f t="shared" ref="BS176:BV176" si="1557">BS167-BS175</f>
        <v>0</v>
      </c>
      <c r="BT176" s="21">
        <f t="shared" si="1557"/>
        <v>0</v>
      </c>
      <c r="BU176" s="21">
        <f t="shared" si="1557"/>
        <v>0</v>
      </c>
      <c r="BV176" s="21">
        <f t="shared" si="1557"/>
        <v>0</v>
      </c>
      <c r="BW176" s="21">
        <f t="shared" ref="BW176:BZ176" si="1558">BW167-BW175</f>
        <v>0</v>
      </c>
      <c r="BX176" s="21">
        <f t="shared" si="1558"/>
        <v>0</v>
      </c>
      <c r="BY176" s="21">
        <f t="shared" si="1558"/>
        <v>0</v>
      </c>
      <c r="BZ176" s="21">
        <f t="shared" si="1558"/>
        <v>0</v>
      </c>
      <c r="CA176" s="21">
        <f t="shared" ref="CA176:CD176" si="1559">CA167-CA175</f>
        <v>0</v>
      </c>
      <c r="CB176" s="21">
        <f t="shared" si="1559"/>
        <v>0</v>
      </c>
      <c r="CC176" s="21">
        <f t="shared" si="1559"/>
        <v>32.149999999999977</v>
      </c>
      <c r="CD176" s="21">
        <f t="shared" si="1559"/>
        <v>70.440325372287759</v>
      </c>
      <c r="CE176" s="21">
        <f t="shared" ref="CE176" si="1560">CE167-CE175</f>
        <v>82.194999999999993</v>
      </c>
      <c r="CF176" s="21">
        <f t="shared" ref="CF176:CH176" si="1561">CF167-CF175</f>
        <v>69.463354647485744</v>
      </c>
      <c r="CG176" s="21">
        <f t="shared" ref="CG176" si="1562">CG167-CG175</f>
        <v>73.102400000000046</v>
      </c>
      <c r="CH176" s="21">
        <f t="shared" si="1561"/>
        <v>220.83391952750242</v>
      </c>
      <c r="CI176" s="21">
        <f t="shared" ref="CI176:CJ176" si="1563">CI167-CI175</f>
        <v>19.481999999999971</v>
      </c>
      <c r="CJ176" s="21">
        <f t="shared" si="1563"/>
        <v>42.435250273995962</v>
      </c>
      <c r="CK176" s="21">
        <f t="shared" ref="CK176:CL176" si="1564">CK167-CK175</f>
        <v>-72.55499999999995</v>
      </c>
      <c r="CL176" s="21">
        <f t="shared" si="1564"/>
        <v>-25.776234369287977</v>
      </c>
      <c r="CM176" s="20">
        <f t="shared" ref="CM176:DA176" si="1565">CM167-CM175</f>
        <v>-94.342410979510873</v>
      </c>
      <c r="CN176" s="20">
        <f t="shared" si="1565"/>
        <v>-145.03001542395725</v>
      </c>
      <c r="CO176" s="20">
        <f t="shared" si="1565"/>
        <v>-150.7114526384687</v>
      </c>
      <c r="CP176" s="20">
        <f t="shared" si="1565"/>
        <v>-146.96626784813941</v>
      </c>
      <c r="CQ176" s="20">
        <f t="shared" si="1565"/>
        <v>-148.03360843567225</v>
      </c>
      <c r="CR176" s="20">
        <f t="shared" si="1565"/>
        <v>-205.72468939558462</v>
      </c>
      <c r="CS176" s="20">
        <f t="shared" si="1565"/>
        <v>-209.69043367318295</v>
      </c>
      <c r="CT176" s="20">
        <f t="shared" si="1565"/>
        <v>-202.60090977915593</v>
      </c>
      <c r="CU176" s="20">
        <f t="shared" si="1565"/>
        <v>-201.51999353167002</v>
      </c>
      <c r="CV176" s="20">
        <f t="shared" si="1565"/>
        <v>-268.60012097676713</v>
      </c>
      <c r="CW176" s="20">
        <f t="shared" si="1565"/>
        <v>-271.40326967669921</v>
      </c>
      <c r="CX176" s="20">
        <f t="shared" si="1565"/>
        <v>-261.11611356966773</v>
      </c>
      <c r="CY176" s="20">
        <f t="shared" si="1565"/>
        <v>-258.1994621075637</v>
      </c>
      <c r="CZ176" s="20">
        <f t="shared" si="1565"/>
        <v>-337.22182275341993</v>
      </c>
      <c r="DA176" s="20">
        <f t="shared" si="1565"/>
        <v>-339.24445021102156</v>
      </c>
      <c r="DD176" s="122">
        <v>-72.55499999999995</v>
      </c>
    </row>
    <row r="177" spans="1:108" s="22" customFormat="1" x14ac:dyDescent="0.2">
      <c r="AB177" s="23"/>
      <c r="AC177" s="23"/>
      <c r="AD177" s="23"/>
      <c r="AE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0"/>
    </row>
    <row r="178" spans="1:108" s="22" customFormat="1" outlineLevel="1" x14ac:dyDescent="0.2">
      <c r="A178" s="22" t="s">
        <v>75</v>
      </c>
      <c r="B178" s="22">
        <f>'Annual Raw'!C75</f>
        <v>0</v>
      </c>
      <c r="C178" s="22">
        <f>'Annual Raw'!D75</f>
        <v>0</v>
      </c>
      <c r="D178" s="22">
        <f>'Annual Raw'!E75</f>
        <v>0</v>
      </c>
      <c r="E178" s="22">
        <f>'Annual Raw'!F75</f>
        <v>0</v>
      </c>
      <c r="F178" s="22">
        <f>'Annual Raw'!G75</f>
        <v>0</v>
      </c>
      <c r="G178" s="22">
        <f>'Annual Raw'!H75</f>
        <v>0</v>
      </c>
      <c r="H178" s="22">
        <f>'Annual Raw'!I75</f>
        <v>0</v>
      </c>
      <c r="I178" s="22">
        <f>'Annual Raw'!J75</f>
        <v>0</v>
      </c>
      <c r="J178" s="22">
        <f>'Annual Raw'!K75</f>
        <v>0</v>
      </c>
      <c r="K178" s="22">
        <f>'Annual Raw'!L75</f>
        <v>0</v>
      </c>
      <c r="L178" s="22">
        <f>'Annual Raw'!M75</f>
        <v>0</v>
      </c>
      <c r="M178" s="22">
        <f>'Annual Raw'!N75</f>
        <v>0</v>
      </c>
      <c r="N178" s="22">
        <f>'Annual Raw'!O75</f>
        <v>0</v>
      </c>
      <c r="O178" s="22">
        <f>'Annual Raw'!P75</f>
        <v>0</v>
      </c>
      <c r="P178" s="22">
        <f>'Annual Raw'!Q75</f>
        <v>0</v>
      </c>
      <c r="Q178" s="22">
        <f>'Annual Raw'!R75</f>
        <v>0</v>
      </c>
      <c r="R178" s="22">
        <f>'Annual Raw'!S75</f>
        <v>0</v>
      </c>
      <c r="S178" s="22">
        <f>'Annual Raw'!T75</f>
        <v>0</v>
      </c>
      <c r="T178" s="22">
        <f>'Annual Raw'!U75</f>
        <v>0</v>
      </c>
      <c r="U178" s="22">
        <f>'Annual Raw'!V75</f>
        <v>0</v>
      </c>
      <c r="V178" s="22">
        <f>'Annual Raw'!W75</f>
        <v>0</v>
      </c>
      <c r="W178" s="22">
        <f>'Annual Raw'!X75</f>
        <v>0</v>
      </c>
      <c r="X178" s="22">
        <f>'Annual Raw'!Y75</f>
        <v>0</v>
      </c>
      <c r="Y178" s="22">
        <f>'Annual Raw'!Z75</f>
        <v>0</v>
      </c>
      <c r="Z178" s="22">
        <f>'Annual Raw'!AA75</f>
        <v>0</v>
      </c>
      <c r="AA178" s="22">
        <f>'Annual Raw'!AB75</f>
        <v>0</v>
      </c>
      <c r="AB178" s="23">
        <f t="shared" ref="AB178:AB179" si="1566">+CO178</f>
        <v>0</v>
      </c>
      <c r="AC178" s="23">
        <f t="shared" ref="AC178:AC179" si="1567">+CS178</f>
        <v>0</v>
      </c>
      <c r="AD178" s="23">
        <f t="shared" ref="AD178:AD179" si="1568">+CW178</f>
        <v>0</v>
      </c>
      <c r="AE178" s="23">
        <f t="shared" ref="AE178:AE179" si="1569">+DA178</f>
        <v>0</v>
      </c>
      <c r="AI178" s="22">
        <f>+'QTR Raw'!C80</f>
        <v>0</v>
      </c>
      <c r="AK178" s="22">
        <f>+'QTR Raw'!E80</f>
        <v>0</v>
      </c>
      <c r="AM178" s="22">
        <f>+'QTR Raw'!G80</f>
        <v>0</v>
      </c>
      <c r="AO178" s="22">
        <f>+'QTR Raw'!I80</f>
        <v>0</v>
      </c>
      <c r="AQ178" s="22">
        <f>+'QTR Raw'!K80</f>
        <v>0</v>
      </c>
      <c r="AS178" s="22">
        <f>+'QTR Raw'!M80</f>
        <v>0</v>
      </c>
      <c r="AU178" s="22">
        <f>+'QTR Raw'!O80</f>
        <v>0</v>
      </c>
      <c r="AW178" s="22">
        <f>+'QTR Raw'!Q80</f>
        <v>0</v>
      </c>
      <c r="AY178" s="22">
        <f>+'QTR Raw'!S80</f>
        <v>0</v>
      </c>
      <c r="BA178" s="22">
        <f>+'QTR Raw'!U80</f>
        <v>0</v>
      </c>
      <c r="BC178" s="22">
        <f>+'QTR Raw'!W80</f>
        <v>0</v>
      </c>
      <c r="BE178" s="22">
        <f>+'QTR Raw'!Y80</f>
        <v>0</v>
      </c>
      <c r="BG178" s="22">
        <f>+'QTR Raw'!AA80</f>
        <v>0</v>
      </c>
      <c r="BI178" s="22">
        <f>+'QTR Raw'!AC80</f>
        <v>0</v>
      </c>
      <c r="BK178" s="22">
        <f>+'QTR Raw'!AE80</f>
        <v>0</v>
      </c>
      <c r="BM178" s="22">
        <f>+'QTR Raw'!AG80</f>
        <v>0</v>
      </c>
      <c r="BO178" s="22">
        <f>+'QTR Raw'!AI80</f>
        <v>0</v>
      </c>
      <c r="BQ178" s="22">
        <f>+'QTR Raw'!AK80</f>
        <v>0</v>
      </c>
      <c r="BS178" s="22">
        <f>+'QTR Raw'!AM80</f>
        <v>0</v>
      </c>
      <c r="BU178" s="22">
        <f>+'QTR Raw'!AO80</f>
        <v>0</v>
      </c>
      <c r="BW178" s="22">
        <f>+'QTR Raw'!AQ80</f>
        <v>0</v>
      </c>
      <c r="BY178" s="22">
        <f>+'QTR Raw'!AS80</f>
        <v>0</v>
      </c>
      <c r="CA178" s="22">
        <f>+'QTR Raw'!AU80</f>
        <v>0</v>
      </c>
      <c r="CC178" s="22">
        <f>+'QTR Raw'!AW80</f>
        <v>0</v>
      </c>
      <c r="CE178" s="22">
        <f>+'QTR Raw'!AY80</f>
        <v>0</v>
      </c>
      <c r="CG178" s="22">
        <f t="shared" ref="CG178:CG179" si="1570">+Z178</f>
        <v>0</v>
      </c>
      <c r="CI178" s="22">
        <f>+'QTR Raw'!BC80</f>
        <v>0</v>
      </c>
      <c r="CK178" s="22">
        <f>+'QTR Raw'!BE80</f>
        <v>0</v>
      </c>
      <c r="CM178" s="23"/>
      <c r="CN178" s="23"/>
      <c r="CO178" s="23"/>
      <c r="CP178" s="23"/>
      <c r="CQ178" s="23"/>
      <c r="CR178" s="23"/>
      <c r="CS178" s="23"/>
      <c r="CT178" s="23"/>
      <c r="CU178" s="23"/>
      <c r="CV178" s="23"/>
      <c r="CW178" s="23"/>
      <c r="CX178" s="23"/>
      <c r="CY178" s="23"/>
      <c r="CZ178" s="23"/>
      <c r="DA178" s="23"/>
      <c r="DD178" s="120">
        <v>0</v>
      </c>
    </row>
    <row r="179" spans="1:108" s="22" customFormat="1" outlineLevel="1" x14ac:dyDescent="0.2">
      <c r="A179" s="22" t="s">
        <v>76</v>
      </c>
      <c r="B179" s="22">
        <f>'Annual Raw'!C78</f>
        <v>1.3434499959999999</v>
      </c>
      <c r="C179" s="22">
        <f>'Annual Raw'!D78</f>
        <v>6.934622954</v>
      </c>
      <c r="D179" s="22">
        <f>'Annual Raw'!E78</f>
        <v>0</v>
      </c>
      <c r="E179" s="22">
        <f>'Annual Raw'!F78</f>
        <v>0</v>
      </c>
      <c r="F179" s="22">
        <f>'Annual Raw'!G78</f>
        <v>0</v>
      </c>
      <c r="G179" s="22">
        <f>'Annual Raw'!H78</f>
        <v>0</v>
      </c>
      <c r="H179" s="22">
        <f>'Annual Raw'!I78</f>
        <v>0</v>
      </c>
      <c r="I179" s="22">
        <f>'Annual Raw'!J78</f>
        <v>0</v>
      </c>
      <c r="J179" s="22">
        <f>'Annual Raw'!K78</f>
        <v>0</v>
      </c>
      <c r="K179" s="22">
        <f>'Annual Raw'!L78</f>
        <v>0</v>
      </c>
      <c r="L179" s="22">
        <f>'Annual Raw'!M78</f>
        <v>0</v>
      </c>
      <c r="M179" s="22">
        <f>'Annual Raw'!N78</f>
        <v>0</v>
      </c>
      <c r="N179" s="22">
        <f>'Annual Raw'!O78</f>
        <v>0</v>
      </c>
      <c r="O179" s="22">
        <f>'Annual Raw'!P78</f>
        <v>0</v>
      </c>
      <c r="P179" s="22">
        <f>'Annual Raw'!Q78</f>
        <v>0</v>
      </c>
      <c r="Q179" s="22">
        <f>'Annual Raw'!R78</f>
        <v>0</v>
      </c>
      <c r="R179" s="22">
        <f>'Annual Raw'!S78</f>
        <v>0</v>
      </c>
      <c r="S179" s="22">
        <f>'Annual Raw'!T78</f>
        <v>0</v>
      </c>
      <c r="T179" s="22">
        <f>'Annual Raw'!U78</f>
        <v>0</v>
      </c>
      <c r="U179" s="22">
        <f>'Annual Raw'!V78</f>
        <v>0</v>
      </c>
      <c r="V179" s="22">
        <f>'Annual Raw'!W78</f>
        <v>0</v>
      </c>
      <c r="W179" s="22">
        <f>'Annual Raw'!X78</f>
        <v>0</v>
      </c>
      <c r="X179" s="22">
        <f>'Annual Raw'!Y78</f>
        <v>0</v>
      </c>
      <c r="Y179" s="22">
        <f>'Annual Raw'!Z78</f>
        <v>130.46430000000001</v>
      </c>
      <c r="Z179" s="22">
        <f>'Annual Raw'!AA78</f>
        <v>62.5261</v>
      </c>
      <c r="AA179" s="22">
        <f>'Annual Raw'!AB78</f>
        <v>226.50280000000001</v>
      </c>
      <c r="AB179" s="23">
        <f t="shared" si="1566"/>
        <v>359.25345808520171</v>
      </c>
      <c r="AC179" s="23">
        <f t="shared" si="1567"/>
        <v>596.72427239335889</v>
      </c>
      <c r="AD179" s="23">
        <f t="shared" si="1568"/>
        <v>1002.0700937727865</v>
      </c>
      <c r="AE179" s="23">
        <f t="shared" si="1569"/>
        <v>1616.1380272478646</v>
      </c>
      <c r="AI179" s="22">
        <f>+'QTR Raw'!C83</f>
        <v>0</v>
      </c>
      <c r="AJ179" s="22">
        <f t="shared" ref="AJ179" si="1571">+AJ229</f>
        <v>-3.7169999999999908</v>
      </c>
      <c r="AK179" s="22">
        <f>+'QTR Raw'!E83</f>
        <v>0</v>
      </c>
      <c r="AL179" s="22">
        <f t="shared" ref="AL179" si="1572">+AL229</f>
        <v>-3.4370000000000163</v>
      </c>
      <c r="AM179" s="22">
        <f>+'QTR Raw'!G83</f>
        <v>0</v>
      </c>
      <c r="AN179" s="22">
        <f t="shared" ref="AN179" si="1573">+AN229</f>
        <v>-18.507999999999992</v>
      </c>
      <c r="AO179" s="22">
        <f>+'QTR Raw'!I83</f>
        <v>0</v>
      </c>
      <c r="AP179" s="22">
        <f t="shared" ref="AP179" si="1574">+AP229</f>
        <v>-1.5760000000000192</v>
      </c>
      <c r="AQ179" s="22">
        <f>+'QTR Raw'!K83</f>
        <v>0</v>
      </c>
      <c r="AR179" s="22">
        <f t="shared" ref="AR179" si="1575">+AR229</f>
        <v>4.2170000000000014</v>
      </c>
      <c r="AS179" s="22">
        <f>+'QTR Raw'!M83</f>
        <v>0</v>
      </c>
      <c r="AT179" s="22">
        <f t="shared" ref="AT179" si="1576">+AT229</f>
        <v>7.7749999999999932</v>
      </c>
      <c r="AU179" s="22">
        <f>+'QTR Raw'!O83</f>
        <v>0</v>
      </c>
      <c r="AV179" s="22">
        <f t="shared" ref="AV179" si="1577">+AV229</f>
        <v>-2.8020000000000009</v>
      </c>
      <c r="AW179" s="22">
        <f>+'QTR Raw'!Q83</f>
        <v>0</v>
      </c>
      <c r="AX179" s="22">
        <f t="shared" ref="AX179" si="1578">+AX229</f>
        <v>10.694000000000003</v>
      </c>
      <c r="AY179" s="22">
        <f>+'QTR Raw'!S83</f>
        <v>0</v>
      </c>
      <c r="AZ179" s="22">
        <f t="shared" ref="AZ179" si="1579">+AZ229</f>
        <v>2.1000000000006125E-2</v>
      </c>
      <c r="BA179" s="22">
        <f>+'QTR Raw'!U83</f>
        <v>0</v>
      </c>
      <c r="BB179" s="22">
        <f t="shared" ref="BB179" si="1580">+BB229</f>
        <v>4.5799999999999939</v>
      </c>
      <c r="BC179" s="22">
        <f>+'QTR Raw'!W83</f>
        <v>0</v>
      </c>
      <c r="BD179" s="22">
        <f t="shared" ref="BD179" si="1581">+BD229</f>
        <v>4.5229999999999997</v>
      </c>
      <c r="BE179" s="22">
        <f>+'QTR Raw'!Y83</f>
        <v>0</v>
      </c>
      <c r="BF179" s="22">
        <f t="shared" ref="BF179" si="1582">+BF229</f>
        <v>-0.99799999999999289</v>
      </c>
      <c r="BG179" s="22">
        <f>+'QTR Raw'!AA83</f>
        <v>0</v>
      </c>
      <c r="BH179" s="22">
        <f t="shared" ref="BH179" si="1583">+BH229</f>
        <v>10.432</v>
      </c>
      <c r="BI179" s="22">
        <f>+'QTR Raw'!AC83</f>
        <v>0</v>
      </c>
      <c r="BJ179" s="22">
        <f t="shared" ref="BJ179" si="1584">+BJ229</f>
        <v>5.4789999999999939</v>
      </c>
      <c r="BK179" s="22">
        <f>+'QTR Raw'!AE83</f>
        <v>0</v>
      </c>
      <c r="BL179" s="22">
        <f t="shared" ref="BL179" si="1585">+BL229</f>
        <v>9.7959999999999923</v>
      </c>
      <c r="BM179" s="22">
        <f>+'QTR Raw'!AG83</f>
        <v>0</v>
      </c>
      <c r="BN179" s="22">
        <f t="shared" ref="BN179" si="1586">+BN229</f>
        <v>4.5259999999999989</v>
      </c>
      <c r="BO179" s="22">
        <f>+'QTR Raw'!AI83</f>
        <v>0</v>
      </c>
      <c r="BP179" s="22">
        <f t="shared" ref="BP179" si="1587">+BP229</f>
        <v>-11.356999999999998</v>
      </c>
      <c r="BQ179" s="22">
        <f>+'QTR Raw'!AK83</f>
        <v>0</v>
      </c>
      <c r="BR179" s="22">
        <f t="shared" ref="BR179" si="1588">+BR229</f>
        <v>-8.960000000000008</v>
      </c>
      <c r="BS179" s="22">
        <f>+'QTR Raw'!AM83</f>
        <v>0</v>
      </c>
      <c r="BT179" s="22">
        <f t="shared" ref="BT179" si="1589">+BT229</f>
        <v>2.1990000000000025</v>
      </c>
      <c r="BU179" s="22">
        <f>+'QTR Raw'!AO83</f>
        <v>0</v>
      </c>
      <c r="BV179" s="22">
        <f t="shared" ref="BV179" si="1590">+BV229</f>
        <v>-2.4539999999999949</v>
      </c>
      <c r="BW179" s="22">
        <f>+'QTR Raw'!AQ83</f>
        <v>0</v>
      </c>
      <c r="BX179" s="22">
        <f t="shared" ref="BX179" si="1591">+BX229</f>
        <v>-2.9460000000000011</v>
      </c>
      <c r="BY179" s="22">
        <f>+'QTR Raw'!AS83</f>
        <v>0</v>
      </c>
      <c r="BZ179" s="22">
        <f t="shared" ref="BZ179" si="1592">+BZ229</f>
        <v>9.7930000000000046</v>
      </c>
      <c r="CA179" s="22">
        <f>+'QTR Raw'!AU83</f>
        <v>0</v>
      </c>
      <c r="CB179" s="22">
        <f t="shared" ref="CB179" si="1593">+CB229</f>
        <v>6.9840000000000106</v>
      </c>
      <c r="CC179" s="22">
        <f>+'QTR Raw'!AW83</f>
        <v>130.465</v>
      </c>
      <c r="CD179" s="22">
        <f t="shared" ref="CD179" si="1594">+CD229</f>
        <v>95.793674627712193</v>
      </c>
      <c r="CE179" s="22">
        <f>+'QTR Raw'!AY83</f>
        <v>77.486000000000004</v>
      </c>
      <c r="CF179" s="22">
        <f t="shared" ref="CF179:CH179" si="1595">+CF229</f>
        <v>82.720645352514254</v>
      </c>
      <c r="CG179" s="22">
        <f t="shared" si="1570"/>
        <v>62.5261</v>
      </c>
      <c r="CH179" s="22">
        <f t="shared" si="1595"/>
        <v>-88.119419527502373</v>
      </c>
      <c r="CI179" s="22">
        <f>+'QTR Raw'!BC83</f>
        <v>123.78</v>
      </c>
      <c r="CJ179" s="22">
        <f t="shared" ref="CJ179:CL179" si="1596">+CJ229</f>
        <v>109.746749726004</v>
      </c>
      <c r="CK179" s="22">
        <f>+'QTR Raw'!BE83</f>
        <v>226.50299999999999</v>
      </c>
      <c r="CL179" s="22">
        <f t="shared" si="1596"/>
        <v>187.08523436928803</v>
      </c>
      <c r="CM179" s="23">
        <f t="shared" ref="CM179:DA179" si="1597">+CM229</f>
        <v>250.41233208929378</v>
      </c>
      <c r="CN179" s="23">
        <f t="shared" si="1597"/>
        <v>324.6363865310858</v>
      </c>
      <c r="CO179" s="23">
        <f t="shared" si="1597"/>
        <v>359.25345808520171</v>
      </c>
      <c r="CP179" s="23">
        <f t="shared" si="1597"/>
        <v>379.02603864222726</v>
      </c>
      <c r="CQ179" s="23">
        <f t="shared" si="1597"/>
        <v>406.10910926640963</v>
      </c>
      <c r="CR179" s="23">
        <f t="shared" si="1597"/>
        <v>525.42339577671112</v>
      </c>
      <c r="CS179" s="23">
        <f t="shared" si="1597"/>
        <v>596.72427239335889</v>
      </c>
      <c r="CT179" s="23">
        <f t="shared" si="1597"/>
        <v>649.78874877448061</v>
      </c>
      <c r="CU179" s="23">
        <f t="shared" si="1597"/>
        <v>710.99548363259839</v>
      </c>
      <c r="CV179" s="23">
        <f t="shared" si="1597"/>
        <v>885.5103400712261</v>
      </c>
      <c r="CW179" s="23">
        <f t="shared" si="1597"/>
        <v>1002.0700937727865</v>
      </c>
      <c r="CX179" s="23">
        <f t="shared" si="1597"/>
        <v>1096.4202028992845</v>
      </c>
      <c r="CY179" s="23">
        <f t="shared" si="1597"/>
        <v>1200.0112446198593</v>
      </c>
      <c r="CZ179" s="23">
        <f t="shared" si="1597"/>
        <v>1442.9466943079431</v>
      </c>
      <c r="DA179" s="23">
        <f t="shared" si="1597"/>
        <v>1616.1380272478646</v>
      </c>
      <c r="DD179" s="120">
        <v>226.50299999999999</v>
      </c>
    </row>
    <row r="180" spans="1:108" s="21" customFormat="1" x14ac:dyDescent="0.2">
      <c r="A180" s="21" t="s">
        <v>77</v>
      </c>
      <c r="B180" s="21">
        <f>B178+B179</f>
        <v>1.3434499959999999</v>
      </c>
      <c r="C180" s="21">
        <f t="shared" ref="C180:V180" si="1598">C178+C179</f>
        <v>6.934622954</v>
      </c>
      <c r="D180" s="21">
        <f t="shared" si="1598"/>
        <v>0</v>
      </c>
      <c r="E180" s="21">
        <f t="shared" si="1598"/>
        <v>0</v>
      </c>
      <c r="F180" s="21">
        <f t="shared" si="1598"/>
        <v>0</v>
      </c>
      <c r="G180" s="21">
        <f t="shared" si="1598"/>
        <v>0</v>
      </c>
      <c r="H180" s="21">
        <f t="shared" si="1598"/>
        <v>0</v>
      </c>
      <c r="I180" s="21">
        <f t="shared" si="1598"/>
        <v>0</v>
      </c>
      <c r="J180" s="21">
        <f t="shared" si="1598"/>
        <v>0</v>
      </c>
      <c r="K180" s="21">
        <f t="shared" si="1598"/>
        <v>0</v>
      </c>
      <c r="L180" s="21">
        <f t="shared" si="1598"/>
        <v>0</v>
      </c>
      <c r="M180" s="21">
        <f t="shared" si="1598"/>
        <v>0</v>
      </c>
      <c r="N180" s="21">
        <f t="shared" si="1598"/>
        <v>0</v>
      </c>
      <c r="O180" s="21">
        <f t="shared" si="1598"/>
        <v>0</v>
      </c>
      <c r="P180" s="21">
        <f t="shared" si="1598"/>
        <v>0</v>
      </c>
      <c r="Q180" s="21">
        <f t="shared" si="1598"/>
        <v>0</v>
      </c>
      <c r="R180" s="21">
        <f t="shared" si="1598"/>
        <v>0</v>
      </c>
      <c r="S180" s="21">
        <f t="shared" si="1598"/>
        <v>0</v>
      </c>
      <c r="T180" s="21">
        <f t="shared" si="1598"/>
        <v>0</v>
      </c>
      <c r="U180" s="21">
        <f t="shared" si="1598"/>
        <v>0</v>
      </c>
      <c r="V180" s="21">
        <f t="shared" si="1598"/>
        <v>0</v>
      </c>
      <c r="W180" s="21">
        <f t="shared" ref="W180" si="1599">W178+W179</f>
        <v>0</v>
      </c>
      <c r="X180" s="21">
        <f t="shared" ref="X180:Y180" si="1600">X178+X179</f>
        <v>0</v>
      </c>
      <c r="Y180" s="21">
        <f t="shared" si="1600"/>
        <v>130.46430000000001</v>
      </c>
      <c r="Z180" s="21">
        <f t="shared" ref="Z180:AA180" si="1601">Z178+Z179</f>
        <v>62.5261</v>
      </c>
      <c r="AA180" s="21">
        <f t="shared" si="1601"/>
        <v>226.50280000000001</v>
      </c>
      <c r="AB180" s="20">
        <f t="shared" ref="AA180:AD180" si="1602">AB178+AB179</f>
        <v>359.25345808520171</v>
      </c>
      <c r="AC180" s="20">
        <f t="shared" si="1602"/>
        <v>596.72427239335889</v>
      </c>
      <c r="AD180" s="20">
        <f t="shared" si="1602"/>
        <v>1002.0700937727865</v>
      </c>
      <c r="AE180" s="20">
        <f t="shared" ref="AE180" si="1603">AE178+AE179</f>
        <v>1616.1380272478646</v>
      </c>
      <c r="AI180" s="21">
        <f t="shared" ref="AI180:AL180" si="1604">AI178+AI179</f>
        <v>0</v>
      </c>
      <c r="AJ180" s="21">
        <f t="shared" si="1604"/>
        <v>-3.7169999999999908</v>
      </c>
      <c r="AK180" s="21">
        <f t="shared" si="1604"/>
        <v>0</v>
      </c>
      <c r="AL180" s="21">
        <f t="shared" si="1604"/>
        <v>-3.4370000000000163</v>
      </c>
      <c r="AM180" s="21">
        <f t="shared" ref="AM180:AP180" si="1605">AM178+AM179</f>
        <v>0</v>
      </c>
      <c r="AN180" s="21">
        <f t="shared" si="1605"/>
        <v>-18.507999999999992</v>
      </c>
      <c r="AO180" s="21">
        <f t="shared" si="1605"/>
        <v>0</v>
      </c>
      <c r="AP180" s="21">
        <f t="shared" si="1605"/>
        <v>-1.5760000000000192</v>
      </c>
      <c r="AQ180" s="21">
        <f t="shared" ref="AQ180:AT180" si="1606">AQ178+AQ179</f>
        <v>0</v>
      </c>
      <c r="AR180" s="21">
        <f t="shared" si="1606"/>
        <v>4.2170000000000014</v>
      </c>
      <c r="AS180" s="21">
        <f t="shared" si="1606"/>
        <v>0</v>
      </c>
      <c r="AT180" s="21">
        <f t="shared" si="1606"/>
        <v>7.7749999999999932</v>
      </c>
      <c r="AU180" s="21">
        <f t="shared" ref="AU180:AX180" si="1607">AU178+AU179</f>
        <v>0</v>
      </c>
      <c r="AV180" s="21">
        <f t="shared" si="1607"/>
        <v>-2.8020000000000009</v>
      </c>
      <c r="AW180" s="21">
        <f t="shared" si="1607"/>
        <v>0</v>
      </c>
      <c r="AX180" s="21">
        <f t="shared" si="1607"/>
        <v>10.694000000000003</v>
      </c>
      <c r="AY180" s="21">
        <f t="shared" ref="AY180:BB180" si="1608">AY178+AY179</f>
        <v>0</v>
      </c>
      <c r="AZ180" s="21">
        <f t="shared" si="1608"/>
        <v>2.1000000000006125E-2</v>
      </c>
      <c r="BA180" s="21">
        <f t="shared" si="1608"/>
        <v>0</v>
      </c>
      <c r="BB180" s="21">
        <f t="shared" si="1608"/>
        <v>4.5799999999999939</v>
      </c>
      <c r="BC180" s="21">
        <f t="shared" ref="BC180:BF180" si="1609">BC178+BC179</f>
        <v>0</v>
      </c>
      <c r="BD180" s="21">
        <f t="shared" si="1609"/>
        <v>4.5229999999999997</v>
      </c>
      <c r="BE180" s="21">
        <f t="shared" si="1609"/>
        <v>0</v>
      </c>
      <c r="BF180" s="21">
        <f t="shared" si="1609"/>
        <v>-0.99799999999999289</v>
      </c>
      <c r="BG180" s="21">
        <f t="shared" ref="BG180:BJ180" si="1610">BG178+BG179</f>
        <v>0</v>
      </c>
      <c r="BH180" s="21">
        <f t="shared" si="1610"/>
        <v>10.432</v>
      </c>
      <c r="BI180" s="21">
        <f t="shared" si="1610"/>
        <v>0</v>
      </c>
      <c r="BJ180" s="21">
        <f t="shared" si="1610"/>
        <v>5.4789999999999939</v>
      </c>
      <c r="BK180" s="21">
        <f t="shared" ref="BK180:BN180" si="1611">BK178+BK179</f>
        <v>0</v>
      </c>
      <c r="BL180" s="21">
        <f t="shared" si="1611"/>
        <v>9.7959999999999923</v>
      </c>
      <c r="BM180" s="21">
        <f t="shared" si="1611"/>
        <v>0</v>
      </c>
      <c r="BN180" s="21">
        <f t="shared" si="1611"/>
        <v>4.5259999999999989</v>
      </c>
      <c r="BO180" s="21">
        <f t="shared" ref="BO180:BR180" si="1612">BO178+BO179</f>
        <v>0</v>
      </c>
      <c r="BP180" s="21">
        <f t="shared" si="1612"/>
        <v>-11.356999999999998</v>
      </c>
      <c r="BQ180" s="21">
        <f t="shared" si="1612"/>
        <v>0</v>
      </c>
      <c r="BR180" s="21">
        <f t="shared" si="1612"/>
        <v>-8.960000000000008</v>
      </c>
      <c r="BS180" s="21">
        <f t="shared" ref="BS180:BV180" si="1613">BS178+BS179</f>
        <v>0</v>
      </c>
      <c r="BT180" s="21">
        <f t="shared" si="1613"/>
        <v>2.1990000000000025</v>
      </c>
      <c r="BU180" s="21">
        <f t="shared" si="1613"/>
        <v>0</v>
      </c>
      <c r="BV180" s="21">
        <f t="shared" si="1613"/>
        <v>-2.4539999999999949</v>
      </c>
      <c r="BW180" s="21">
        <f t="shared" ref="BW180:BZ180" si="1614">BW178+BW179</f>
        <v>0</v>
      </c>
      <c r="BX180" s="21">
        <f t="shared" si="1614"/>
        <v>-2.9460000000000011</v>
      </c>
      <c r="BY180" s="21">
        <f t="shared" si="1614"/>
        <v>0</v>
      </c>
      <c r="BZ180" s="21">
        <f t="shared" si="1614"/>
        <v>9.7930000000000046</v>
      </c>
      <c r="CA180" s="21">
        <f t="shared" ref="CA180:CD180" si="1615">CA178+CA179</f>
        <v>0</v>
      </c>
      <c r="CB180" s="21">
        <f t="shared" si="1615"/>
        <v>6.9840000000000106</v>
      </c>
      <c r="CC180" s="21">
        <f t="shared" si="1615"/>
        <v>130.465</v>
      </c>
      <c r="CD180" s="21">
        <f t="shared" si="1615"/>
        <v>95.793674627712193</v>
      </c>
      <c r="CE180" s="21">
        <f t="shared" ref="CE180" si="1616">CE178+CE179</f>
        <v>77.486000000000004</v>
      </c>
      <c r="CF180" s="21">
        <f t="shared" ref="CF180:CH180" si="1617">CF178+CF179</f>
        <v>82.720645352514254</v>
      </c>
      <c r="CG180" s="21">
        <f t="shared" ref="CG180" si="1618">CG178+CG179</f>
        <v>62.5261</v>
      </c>
      <c r="CH180" s="21">
        <f t="shared" si="1617"/>
        <v>-88.119419527502373</v>
      </c>
      <c r="CI180" s="21">
        <f t="shared" ref="CI180:CJ180" si="1619">CI178+CI179</f>
        <v>123.78</v>
      </c>
      <c r="CJ180" s="21">
        <f t="shared" si="1619"/>
        <v>109.746749726004</v>
      </c>
      <c r="CK180" s="21">
        <f t="shared" ref="CK180:CL180" si="1620">CK178+CK179</f>
        <v>226.50299999999999</v>
      </c>
      <c r="CL180" s="21">
        <f t="shared" si="1620"/>
        <v>187.08523436928803</v>
      </c>
      <c r="CM180" s="20">
        <f t="shared" ref="CM180:DA180" si="1621">CM178+CM179</f>
        <v>250.41233208929378</v>
      </c>
      <c r="CN180" s="20">
        <f t="shared" si="1621"/>
        <v>324.6363865310858</v>
      </c>
      <c r="CO180" s="20">
        <f t="shared" si="1621"/>
        <v>359.25345808520171</v>
      </c>
      <c r="CP180" s="20">
        <f t="shared" si="1621"/>
        <v>379.02603864222726</v>
      </c>
      <c r="CQ180" s="20">
        <f t="shared" si="1621"/>
        <v>406.10910926640963</v>
      </c>
      <c r="CR180" s="20">
        <f t="shared" si="1621"/>
        <v>525.42339577671112</v>
      </c>
      <c r="CS180" s="20">
        <f t="shared" si="1621"/>
        <v>596.72427239335889</v>
      </c>
      <c r="CT180" s="20">
        <f t="shared" si="1621"/>
        <v>649.78874877448061</v>
      </c>
      <c r="CU180" s="20">
        <f t="shared" si="1621"/>
        <v>710.99548363259839</v>
      </c>
      <c r="CV180" s="20">
        <f t="shared" si="1621"/>
        <v>885.5103400712261</v>
      </c>
      <c r="CW180" s="20">
        <f t="shared" si="1621"/>
        <v>1002.0700937727865</v>
      </c>
      <c r="CX180" s="20">
        <f t="shared" si="1621"/>
        <v>1096.4202028992845</v>
      </c>
      <c r="CY180" s="20">
        <f t="shared" si="1621"/>
        <v>1200.0112446198593</v>
      </c>
      <c r="CZ180" s="20">
        <f t="shared" si="1621"/>
        <v>1442.9466943079431</v>
      </c>
      <c r="DA180" s="20">
        <f t="shared" si="1621"/>
        <v>1616.1380272478646</v>
      </c>
      <c r="DD180" s="122">
        <v>226.50299999999999</v>
      </c>
    </row>
    <row r="181" spans="1:108" s="22" customFormat="1" x14ac:dyDescent="0.2">
      <c r="AB181" s="23"/>
      <c r="AC181" s="23"/>
      <c r="AD181" s="23"/>
      <c r="AE181" s="23"/>
      <c r="CM181" s="23"/>
      <c r="CN181" s="23"/>
      <c r="CO181" s="23"/>
      <c r="CP181" s="23"/>
      <c r="CQ181" s="23"/>
      <c r="CR181" s="23"/>
      <c r="CS181" s="23"/>
      <c r="CT181" s="23"/>
      <c r="CU181" s="23"/>
      <c r="CV181" s="23"/>
      <c r="CW181" s="23"/>
      <c r="CX181" s="23"/>
      <c r="CY181" s="23"/>
      <c r="CZ181" s="23"/>
      <c r="DA181" s="23"/>
      <c r="DD181" s="120"/>
    </row>
    <row r="182" spans="1:108" s="22" customFormat="1" x14ac:dyDescent="0.2">
      <c r="A182" s="22" t="s">
        <v>78</v>
      </c>
      <c r="B182" s="22">
        <f>-'Annual Raw'!C49</f>
        <v>0</v>
      </c>
      <c r="C182" s="22">
        <f>-'Annual Raw'!D49</f>
        <v>0</v>
      </c>
      <c r="D182" s="22">
        <f>-'Annual Raw'!E49</f>
        <v>0</v>
      </c>
      <c r="E182" s="22">
        <f>-'Annual Raw'!F49</f>
        <v>0</v>
      </c>
      <c r="F182" s="22">
        <f>-'Annual Raw'!G49</f>
        <v>0</v>
      </c>
      <c r="G182" s="22">
        <f>-'Annual Raw'!H49</f>
        <v>0</v>
      </c>
      <c r="H182" s="22">
        <f>-'Annual Raw'!I49</f>
        <v>0</v>
      </c>
      <c r="I182" s="22">
        <f>-'Annual Raw'!J49</f>
        <v>0</v>
      </c>
      <c r="J182" s="22">
        <f>-'Annual Raw'!K49</f>
        <v>0</v>
      </c>
      <c r="K182" s="22">
        <f>-'Annual Raw'!L49</f>
        <v>0</v>
      </c>
      <c r="L182" s="22">
        <f>-'Annual Raw'!M49</f>
        <v>0</v>
      </c>
      <c r="M182" s="22">
        <f>-'Annual Raw'!N49</f>
        <v>0</v>
      </c>
      <c r="N182" s="22">
        <f>-'Annual Raw'!O49</f>
        <v>0</v>
      </c>
      <c r="O182" s="22">
        <f>-'Annual Raw'!P49</f>
        <v>0</v>
      </c>
      <c r="P182" s="22">
        <f>-'Annual Raw'!Q49</f>
        <v>0</v>
      </c>
      <c r="Q182" s="22">
        <f>-'Annual Raw'!R49</f>
        <v>0</v>
      </c>
      <c r="R182" s="22">
        <f>-'Annual Raw'!S49</f>
        <v>0</v>
      </c>
      <c r="S182" s="22">
        <f>-'Annual Raw'!T49</f>
        <v>0</v>
      </c>
      <c r="T182" s="22">
        <f>-'Annual Raw'!U49</f>
        <v>0</v>
      </c>
      <c r="U182" s="22">
        <f>-'Annual Raw'!V49</f>
        <v>0</v>
      </c>
      <c r="V182" s="22">
        <f>-'Annual Raw'!W49</f>
        <v>0</v>
      </c>
      <c r="W182" s="22">
        <f>-'Annual Raw'!X49</f>
        <v>0</v>
      </c>
      <c r="X182" s="22">
        <f>-'Annual Raw'!Y49</f>
        <v>0</v>
      </c>
      <c r="Y182" s="22">
        <f>-'Annual Raw'!Z49</f>
        <v>-0.8911</v>
      </c>
      <c r="Z182" s="22">
        <f>-'Annual Raw'!AA49</f>
        <v>3.4459</v>
      </c>
      <c r="AA182" s="22">
        <f>-'Annual Raw'!AB49</f>
        <v>4.2060000000000004</v>
      </c>
      <c r="AB182" s="23">
        <f t="shared" ref="AB182:AB183" si="1622">+CO182</f>
        <v>4.2060000000000004</v>
      </c>
      <c r="AC182" s="23">
        <f t="shared" ref="AC182:AC183" si="1623">+CS182</f>
        <v>4.2060000000000004</v>
      </c>
      <c r="AD182" s="23">
        <f t="shared" ref="AD182:AD183" si="1624">+CW182</f>
        <v>4.2060000000000004</v>
      </c>
      <c r="AE182" s="23">
        <f t="shared" ref="AE182:AE183" si="1625">+DA182</f>
        <v>4.2060000000000004</v>
      </c>
      <c r="AI182" s="22">
        <f>+'QTR Raw'!C96</f>
        <v>0</v>
      </c>
      <c r="AJ182" s="22">
        <f t="shared" ref="AJ182:AJ183" si="1626">+AI182</f>
        <v>0</v>
      </c>
      <c r="AK182" s="22">
        <f>+'QTR Raw'!E96</f>
        <v>0</v>
      </c>
      <c r="AL182" s="22">
        <f t="shared" ref="AL182:AL183" si="1627">+AK182</f>
        <v>0</v>
      </c>
      <c r="AM182" s="22">
        <f>+'QTR Raw'!G96</f>
        <v>0</v>
      </c>
      <c r="AN182" s="22">
        <f t="shared" ref="AN182:AN183" si="1628">+AM182</f>
        <v>0</v>
      </c>
      <c r="AO182" s="22">
        <f>+'QTR Raw'!I96</f>
        <v>0</v>
      </c>
      <c r="AP182" s="22">
        <f t="shared" ref="AP182:AP183" si="1629">+AO182</f>
        <v>0</v>
      </c>
      <c r="AQ182" s="22">
        <f>+'QTR Raw'!K96</f>
        <v>0</v>
      </c>
      <c r="AR182" s="22">
        <f t="shared" ref="AR182:AR183" si="1630">+AQ182</f>
        <v>0</v>
      </c>
      <c r="AS182" s="22">
        <f>+'QTR Raw'!M96</f>
        <v>0</v>
      </c>
      <c r="AT182" s="22">
        <f t="shared" ref="AT182:AT183" si="1631">+AS182</f>
        <v>0</v>
      </c>
      <c r="AU182" s="22">
        <f>+'QTR Raw'!O96</f>
        <v>0</v>
      </c>
      <c r="AV182" s="22">
        <f t="shared" ref="AV182:AV183" si="1632">+AU182</f>
        <v>0</v>
      </c>
      <c r="AW182" s="22">
        <f>+'QTR Raw'!Q96</f>
        <v>0</v>
      </c>
      <c r="AX182" s="22">
        <f t="shared" ref="AX182:AX183" si="1633">+AW182</f>
        <v>0</v>
      </c>
      <c r="AY182" s="22">
        <f>+'QTR Raw'!S96</f>
        <v>0</v>
      </c>
      <c r="AZ182" s="22">
        <f t="shared" ref="AZ182:AZ183" si="1634">+AY182</f>
        <v>0</v>
      </c>
      <c r="BA182" s="22">
        <f>+'QTR Raw'!U96</f>
        <v>0</v>
      </c>
      <c r="BB182" s="22">
        <f t="shared" ref="BB182:BB183" si="1635">+BA182</f>
        <v>0</v>
      </c>
      <c r="BC182" s="22">
        <f>+'QTR Raw'!W96</f>
        <v>0</v>
      </c>
      <c r="BD182" s="22">
        <f t="shared" ref="BD182:BD183" si="1636">+BC182</f>
        <v>0</v>
      </c>
      <c r="BE182" s="22">
        <f>+'QTR Raw'!Y96</f>
        <v>0</v>
      </c>
      <c r="BF182" s="22">
        <f t="shared" ref="BF182:BF183" si="1637">+BE182</f>
        <v>0</v>
      </c>
      <c r="BG182" s="22">
        <f>+'QTR Raw'!AA96</f>
        <v>0</v>
      </c>
      <c r="BH182" s="22">
        <f t="shared" ref="BH182:BH183" si="1638">+BG182</f>
        <v>0</v>
      </c>
      <c r="BI182" s="22">
        <f>+'QTR Raw'!AC96</f>
        <v>0</v>
      </c>
      <c r="BJ182" s="22">
        <f t="shared" ref="BJ182:BJ183" si="1639">+BI182</f>
        <v>0</v>
      </c>
      <c r="BK182" s="22">
        <f>+'QTR Raw'!AE96</f>
        <v>0</v>
      </c>
      <c r="BL182" s="22">
        <f t="shared" ref="BL182:BL183" si="1640">+BK182</f>
        <v>0</v>
      </c>
      <c r="BM182" s="22">
        <f>+'QTR Raw'!AG96</f>
        <v>0</v>
      </c>
      <c r="BN182" s="22">
        <f t="shared" ref="BN182:BN183" si="1641">+BM182</f>
        <v>0</v>
      </c>
      <c r="BO182" s="22">
        <f>+'QTR Raw'!AI96</f>
        <v>0</v>
      </c>
      <c r="BP182" s="22">
        <f t="shared" ref="BP182:BP183" si="1642">+BO182</f>
        <v>0</v>
      </c>
      <c r="BQ182" s="22">
        <f>+'QTR Raw'!AK96</f>
        <v>0</v>
      </c>
      <c r="BR182" s="22">
        <f t="shared" ref="BR182:BR183" si="1643">+BQ182</f>
        <v>0</v>
      </c>
      <c r="BS182" s="22">
        <f>+'QTR Raw'!AM96</f>
        <v>0</v>
      </c>
      <c r="BT182" s="22">
        <f t="shared" ref="BT182:BT183" si="1644">+BS182</f>
        <v>0</v>
      </c>
      <c r="BU182" s="22">
        <f>+'QTR Raw'!AO96</f>
        <v>0</v>
      </c>
      <c r="BV182" s="22">
        <f t="shared" ref="BV182:BV183" si="1645">+BU182</f>
        <v>0</v>
      </c>
      <c r="BW182" s="22">
        <f>+'QTR Raw'!AQ96</f>
        <v>0</v>
      </c>
      <c r="BX182" s="22">
        <f t="shared" ref="BX182:BX183" si="1646">+BW182</f>
        <v>0</v>
      </c>
      <c r="BY182" s="22">
        <f>+'QTR Raw'!AS96</f>
        <v>0</v>
      </c>
      <c r="BZ182" s="22">
        <f t="shared" ref="BZ182:BZ183" si="1647">+BY182</f>
        <v>0</v>
      </c>
      <c r="CA182" s="22">
        <f>+'QTR Raw'!AU96</f>
        <v>0</v>
      </c>
      <c r="CB182" s="22">
        <f t="shared" ref="CB182:CB183" si="1648">+CA182</f>
        <v>0</v>
      </c>
      <c r="CC182" s="22">
        <f>+'QTR Raw'!AW96</f>
        <v>-0.89100000000000001</v>
      </c>
      <c r="CD182" s="22">
        <f t="shared" ref="CD182:CD183" si="1649">+CC182</f>
        <v>-0.89100000000000001</v>
      </c>
      <c r="CE182" s="22">
        <f>+'QTR Raw'!AY96</f>
        <v>2.7E-2</v>
      </c>
      <c r="CF182" s="22">
        <f t="shared" ref="CF182:CL182" si="1650">+CE182</f>
        <v>2.7E-2</v>
      </c>
      <c r="CG182" s="22">
        <f>+'QTR Raw'!BA96</f>
        <v>3.4460000000000002</v>
      </c>
      <c r="CH182" s="22">
        <f t="shared" si="1650"/>
        <v>3.4460000000000002</v>
      </c>
      <c r="CI182" s="22">
        <f>+'QTR Raw'!BC96</f>
        <v>3</v>
      </c>
      <c r="CJ182" s="22">
        <f t="shared" si="1650"/>
        <v>3</v>
      </c>
      <c r="CK182" s="22">
        <f>+'QTR Raw'!BE96</f>
        <v>4.2060000000000004</v>
      </c>
      <c r="CL182" s="22">
        <f t="shared" si="1650"/>
        <v>4.2060000000000004</v>
      </c>
      <c r="CM182" s="23">
        <f t="shared" ref="CM182:CM183" si="1651">+CL182</f>
        <v>4.2060000000000004</v>
      </c>
      <c r="CN182" s="23">
        <f t="shared" ref="CN182:CN183" si="1652">+CM182</f>
        <v>4.2060000000000004</v>
      </c>
      <c r="CO182" s="23">
        <f t="shared" ref="CO182:CO183" si="1653">+CN182</f>
        <v>4.2060000000000004</v>
      </c>
      <c r="CP182" s="23">
        <f t="shared" ref="CP182:CP183" si="1654">+CO182</f>
        <v>4.2060000000000004</v>
      </c>
      <c r="CQ182" s="23">
        <f t="shared" ref="CQ182:CQ183" si="1655">+CP182</f>
        <v>4.2060000000000004</v>
      </c>
      <c r="CR182" s="23">
        <f t="shared" ref="CR182:CR183" si="1656">+CQ182</f>
        <v>4.2060000000000004</v>
      </c>
      <c r="CS182" s="23">
        <f t="shared" ref="CS182:CS183" si="1657">+CR182</f>
        <v>4.2060000000000004</v>
      </c>
      <c r="CT182" s="23">
        <f t="shared" ref="CT182:CT183" si="1658">+CS182</f>
        <v>4.2060000000000004</v>
      </c>
      <c r="CU182" s="23">
        <f t="shared" ref="CU182:CU183" si="1659">+CT182</f>
        <v>4.2060000000000004</v>
      </c>
      <c r="CV182" s="23">
        <f t="shared" ref="CV182:CV183" si="1660">+CU182</f>
        <v>4.2060000000000004</v>
      </c>
      <c r="CW182" s="23">
        <f t="shared" ref="CW182:CW183" si="1661">+CV182</f>
        <v>4.2060000000000004</v>
      </c>
      <c r="CX182" s="23">
        <f t="shared" ref="CX182:CX183" si="1662">+CW182</f>
        <v>4.2060000000000004</v>
      </c>
      <c r="CY182" s="23">
        <f t="shared" ref="CY182:CY183" si="1663">+CX182</f>
        <v>4.2060000000000004</v>
      </c>
      <c r="CZ182" s="23">
        <f t="shared" ref="CZ182:CZ183" si="1664">+CY182</f>
        <v>4.2060000000000004</v>
      </c>
      <c r="DA182" s="23">
        <f t="shared" ref="DA182:DA183" si="1665">+CZ182</f>
        <v>4.2060000000000004</v>
      </c>
      <c r="DD182" s="120">
        <v>4.2060000000000004</v>
      </c>
    </row>
    <row r="183" spans="1:108" s="22" customFormat="1" x14ac:dyDescent="0.2">
      <c r="A183" s="22" t="s">
        <v>79</v>
      </c>
      <c r="B183" s="22">
        <f>'Annual Raw'!C83</f>
        <v>0.57708981100000001</v>
      </c>
      <c r="C183" s="22">
        <f>'Annual Raw'!D83</f>
        <v>0.46044290700000001</v>
      </c>
      <c r="D183" s="22">
        <f>'Annual Raw'!E83</f>
        <v>0</v>
      </c>
      <c r="E183" s="22">
        <f>'Annual Raw'!F83</f>
        <v>0</v>
      </c>
      <c r="F183" s="22">
        <f>'Annual Raw'!G83</f>
        <v>0</v>
      </c>
      <c r="G183" s="22">
        <f>'Annual Raw'!H83</f>
        <v>0</v>
      </c>
      <c r="H183" s="22">
        <f>'Annual Raw'!I83</f>
        <v>0</v>
      </c>
      <c r="I183" s="22">
        <f>'Annual Raw'!J83</f>
        <v>0</v>
      </c>
      <c r="J183" s="22">
        <f>'Annual Raw'!K83</f>
        <v>0</v>
      </c>
      <c r="K183" s="22">
        <f>'Annual Raw'!L83</f>
        <v>0</v>
      </c>
      <c r="L183" s="22">
        <f>'Annual Raw'!M83</f>
        <v>0</v>
      </c>
      <c r="M183" s="22">
        <f>'Annual Raw'!N83</f>
        <v>0</v>
      </c>
      <c r="N183" s="22">
        <f>'Annual Raw'!O83</f>
        <v>0</v>
      </c>
      <c r="O183" s="22">
        <f>'Annual Raw'!P83</f>
        <v>0</v>
      </c>
      <c r="P183" s="22">
        <f>'Annual Raw'!Q83</f>
        <v>0</v>
      </c>
      <c r="Q183" s="22">
        <f>'Annual Raw'!R83</f>
        <v>0</v>
      </c>
      <c r="R183" s="22">
        <f>'Annual Raw'!S83</f>
        <v>0</v>
      </c>
      <c r="S183" s="22">
        <f>'Annual Raw'!T83</f>
        <v>0</v>
      </c>
      <c r="T183" s="22">
        <f>'Annual Raw'!U83</f>
        <v>0</v>
      </c>
      <c r="U183" s="22">
        <f>'Annual Raw'!V83</f>
        <v>0</v>
      </c>
      <c r="V183" s="22">
        <f>'Annual Raw'!W83</f>
        <v>0</v>
      </c>
      <c r="W183" s="22">
        <f>'Annual Raw'!X83</f>
        <v>0</v>
      </c>
      <c r="X183" s="22">
        <f>'Annual Raw'!Y83</f>
        <v>0</v>
      </c>
      <c r="Y183" s="22">
        <f>'Annual Raw'!Z83</f>
        <v>0</v>
      </c>
      <c r="Z183" s="22">
        <f>'Annual Raw'!AA83</f>
        <v>0</v>
      </c>
      <c r="AA183" s="22">
        <f>'Annual Raw'!AB83</f>
        <v>0</v>
      </c>
      <c r="AB183" s="23">
        <f t="shared" si="1622"/>
        <v>0</v>
      </c>
      <c r="AC183" s="23">
        <f t="shared" si="1623"/>
        <v>0</v>
      </c>
      <c r="AD183" s="23">
        <f t="shared" si="1624"/>
        <v>0</v>
      </c>
      <c r="AE183" s="23">
        <f t="shared" si="1625"/>
        <v>0</v>
      </c>
      <c r="AI183" s="22">
        <f>+'QTR Raw'!C95</f>
        <v>0</v>
      </c>
      <c r="AJ183" s="22">
        <f t="shared" si="1626"/>
        <v>0</v>
      </c>
      <c r="AK183" s="22">
        <f>+'QTR Raw'!E95</f>
        <v>0</v>
      </c>
      <c r="AL183" s="22">
        <f t="shared" si="1627"/>
        <v>0</v>
      </c>
      <c r="AM183" s="22">
        <f>+'QTR Raw'!G95</f>
        <v>0</v>
      </c>
      <c r="AN183" s="22">
        <f t="shared" si="1628"/>
        <v>0</v>
      </c>
      <c r="AO183" s="22">
        <f>+'QTR Raw'!I95</f>
        <v>0</v>
      </c>
      <c r="AP183" s="22">
        <f t="shared" si="1629"/>
        <v>0</v>
      </c>
      <c r="AQ183" s="22">
        <f>+'QTR Raw'!K95</f>
        <v>0</v>
      </c>
      <c r="AR183" s="22">
        <f t="shared" si="1630"/>
        <v>0</v>
      </c>
      <c r="AS183" s="22">
        <f>+'QTR Raw'!M95</f>
        <v>0</v>
      </c>
      <c r="AT183" s="22">
        <f t="shared" si="1631"/>
        <v>0</v>
      </c>
      <c r="AU183" s="22">
        <f>+'QTR Raw'!O95</f>
        <v>0</v>
      </c>
      <c r="AV183" s="22">
        <f t="shared" si="1632"/>
        <v>0</v>
      </c>
      <c r="AW183" s="22">
        <f>+'QTR Raw'!Q95</f>
        <v>0</v>
      </c>
      <c r="AX183" s="22">
        <f t="shared" si="1633"/>
        <v>0</v>
      </c>
      <c r="AY183" s="22">
        <f>+'QTR Raw'!S95</f>
        <v>0</v>
      </c>
      <c r="AZ183" s="22">
        <f t="shared" si="1634"/>
        <v>0</v>
      </c>
      <c r="BA183" s="22">
        <f>+'QTR Raw'!U95</f>
        <v>0</v>
      </c>
      <c r="BB183" s="22">
        <f t="shared" si="1635"/>
        <v>0</v>
      </c>
      <c r="BC183" s="22">
        <f>+'QTR Raw'!W95</f>
        <v>0</v>
      </c>
      <c r="BD183" s="22">
        <f t="shared" si="1636"/>
        <v>0</v>
      </c>
      <c r="BE183" s="22">
        <f>+'QTR Raw'!Y95</f>
        <v>0</v>
      </c>
      <c r="BF183" s="22">
        <f t="shared" si="1637"/>
        <v>0</v>
      </c>
      <c r="BG183" s="22">
        <f>+'QTR Raw'!AA95</f>
        <v>0</v>
      </c>
      <c r="BH183" s="22">
        <f t="shared" si="1638"/>
        <v>0</v>
      </c>
      <c r="BI183" s="22">
        <f>+'QTR Raw'!AC95</f>
        <v>0</v>
      </c>
      <c r="BJ183" s="22">
        <f t="shared" si="1639"/>
        <v>0</v>
      </c>
      <c r="BK183" s="22">
        <f>+'QTR Raw'!AE95</f>
        <v>0</v>
      </c>
      <c r="BL183" s="22">
        <f t="shared" si="1640"/>
        <v>0</v>
      </c>
      <c r="BM183" s="22">
        <f>+'QTR Raw'!AG95</f>
        <v>0</v>
      </c>
      <c r="BN183" s="22">
        <f t="shared" si="1641"/>
        <v>0</v>
      </c>
      <c r="BO183" s="22">
        <f>+'QTR Raw'!AI95</f>
        <v>0</v>
      </c>
      <c r="BP183" s="22">
        <f t="shared" si="1642"/>
        <v>0</v>
      </c>
      <c r="BQ183" s="22">
        <f>+'QTR Raw'!AK95</f>
        <v>0</v>
      </c>
      <c r="BR183" s="22">
        <f t="shared" si="1643"/>
        <v>0</v>
      </c>
      <c r="BS183" s="22">
        <f>+'QTR Raw'!AM95</f>
        <v>0</v>
      </c>
      <c r="BT183" s="22">
        <f t="shared" si="1644"/>
        <v>0</v>
      </c>
      <c r="BU183" s="22">
        <f>+'QTR Raw'!AO95</f>
        <v>0</v>
      </c>
      <c r="BV183" s="22">
        <f t="shared" si="1645"/>
        <v>0</v>
      </c>
      <c r="BW183" s="22">
        <f>+'QTR Raw'!AQ95</f>
        <v>0</v>
      </c>
      <c r="BX183" s="22">
        <f t="shared" si="1646"/>
        <v>0</v>
      </c>
      <c r="BY183" s="22">
        <f>+'QTR Raw'!AS95</f>
        <v>0</v>
      </c>
      <c r="BZ183" s="22">
        <f t="shared" si="1647"/>
        <v>0</v>
      </c>
      <c r="CA183" s="22">
        <f>+'QTR Raw'!AU95</f>
        <v>0</v>
      </c>
      <c r="CB183" s="22">
        <f t="shared" si="1648"/>
        <v>0</v>
      </c>
      <c r="CC183" s="22">
        <f>+'QTR Raw'!AW95</f>
        <v>0</v>
      </c>
      <c r="CD183" s="22">
        <f t="shared" si="1649"/>
        <v>0</v>
      </c>
      <c r="CE183" s="22">
        <f>+'QTR Raw'!AY95</f>
        <v>0</v>
      </c>
      <c r="CF183" s="22">
        <f t="shared" ref="CF183:CL183" si="1666">+CE183</f>
        <v>0</v>
      </c>
      <c r="CG183" s="22">
        <f>+'QTR Raw'!BA95</f>
        <v>0</v>
      </c>
      <c r="CH183" s="22">
        <f t="shared" si="1666"/>
        <v>0</v>
      </c>
      <c r="CI183" s="22">
        <f>+'QTR Raw'!BC95</f>
        <v>0</v>
      </c>
      <c r="CJ183" s="22">
        <f t="shared" si="1666"/>
        <v>0</v>
      </c>
      <c r="CK183" s="22">
        <f>+'QTR Raw'!BE95</f>
        <v>0</v>
      </c>
      <c r="CL183" s="22">
        <f t="shared" si="1666"/>
        <v>0</v>
      </c>
      <c r="CM183" s="23">
        <f t="shared" si="1651"/>
        <v>0</v>
      </c>
      <c r="CN183" s="23">
        <f t="shared" si="1652"/>
        <v>0</v>
      </c>
      <c r="CO183" s="23">
        <f t="shared" si="1653"/>
        <v>0</v>
      </c>
      <c r="CP183" s="23">
        <f t="shared" si="1654"/>
        <v>0</v>
      </c>
      <c r="CQ183" s="23">
        <f t="shared" si="1655"/>
        <v>0</v>
      </c>
      <c r="CR183" s="23">
        <f t="shared" si="1656"/>
        <v>0</v>
      </c>
      <c r="CS183" s="23">
        <f t="shared" si="1657"/>
        <v>0</v>
      </c>
      <c r="CT183" s="23">
        <f t="shared" si="1658"/>
        <v>0</v>
      </c>
      <c r="CU183" s="23">
        <f t="shared" si="1659"/>
        <v>0</v>
      </c>
      <c r="CV183" s="23">
        <f t="shared" si="1660"/>
        <v>0</v>
      </c>
      <c r="CW183" s="23">
        <f t="shared" si="1661"/>
        <v>0</v>
      </c>
      <c r="CX183" s="23">
        <f t="shared" si="1662"/>
        <v>0</v>
      </c>
      <c r="CY183" s="23">
        <f t="shared" si="1663"/>
        <v>0</v>
      </c>
      <c r="CZ183" s="23">
        <f t="shared" si="1664"/>
        <v>0</v>
      </c>
      <c r="DA183" s="23">
        <f t="shared" si="1665"/>
        <v>0</v>
      </c>
      <c r="DD183" s="120">
        <v>0</v>
      </c>
    </row>
    <row r="184" spans="1:108" s="25" customFormat="1" x14ac:dyDescent="0.2">
      <c r="A184" s="25" t="s">
        <v>438</v>
      </c>
      <c r="B184" s="25">
        <f t="shared" ref="B184:W184" si="1667">B182+B180+B176+B159+B157+B183</f>
        <v>76.818760278000013</v>
      </c>
      <c r="C184" s="25">
        <f t="shared" si="1667"/>
        <v>83.775956506</v>
      </c>
      <c r="D184" s="25">
        <f t="shared" si="1667"/>
        <v>0</v>
      </c>
      <c r="E184" s="25">
        <f t="shared" si="1667"/>
        <v>0</v>
      </c>
      <c r="F184" s="25">
        <f t="shared" si="1667"/>
        <v>0</v>
      </c>
      <c r="G184" s="25">
        <f t="shared" si="1667"/>
        <v>0</v>
      </c>
      <c r="H184" s="25">
        <f t="shared" si="1667"/>
        <v>0</v>
      </c>
      <c r="I184" s="25">
        <f t="shared" si="1667"/>
        <v>0</v>
      </c>
      <c r="J184" s="25">
        <f t="shared" si="1667"/>
        <v>0</v>
      </c>
      <c r="K184" s="25">
        <f t="shared" si="1667"/>
        <v>0</v>
      </c>
      <c r="L184" s="25">
        <f t="shared" si="1667"/>
        <v>0</v>
      </c>
      <c r="M184" s="25">
        <f t="shared" si="1667"/>
        <v>0</v>
      </c>
      <c r="N184" s="25">
        <f t="shared" si="1667"/>
        <v>0</v>
      </c>
      <c r="O184" s="25">
        <f t="shared" si="1667"/>
        <v>0</v>
      </c>
      <c r="P184" s="25">
        <f t="shared" si="1667"/>
        <v>0</v>
      </c>
      <c r="Q184" s="25">
        <f t="shared" si="1667"/>
        <v>0</v>
      </c>
      <c r="R184" s="25">
        <f t="shared" si="1667"/>
        <v>0</v>
      </c>
      <c r="S184" s="25">
        <f t="shared" si="1667"/>
        <v>0</v>
      </c>
      <c r="T184" s="25">
        <f t="shared" si="1667"/>
        <v>0</v>
      </c>
      <c r="U184" s="25">
        <f t="shared" si="1667"/>
        <v>0</v>
      </c>
      <c r="V184" s="25">
        <f t="shared" si="1667"/>
        <v>0</v>
      </c>
      <c r="W184" s="25">
        <f t="shared" si="1667"/>
        <v>0</v>
      </c>
      <c r="X184" s="25">
        <f t="shared" ref="X184:Y184" si="1668">X182+X180+X176+X159+X157+X183</f>
        <v>0</v>
      </c>
      <c r="Y184" s="25">
        <f t="shared" si="1668"/>
        <v>211.39209999999997</v>
      </c>
      <c r="Z184" s="25">
        <f t="shared" ref="Z184:AA184" si="1669">Z182+Z180+Z176+Z159+Z157+Z183</f>
        <v>201.15170000000003</v>
      </c>
      <c r="AA184" s="25">
        <f t="shared" si="1669"/>
        <v>210.14370000000005</v>
      </c>
      <c r="AB184" s="26">
        <f t="shared" ref="AA184:AD184" si="1670">AB182+AB180+AB176+AB159+AB157+AB183</f>
        <v>264.73900544673302</v>
      </c>
      <c r="AC184" s="26">
        <f t="shared" si="1670"/>
        <v>443.23083872017594</v>
      </c>
      <c r="AD184" s="26">
        <f t="shared" si="1670"/>
        <v>786.86382409608734</v>
      </c>
      <c r="AE184" s="26">
        <f t="shared" ref="AE184" si="1671">AE182+AE180+AE176+AE159+AE157+AE183</f>
        <v>1333.0905770368429</v>
      </c>
      <c r="AI184" s="25">
        <f t="shared" ref="AI184:AL184" si="1672">AI182+AI180+AI176+AI159+AI157+AI183</f>
        <v>0</v>
      </c>
      <c r="AJ184" s="25">
        <f t="shared" si="1672"/>
        <v>-3.7169999999999908</v>
      </c>
      <c r="AK184" s="25">
        <f t="shared" si="1672"/>
        <v>0</v>
      </c>
      <c r="AL184" s="25">
        <f t="shared" si="1672"/>
        <v>-3.4370000000000163</v>
      </c>
      <c r="AM184" s="25">
        <f t="shared" ref="AM184:AP184" si="1673">AM182+AM180+AM176+AM159+AM157+AM183</f>
        <v>0</v>
      </c>
      <c r="AN184" s="25">
        <f t="shared" si="1673"/>
        <v>-18.507999999999992</v>
      </c>
      <c r="AO184" s="25">
        <f t="shared" si="1673"/>
        <v>0</v>
      </c>
      <c r="AP184" s="25">
        <f t="shared" si="1673"/>
        <v>-1.5760000000000192</v>
      </c>
      <c r="AQ184" s="25">
        <f t="shared" ref="AQ184:AT184" si="1674">AQ182+AQ180+AQ176+AQ159+AQ157+AQ183</f>
        <v>0</v>
      </c>
      <c r="AR184" s="25">
        <f t="shared" si="1674"/>
        <v>4.2170000000000014</v>
      </c>
      <c r="AS184" s="25">
        <f t="shared" si="1674"/>
        <v>0</v>
      </c>
      <c r="AT184" s="25">
        <f t="shared" si="1674"/>
        <v>7.7749999999999932</v>
      </c>
      <c r="AU184" s="25">
        <f t="shared" ref="AU184:AX184" si="1675">AU182+AU180+AU176+AU159+AU157+AU183</f>
        <v>0</v>
      </c>
      <c r="AV184" s="25">
        <f t="shared" si="1675"/>
        <v>-2.8020000000000009</v>
      </c>
      <c r="AW184" s="25">
        <f t="shared" si="1675"/>
        <v>0</v>
      </c>
      <c r="AX184" s="25">
        <f t="shared" si="1675"/>
        <v>10.694000000000003</v>
      </c>
      <c r="AY184" s="25">
        <f t="shared" ref="AY184:BB184" si="1676">AY182+AY180+AY176+AY159+AY157+AY183</f>
        <v>0</v>
      </c>
      <c r="AZ184" s="25">
        <f t="shared" si="1676"/>
        <v>2.1000000000006125E-2</v>
      </c>
      <c r="BA184" s="25">
        <f t="shared" si="1676"/>
        <v>0</v>
      </c>
      <c r="BB184" s="25">
        <f t="shared" si="1676"/>
        <v>4.5799999999999939</v>
      </c>
      <c r="BC184" s="25">
        <f t="shared" ref="BC184:BF184" si="1677">BC182+BC180+BC176+BC159+BC157+BC183</f>
        <v>0</v>
      </c>
      <c r="BD184" s="25">
        <f t="shared" si="1677"/>
        <v>4.5229999999999997</v>
      </c>
      <c r="BE184" s="25">
        <f t="shared" si="1677"/>
        <v>0</v>
      </c>
      <c r="BF184" s="25">
        <f t="shared" si="1677"/>
        <v>-0.99799999999999289</v>
      </c>
      <c r="BG184" s="25">
        <f t="shared" ref="BG184:BJ184" si="1678">BG182+BG180+BG176+BG159+BG157+BG183</f>
        <v>0</v>
      </c>
      <c r="BH184" s="25">
        <f t="shared" si="1678"/>
        <v>10.432</v>
      </c>
      <c r="BI184" s="25">
        <f t="shared" si="1678"/>
        <v>0</v>
      </c>
      <c r="BJ184" s="25">
        <f t="shared" si="1678"/>
        <v>5.4789999999999939</v>
      </c>
      <c r="BK184" s="25">
        <f t="shared" ref="BK184:BN184" si="1679">BK182+BK180+BK176+BK159+BK157+BK183</f>
        <v>0</v>
      </c>
      <c r="BL184" s="25">
        <f t="shared" si="1679"/>
        <v>9.7959999999999923</v>
      </c>
      <c r="BM184" s="25">
        <f t="shared" si="1679"/>
        <v>0</v>
      </c>
      <c r="BN184" s="25">
        <f t="shared" si="1679"/>
        <v>4.5259999999999989</v>
      </c>
      <c r="BO184" s="25">
        <f t="shared" ref="BO184:BR184" si="1680">BO182+BO180+BO176+BO159+BO157+BO183</f>
        <v>0</v>
      </c>
      <c r="BP184" s="25">
        <f t="shared" si="1680"/>
        <v>-11.356999999999998</v>
      </c>
      <c r="BQ184" s="25">
        <f t="shared" si="1680"/>
        <v>0</v>
      </c>
      <c r="BR184" s="25">
        <f t="shared" si="1680"/>
        <v>-8.960000000000008</v>
      </c>
      <c r="BS184" s="25">
        <f t="shared" ref="BS184:BV184" si="1681">BS182+BS180+BS176+BS159+BS157+BS183</f>
        <v>0</v>
      </c>
      <c r="BT184" s="25">
        <f t="shared" si="1681"/>
        <v>2.1990000000000025</v>
      </c>
      <c r="BU184" s="25">
        <f t="shared" si="1681"/>
        <v>0</v>
      </c>
      <c r="BV184" s="25">
        <f t="shared" si="1681"/>
        <v>-2.4539999999999949</v>
      </c>
      <c r="BW184" s="25">
        <f t="shared" ref="BW184:BZ184" si="1682">BW182+BW180+BW176+BW159+BW157+BW183</f>
        <v>0</v>
      </c>
      <c r="BX184" s="25">
        <f t="shared" si="1682"/>
        <v>-2.9460000000000011</v>
      </c>
      <c r="BY184" s="25">
        <f t="shared" si="1682"/>
        <v>0</v>
      </c>
      <c r="BZ184" s="25">
        <f t="shared" si="1682"/>
        <v>9.7930000000000046</v>
      </c>
      <c r="CA184" s="25">
        <f t="shared" ref="CA184:CD184" si="1683">CA182+CA180+CA176+CA159+CA157+CA183</f>
        <v>0</v>
      </c>
      <c r="CB184" s="25">
        <f t="shared" si="1683"/>
        <v>6.9840000000000106</v>
      </c>
      <c r="CC184" s="25">
        <f t="shared" si="1683"/>
        <v>211.39099999999999</v>
      </c>
      <c r="CD184" s="25">
        <f t="shared" si="1683"/>
        <v>215.00999999999996</v>
      </c>
      <c r="CE184" s="25">
        <f t="shared" ref="CE184" si="1684">CE182+CE180+CE176+CE159+CE157+CE183</f>
        <v>211.697</v>
      </c>
      <c r="CF184" s="25">
        <f t="shared" ref="CF184:CH184" si="1685">CF182+CF180+CF176+CF159+CF157+CF183</f>
        <v>204.20000000000002</v>
      </c>
      <c r="CG184" s="25">
        <f t="shared" ref="CG184" si="1686">CG182+CG180+CG176+CG159+CG157+CG183</f>
        <v>201.15180000000007</v>
      </c>
      <c r="CH184" s="25">
        <f t="shared" si="1685"/>
        <v>198.23780000000005</v>
      </c>
      <c r="CI184" s="25">
        <f t="shared" ref="CI184:CJ184" si="1687">CI182+CI180+CI176+CI159+CI157+CI183</f>
        <v>202.53699999999998</v>
      </c>
      <c r="CJ184" s="25">
        <f t="shared" si="1687"/>
        <v>211.45699999999997</v>
      </c>
      <c r="CK184" s="25">
        <f t="shared" ref="CK184:CL184" si="1688">CK182+CK180+CK176+CK159+CK157+CK183</f>
        <v>210.14500000000004</v>
      </c>
      <c r="CL184" s="25">
        <f t="shared" si="1688"/>
        <v>217.50600000000003</v>
      </c>
      <c r="CM184" s="26">
        <f t="shared" ref="CM184:DA184" si="1689">CM182+CM180+CM176+CM159+CM157+CM183</f>
        <v>212.26692110978291</v>
      </c>
      <c r="CN184" s="26">
        <f t="shared" si="1689"/>
        <v>235.80337110712856</v>
      </c>
      <c r="CO184" s="26">
        <f t="shared" si="1689"/>
        <v>264.73900544673302</v>
      </c>
      <c r="CP184" s="26">
        <f t="shared" si="1689"/>
        <v>288.25677079408786</v>
      </c>
      <c r="CQ184" s="26">
        <f t="shared" si="1689"/>
        <v>314.27250083073739</v>
      </c>
      <c r="CR184" s="26">
        <f t="shared" si="1689"/>
        <v>375.8957063811265</v>
      </c>
      <c r="CS184" s="26">
        <f t="shared" si="1689"/>
        <v>443.23083872017594</v>
      </c>
      <c r="CT184" s="26">
        <f t="shared" si="1689"/>
        <v>503.38483899532469</v>
      </c>
      <c r="CU184" s="26">
        <f t="shared" si="1689"/>
        <v>565.67249010092837</v>
      </c>
      <c r="CV184" s="26">
        <f t="shared" si="1689"/>
        <v>673.10721909445897</v>
      </c>
      <c r="CW184" s="26">
        <f t="shared" si="1689"/>
        <v>786.86382409608734</v>
      </c>
      <c r="CX184" s="26">
        <f t="shared" si="1689"/>
        <v>891.50108932961666</v>
      </c>
      <c r="CY184" s="26">
        <f t="shared" si="1689"/>
        <v>998.00878251229551</v>
      </c>
      <c r="CZ184" s="26">
        <f t="shared" si="1689"/>
        <v>1161.921871554523</v>
      </c>
      <c r="DA184" s="26">
        <f t="shared" si="1689"/>
        <v>1333.0905770368429</v>
      </c>
      <c r="DD184" s="118">
        <v>210.14500000000004</v>
      </c>
    </row>
    <row r="185" spans="1:108" s="22" customFormat="1" x14ac:dyDescent="0.2">
      <c r="A185" s="27" t="s">
        <v>439</v>
      </c>
      <c r="B185" s="22">
        <f t="shared" ref="B185:W185" si="1690">B184-B148</f>
        <v>0</v>
      </c>
      <c r="C185" s="22">
        <f t="shared" si="1690"/>
        <v>0</v>
      </c>
      <c r="D185" s="22">
        <f t="shared" si="1690"/>
        <v>0</v>
      </c>
      <c r="E185" s="22">
        <f t="shared" si="1690"/>
        <v>0</v>
      </c>
      <c r="F185" s="22">
        <f t="shared" si="1690"/>
        <v>0</v>
      </c>
      <c r="G185" s="22">
        <f t="shared" si="1690"/>
        <v>0</v>
      </c>
      <c r="H185" s="22">
        <f t="shared" si="1690"/>
        <v>0</v>
      </c>
      <c r="I185" s="22">
        <f t="shared" si="1690"/>
        <v>0</v>
      </c>
      <c r="J185" s="22">
        <f t="shared" si="1690"/>
        <v>0</v>
      </c>
      <c r="K185" s="22">
        <f t="shared" si="1690"/>
        <v>0</v>
      </c>
      <c r="L185" s="22">
        <f t="shared" si="1690"/>
        <v>0</v>
      </c>
      <c r="M185" s="22">
        <f t="shared" si="1690"/>
        <v>0</v>
      </c>
      <c r="N185" s="22">
        <f t="shared" si="1690"/>
        <v>0</v>
      </c>
      <c r="O185" s="22">
        <f t="shared" si="1690"/>
        <v>0</v>
      </c>
      <c r="P185" s="22">
        <f t="shared" si="1690"/>
        <v>0</v>
      </c>
      <c r="Q185" s="22">
        <f t="shared" si="1690"/>
        <v>0</v>
      </c>
      <c r="R185" s="22">
        <f t="shared" si="1690"/>
        <v>0</v>
      </c>
      <c r="S185" s="22">
        <f t="shared" si="1690"/>
        <v>0</v>
      </c>
      <c r="T185" s="22">
        <f t="shared" si="1690"/>
        <v>0</v>
      </c>
      <c r="U185" s="22">
        <f t="shared" si="1690"/>
        <v>0</v>
      </c>
      <c r="V185" s="22">
        <f t="shared" si="1690"/>
        <v>0</v>
      </c>
      <c r="W185" s="22">
        <f t="shared" si="1690"/>
        <v>0</v>
      </c>
      <c r="X185" s="22">
        <f t="shared" ref="X185:Y185" si="1691">X184-X148</f>
        <v>0</v>
      </c>
      <c r="Y185" s="22">
        <f t="shared" si="1691"/>
        <v>0</v>
      </c>
      <c r="Z185" s="22">
        <f t="shared" ref="Z185:AA185" si="1692">Z184-Z148</f>
        <v>0</v>
      </c>
      <c r="AA185" s="22">
        <f t="shared" si="1692"/>
        <v>0</v>
      </c>
      <c r="AB185" s="23">
        <f t="shared" ref="AA185:AD185" si="1693">AB184-AB148</f>
        <v>1.00000000009004E-3</v>
      </c>
      <c r="AC185" s="23">
        <f t="shared" si="1693"/>
        <v>1.0000000000331966E-3</v>
      </c>
      <c r="AD185" s="23">
        <f t="shared" si="1693"/>
        <v>9.999999998626663E-4</v>
      </c>
      <c r="AE185" s="23">
        <f t="shared" ref="AE185" si="1694">AE184-AE148</f>
        <v>9.9999999952160579E-4</v>
      </c>
      <c r="AI185" s="22">
        <f t="shared" ref="AI185:AL185" si="1695">AI184-AI148</f>
        <v>0</v>
      </c>
      <c r="AJ185" s="22">
        <f t="shared" si="1695"/>
        <v>0</v>
      </c>
      <c r="AK185" s="22">
        <f t="shared" si="1695"/>
        <v>0</v>
      </c>
      <c r="AL185" s="22">
        <f t="shared" si="1695"/>
        <v>0</v>
      </c>
      <c r="AM185" s="22">
        <f t="shared" ref="AM185:AP185" si="1696">AM184-AM148</f>
        <v>0</v>
      </c>
      <c r="AN185" s="22">
        <f t="shared" si="1696"/>
        <v>0</v>
      </c>
      <c r="AO185" s="22">
        <f t="shared" si="1696"/>
        <v>0</v>
      </c>
      <c r="AP185" s="22">
        <f t="shared" si="1696"/>
        <v>0</v>
      </c>
      <c r="AQ185" s="22">
        <f t="shared" ref="AQ185:AT185" si="1697">AQ184-AQ148</f>
        <v>0</v>
      </c>
      <c r="AR185" s="22">
        <f t="shared" si="1697"/>
        <v>0</v>
      </c>
      <c r="AS185" s="22">
        <f t="shared" si="1697"/>
        <v>0</v>
      </c>
      <c r="AT185" s="22">
        <f t="shared" si="1697"/>
        <v>0</v>
      </c>
      <c r="AU185" s="22">
        <f t="shared" ref="AU185:AX185" si="1698">AU184-AU148</f>
        <v>0</v>
      </c>
      <c r="AV185" s="22">
        <f t="shared" si="1698"/>
        <v>0</v>
      </c>
      <c r="AW185" s="22">
        <f t="shared" si="1698"/>
        <v>0</v>
      </c>
      <c r="AX185" s="22">
        <f t="shared" si="1698"/>
        <v>0</v>
      </c>
      <c r="AY185" s="22">
        <f t="shared" ref="AY185:BB185" si="1699">AY184-AY148</f>
        <v>0</v>
      </c>
      <c r="AZ185" s="22">
        <f t="shared" si="1699"/>
        <v>-1.1102230246251565E-16</v>
      </c>
      <c r="BA185" s="22">
        <f t="shared" si="1699"/>
        <v>0</v>
      </c>
      <c r="BB185" s="22">
        <f t="shared" si="1699"/>
        <v>0</v>
      </c>
      <c r="BC185" s="22">
        <f t="shared" ref="BC185:BF185" si="1700">BC184-BC148</f>
        <v>0</v>
      </c>
      <c r="BD185" s="22">
        <f t="shared" si="1700"/>
        <v>0</v>
      </c>
      <c r="BE185" s="22">
        <f t="shared" si="1700"/>
        <v>0</v>
      </c>
      <c r="BF185" s="22">
        <f t="shared" si="1700"/>
        <v>0</v>
      </c>
      <c r="BG185" s="22">
        <f t="shared" ref="BG185:BJ185" si="1701">BG184-BG148</f>
        <v>0</v>
      </c>
      <c r="BH185" s="22">
        <f t="shared" si="1701"/>
        <v>0</v>
      </c>
      <c r="BI185" s="22">
        <f t="shared" si="1701"/>
        <v>0</v>
      </c>
      <c r="BJ185" s="22">
        <f t="shared" si="1701"/>
        <v>0</v>
      </c>
      <c r="BK185" s="22">
        <f t="shared" ref="BK185:BN185" si="1702">BK184-BK148</f>
        <v>0</v>
      </c>
      <c r="BL185" s="22">
        <f t="shared" si="1702"/>
        <v>0</v>
      </c>
      <c r="BM185" s="22">
        <f t="shared" si="1702"/>
        <v>0</v>
      </c>
      <c r="BN185" s="22">
        <f t="shared" si="1702"/>
        <v>0</v>
      </c>
      <c r="BO185" s="22">
        <f t="shared" ref="BO185:BR185" si="1703">BO184-BO148</f>
        <v>0</v>
      </c>
      <c r="BP185" s="22">
        <f t="shared" si="1703"/>
        <v>0</v>
      </c>
      <c r="BQ185" s="22">
        <f t="shared" si="1703"/>
        <v>0</v>
      </c>
      <c r="BR185" s="22">
        <f t="shared" si="1703"/>
        <v>0</v>
      </c>
      <c r="BS185" s="22">
        <f t="shared" ref="BS185:BV185" si="1704">BS184-BS148</f>
        <v>0</v>
      </c>
      <c r="BT185" s="22">
        <f t="shared" si="1704"/>
        <v>0</v>
      </c>
      <c r="BU185" s="22">
        <f t="shared" si="1704"/>
        <v>0</v>
      </c>
      <c r="BV185" s="22">
        <f t="shared" si="1704"/>
        <v>0</v>
      </c>
      <c r="BW185" s="22">
        <f t="shared" ref="BW185:BZ185" si="1705">BW184-BW148</f>
        <v>0</v>
      </c>
      <c r="BX185" s="22">
        <f t="shared" si="1705"/>
        <v>0</v>
      </c>
      <c r="BY185" s="22">
        <f t="shared" si="1705"/>
        <v>0</v>
      </c>
      <c r="BZ185" s="22">
        <f t="shared" si="1705"/>
        <v>0</v>
      </c>
      <c r="CA185" s="22">
        <f t="shared" ref="CA185:CD185" si="1706">CA184-CA148</f>
        <v>0</v>
      </c>
      <c r="CB185" s="22">
        <f t="shared" si="1706"/>
        <v>0</v>
      </c>
      <c r="CC185" s="22">
        <f t="shared" si="1706"/>
        <v>-1.0000000000047748E-3</v>
      </c>
      <c r="CD185" s="22">
        <f t="shared" si="1706"/>
        <v>-1.0000000000047748E-3</v>
      </c>
      <c r="CE185" s="22">
        <f t="shared" ref="CE185" si="1707">CE184-CE148</f>
        <v>0</v>
      </c>
      <c r="CF185" s="22">
        <f t="shared" ref="CF185:CH185" si="1708">CF184-CF148</f>
        <v>0</v>
      </c>
      <c r="CG185" s="22">
        <f t="shared" ref="CG185" si="1709">CG184-CG148</f>
        <v>1.0000000006016307E-4</v>
      </c>
      <c r="CH185" s="22">
        <f t="shared" si="1708"/>
        <v>1.0000000003174137E-4</v>
      </c>
      <c r="CI185" s="22">
        <f t="shared" ref="CI185:CJ185" si="1710">CI184-CI148</f>
        <v>0</v>
      </c>
      <c r="CJ185" s="22">
        <f t="shared" si="1710"/>
        <v>0</v>
      </c>
      <c r="CK185" s="22">
        <f t="shared" ref="CK185:CL185" si="1711">CK184-CK148</f>
        <v>1.0000000000616183E-3</v>
      </c>
      <c r="CL185" s="22">
        <f t="shared" si="1711"/>
        <v>1.0000000000331966E-3</v>
      </c>
      <c r="CM185" s="23">
        <f t="shared" ref="CM185:DA185" si="1712">CM184-CM148</f>
        <v>1.0000000000616183E-3</v>
      </c>
      <c r="CN185" s="23">
        <f t="shared" si="1712"/>
        <v>1.0000000000616183E-3</v>
      </c>
      <c r="CO185" s="23">
        <f t="shared" si="1712"/>
        <v>1.00000000009004E-3</v>
      </c>
      <c r="CP185" s="23">
        <f t="shared" si="1712"/>
        <v>1.00000000009004E-3</v>
      </c>
      <c r="CQ185" s="23">
        <f t="shared" si="1712"/>
        <v>1.00000000009004E-3</v>
      </c>
      <c r="CR185" s="23">
        <f t="shared" si="1712"/>
        <v>1.00000000009004E-3</v>
      </c>
      <c r="CS185" s="23">
        <f t="shared" si="1712"/>
        <v>1.0000000000331966E-3</v>
      </c>
      <c r="CT185" s="23">
        <f t="shared" si="1712"/>
        <v>9.9999999991950972E-4</v>
      </c>
      <c r="CU185" s="23">
        <f t="shared" si="1712"/>
        <v>9.999999998626663E-4</v>
      </c>
      <c r="CV185" s="23">
        <f t="shared" si="1712"/>
        <v>9.999999998626663E-4</v>
      </c>
      <c r="CW185" s="23">
        <f t="shared" si="1712"/>
        <v>9.999999998626663E-4</v>
      </c>
      <c r="CX185" s="23">
        <f t="shared" si="1712"/>
        <v>9.9999999963529262E-4</v>
      </c>
      <c r="CY185" s="23">
        <f t="shared" si="1712"/>
        <v>9.9999999952160579E-4</v>
      </c>
      <c r="CZ185" s="23">
        <f t="shared" si="1712"/>
        <v>9.9999999952160579E-4</v>
      </c>
      <c r="DA185" s="23">
        <f t="shared" si="1712"/>
        <v>9.9999999952160579E-4</v>
      </c>
      <c r="DD185" s="120">
        <v>1.0000000000616183E-3</v>
      </c>
    </row>
    <row r="186" spans="1:108" s="22" customFormat="1" x14ac:dyDescent="0.2">
      <c r="A186" s="27"/>
      <c r="AB186" s="23"/>
      <c r="AC186" s="23"/>
      <c r="AD186" s="23"/>
      <c r="AE186" s="23"/>
      <c r="CM186" s="23"/>
      <c r="CN186" s="23"/>
      <c r="CO186" s="23"/>
      <c r="CP186" s="23"/>
      <c r="CQ186" s="23"/>
      <c r="CR186" s="23"/>
      <c r="CS186" s="23"/>
      <c r="CT186" s="23"/>
      <c r="CU186" s="23"/>
      <c r="CV186" s="23"/>
      <c r="CW186" s="23"/>
      <c r="CX186" s="23"/>
      <c r="CY186" s="23"/>
      <c r="CZ186" s="23"/>
      <c r="DA186" s="23"/>
      <c r="DD186" s="120"/>
    </row>
    <row r="187" spans="1:108" s="21" customFormat="1" x14ac:dyDescent="0.2">
      <c r="A187" s="21" t="s">
        <v>80</v>
      </c>
      <c r="B187" s="21">
        <f t="shared" ref="B187:W187" si="1713">B147-B180</f>
        <v>29.918484605</v>
      </c>
      <c r="C187" s="21">
        <f t="shared" si="1713"/>
        <v>26.630345447000003</v>
      </c>
      <c r="D187" s="21">
        <f t="shared" si="1713"/>
        <v>0</v>
      </c>
      <c r="E187" s="21">
        <f t="shared" si="1713"/>
        <v>0</v>
      </c>
      <c r="F187" s="21">
        <f t="shared" si="1713"/>
        <v>0</v>
      </c>
      <c r="G187" s="21">
        <f t="shared" si="1713"/>
        <v>0</v>
      </c>
      <c r="H187" s="21">
        <f t="shared" si="1713"/>
        <v>0</v>
      </c>
      <c r="I187" s="21">
        <f t="shared" si="1713"/>
        <v>0</v>
      </c>
      <c r="J187" s="21">
        <f t="shared" si="1713"/>
        <v>0</v>
      </c>
      <c r="K187" s="21">
        <f t="shared" si="1713"/>
        <v>0</v>
      </c>
      <c r="L187" s="21">
        <f t="shared" si="1713"/>
        <v>0</v>
      </c>
      <c r="M187" s="21">
        <f t="shared" si="1713"/>
        <v>0</v>
      </c>
      <c r="N187" s="21">
        <f t="shared" si="1713"/>
        <v>0</v>
      </c>
      <c r="O187" s="21">
        <f t="shared" si="1713"/>
        <v>0</v>
      </c>
      <c r="P187" s="21">
        <f t="shared" si="1713"/>
        <v>0</v>
      </c>
      <c r="Q187" s="21">
        <f t="shared" si="1713"/>
        <v>0</v>
      </c>
      <c r="R187" s="21">
        <f t="shared" si="1713"/>
        <v>0</v>
      </c>
      <c r="S187" s="21">
        <f t="shared" si="1713"/>
        <v>0</v>
      </c>
      <c r="T187" s="21">
        <f t="shared" si="1713"/>
        <v>0</v>
      </c>
      <c r="U187" s="21">
        <f t="shared" si="1713"/>
        <v>0</v>
      </c>
      <c r="V187" s="21">
        <f t="shared" si="1713"/>
        <v>0</v>
      </c>
      <c r="W187" s="21">
        <f t="shared" si="1713"/>
        <v>0</v>
      </c>
      <c r="X187" s="21">
        <f t="shared" ref="X187:Y187" si="1714">X147-X180</f>
        <v>0</v>
      </c>
      <c r="Y187" s="21">
        <f t="shared" si="1714"/>
        <v>-130.46430000000001</v>
      </c>
      <c r="Z187" s="21">
        <f t="shared" ref="Z187:AA187" si="1715">Z147-Z180</f>
        <v>-62.5261</v>
      </c>
      <c r="AA187" s="21">
        <f t="shared" si="1715"/>
        <v>-226.50280000000001</v>
      </c>
      <c r="AB187" s="20">
        <f t="shared" ref="AA187:AD187" si="1716">AB147-AB180</f>
        <v>-359.25345808520171</v>
      </c>
      <c r="AC187" s="20">
        <f t="shared" si="1716"/>
        <v>-596.72427239335889</v>
      </c>
      <c r="AD187" s="20">
        <f t="shared" si="1716"/>
        <v>-1002.0700937727865</v>
      </c>
      <c r="AE187" s="20">
        <f t="shared" ref="AE187" si="1717">AE147-AE180</f>
        <v>-1616.1380272478646</v>
      </c>
      <c r="AI187" s="21">
        <f t="shared" ref="AI187:AL187" si="1718">AI147-AI180</f>
        <v>0</v>
      </c>
      <c r="AJ187" s="21">
        <f t="shared" si="1718"/>
        <v>3.7169999999999908</v>
      </c>
      <c r="AK187" s="21">
        <f t="shared" si="1718"/>
        <v>0</v>
      </c>
      <c r="AL187" s="21">
        <f t="shared" si="1718"/>
        <v>3.4370000000000163</v>
      </c>
      <c r="AM187" s="21">
        <f t="shared" ref="AM187:AP187" si="1719">AM147-AM180</f>
        <v>0</v>
      </c>
      <c r="AN187" s="21">
        <f t="shared" si="1719"/>
        <v>18.507999999999992</v>
      </c>
      <c r="AO187" s="21">
        <f t="shared" si="1719"/>
        <v>0</v>
      </c>
      <c r="AP187" s="21">
        <f t="shared" si="1719"/>
        <v>1.5760000000000192</v>
      </c>
      <c r="AQ187" s="21">
        <f t="shared" ref="AQ187:AT187" si="1720">AQ147-AQ180</f>
        <v>0</v>
      </c>
      <c r="AR187" s="21">
        <f t="shared" si="1720"/>
        <v>-4.2170000000000014</v>
      </c>
      <c r="AS187" s="21">
        <f t="shared" si="1720"/>
        <v>0</v>
      </c>
      <c r="AT187" s="21">
        <f t="shared" si="1720"/>
        <v>-7.7749999999999932</v>
      </c>
      <c r="AU187" s="21">
        <f t="shared" ref="AU187:AX187" si="1721">AU147-AU180</f>
        <v>0</v>
      </c>
      <c r="AV187" s="21">
        <f t="shared" si="1721"/>
        <v>2.8020000000000009</v>
      </c>
      <c r="AW187" s="21">
        <f t="shared" si="1721"/>
        <v>0</v>
      </c>
      <c r="AX187" s="21">
        <f t="shared" si="1721"/>
        <v>-10.694000000000003</v>
      </c>
      <c r="AY187" s="21">
        <f t="shared" ref="AY187:BB187" si="1722">AY147-AY180</f>
        <v>0</v>
      </c>
      <c r="AZ187" s="21">
        <f t="shared" si="1722"/>
        <v>-2.1000000000006125E-2</v>
      </c>
      <c r="BA187" s="21">
        <f t="shared" si="1722"/>
        <v>0</v>
      </c>
      <c r="BB187" s="21">
        <f t="shared" si="1722"/>
        <v>-4.5799999999999939</v>
      </c>
      <c r="BC187" s="21">
        <f t="shared" ref="BC187:BF187" si="1723">BC147-BC180</f>
        <v>0</v>
      </c>
      <c r="BD187" s="21">
        <f t="shared" si="1723"/>
        <v>-4.5229999999999997</v>
      </c>
      <c r="BE187" s="21">
        <f t="shared" si="1723"/>
        <v>0</v>
      </c>
      <c r="BF187" s="21">
        <f t="shared" si="1723"/>
        <v>0.99799999999999289</v>
      </c>
      <c r="BG187" s="21">
        <f t="shared" ref="BG187:BJ187" si="1724">BG147-BG180</f>
        <v>0</v>
      </c>
      <c r="BH187" s="21">
        <f t="shared" si="1724"/>
        <v>-10.432</v>
      </c>
      <c r="BI187" s="21">
        <f t="shared" si="1724"/>
        <v>0</v>
      </c>
      <c r="BJ187" s="21">
        <f t="shared" si="1724"/>
        <v>-5.4789999999999939</v>
      </c>
      <c r="BK187" s="21">
        <f t="shared" ref="BK187:BN187" si="1725">BK147-BK180</f>
        <v>0</v>
      </c>
      <c r="BL187" s="21">
        <f t="shared" si="1725"/>
        <v>-9.7959999999999923</v>
      </c>
      <c r="BM187" s="21">
        <f t="shared" si="1725"/>
        <v>0</v>
      </c>
      <c r="BN187" s="21">
        <f t="shared" si="1725"/>
        <v>-4.5259999999999989</v>
      </c>
      <c r="BO187" s="21">
        <f t="shared" ref="BO187:BR187" si="1726">BO147-BO180</f>
        <v>0</v>
      </c>
      <c r="BP187" s="21">
        <f t="shared" si="1726"/>
        <v>11.356999999999998</v>
      </c>
      <c r="BQ187" s="21">
        <f t="shared" si="1726"/>
        <v>0</v>
      </c>
      <c r="BR187" s="21">
        <f t="shared" si="1726"/>
        <v>8.960000000000008</v>
      </c>
      <c r="BS187" s="21">
        <f t="shared" ref="BS187:BV187" si="1727">BS147-BS180</f>
        <v>0</v>
      </c>
      <c r="BT187" s="21">
        <f t="shared" si="1727"/>
        <v>-2.1990000000000025</v>
      </c>
      <c r="BU187" s="21">
        <f t="shared" si="1727"/>
        <v>0</v>
      </c>
      <c r="BV187" s="21">
        <f t="shared" si="1727"/>
        <v>2.4539999999999949</v>
      </c>
      <c r="BW187" s="21">
        <f t="shared" ref="BW187:BZ187" si="1728">BW147-BW180</f>
        <v>0</v>
      </c>
      <c r="BX187" s="21">
        <f t="shared" si="1728"/>
        <v>2.9460000000000011</v>
      </c>
      <c r="BY187" s="21">
        <f t="shared" si="1728"/>
        <v>0</v>
      </c>
      <c r="BZ187" s="21">
        <f t="shared" si="1728"/>
        <v>-9.7930000000000046</v>
      </c>
      <c r="CA187" s="21">
        <f t="shared" ref="CA187:CD187" si="1729">CA147-CA180</f>
        <v>0</v>
      </c>
      <c r="CB187" s="21">
        <f t="shared" si="1729"/>
        <v>-6.9840000000000106</v>
      </c>
      <c r="CC187" s="21">
        <f t="shared" si="1729"/>
        <v>-130.465</v>
      </c>
      <c r="CD187" s="21">
        <f t="shared" si="1729"/>
        <v>-95.793674627712193</v>
      </c>
      <c r="CE187" s="21">
        <f t="shared" ref="CE187" si="1730">CE147-CE180</f>
        <v>-77.486000000000004</v>
      </c>
      <c r="CF187" s="21">
        <f t="shared" ref="CF187" si="1731">CF147-CF180</f>
        <v>-82.720645352514254</v>
      </c>
      <c r="CG187" s="21">
        <f t="shared" ref="CG187" si="1732">CG147-CG180</f>
        <v>-62.5261</v>
      </c>
      <c r="CH187" s="21">
        <f t="shared" ref="CH187:CI187" si="1733">CH147-CH180</f>
        <v>88.119419527502373</v>
      </c>
      <c r="CI187" s="21">
        <f t="shared" si="1733"/>
        <v>-123.78</v>
      </c>
      <c r="CJ187" s="21">
        <f t="shared" ref="CJ187:CK187" si="1734">CJ147-CJ180</f>
        <v>-109.746749726004</v>
      </c>
      <c r="CK187" s="21">
        <f t="shared" si="1734"/>
        <v>-226.50299999999999</v>
      </c>
      <c r="CL187" s="21">
        <f t="shared" ref="CL187" si="1735">CL147-CL180</f>
        <v>-187.08523436928803</v>
      </c>
      <c r="CM187" s="20">
        <f t="shared" ref="CM187:DA187" si="1736">CM147-CM180</f>
        <v>-250.41233208929378</v>
      </c>
      <c r="CN187" s="20">
        <f t="shared" si="1736"/>
        <v>-324.6363865310858</v>
      </c>
      <c r="CO187" s="20">
        <f t="shared" si="1736"/>
        <v>-359.25345808520171</v>
      </c>
      <c r="CP187" s="20">
        <f t="shared" si="1736"/>
        <v>-379.02603864222726</v>
      </c>
      <c r="CQ187" s="20">
        <f t="shared" si="1736"/>
        <v>-406.10910926640963</v>
      </c>
      <c r="CR187" s="20">
        <f t="shared" si="1736"/>
        <v>-525.42339577671112</v>
      </c>
      <c r="CS187" s="20">
        <f t="shared" si="1736"/>
        <v>-596.72427239335889</v>
      </c>
      <c r="CT187" s="20">
        <f t="shared" si="1736"/>
        <v>-649.78874877448061</v>
      </c>
      <c r="CU187" s="20">
        <f t="shared" si="1736"/>
        <v>-710.99548363259839</v>
      </c>
      <c r="CV187" s="20">
        <f t="shared" si="1736"/>
        <v>-885.5103400712261</v>
      </c>
      <c r="CW187" s="20">
        <f t="shared" si="1736"/>
        <v>-1002.0700937727865</v>
      </c>
      <c r="CX187" s="20">
        <f t="shared" si="1736"/>
        <v>-1096.4202028992845</v>
      </c>
      <c r="CY187" s="20">
        <f t="shared" si="1736"/>
        <v>-1200.0112446198593</v>
      </c>
      <c r="CZ187" s="20">
        <f t="shared" si="1736"/>
        <v>-1442.9466943079431</v>
      </c>
      <c r="DA187" s="20">
        <f t="shared" si="1736"/>
        <v>-1616.1380272478646</v>
      </c>
      <c r="DD187" s="122">
        <v>-226.50299999999999</v>
      </c>
    </row>
    <row r="188" spans="1:108" x14ac:dyDescent="0.2">
      <c r="AA188" s="2"/>
      <c r="AI188" s="110"/>
      <c r="AK188" s="110"/>
      <c r="AM188" s="110"/>
      <c r="AO188" s="110"/>
      <c r="AQ188" s="110"/>
      <c r="AS188" s="110"/>
      <c r="AU188" s="110"/>
      <c r="AW188" s="110"/>
      <c r="AY188" s="110"/>
      <c r="BA188" s="110"/>
      <c r="BC188" s="110"/>
      <c r="BE188" s="110"/>
      <c r="BG188" s="110"/>
      <c r="BI188" s="110"/>
      <c r="BK188" s="110"/>
      <c r="BM188" s="110"/>
      <c r="BO188" s="110"/>
      <c r="BQ188" s="110"/>
      <c r="BS188" s="110"/>
      <c r="BU188" s="110"/>
      <c r="BW188" s="110"/>
      <c r="BY188" s="110"/>
      <c r="CA188" s="110"/>
      <c r="CC188" s="110"/>
      <c r="CE188" s="110"/>
      <c r="CG188" s="110"/>
    </row>
    <row r="189" spans="1:108" s="48" customFormat="1" x14ac:dyDescent="0.2">
      <c r="A189" s="48" t="s">
        <v>81</v>
      </c>
      <c r="B189" s="48">
        <f>'Annual Raw'!C85</f>
        <v>8.6852</v>
      </c>
      <c r="C189" s="48">
        <f>'Annual Raw'!D85</f>
        <v>17.955500000000001</v>
      </c>
      <c r="D189" s="48">
        <f>'Annual Raw'!E85</f>
        <v>0</v>
      </c>
      <c r="E189" s="48">
        <f>'Annual Raw'!F85</f>
        <v>0</v>
      </c>
      <c r="F189" s="48">
        <f>'Annual Raw'!G85</f>
        <v>0</v>
      </c>
      <c r="G189" s="48">
        <f>'Annual Raw'!H85</f>
        <v>0</v>
      </c>
      <c r="H189" s="48">
        <f>'Annual Raw'!I85</f>
        <v>0</v>
      </c>
      <c r="I189" s="48">
        <f>'Annual Raw'!J85</f>
        <v>0</v>
      </c>
      <c r="J189" s="48">
        <f>'Annual Raw'!K85</f>
        <v>0</v>
      </c>
      <c r="K189" s="48">
        <f>'Annual Raw'!L85</f>
        <v>0</v>
      </c>
      <c r="L189" s="48">
        <f>'Annual Raw'!M85</f>
        <v>0</v>
      </c>
      <c r="M189" s="48">
        <f>'Annual Raw'!N85</f>
        <v>0</v>
      </c>
      <c r="N189" s="48">
        <f>'Annual Raw'!O85</f>
        <v>0</v>
      </c>
      <c r="O189" s="48">
        <f>'Annual Raw'!P85</f>
        <v>0</v>
      </c>
      <c r="P189" s="48">
        <f>'Annual Raw'!Q85</f>
        <v>0</v>
      </c>
      <c r="Q189" s="48">
        <f>'Annual Raw'!R85</f>
        <v>0</v>
      </c>
      <c r="R189" s="48">
        <f>'Annual Raw'!S85</f>
        <v>0</v>
      </c>
      <c r="S189" s="48">
        <f>'Annual Raw'!T85</f>
        <v>0</v>
      </c>
      <c r="T189" s="48">
        <f>'Annual Raw'!U85</f>
        <v>0</v>
      </c>
      <c r="U189" s="48">
        <f>'Annual Raw'!V85</f>
        <v>0</v>
      </c>
      <c r="V189" s="48">
        <f>'Annual Raw'!W85</f>
        <v>0</v>
      </c>
      <c r="W189" s="48">
        <f>'Annual Raw'!X85</f>
        <v>0</v>
      </c>
      <c r="X189" s="48">
        <f>'Annual Raw'!Y85</f>
        <v>0</v>
      </c>
      <c r="Y189" s="48">
        <f>'Annual Raw'!Z85</f>
        <v>216.7955</v>
      </c>
      <c r="Z189" s="48">
        <f>'Annual Raw'!AA85</f>
        <v>231.417</v>
      </c>
      <c r="AA189" s="48">
        <f>'Annual Raw'!AB85</f>
        <v>240.88130000000001</v>
      </c>
      <c r="AB189" s="49"/>
      <c r="AC189" s="49"/>
      <c r="AD189" s="49"/>
      <c r="AE189" s="49"/>
      <c r="CM189" s="49"/>
      <c r="CN189" s="49"/>
      <c r="CO189" s="49"/>
      <c r="CP189" s="49"/>
      <c r="CQ189" s="49"/>
      <c r="CR189" s="49"/>
      <c r="CS189" s="49"/>
      <c r="CT189" s="49"/>
      <c r="CU189" s="49"/>
      <c r="CV189" s="49"/>
      <c r="CW189" s="49"/>
      <c r="CX189" s="49"/>
      <c r="CY189" s="49"/>
      <c r="CZ189" s="49"/>
      <c r="DA189" s="49"/>
      <c r="DD189" s="131"/>
    </row>
    <row r="190" spans="1:108" s="28" customFormat="1" x14ac:dyDescent="0.2">
      <c r="A190" s="28" t="s">
        <v>82</v>
      </c>
      <c r="B190" s="28">
        <f>'Annual Raw'!C95</f>
        <v>7.3871000000000002</v>
      </c>
      <c r="C190" s="28">
        <f>'Annual Raw'!D95</f>
        <v>14.0459</v>
      </c>
      <c r="D190" s="28">
        <f>'Annual Raw'!E95</f>
        <v>0</v>
      </c>
      <c r="E190" s="28">
        <f>'Annual Raw'!F95</f>
        <v>0</v>
      </c>
      <c r="F190" s="28">
        <f>'Annual Raw'!G95</f>
        <v>0</v>
      </c>
      <c r="G190" s="28">
        <f>'Annual Raw'!H95</f>
        <v>0</v>
      </c>
      <c r="H190" s="28">
        <f>'Annual Raw'!I95</f>
        <v>0</v>
      </c>
      <c r="I190" s="28">
        <f>'Annual Raw'!J95</f>
        <v>0</v>
      </c>
      <c r="J190" s="28">
        <f>'Annual Raw'!K95</f>
        <v>0</v>
      </c>
      <c r="K190" s="28">
        <f>'Annual Raw'!L95</f>
        <v>0</v>
      </c>
      <c r="L190" s="28">
        <f>'Annual Raw'!M95</f>
        <v>0</v>
      </c>
      <c r="M190" s="28">
        <f>'Annual Raw'!N95</f>
        <v>0</v>
      </c>
      <c r="N190" s="28">
        <f>'Annual Raw'!O95</f>
        <v>0</v>
      </c>
      <c r="O190" s="28">
        <f>'Annual Raw'!P95</f>
        <v>0</v>
      </c>
      <c r="P190" s="28">
        <f>'Annual Raw'!Q95</f>
        <v>0</v>
      </c>
      <c r="Q190" s="28">
        <f>'Annual Raw'!R95</f>
        <v>0</v>
      </c>
      <c r="R190" s="28">
        <f>'Annual Raw'!S95</f>
        <v>0</v>
      </c>
      <c r="S190" s="28">
        <f>'Annual Raw'!T95</f>
        <v>0</v>
      </c>
      <c r="T190" s="28">
        <f>'Annual Raw'!U95</f>
        <v>0</v>
      </c>
      <c r="U190" s="28">
        <f>'Annual Raw'!V95</f>
        <v>0</v>
      </c>
      <c r="V190" s="28">
        <f>'Annual Raw'!W95</f>
        <v>0</v>
      </c>
      <c r="W190" s="28">
        <f>'Annual Raw'!X95</f>
        <v>0</v>
      </c>
      <c r="X190" s="28">
        <f>'Annual Raw'!Y95</f>
        <v>0</v>
      </c>
      <c r="Y190" s="28">
        <f>'Annual Raw'!Z95</f>
        <v>0</v>
      </c>
      <c r="Z190" s="28">
        <f>'Annual Raw'!AA95</f>
        <v>0</v>
      </c>
      <c r="AA190" s="28">
        <f>'Annual Raw'!AB95</f>
        <v>0</v>
      </c>
      <c r="AB190" s="29"/>
      <c r="AC190" s="29"/>
      <c r="AD190" s="29"/>
      <c r="AE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D190" s="132"/>
    </row>
    <row r="191" spans="1:108" s="28" customFormat="1" x14ac:dyDescent="0.2">
      <c r="A191" s="28" t="s">
        <v>83</v>
      </c>
      <c r="B191" s="28">
        <f>'Annual Raw'!C93</f>
        <v>0</v>
      </c>
      <c r="C191" s="28">
        <f>'Annual Raw'!D93</f>
        <v>0</v>
      </c>
      <c r="D191" s="28">
        <f>'Annual Raw'!E93</f>
        <v>0</v>
      </c>
      <c r="E191" s="28">
        <f>'Annual Raw'!F93</f>
        <v>0</v>
      </c>
      <c r="F191" s="28">
        <f>'Annual Raw'!G93</f>
        <v>0</v>
      </c>
      <c r="G191" s="28">
        <f>'Annual Raw'!H93</f>
        <v>0</v>
      </c>
      <c r="H191" s="28">
        <f>'Annual Raw'!I93</f>
        <v>0</v>
      </c>
      <c r="I191" s="28">
        <f>'Annual Raw'!J93</f>
        <v>0</v>
      </c>
      <c r="J191" s="28">
        <f>'Annual Raw'!K93</f>
        <v>0</v>
      </c>
      <c r="K191" s="28">
        <f>'Annual Raw'!L93</f>
        <v>0</v>
      </c>
      <c r="L191" s="28">
        <f>'Annual Raw'!M93</f>
        <v>0</v>
      </c>
      <c r="M191" s="28">
        <f>'Annual Raw'!N93</f>
        <v>0</v>
      </c>
      <c r="N191" s="28">
        <f>'Annual Raw'!O93</f>
        <v>0</v>
      </c>
      <c r="O191" s="28">
        <f>'Annual Raw'!P93</f>
        <v>0</v>
      </c>
      <c r="P191" s="28">
        <f>'Annual Raw'!Q93</f>
        <v>0</v>
      </c>
      <c r="Q191" s="28">
        <f>'Annual Raw'!R93</f>
        <v>0</v>
      </c>
      <c r="R191" s="28">
        <f>'Annual Raw'!S93</f>
        <v>0</v>
      </c>
      <c r="S191" s="28">
        <f>'Annual Raw'!T93</f>
        <v>0</v>
      </c>
      <c r="T191" s="28">
        <f>'Annual Raw'!U93</f>
        <v>0</v>
      </c>
      <c r="U191" s="28">
        <f>'Annual Raw'!V93</f>
        <v>0</v>
      </c>
      <c r="V191" s="28">
        <f>'Annual Raw'!W93</f>
        <v>0</v>
      </c>
      <c r="W191" s="28">
        <f>'Annual Raw'!X93</f>
        <v>0</v>
      </c>
      <c r="X191" s="28">
        <f>'Annual Raw'!Y93</f>
        <v>0</v>
      </c>
      <c r="Y191" s="28">
        <f>'Annual Raw'!Z93</f>
        <v>216.7955</v>
      </c>
      <c r="Z191" s="28">
        <f>'Annual Raw'!AA93</f>
        <v>231.417</v>
      </c>
      <c r="AA191" s="28">
        <f>'Annual Raw'!AB93</f>
        <v>240.88130000000001</v>
      </c>
      <c r="AB191" s="29"/>
      <c r="AC191" s="29"/>
      <c r="AD191" s="29"/>
      <c r="AE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D191" s="132"/>
    </row>
    <row r="192" spans="1:108" s="28" customFormat="1" x14ac:dyDescent="0.2">
      <c r="A192" s="28" t="s">
        <v>84</v>
      </c>
      <c r="B192" s="28">
        <f t="shared" ref="B192:V192" si="1737">B189-B190-B191</f>
        <v>1.2980999999999998</v>
      </c>
      <c r="C192" s="28">
        <f t="shared" si="1737"/>
        <v>3.9096000000000011</v>
      </c>
      <c r="D192" s="28">
        <f t="shared" si="1737"/>
        <v>0</v>
      </c>
      <c r="E192" s="28">
        <f t="shared" si="1737"/>
        <v>0</v>
      </c>
      <c r="F192" s="28">
        <f t="shared" si="1737"/>
        <v>0</v>
      </c>
      <c r="G192" s="28">
        <f t="shared" si="1737"/>
        <v>0</v>
      </c>
      <c r="H192" s="28">
        <f t="shared" si="1737"/>
        <v>0</v>
      </c>
      <c r="I192" s="28">
        <f t="shared" si="1737"/>
        <v>0</v>
      </c>
      <c r="J192" s="28">
        <f t="shared" si="1737"/>
        <v>0</v>
      </c>
      <c r="K192" s="28">
        <f t="shared" si="1737"/>
        <v>0</v>
      </c>
      <c r="L192" s="28">
        <f t="shared" si="1737"/>
        <v>0</v>
      </c>
      <c r="M192" s="28">
        <f t="shared" si="1737"/>
        <v>0</v>
      </c>
      <c r="N192" s="28">
        <f t="shared" si="1737"/>
        <v>0</v>
      </c>
      <c r="O192" s="28">
        <f t="shared" si="1737"/>
        <v>0</v>
      </c>
      <c r="P192" s="28">
        <f t="shared" si="1737"/>
        <v>0</v>
      </c>
      <c r="Q192" s="28">
        <f t="shared" si="1737"/>
        <v>0</v>
      </c>
      <c r="R192" s="28">
        <f t="shared" si="1737"/>
        <v>0</v>
      </c>
      <c r="S192" s="28">
        <f t="shared" si="1737"/>
        <v>0</v>
      </c>
      <c r="T192" s="28">
        <f t="shared" si="1737"/>
        <v>0</v>
      </c>
      <c r="U192" s="28">
        <f t="shared" si="1737"/>
        <v>0</v>
      </c>
      <c r="V192" s="28">
        <f t="shared" si="1737"/>
        <v>0</v>
      </c>
      <c r="W192" s="28">
        <f t="shared" ref="W192" si="1738">W189-W190-W191</f>
        <v>0</v>
      </c>
      <c r="X192" s="28">
        <f t="shared" ref="X192:Y192" si="1739">X189-X190-X191</f>
        <v>0</v>
      </c>
      <c r="Y192" s="28">
        <f t="shared" si="1739"/>
        <v>0</v>
      </c>
      <c r="Z192" s="28">
        <f t="shared" ref="Z192:AA192" si="1740">Z189-Z190-Z191</f>
        <v>0</v>
      </c>
      <c r="AA192" s="28">
        <f t="shared" si="1740"/>
        <v>0</v>
      </c>
      <c r="AB192" s="29">
        <f t="shared" ref="AA192:AD192" si="1741">AB189-AB190-AB191</f>
        <v>0</v>
      </c>
      <c r="AC192" s="29">
        <f t="shared" si="1741"/>
        <v>0</v>
      </c>
      <c r="AD192" s="29">
        <f t="shared" si="1741"/>
        <v>0</v>
      </c>
      <c r="AE192" s="29">
        <f t="shared" ref="AE192" si="1742">AE189-AE190-AE191</f>
        <v>0</v>
      </c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D192" s="132">
        <v>0</v>
      </c>
    </row>
    <row r="193" spans="1:108" s="5" customFormat="1" x14ac:dyDescent="0.2">
      <c r="AB193" s="62"/>
      <c r="AC193" s="62"/>
      <c r="AD193" s="62"/>
      <c r="AE193" s="62"/>
      <c r="AI193" s="111"/>
      <c r="AK193" s="111"/>
      <c r="AM193" s="111"/>
      <c r="AO193" s="111"/>
      <c r="AQ193" s="111"/>
      <c r="AS193" s="111"/>
      <c r="AU193" s="111"/>
      <c r="AW193" s="111"/>
      <c r="AY193" s="111"/>
      <c r="BA193" s="111"/>
      <c r="BC193" s="111"/>
      <c r="BE193" s="111"/>
      <c r="BG193" s="111"/>
      <c r="BI193" s="111"/>
      <c r="BK193" s="111"/>
      <c r="BM193" s="111"/>
      <c r="BO193" s="111"/>
      <c r="BQ193" s="111"/>
      <c r="BS193" s="111"/>
      <c r="BU193" s="111"/>
      <c r="BW193" s="111"/>
      <c r="BY193" s="111"/>
      <c r="CA193" s="111"/>
      <c r="CC193" s="111"/>
      <c r="CE193" s="111"/>
      <c r="CG193" s="111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D193" s="132"/>
    </row>
    <row r="194" spans="1:108" s="94" customFormat="1" x14ac:dyDescent="0.2">
      <c r="A194" s="94" t="s">
        <v>85</v>
      </c>
      <c r="B194" s="94">
        <f t="shared" ref="B194:W194" si="1743">B189/B139</f>
        <v>0.19064541637686677</v>
      </c>
      <c r="C194" s="94">
        <f t="shared" si="1743"/>
        <v>0.3576010088160762</v>
      </c>
      <c r="D194" s="94" t="e">
        <f t="shared" si="1743"/>
        <v>#DIV/0!</v>
      </c>
      <c r="E194" s="94" t="e">
        <f t="shared" si="1743"/>
        <v>#DIV/0!</v>
      </c>
      <c r="F194" s="94" t="e">
        <f t="shared" si="1743"/>
        <v>#DIV/0!</v>
      </c>
      <c r="G194" s="94" t="e">
        <f t="shared" si="1743"/>
        <v>#DIV/0!</v>
      </c>
      <c r="H194" s="94" t="e">
        <f t="shared" si="1743"/>
        <v>#DIV/0!</v>
      </c>
      <c r="I194" s="94" t="e">
        <f t="shared" si="1743"/>
        <v>#DIV/0!</v>
      </c>
      <c r="J194" s="94" t="e">
        <f t="shared" si="1743"/>
        <v>#DIV/0!</v>
      </c>
      <c r="K194" s="94" t="e">
        <f t="shared" si="1743"/>
        <v>#DIV/0!</v>
      </c>
      <c r="L194" s="94" t="e">
        <f t="shared" si="1743"/>
        <v>#DIV/0!</v>
      </c>
      <c r="M194" s="94" t="e">
        <f t="shared" si="1743"/>
        <v>#DIV/0!</v>
      </c>
      <c r="N194" s="94" t="e">
        <f t="shared" si="1743"/>
        <v>#DIV/0!</v>
      </c>
      <c r="O194" s="94" t="e">
        <f t="shared" si="1743"/>
        <v>#DIV/0!</v>
      </c>
      <c r="P194" s="94" t="e">
        <f t="shared" si="1743"/>
        <v>#DIV/0!</v>
      </c>
      <c r="Q194" s="94" t="e">
        <f t="shared" si="1743"/>
        <v>#DIV/0!</v>
      </c>
      <c r="R194" s="94" t="e">
        <f t="shared" si="1743"/>
        <v>#DIV/0!</v>
      </c>
      <c r="S194" s="94" t="e">
        <f t="shared" si="1743"/>
        <v>#DIV/0!</v>
      </c>
      <c r="T194" s="94" t="e">
        <f t="shared" si="1743"/>
        <v>#DIV/0!</v>
      </c>
      <c r="U194" s="94" t="e">
        <f t="shared" si="1743"/>
        <v>#DIV/0!</v>
      </c>
      <c r="V194" s="94" t="e">
        <f t="shared" si="1743"/>
        <v>#DIV/0!</v>
      </c>
      <c r="W194" s="94" t="e">
        <f t="shared" si="1743"/>
        <v>#DIV/0!</v>
      </c>
      <c r="X194" s="94" t="e">
        <f t="shared" ref="X194:Y194" si="1744">X189/X139</f>
        <v>#DIV/0!</v>
      </c>
      <c r="Y194" s="94">
        <f t="shared" si="1744"/>
        <v>1.0255610308994518</v>
      </c>
      <c r="Z194" s="94">
        <f t="shared" ref="Z194:AA194" si="1745">Z189/Z139</f>
        <v>1.1504600756543444</v>
      </c>
      <c r="AA194" s="94">
        <f t="shared" si="1745"/>
        <v>1.1462694337255885</v>
      </c>
      <c r="AB194" s="86">
        <f t="shared" ref="AA194:AD194" si="1746">AB189/AB139</f>
        <v>0</v>
      </c>
      <c r="AC194" s="86">
        <f t="shared" si="1746"/>
        <v>0</v>
      </c>
      <c r="AD194" s="86">
        <f t="shared" si="1746"/>
        <v>0</v>
      </c>
      <c r="AE194" s="86">
        <f t="shared" ref="AE194" si="1747">AE189/AE139</f>
        <v>0</v>
      </c>
      <c r="CM194" s="95"/>
      <c r="CN194" s="95"/>
      <c r="CO194" s="95"/>
      <c r="CP194" s="95"/>
      <c r="CQ194" s="95"/>
      <c r="CR194" s="95"/>
      <c r="CS194" s="95"/>
      <c r="CT194" s="95"/>
      <c r="CU194" s="95"/>
      <c r="CV194" s="95"/>
      <c r="CW194" s="95"/>
      <c r="CX194" s="95"/>
      <c r="CY194" s="95"/>
      <c r="CZ194" s="95"/>
      <c r="DA194" s="95"/>
      <c r="DD194" s="133">
        <v>0</v>
      </c>
    </row>
    <row r="195" spans="1:108" x14ac:dyDescent="0.2">
      <c r="A195" s="144" t="s">
        <v>492</v>
      </c>
      <c r="AA195" s="2"/>
      <c r="AI195" s="110"/>
      <c r="AK195" s="110"/>
      <c r="AM195" s="110"/>
      <c r="AO195" s="110"/>
      <c r="AQ195" s="110"/>
      <c r="AS195" s="110"/>
      <c r="AU195" s="110"/>
      <c r="AW195" s="110"/>
      <c r="AY195" s="110"/>
      <c r="BA195" s="110"/>
      <c r="BC195" s="110"/>
      <c r="BE195" s="110"/>
      <c r="BG195" s="110"/>
      <c r="BI195" s="110"/>
      <c r="BK195" s="110"/>
      <c r="BM195" s="110"/>
      <c r="BO195" s="110"/>
      <c r="BQ195" s="110"/>
      <c r="BS195" s="110"/>
      <c r="BU195" s="110"/>
      <c r="BW195" s="110"/>
      <c r="BY195" s="110"/>
      <c r="CA195" s="110"/>
      <c r="CC195" s="110"/>
      <c r="CE195" s="110"/>
      <c r="CG195" s="110"/>
    </row>
    <row r="196" spans="1:108" s="6" customFormat="1" x14ac:dyDescent="0.2">
      <c r="AB196" s="18"/>
      <c r="AC196" s="18"/>
      <c r="AD196" s="18"/>
      <c r="AE196" s="18"/>
      <c r="AI196" s="112"/>
      <c r="AK196" s="112"/>
      <c r="AM196" s="112"/>
      <c r="AO196" s="112"/>
      <c r="AQ196" s="112"/>
      <c r="AS196" s="112"/>
      <c r="AU196" s="112"/>
      <c r="AW196" s="112"/>
      <c r="AY196" s="112"/>
      <c r="BA196" s="112"/>
      <c r="BC196" s="112"/>
      <c r="BE196" s="112"/>
      <c r="BG196" s="112"/>
      <c r="BI196" s="112"/>
      <c r="BK196" s="112"/>
      <c r="BM196" s="112"/>
      <c r="BO196" s="112"/>
      <c r="BQ196" s="112"/>
      <c r="BS196" s="112"/>
      <c r="BU196" s="112"/>
      <c r="BW196" s="112"/>
      <c r="BY196" s="112"/>
      <c r="CA196" s="112"/>
      <c r="CC196" s="112"/>
      <c r="CE196" s="112"/>
      <c r="CG196" s="112"/>
      <c r="CM196" s="23"/>
      <c r="CN196" s="23"/>
      <c r="CO196" s="23"/>
      <c r="CP196" s="23"/>
      <c r="CQ196" s="23"/>
      <c r="CR196" s="23"/>
      <c r="CS196" s="23"/>
      <c r="CT196" s="23"/>
      <c r="CU196" s="23"/>
      <c r="CV196" s="23"/>
      <c r="CW196" s="23"/>
      <c r="CX196" s="23"/>
      <c r="CY196" s="23"/>
      <c r="CZ196" s="23"/>
      <c r="DA196" s="23"/>
      <c r="DD196" s="120"/>
    </row>
    <row r="197" spans="1:108" s="61" customFormat="1" x14ac:dyDescent="0.2">
      <c r="A197" s="145" t="s">
        <v>493</v>
      </c>
      <c r="AB197" s="62"/>
      <c r="AC197" s="62"/>
      <c r="AD197" s="62"/>
      <c r="AE197" s="62"/>
      <c r="AI197" s="113"/>
      <c r="AK197" s="113"/>
      <c r="AM197" s="113"/>
      <c r="AO197" s="113"/>
      <c r="AQ197" s="113"/>
      <c r="AS197" s="113"/>
      <c r="AU197" s="113"/>
      <c r="AW197" s="113"/>
      <c r="AY197" s="113"/>
      <c r="BA197" s="113"/>
      <c r="BC197" s="113"/>
      <c r="BE197" s="113"/>
      <c r="BG197" s="113"/>
      <c r="BI197" s="113"/>
      <c r="BK197" s="113"/>
      <c r="BM197" s="113"/>
      <c r="BO197" s="113"/>
      <c r="BQ197" s="113"/>
      <c r="BS197" s="113"/>
      <c r="BU197" s="113"/>
      <c r="BW197" s="113"/>
      <c r="BY197" s="113"/>
      <c r="CA197" s="113"/>
      <c r="CC197" s="113"/>
      <c r="CE197" s="113"/>
      <c r="CG197" s="113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D197" s="132"/>
    </row>
    <row r="198" spans="1:108" s="61" customFormat="1" outlineLevel="1" x14ac:dyDescent="0.2">
      <c r="A198" s="67" t="s">
        <v>463</v>
      </c>
      <c r="B198" s="66">
        <f t="shared" ref="B198:AE198" si="1748">B163/B27*365</f>
        <v>164.18194169017306</v>
      </c>
      <c r="C198" s="66">
        <f t="shared" si="1748"/>
        <v>92.953184423231932</v>
      </c>
      <c r="D198" s="66" t="e">
        <f t="shared" si="1748"/>
        <v>#DIV/0!</v>
      </c>
      <c r="E198" s="66" t="e">
        <f t="shared" si="1748"/>
        <v>#DIV/0!</v>
      </c>
      <c r="F198" s="66" t="e">
        <f t="shared" si="1748"/>
        <v>#DIV/0!</v>
      </c>
      <c r="G198" s="66" t="e">
        <f t="shared" si="1748"/>
        <v>#DIV/0!</v>
      </c>
      <c r="H198" s="66" t="e">
        <f t="shared" si="1748"/>
        <v>#DIV/0!</v>
      </c>
      <c r="I198" s="66" t="e">
        <f t="shared" si="1748"/>
        <v>#DIV/0!</v>
      </c>
      <c r="J198" s="66" t="e">
        <f t="shared" si="1748"/>
        <v>#DIV/0!</v>
      </c>
      <c r="K198" s="66" t="e">
        <f t="shared" si="1748"/>
        <v>#DIV/0!</v>
      </c>
      <c r="L198" s="66" t="e">
        <f t="shared" si="1748"/>
        <v>#DIV/0!</v>
      </c>
      <c r="M198" s="66" t="e">
        <f t="shared" si="1748"/>
        <v>#DIV/0!</v>
      </c>
      <c r="N198" s="66" t="e">
        <f t="shared" si="1748"/>
        <v>#DIV/0!</v>
      </c>
      <c r="O198" s="66" t="e">
        <f t="shared" si="1748"/>
        <v>#DIV/0!</v>
      </c>
      <c r="P198" s="66" t="e">
        <f t="shared" si="1748"/>
        <v>#DIV/0!</v>
      </c>
      <c r="Q198" s="66" t="e">
        <f t="shared" si="1748"/>
        <v>#DIV/0!</v>
      </c>
      <c r="R198" s="66" t="e">
        <f t="shared" si="1748"/>
        <v>#DIV/0!</v>
      </c>
      <c r="S198" s="66" t="e">
        <f t="shared" si="1748"/>
        <v>#DIV/0!</v>
      </c>
      <c r="T198" s="66" t="e">
        <f t="shared" si="1748"/>
        <v>#DIV/0!</v>
      </c>
      <c r="U198" s="66" t="e">
        <f t="shared" si="1748"/>
        <v>#DIV/0!</v>
      </c>
      <c r="V198" s="66" t="e">
        <f t="shared" si="1748"/>
        <v>#DIV/0!</v>
      </c>
      <c r="W198" s="66" t="e">
        <f t="shared" si="1748"/>
        <v>#DIV/0!</v>
      </c>
      <c r="X198" s="66" t="e">
        <f t="shared" si="1748"/>
        <v>#DIV/0!</v>
      </c>
      <c r="Y198" s="66">
        <f t="shared" si="1748"/>
        <v>10.21901420356569</v>
      </c>
      <c r="Z198" s="66">
        <f t="shared" si="1748"/>
        <v>19.334034769992233</v>
      </c>
      <c r="AA198" s="66">
        <f t="shared" ref="AA198" si="1749">AA163/AA27*365</f>
        <v>16.502200255708416</v>
      </c>
      <c r="AB198" s="17">
        <f t="shared" si="1748"/>
        <v>7.7946881638578205</v>
      </c>
      <c r="AC198" s="17">
        <f t="shared" si="1748"/>
        <v>7.625564050683594</v>
      </c>
      <c r="AD198" s="17">
        <f t="shared" si="1748"/>
        <v>7.4266230339092587</v>
      </c>
      <c r="AE198" s="17">
        <f t="shared" si="1748"/>
        <v>7.3293636947944867</v>
      </c>
      <c r="AI198" s="66">
        <f>AI163/AI27*90</f>
        <v>0</v>
      </c>
      <c r="AJ198" s="66">
        <f t="shared" ref="AJ198:CL203" si="1750">+AI198</f>
        <v>0</v>
      </c>
      <c r="AK198" s="66">
        <f>AK163/AK27*90</f>
        <v>0</v>
      </c>
      <c r="AL198" s="66">
        <f t="shared" si="1750"/>
        <v>0</v>
      </c>
      <c r="AM198" s="66">
        <f>AM163/AM27*90</f>
        <v>0</v>
      </c>
      <c r="AN198" s="66">
        <f t="shared" si="1750"/>
        <v>0</v>
      </c>
      <c r="AO198" s="66">
        <f>AO163/AO27*90</f>
        <v>0</v>
      </c>
      <c r="AP198" s="66">
        <f t="shared" si="1750"/>
        <v>0</v>
      </c>
      <c r="AQ198" s="66">
        <f>AQ163/AQ27*90</f>
        <v>0</v>
      </c>
      <c r="AR198" s="66">
        <f t="shared" si="1750"/>
        <v>0</v>
      </c>
      <c r="AS198" s="66">
        <f>AS163/AS27*90</f>
        <v>0</v>
      </c>
      <c r="AT198" s="66">
        <f t="shared" si="1750"/>
        <v>0</v>
      </c>
      <c r="AU198" s="66">
        <f>AU163/AU27*90</f>
        <v>0</v>
      </c>
      <c r="AV198" s="66">
        <f t="shared" si="1750"/>
        <v>0</v>
      </c>
      <c r="AW198" s="66">
        <f>AW163/AW27*90</f>
        <v>0</v>
      </c>
      <c r="AX198" s="66">
        <f t="shared" si="1750"/>
        <v>0</v>
      </c>
      <c r="AY198" s="66">
        <f>AY163/AY27*90</f>
        <v>0</v>
      </c>
      <c r="AZ198" s="66">
        <f t="shared" si="1750"/>
        <v>0</v>
      </c>
      <c r="BA198" s="66">
        <f>BA163/BA27*90</f>
        <v>0</v>
      </c>
      <c r="BB198" s="66">
        <f t="shared" si="1750"/>
        <v>0</v>
      </c>
      <c r="BC198" s="66">
        <f>BC163/BC27*90</f>
        <v>0</v>
      </c>
      <c r="BD198" s="66">
        <f t="shared" si="1750"/>
        <v>0</v>
      </c>
      <c r="BE198" s="66">
        <f>BE163/BE27*90</f>
        <v>0</v>
      </c>
      <c r="BF198" s="66">
        <f t="shared" si="1750"/>
        <v>0</v>
      </c>
      <c r="BG198" s="66">
        <f>BG163/BG27*90</f>
        <v>0</v>
      </c>
      <c r="BH198" s="66">
        <f t="shared" si="1750"/>
        <v>0</v>
      </c>
      <c r="BI198" s="66">
        <f>BI163/BI27*90</f>
        <v>0</v>
      </c>
      <c r="BJ198" s="66">
        <f t="shared" si="1750"/>
        <v>0</v>
      </c>
      <c r="BK198" s="66">
        <f>BK163/BK27*90</f>
        <v>0</v>
      </c>
      <c r="BL198" s="66">
        <f t="shared" si="1750"/>
        <v>0</v>
      </c>
      <c r="BM198" s="66">
        <f>BM163/BM27*90</f>
        <v>0</v>
      </c>
      <c r="BN198" s="66">
        <f t="shared" si="1750"/>
        <v>0</v>
      </c>
      <c r="BO198" s="66">
        <f>BO163/BO27*90</f>
        <v>0</v>
      </c>
      <c r="BP198" s="66">
        <f t="shared" si="1750"/>
        <v>0</v>
      </c>
      <c r="BQ198" s="66">
        <f>BQ163/BQ27*90</f>
        <v>0</v>
      </c>
      <c r="BR198" s="66">
        <f t="shared" si="1750"/>
        <v>0</v>
      </c>
      <c r="BS198" s="66">
        <f>BS163/BS27*90</f>
        <v>0</v>
      </c>
      <c r="BT198" s="66">
        <f t="shared" si="1750"/>
        <v>0</v>
      </c>
      <c r="BU198" s="66">
        <f>BU163/BU27*90</f>
        <v>0</v>
      </c>
      <c r="BV198" s="66">
        <f t="shared" si="1750"/>
        <v>0</v>
      </c>
      <c r="BW198" s="66">
        <f>BW163/BW27*90</f>
        <v>0</v>
      </c>
      <c r="BX198" s="66">
        <f t="shared" si="1750"/>
        <v>0</v>
      </c>
      <c r="BY198" s="66">
        <f>BY163/BY27*90</f>
        <v>0</v>
      </c>
      <c r="BZ198" s="66">
        <f t="shared" si="1750"/>
        <v>0</v>
      </c>
      <c r="CA198" s="66">
        <f>CA163/CA27*90</f>
        <v>0</v>
      </c>
      <c r="CB198" s="66">
        <f t="shared" si="1750"/>
        <v>0</v>
      </c>
      <c r="CC198" s="66">
        <f>CC163/CC27*90</f>
        <v>6.6154003694324217</v>
      </c>
      <c r="CD198" s="66">
        <f t="shared" si="1750"/>
        <v>6.6154003694324217</v>
      </c>
      <c r="CE198" s="66">
        <f>CE163/CE27*90</f>
        <v>19.855821282708199</v>
      </c>
      <c r="CF198" s="66">
        <f t="shared" si="1750"/>
        <v>19.855821282708199</v>
      </c>
      <c r="CG198" s="66">
        <f>CG163/CG27*90</f>
        <v>25.617882470036911</v>
      </c>
      <c r="CH198" s="66">
        <f t="shared" si="1750"/>
        <v>25.617882470036911</v>
      </c>
      <c r="CI198" s="66">
        <f>CI163/CI27*90</f>
        <v>16.768552570690961</v>
      </c>
      <c r="CJ198" s="66">
        <f t="shared" si="1750"/>
        <v>16.768552570690961</v>
      </c>
      <c r="CK198" s="66">
        <f>CK163/CK27*90</f>
        <v>6.3702301422567835</v>
      </c>
      <c r="CL198" s="66">
        <f t="shared" si="1750"/>
        <v>6.3702301422567835</v>
      </c>
      <c r="CM198" s="29">
        <f t="shared" ref="CM198:CM199" si="1751">+CL198</f>
        <v>6.3702301422567835</v>
      </c>
      <c r="CN198" s="29">
        <f t="shared" ref="CN198:CN199" si="1752">+CM198</f>
        <v>6.3702301422567835</v>
      </c>
      <c r="CO198" s="29">
        <f t="shared" ref="CO198:CO199" si="1753">+CN198</f>
        <v>6.3702301422567835</v>
      </c>
      <c r="CP198" s="29">
        <f t="shared" ref="CP198:CP199" si="1754">+CO198</f>
        <v>6.3702301422567835</v>
      </c>
      <c r="CQ198" s="29">
        <f t="shared" ref="CQ198:CQ199" si="1755">+CP198</f>
        <v>6.3702301422567835</v>
      </c>
      <c r="CR198" s="29">
        <f t="shared" ref="CR198:CR199" si="1756">+CQ198</f>
        <v>6.3702301422567835</v>
      </c>
      <c r="CS198" s="29">
        <f t="shared" ref="CS198:CS199" si="1757">+CR198</f>
        <v>6.3702301422567835</v>
      </c>
      <c r="CT198" s="29">
        <f t="shared" ref="CT198:CT199" si="1758">+CS198</f>
        <v>6.3702301422567835</v>
      </c>
      <c r="CU198" s="29">
        <f t="shared" ref="CU198:CU199" si="1759">+CT198</f>
        <v>6.3702301422567835</v>
      </c>
      <c r="CV198" s="29">
        <f t="shared" ref="CV198:CV199" si="1760">+CU198</f>
        <v>6.3702301422567835</v>
      </c>
      <c r="CW198" s="29">
        <f t="shared" ref="CW198:CW199" si="1761">+CV198</f>
        <v>6.3702301422567835</v>
      </c>
      <c r="CX198" s="29">
        <f t="shared" ref="CX198:CX199" si="1762">+CW198</f>
        <v>6.3702301422567835</v>
      </c>
      <c r="CY198" s="29">
        <f t="shared" ref="CY198:CY199" si="1763">+CX198</f>
        <v>6.3702301422567835</v>
      </c>
      <c r="CZ198" s="29">
        <f t="shared" ref="CZ198:CZ199" si="1764">+CY198</f>
        <v>6.3702301422567835</v>
      </c>
      <c r="DA198" s="29">
        <f t="shared" ref="DA198:DA199" si="1765">+CZ198</f>
        <v>6.3702301422567835</v>
      </c>
      <c r="DD198" s="132">
        <v>6.1339442861888847</v>
      </c>
    </row>
    <row r="199" spans="1:108" s="61" customFormat="1" outlineLevel="1" x14ac:dyDescent="0.2">
      <c r="A199" s="67" t="s">
        <v>464</v>
      </c>
      <c r="B199" s="66">
        <f t="shared" ref="B199:AE199" si="1766">B164/B27*365</f>
        <v>94.14451613151887</v>
      </c>
      <c r="C199" s="66">
        <f t="shared" si="1766"/>
        <v>146.34019310418236</v>
      </c>
      <c r="D199" s="66" t="e">
        <f t="shared" si="1766"/>
        <v>#DIV/0!</v>
      </c>
      <c r="E199" s="66" t="e">
        <f t="shared" si="1766"/>
        <v>#DIV/0!</v>
      </c>
      <c r="F199" s="66" t="e">
        <f t="shared" si="1766"/>
        <v>#DIV/0!</v>
      </c>
      <c r="G199" s="66" t="e">
        <f t="shared" si="1766"/>
        <v>#DIV/0!</v>
      </c>
      <c r="H199" s="66" t="e">
        <f t="shared" si="1766"/>
        <v>#DIV/0!</v>
      </c>
      <c r="I199" s="66" t="e">
        <f t="shared" si="1766"/>
        <v>#DIV/0!</v>
      </c>
      <c r="J199" s="66" t="e">
        <f t="shared" si="1766"/>
        <v>#DIV/0!</v>
      </c>
      <c r="K199" s="66" t="e">
        <f t="shared" si="1766"/>
        <v>#DIV/0!</v>
      </c>
      <c r="L199" s="66" t="e">
        <f t="shared" si="1766"/>
        <v>#DIV/0!</v>
      </c>
      <c r="M199" s="66" t="e">
        <f t="shared" si="1766"/>
        <v>#DIV/0!</v>
      </c>
      <c r="N199" s="66" t="e">
        <f t="shared" si="1766"/>
        <v>#DIV/0!</v>
      </c>
      <c r="O199" s="66" t="e">
        <f t="shared" si="1766"/>
        <v>#DIV/0!</v>
      </c>
      <c r="P199" s="66" t="e">
        <f t="shared" si="1766"/>
        <v>#DIV/0!</v>
      </c>
      <c r="Q199" s="66" t="e">
        <f t="shared" si="1766"/>
        <v>#DIV/0!</v>
      </c>
      <c r="R199" s="66" t="e">
        <f t="shared" si="1766"/>
        <v>#DIV/0!</v>
      </c>
      <c r="S199" s="66" t="e">
        <f t="shared" si="1766"/>
        <v>#DIV/0!</v>
      </c>
      <c r="T199" s="66" t="e">
        <f t="shared" si="1766"/>
        <v>#DIV/0!</v>
      </c>
      <c r="U199" s="66" t="e">
        <f t="shared" si="1766"/>
        <v>#DIV/0!</v>
      </c>
      <c r="V199" s="66" t="e">
        <f t="shared" si="1766"/>
        <v>#DIV/0!</v>
      </c>
      <c r="W199" s="66" t="e">
        <f t="shared" si="1766"/>
        <v>#DIV/0!</v>
      </c>
      <c r="X199" s="66" t="e">
        <f t="shared" si="1766"/>
        <v>#DIV/0!</v>
      </c>
      <c r="Y199" s="66">
        <f t="shared" si="1766"/>
        <v>114.78779258110727</v>
      </c>
      <c r="Z199" s="66">
        <f t="shared" si="1766"/>
        <v>183.91990245056931</v>
      </c>
      <c r="AA199" s="66">
        <f t="shared" ref="AA199" si="1767">AA164/AA27*365</f>
        <v>225.84682998746064</v>
      </c>
      <c r="AB199" s="17">
        <f t="shared" si="1766"/>
        <v>106.67975979315895</v>
      </c>
      <c r="AC199" s="17">
        <f t="shared" si="1766"/>
        <v>104.36509121509899</v>
      </c>
      <c r="AD199" s="17">
        <f t="shared" si="1766"/>
        <v>101.64234215364212</v>
      </c>
      <c r="AE199" s="17">
        <f t="shared" si="1766"/>
        <v>100.3112301557928</v>
      </c>
      <c r="AI199" s="66">
        <f>AI164/AI27*90</f>
        <v>0</v>
      </c>
      <c r="AJ199" s="66">
        <f t="shared" si="1750"/>
        <v>0</v>
      </c>
      <c r="AK199" s="66">
        <f>AK164/AK27*90</f>
        <v>0</v>
      </c>
      <c r="AL199" s="66">
        <f t="shared" si="1750"/>
        <v>0</v>
      </c>
      <c r="AM199" s="66">
        <f>AM164/AM27*90</f>
        <v>0</v>
      </c>
      <c r="AN199" s="66">
        <f t="shared" si="1750"/>
        <v>0</v>
      </c>
      <c r="AO199" s="66">
        <f>AO164/AO27*90</f>
        <v>0</v>
      </c>
      <c r="AP199" s="66">
        <f t="shared" si="1750"/>
        <v>0</v>
      </c>
      <c r="AQ199" s="66">
        <f>AQ164/AQ27*90</f>
        <v>0</v>
      </c>
      <c r="AR199" s="66">
        <f t="shared" si="1750"/>
        <v>0</v>
      </c>
      <c r="AS199" s="66">
        <f>AS164/AS27*90</f>
        <v>0</v>
      </c>
      <c r="AT199" s="66">
        <f t="shared" si="1750"/>
        <v>0</v>
      </c>
      <c r="AU199" s="66">
        <f>AU164/AU27*90</f>
        <v>0</v>
      </c>
      <c r="AV199" s="66">
        <f t="shared" si="1750"/>
        <v>0</v>
      </c>
      <c r="AW199" s="66">
        <f>AW164/AW27*90</f>
        <v>0</v>
      </c>
      <c r="AX199" s="66">
        <f t="shared" si="1750"/>
        <v>0</v>
      </c>
      <c r="AY199" s="66">
        <f>AY164/AY27*90</f>
        <v>0</v>
      </c>
      <c r="AZ199" s="66">
        <f t="shared" si="1750"/>
        <v>0</v>
      </c>
      <c r="BA199" s="66">
        <f>BA164/BA27*90</f>
        <v>0</v>
      </c>
      <c r="BB199" s="66">
        <f t="shared" si="1750"/>
        <v>0</v>
      </c>
      <c r="BC199" s="66">
        <f>BC164/BC27*90</f>
        <v>0</v>
      </c>
      <c r="BD199" s="66">
        <f t="shared" si="1750"/>
        <v>0</v>
      </c>
      <c r="BE199" s="66">
        <f>BE164/BE27*90</f>
        <v>0</v>
      </c>
      <c r="BF199" s="66">
        <f t="shared" si="1750"/>
        <v>0</v>
      </c>
      <c r="BG199" s="66">
        <f>BG164/BG27*90</f>
        <v>0</v>
      </c>
      <c r="BH199" s="66">
        <f t="shared" si="1750"/>
        <v>0</v>
      </c>
      <c r="BI199" s="66">
        <f>BI164/BI27*90</f>
        <v>0</v>
      </c>
      <c r="BJ199" s="66">
        <f t="shared" si="1750"/>
        <v>0</v>
      </c>
      <c r="BK199" s="66">
        <f>BK164/BK27*90</f>
        <v>0</v>
      </c>
      <c r="BL199" s="66">
        <f t="shared" si="1750"/>
        <v>0</v>
      </c>
      <c r="BM199" s="66">
        <f>BM164/BM27*90</f>
        <v>0</v>
      </c>
      <c r="BN199" s="66">
        <f t="shared" si="1750"/>
        <v>0</v>
      </c>
      <c r="BO199" s="66">
        <f>BO164/BO27*90</f>
        <v>0</v>
      </c>
      <c r="BP199" s="66">
        <f t="shared" si="1750"/>
        <v>0</v>
      </c>
      <c r="BQ199" s="66">
        <f>BQ164/BQ27*90</f>
        <v>0</v>
      </c>
      <c r="BR199" s="66">
        <f t="shared" si="1750"/>
        <v>0</v>
      </c>
      <c r="BS199" s="66">
        <f>BS164/BS27*90</f>
        <v>0</v>
      </c>
      <c r="BT199" s="66">
        <f t="shared" si="1750"/>
        <v>0</v>
      </c>
      <c r="BU199" s="66">
        <f>BU164/BU27*90</f>
        <v>0</v>
      </c>
      <c r="BV199" s="66">
        <f t="shared" si="1750"/>
        <v>0</v>
      </c>
      <c r="BW199" s="66">
        <f>BW164/BW27*90</f>
        <v>0</v>
      </c>
      <c r="BX199" s="66">
        <f t="shared" si="1750"/>
        <v>0</v>
      </c>
      <c r="BY199" s="66">
        <f>BY164/BY27*90</f>
        <v>0</v>
      </c>
      <c r="BZ199" s="66">
        <f t="shared" si="1750"/>
        <v>0</v>
      </c>
      <c r="CA199" s="66">
        <f>CA164/CA27*90</f>
        <v>0</v>
      </c>
      <c r="CB199" s="66">
        <f t="shared" si="1750"/>
        <v>0</v>
      </c>
      <c r="CC199" s="66">
        <f>CC164/CC27*90</f>
        <v>74.310977026659785</v>
      </c>
      <c r="CD199" s="66">
        <f t="shared" si="1750"/>
        <v>74.310977026659785</v>
      </c>
      <c r="CE199" s="66">
        <f>CE164/CE27*90</f>
        <v>241.07346146837179</v>
      </c>
      <c r="CF199" s="66">
        <f t="shared" si="1750"/>
        <v>241.07346146837179</v>
      </c>
      <c r="CG199" s="66">
        <f>CG164/CG27*90</f>
        <v>243.69659519761126</v>
      </c>
      <c r="CH199" s="66">
        <f t="shared" si="1750"/>
        <v>243.69659519761126</v>
      </c>
      <c r="CI199" s="66">
        <f>CI164/CI27*90</f>
        <v>261.15869845831611</v>
      </c>
      <c r="CJ199" s="66">
        <f t="shared" si="1750"/>
        <v>261.15869845831611</v>
      </c>
      <c r="CK199" s="66">
        <f>CK164/CK27*90</f>
        <v>87.184324390823733</v>
      </c>
      <c r="CL199" s="66">
        <f t="shared" si="1750"/>
        <v>87.184324390823733</v>
      </c>
      <c r="CM199" s="29">
        <f t="shared" si="1751"/>
        <v>87.184324390823733</v>
      </c>
      <c r="CN199" s="29">
        <f t="shared" si="1752"/>
        <v>87.184324390823733</v>
      </c>
      <c r="CO199" s="29">
        <f t="shared" si="1753"/>
        <v>87.184324390823733</v>
      </c>
      <c r="CP199" s="29">
        <f t="shared" si="1754"/>
        <v>87.184324390823733</v>
      </c>
      <c r="CQ199" s="29">
        <f t="shared" si="1755"/>
        <v>87.184324390823733</v>
      </c>
      <c r="CR199" s="29">
        <f t="shared" si="1756"/>
        <v>87.184324390823733</v>
      </c>
      <c r="CS199" s="29">
        <f t="shared" si="1757"/>
        <v>87.184324390823733</v>
      </c>
      <c r="CT199" s="29">
        <f t="shared" si="1758"/>
        <v>87.184324390823733</v>
      </c>
      <c r="CU199" s="29">
        <f t="shared" si="1759"/>
        <v>87.184324390823733</v>
      </c>
      <c r="CV199" s="29">
        <f t="shared" si="1760"/>
        <v>87.184324390823733</v>
      </c>
      <c r="CW199" s="29">
        <f t="shared" si="1761"/>
        <v>87.184324390823733</v>
      </c>
      <c r="CX199" s="29">
        <f t="shared" si="1762"/>
        <v>87.184324390823733</v>
      </c>
      <c r="CY199" s="29">
        <f t="shared" si="1763"/>
        <v>87.184324390823733</v>
      </c>
      <c r="CZ199" s="29">
        <f t="shared" si="1764"/>
        <v>87.184324390823733</v>
      </c>
      <c r="DA199" s="29">
        <f t="shared" si="1765"/>
        <v>87.184324390823733</v>
      </c>
      <c r="DD199" s="132">
        <v>83.950465917213052</v>
      </c>
    </row>
    <row r="200" spans="1:108" s="61" customFormat="1" outlineLevel="1" x14ac:dyDescent="0.2">
      <c r="A200" s="67" t="s">
        <v>465</v>
      </c>
      <c r="B200" s="66">
        <f>B201-B199-B198</f>
        <v>57.152161659116643</v>
      </c>
      <c r="C200" s="66">
        <f t="shared" ref="C200:U200" si="1768">C201-C199-C198</f>
        <v>52.327225725737435</v>
      </c>
      <c r="D200" s="66" t="e">
        <f t="shared" si="1768"/>
        <v>#DIV/0!</v>
      </c>
      <c r="E200" s="66" t="e">
        <f t="shared" si="1768"/>
        <v>#DIV/0!</v>
      </c>
      <c r="F200" s="66" t="e">
        <f t="shared" si="1768"/>
        <v>#DIV/0!</v>
      </c>
      <c r="G200" s="66" t="e">
        <f t="shared" si="1768"/>
        <v>#DIV/0!</v>
      </c>
      <c r="H200" s="66" t="e">
        <f t="shared" si="1768"/>
        <v>#DIV/0!</v>
      </c>
      <c r="I200" s="66" t="e">
        <f t="shared" si="1768"/>
        <v>#DIV/0!</v>
      </c>
      <c r="J200" s="66" t="e">
        <f t="shared" si="1768"/>
        <v>#DIV/0!</v>
      </c>
      <c r="K200" s="66" t="e">
        <f t="shared" si="1768"/>
        <v>#DIV/0!</v>
      </c>
      <c r="L200" s="66" t="e">
        <f t="shared" si="1768"/>
        <v>#DIV/0!</v>
      </c>
      <c r="M200" s="66" t="e">
        <f t="shared" si="1768"/>
        <v>#DIV/0!</v>
      </c>
      <c r="N200" s="66" t="e">
        <f t="shared" si="1768"/>
        <v>#DIV/0!</v>
      </c>
      <c r="O200" s="66" t="e">
        <f t="shared" si="1768"/>
        <v>#DIV/0!</v>
      </c>
      <c r="P200" s="66" t="e">
        <f t="shared" si="1768"/>
        <v>#DIV/0!</v>
      </c>
      <c r="Q200" s="66" t="e">
        <f t="shared" si="1768"/>
        <v>#DIV/0!</v>
      </c>
      <c r="R200" s="66" t="e">
        <f t="shared" si="1768"/>
        <v>#DIV/0!</v>
      </c>
      <c r="S200" s="66" t="e">
        <f t="shared" si="1768"/>
        <v>#DIV/0!</v>
      </c>
      <c r="T200" s="66" t="e">
        <f t="shared" si="1768"/>
        <v>#DIV/0!</v>
      </c>
      <c r="U200" s="66" t="e">
        <f t="shared" si="1768"/>
        <v>#DIV/0!</v>
      </c>
      <c r="V200" s="66" t="e">
        <f>V201-V199-V198</f>
        <v>#DIV/0!</v>
      </c>
      <c r="W200" s="66" t="e">
        <f t="shared" ref="W200" si="1769">W201-W199-W198</f>
        <v>#DIV/0!</v>
      </c>
      <c r="X200" s="66" t="e">
        <f t="shared" ref="X200:Y200" si="1770">X201-X199-X198</f>
        <v>#DIV/0!</v>
      </c>
      <c r="Y200" s="66">
        <f t="shared" si="1770"/>
        <v>227.33733884796652</v>
      </c>
      <c r="Z200" s="66">
        <f t="shared" ref="Z200:AA200" si="1771">Z201-Z199-Z198</f>
        <v>219.29708843761412</v>
      </c>
      <c r="AA200" s="66">
        <f t="shared" si="1771"/>
        <v>162.56760724708533</v>
      </c>
      <c r="AB200" s="17">
        <f t="shared" ref="AA200:AD200" si="1772">AB201-AB199-AB198</f>
        <v>79.650267132665505</v>
      </c>
      <c r="AC200" s="17">
        <f t="shared" si="1772"/>
        <v>77.92206704181865</v>
      </c>
      <c r="AD200" s="17">
        <f t="shared" si="1772"/>
        <v>75.889181980015536</v>
      </c>
      <c r="AE200" s="17">
        <f t="shared" ref="AE200" si="1773">AE201-AE199-AE198</f>
        <v>74.895334352145355</v>
      </c>
      <c r="AI200" s="66">
        <f t="shared" ref="AI200:AK200" si="1774">AI201-AI199-AI198</f>
        <v>0</v>
      </c>
      <c r="AJ200" s="66">
        <f t="shared" si="1750"/>
        <v>0</v>
      </c>
      <c r="AK200" s="66">
        <f t="shared" si="1774"/>
        <v>0</v>
      </c>
      <c r="AL200" s="66">
        <f t="shared" si="1750"/>
        <v>0</v>
      </c>
      <c r="AM200" s="66">
        <f t="shared" ref="AM200:AO200" si="1775">AM201-AM199-AM198</f>
        <v>0</v>
      </c>
      <c r="AN200" s="66">
        <f t="shared" si="1750"/>
        <v>0</v>
      </c>
      <c r="AO200" s="66">
        <f t="shared" si="1775"/>
        <v>0</v>
      </c>
      <c r="AP200" s="66">
        <f t="shared" si="1750"/>
        <v>0</v>
      </c>
      <c r="AQ200" s="66">
        <f t="shared" ref="AQ200:BA200" si="1776">AQ201-AQ199-AQ198</f>
        <v>0</v>
      </c>
      <c r="AR200" s="66">
        <f t="shared" si="1750"/>
        <v>0</v>
      </c>
      <c r="AS200" s="66">
        <f t="shared" si="1776"/>
        <v>0</v>
      </c>
      <c r="AT200" s="66">
        <f t="shared" si="1750"/>
        <v>0</v>
      </c>
      <c r="AU200" s="66">
        <f t="shared" si="1776"/>
        <v>0</v>
      </c>
      <c r="AV200" s="66">
        <f t="shared" si="1750"/>
        <v>0</v>
      </c>
      <c r="AW200" s="66">
        <f t="shared" si="1776"/>
        <v>0</v>
      </c>
      <c r="AX200" s="66">
        <f t="shared" si="1750"/>
        <v>0</v>
      </c>
      <c r="AY200" s="66">
        <f t="shared" si="1776"/>
        <v>0</v>
      </c>
      <c r="AZ200" s="66">
        <f t="shared" si="1750"/>
        <v>0</v>
      </c>
      <c r="BA200" s="66">
        <f t="shared" si="1776"/>
        <v>0</v>
      </c>
      <c r="BB200" s="66">
        <f t="shared" si="1750"/>
        <v>0</v>
      </c>
      <c r="BC200" s="66">
        <f t="shared" ref="BC200:BE200" si="1777">BC201-BC199-BC198</f>
        <v>0</v>
      </c>
      <c r="BD200" s="66">
        <f t="shared" si="1750"/>
        <v>0</v>
      </c>
      <c r="BE200" s="66">
        <f t="shared" si="1777"/>
        <v>0</v>
      </c>
      <c r="BF200" s="66">
        <f t="shared" si="1750"/>
        <v>0</v>
      </c>
      <c r="BG200" s="66">
        <f t="shared" ref="BG200:BI200" si="1778">BG201-BG199-BG198</f>
        <v>0</v>
      </c>
      <c r="BH200" s="66">
        <f t="shared" si="1750"/>
        <v>0</v>
      </c>
      <c r="BI200" s="66">
        <f t="shared" si="1778"/>
        <v>0</v>
      </c>
      <c r="BJ200" s="66">
        <f t="shared" si="1750"/>
        <v>0</v>
      </c>
      <c r="BK200" s="66">
        <f t="shared" ref="BK200:BM200" si="1779">BK201-BK199-BK198</f>
        <v>0</v>
      </c>
      <c r="BL200" s="66">
        <f t="shared" si="1750"/>
        <v>0</v>
      </c>
      <c r="BM200" s="66">
        <f t="shared" si="1779"/>
        <v>0</v>
      </c>
      <c r="BN200" s="66">
        <f t="shared" si="1750"/>
        <v>0</v>
      </c>
      <c r="BO200" s="66">
        <f t="shared" ref="BO200:BQ200" si="1780">BO201-BO199-BO198</f>
        <v>0</v>
      </c>
      <c r="BP200" s="66">
        <f t="shared" si="1750"/>
        <v>0</v>
      </c>
      <c r="BQ200" s="66">
        <f t="shared" si="1780"/>
        <v>0</v>
      </c>
      <c r="BR200" s="66">
        <f t="shared" si="1750"/>
        <v>0</v>
      </c>
      <c r="BS200" s="66">
        <f t="shared" ref="BS200:BU200" si="1781">BS201-BS199-BS198</f>
        <v>0</v>
      </c>
      <c r="BT200" s="66">
        <f t="shared" si="1750"/>
        <v>0</v>
      </c>
      <c r="BU200" s="66">
        <f t="shared" si="1781"/>
        <v>0</v>
      </c>
      <c r="BV200" s="66">
        <f t="shared" si="1750"/>
        <v>0</v>
      </c>
      <c r="BW200" s="66">
        <f t="shared" ref="BW200:BY200" si="1782">BW201-BW199-BW198</f>
        <v>0</v>
      </c>
      <c r="BX200" s="66">
        <f t="shared" si="1750"/>
        <v>0</v>
      </c>
      <c r="BY200" s="66">
        <f t="shared" si="1782"/>
        <v>0</v>
      </c>
      <c r="BZ200" s="66">
        <f t="shared" si="1750"/>
        <v>0</v>
      </c>
      <c r="CA200" s="66">
        <f t="shared" ref="CA200:CC200" si="1783">CA201-CA199-CA198</f>
        <v>0</v>
      </c>
      <c r="CB200" s="66">
        <f t="shared" si="1750"/>
        <v>0</v>
      </c>
      <c r="CC200" s="66">
        <f t="shared" si="1783"/>
        <v>148.60564861384071</v>
      </c>
      <c r="CD200" s="66">
        <f t="shared" si="1750"/>
        <v>148.60564861384071</v>
      </c>
      <c r="CE200" s="66">
        <f t="shared" ref="CE200" si="1784">CE201-CE199-CE198</f>
        <v>196.00641032512567</v>
      </c>
      <c r="CF200" s="66">
        <f t="shared" si="1750"/>
        <v>196.00641032512567</v>
      </c>
      <c r="CG200" s="66">
        <f t="shared" ref="CG200" si="1785">CG201-CG199-CG198</f>
        <v>290.57189068137524</v>
      </c>
      <c r="CH200" s="66">
        <f t="shared" si="1750"/>
        <v>290.57189068137524</v>
      </c>
      <c r="CI200" s="66">
        <f t="shared" ref="CI200:CK200" si="1786">CI201-CI199-CI198</f>
        <v>146.48481453518107</v>
      </c>
      <c r="CJ200" s="66">
        <f t="shared" si="1750"/>
        <v>146.48481453518107</v>
      </c>
      <c r="CK200" s="66">
        <f t="shared" si="1786"/>
        <v>65.094397859296564</v>
      </c>
      <c r="CL200" s="66">
        <f t="shared" si="1750"/>
        <v>65.094397859296564</v>
      </c>
      <c r="CM200" s="29">
        <f t="shared" ref="CM200:DA200" si="1787">CL200</f>
        <v>65.094397859296564</v>
      </c>
      <c r="CN200" s="29">
        <f t="shared" si="1787"/>
        <v>65.094397859296564</v>
      </c>
      <c r="CO200" s="29">
        <f t="shared" si="1787"/>
        <v>65.094397859296564</v>
      </c>
      <c r="CP200" s="29">
        <f t="shared" si="1787"/>
        <v>65.094397859296564</v>
      </c>
      <c r="CQ200" s="29">
        <f t="shared" si="1787"/>
        <v>65.094397859296564</v>
      </c>
      <c r="CR200" s="29">
        <f t="shared" si="1787"/>
        <v>65.094397859296564</v>
      </c>
      <c r="CS200" s="29">
        <f t="shared" si="1787"/>
        <v>65.094397859296564</v>
      </c>
      <c r="CT200" s="29">
        <f t="shared" si="1787"/>
        <v>65.094397859296564</v>
      </c>
      <c r="CU200" s="29">
        <f t="shared" si="1787"/>
        <v>65.094397859296564</v>
      </c>
      <c r="CV200" s="29">
        <f t="shared" si="1787"/>
        <v>65.094397859296564</v>
      </c>
      <c r="CW200" s="29">
        <f t="shared" si="1787"/>
        <v>65.094397859296564</v>
      </c>
      <c r="CX200" s="29">
        <f t="shared" si="1787"/>
        <v>65.094397859296564</v>
      </c>
      <c r="CY200" s="29">
        <f t="shared" si="1787"/>
        <v>65.094397859296564</v>
      </c>
      <c r="CZ200" s="29">
        <f t="shared" si="1787"/>
        <v>65.094397859296564</v>
      </c>
      <c r="DA200" s="29">
        <f t="shared" si="1787"/>
        <v>65.094397859296564</v>
      </c>
      <c r="DD200" s="132">
        <v>62.67990337794658</v>
      </c>
    </row>
    <row r="201" spans="1:108" s="7" customFormat="1" outlineLevel="1" x14ac:dyDescent="0.2">
      <c r="A201" s="68" t="s">
        <v>466</v>
      </c>
      <c r="B201" s="69">
        <f t="shared" ref="B201:AE201" si="1788">B167/B27*365</f>
        <v>315.47861948080856</v>
      </c>
      <c r="C201" s="69">
        <f t="shared" si="1788"/>
        <v>291.62060325315173</v>
      </c>
      <c r="D201" s="69" t="e">
        <f t="shared" si="1788"/>
        <v>#DIV/0!</v>
      </c>
      <c r="E201" s="69" t="e">
        <f t="shared" si="1788"/>
        <v>#DIV/0!</v>
      </c>
      <c r="F201" s="69" t="e">
        <f t="shared" si="1788"/>
        <v>#DIV/0!</v>
      </c>
      <c r="G201" s="69" t="e">
        <f t="shared" si="1788"/>
        <v>#DIV/0!</v>
      </c>
      <c r="H201" s="69" t="e">
        <f t="shared" si="1788"/>
        <v>#DIV/0!</v>
      </c>
      <c r="I201" s="69" t="e">
        <f t="shared" si="1788"/>
        <v>#DIV/0!</v>
      </c>
      <c r="J201" s="69" t="e">
        <f t="shared" si="1788"/>
        <v>#DIV/0!</v>
      </c>
      <c r="K201" s="69" t="e">
        <f t="shared" si="1788"/>
        <v>#DIV/0!</v>
      </c>
      <c r="L201" s="69" t="e">
        <f t="shared" si="1788"/>
        <v>#DIV/0!</v>
      </c>
      <c r="M201" s="69" t="e">
        <f t="shared" si="1788"/>
        <v>#DIV/0!</v>
      </c>
      <c r="N201" s="69" t="e">
        <f t="shared" si="1788"/>
        <v>#DIV/0!</v>
      </c>
      <c r="O201" s="69" t="e">
        <f t="shared" si="1788"/>
        <v>#DIV/0!</v>
      </c>
      <c r="P201" s="69" t="e">
        <f t="shared" si="1788"/>
        <v>#DIV/0!</v>
      </c>
      <c r="Q201" s="69" t="e">
        <f t="shared" si="1788"/>
        <v>#DIV/0!</v>
      </c>
      <c r="R201" s="69" t="e">
        <f t="shared" si="1788"/>
        <v>#DIV/0!</v>
      </c>
      <c r="S201" s="69" t="e">
        <f t="shared" si="1788"/>
        <v>#DIV/0!</v>
      </c>
      <c r="T201" s="69" t="e">
        <f t="shared" si="1788"/>
        <v>#DIV/0!</v>
      </c>
      <c r="U201" s="69" t="e">
        <f t="shared" si="1788"/>
        <v>#DIV/0!</v>
      </c>
      <c r="V201" s="69" t="e">
        <f t="shared" si="1788"/>
        <v>#DIV/0!</v>
      </c>
      <c r="W201" s="69" t="e">
        <f t="shared" si="1788"/>
        <v>#DIV/0!</v>
      </c>
      <c r="X201" s="69" t="e">
        <f t="shared" si="1788"/>
        <v>#DIV/0!</v>
      </c>
      <c r="Y201" s="69">
        <f t="shared" si="1788"/>
        <v>352.34414563263948</v>
      </c>
      <c r="Z201" s="69">
        <f t="shared" si="1788"/>
        <v>422.55102565817566</v>
      </c>
      <c r="AA201" s="69">
        <f t="shared" ref="AA201" si="1789">AA167/AA27*365</f>
        <v>404.9166374902544</v>
      </c>
      <c r="AB201" s="70">
        <f t="shared" si="1788"/>
        <v>194.12471508968227</v>
      </c>
      <c r="AC201" s="70">
        <f t="shared" si="1788"/>
        <v>189.91272230760123</v>
      </c>
      <c r="AD201" s="70">
        <f t="shared" si="1788"/>
        <v>184.95814716756692</v>
      </c>
      <c r="AE201" s="70">
        <f t="shared" si="1788"/>
        <v>182.53592820273263</v>
      </c>
      <c r="AI201" s="69">
        <f>AI167/AI27*90</f>
        <v>0</v>
      </c>
      <c r="AJ201" s="69">
        <f>+AJ198+AJ199+AJ200</f>
        <v>0</v>
      </c>
      <c r="AK201" s="69">
        <f>AK167/AK27*90</f>
        <v>0</v>
      </c>
      <c r="AL201" s="69">
        <f>+AL198+AL199+AL200</f>
        <v>0</v>
      </c>
      <c r="AM201" s="69">
        <f>AM167/AM27*90</f>
        <v>0</v>
      </c>
      <c r="AN201" s="69">
        <f>+AN198+AN199+AN200</f>
        <v>0</v>
      </c>
      <c r="AO201" s="69">
        <f>AO167/AO27*90</f>
        <v>0</v>
      </c>
      <c r="AP201" s="69">
        <f>+AP198+AP199+AP200</f>
        <v>0</v>
      </c>
      <c r="AQ201" s="69">
        <f>AQ167/AQ27*90</f>
        <v>0</v>
      </c>
      <c r="AR201" s="69">
        <f>+AR198+AR199+AR200</f>
        <v>0</v>
      </c>
      <c r="AS201" s="69">
        <f>AS167/AS27*90</f>
        <v>0</v>
      </c>
      <c r="AT201" s="69">
        <f>+AT198+AT199+AT200</f>
        <v>0</v>
      </c>
      <c r="AU201" s="69">
        <f>AU167/AU27*90</f>
        <v>0</v>
      </c>
      <c r="AV201" s="69">
        <f>+AV198+AV199+AV200</f>
        <v>0</v>
      </c>
      <c r="AW201" s="69">
        <f>AW167/AW27*90</f>
        <v>0</v>
      </c>
      <c r="AX201" s="69">
        <f>+AX198+AX199+AX200</f>
        <v>0</v>
      </c>
      <c r="AY201" s="69">
        <f>AY167/AY27*90</f>
        <v>0</v>
      </c>
      <c r="AZ201" s="69">
        <f>+AZ198+AZ199+AZ200</f>
        <v>0</v>
      </c>
      <c r="BA201" s="69">
        <f>BA167/BA27*90</f>
        <v>0</v>
      </c>
      <c r="BB201" s="69">
        <f>+BB198+BB199+BB200</f>
        <v>0</v>
      </c>
      <c r="BC201" s="69">
        <f>BC167/BC27*90</f>
        <v>0</v>
      </c>
      <c r="BD201" s="69">
        <f>+BD198+BD199+BD200</f>
        <v>0</v>
      </c>
      <c r="BE201" s="69">
        <f>BE167/BE27*90</f>
        <v>0</v>
      </c>
      <c r="BF201" s="69">
        <f>+BF198+BF199+BF200</f>
        <v>0</v>
      </c>
      <c r="BG201" s="69">
        <f>BG167/BG27*90</f>
        <v>0</v>
      </c>
      <c r="BH201" s="69">
        <f>+BH198+BH199+BH200</f>
        <v>0</v>
      </c>
      <c r="BI201" s="69">
        <f>BI167/BI27*90</f>
        <v>0</v>
      </c>
      <c r="BJ201" s="69">
        <f>+BJ198+BJ199+BJ200</f>
        <v>0</v>
      </c>
      <c r="BK201" s="69">
        <f>BK167/BK27*90</f>
        <v>0</v>
      </c>
      <c r="BL201" s="69">
        <f>+BL198+BL199+BL200</f>
        <v>0</v>
      </c>
      <c r="BM201" s="69">
        <f>BM167/BM27*90</f>
        <v>0</v>
      </c>
      <c r="BN201" s="69">
        <f>+BN198+BN199+BN200</f>
        <v>0</v>
      </c>
      <c r="BO201" s="69">
        <f>BO167/BO27*90</f>
        <v>0</v>
      </c>
      <c r="BP201" s="69">
        <f>+BP198+BP199+BP200</f>
        <v>0</v>
      </c>
      <c r="BQ201" s="69">
        <f>BQ167/BQ27*90</f>
        <v>0</v>
      </c>
      <c r="BR201" s="69">
        <f>+BR198+BR199+BR200</f>
        <v>0</v>
      </c>
      <c r="BS201" s="69">
        <f>BS167/BS27*90</f>
        <v>0</v>
      </c>
      <c r="BT201" s="69">
        <f>+BT198+BT199+BT200</f>
        <v>0</v>
      </c>
      <c r="BU201" s="69">
        <f>BU167/BU27*90</f>
        <v>0</v>
      </c>
      <c r="BV201" s="69">
        <f>+BV198+BV199+BV200</f>
        <v>0</v>
      </c>
      <c r="BW201" s="69">
        <f>BW167/BW27*90</f>
        <v>0</v>
      </c>
      <c r="BX201" s="69">
        <f>+BX198+BX199+BX200</f>
        <v>0</v>
      </c>
      <c r="BY201" s="69">
        <f>BY167/BY27*90</f>
        <v>0</v>
      </c>
      <c r="BZ201" s="69">
        <f>+BZ198+BZ199+BZ200</f>
        <v>0</v>
      </c>
      <c r="CA201" s="69">
        <f>CA167/CA27*90</f>
        <v>0</v>
      </c>
      <c r="CB201" s="69">
        <f>+CB198+CB199+CB200</f>
        <v>0</v>
      </c>
      <c r="CC201" s="69">
        <f>CC167/CC27*90</f>
        <v>229.53202600993293</v>
      </c>
      <c r="CD201" s="69">
        <f>+CD198+CD199+CD200</f>
        <v>229.53202600993291</v>
      </c>
      <c r="CE201" s="69">
        <f>CE167/CE27*90</f>
        <v>456.93569307620567</v>
      </c>
      <c r="CF201" s="69">
        <f>+CF198+CF199+CF200</f>
        <v>456.93569307620567</v>
      </c>
      <c r="CG201" s="69">
        <f>CG167/CG27*90</f>
        <v>559.88636834902343</v>
      </c>
      <c r="CH201" s="69">
        <f>+CH198+CH199+CH200</f>
        <v>559.88636834902343</v>
      </c>
      <c r="CI201" s="69">
        <f>CI167/CI27*90</f>
        <v>424.41206556418814</v>
      </c>
      <c r="CJ201" s="69">
        <f>+CJ198+CJ199+CJ200</f>
        <v>424.4120655641882</v>
      </c>
      <c r="CK201" s="69">
        <f>CK167/CK27*90</f>
        <v>158.64895239237708</v>
      </c>
      <c r="CL201" s="69">
        <f>+CL198+CL199+CL200</f>
        <v>158.64895239237708</v>
      </c>
      <c r="CM201" s="49">
        <f t="shared" ref="CM201:DA201" si="1790">CM198+CM199+CM200</f>
        <v>158.64895239237708</v>
      </c>
      <c r="CN201" s="49">
        <f t="shared" si="1790"/>
        <v>158.64895239237708</v>
      </c>
      <c r="CO201" s="49">
        <f t="shared" si="1790"/>
        <v>158.64895239237708</v>
      </c>
      <c r="CP201" s="49">
        <f t="shared" si="1790"/>
        <v>158.64895239237708</v>
      </c>
      <c r="CQ201" s="49">
        <f t="shared" si="1790"/>
        <v>158.64895239237708</v>
      </c>
      <c r="CR201" s="49">
        <f t="shared" si="1790"/>
        <v>158.64895239237708</v>
      </c>
      <c r="CS201" s="49">
        <f t="shared" si="1790"/>
        <v>158.64895239237708</v>
      </c>
      <c r="CT201" s="49">
        <f t="shared" si="1790"/>
        <v>158.64895239237708</v>
      </c>
      <c r="CU201" s="49">
        <f t="shared" si="1790"/>
        <v>158.64895239237708</v>
      </c>
      <c r="CV201" s="49">
        <f t="shared" si="1790"/>
        <v>158.64895239237708</v>
      </c>
      <c r="CW201" s="49">
        <f t="shared" si="1790"/>
        <v>158.64895239237708</v>
      </c>
      <c r="CX201" s="49">
        <f t="shared" si="1790"/>
        <v>158.64895239237708</v>
      </c>
      <c r="CY201" s="49">
        <f t="shared" si="1790"/>
        <v>158.64895239237708</v>
      </c>
      <c r="CZ201" s="49">
        <f t="shared" si="1790"/>
        <v>158.64895239237708</v>
      </c>
      <c r="DA201" s="49">
        <f t="shared" si="1790"/>
        <v>158.64895239237708</v>
      </c>
      <c r="DD201" s="131">
        <v>152.76431358134852</v>
      </c>
    </row>
    <row r="202" spans="1:108" s="61" customFormat="1" outlineLevel="1" x14ac:dyDescent="0.2">
      <c r="A202" s="67" t="s">
        <v>467</v>
      </c>
      <c r="B202" s="66">
        <f t="shared" ref="B202:AE202" si="1791">B172/B27*365</f>
        <v>98.415899453126556</v>
      </c>
      <c r="C202" s="66">
        <f t="shared" si="1791"/>
        <v>90.914852528368471</v>
      </c>
      <c r="D202" s="66" t="e">
        <f t="shared" si="1791"/>
        <v>#DIV/0!</v>
      </c>
      <c r="E202" s="66" t="e">
        <f t="shared" si="1791"/>
        <v>#DIV/0!</v>
      </c>
      <c r="F202" s="66" t="e">
        <f t="shared" si="1791"/>
        <v>#DIV/0!</v>
      </c>
      <c r="G202" s="66" t="e">
        <f t="shared" si="1791"/>
        <v>#DIV/0!</v>
      </c>
      <c r="H202" s="66" t="e">
        <f t="shared" si="1791"/>
        <v>#DIV/0!</v>
      </c>
      <c r="I202" s="66" t="e">
        <f t="shared" si="1791"/>
        <v>#DIV/0!</v>
      </c>
      <c r="J202" s="66" t="e">
        <f t="shared" si="1791"/>
        <v>#DIV/0!</v>
      </c>
      <c r="K202" s="66" t="e">
        <f t="shared" si="1791"/>
        <v>#DIV/0!</v>
      </c>
      <c r="L202" s="66" t="e">
        <f t="shared" si="1791"/>
        <v>#DIV/0!</v>
      </c>
      <c r="M202" s="66" t="e">
        <f t="shared" si="1791"/>
        <v>#DIV/0!</v>
      </c>
      <c r="N202" s="66" t="e">
        <f t="shared" si="1791"/>
        <v>#DIV/0!</v>
      </c>
      <c r="O202" s="66" t="e">
        <f t="shared" si="1791"/>
        <v>#DIV/0!</v>
      </c>
      <c r="P202" s="66" t="e">
        <f t="shared" si="1791"/>
        <v>#DIV/0!</v>
      </c>
      <c r="Q202" s="66" t="e">
        <f t="shared" si="1791"/>
        <v>#DIV/0!</v>
      </c>
      <c r="R202" s="66" t="e">
        <f t="shared" si="1791"/>
        <v>#DIV/0!</v>
      </c>
      <c r="S202" s="66" t="e">
        <f t="shared" si="1791"/>
        <v>#DIV/0!</v>
      </c>
      <c r="T202" s="66" t="e">
        <f t="shared" si="1791"/>
        <v>#DIV/0!</v>
      </c>
      <c r="U202" s="66" t="e">
        <f t="shared" si="1791"/>
        <v>#DIV/0!</v>
      </c>
      <c r="V202" s="66" t="e">
        <f t="shared" si="1791"/>
        <v>#DIV/0!</v>
      </c>
      <c r="W202" s="66" t="e">
        <f t="shared" si="1791"/>
        <v>#DIV/0!</v>
      </c>
      <c r="X202" s="66" t="e">
        <f t="shared" si="1791"/>
        <v>#DIV/0!</v>
      </c>
      <c r="Y202" s="66">
        <f t="shared" si="1791"/>
        <v>170.37348283707686</v>
      </c>
      <c r="Z202" s="66">
        <f t="shared" si="1791"/>
        <v>135.7094161440192</v>
      </c>
      <c r="AA202" s="66">
        <f t="shared" ref="AA202" si="1792">AA172/AA27*365</f>
        <v>148.41773146589378</v>
      </c>
      <c r="AB202" s="17">
        <f t="shared" si="1791"/>
        <v>70.105426310008667</v>
      </c>
      <c r="AC202" s="17">
        <f t="shared" si="1791"/>
        <v>68.584324015197552</v>
      </c>
      <c r="AD202" s="17">
        <f t="shared" si="1791"/>
        <v>66.795048485718411</v>
      </c>
      <c r="AE202" s="17">
        <f t="shared" si="1791"/>
        <v>65.920297977688335</v>
      </c>
      <c r="AI202" s="66">
        <f>AI172/AI27*90</f>
        <v>0</v>
      </c>
      <c r="AJ202" s="66">
        <f t="shared" si="1750"/>
        <v>0</v>
      </c>
      <c r="AK202" s="66">
        <f>AK172/AK27*90</f>
        <v>0</v>
      </c>
      <c r="AL202" s="66">
        <f t="shared" si="1750"/>
        <v>0</v>
      </c>
      <c r="AM202" s="66">
        <f>AM172/AM27*90</f>
        <v>0</v>
      </c>
      <c r="AN202" s="66">
        <f t="shared" si="1750"/>
        <v>0</v>
      </c>
      <c r="AO202" s="66">
        <f>AO172/AO27*90</f>
        <v>0</v>
      </c>
      <c r="AP202" s="66">
        <f t="shared" si="1750"/>
        <v>0</v>
      </c>
      <c r="AQ202" s="66">
        <f>AQ172/AQ27*90</f>
        <v>0</v>
      </c>
      <c r="AR202" s="66">
        <f t="shared" si="1750"/>
        <v>0</v>
      </c>
      <c r="AS202" s="66">
        <f>AS172/AS27*90</f>
        <v>0</v>
      </c>
      <c r="AT202" s="66">
        <f t="shared" si="1750"/>
        <v>0</v>
      </c>
      <c r="AU202" s="66">
        <f>AU172/AU27*90</f>
        <v>0</v>
      </c>
      <c r="AV202" s="66">
        <f t="shared" si="1750"/>
        <v>0</v>
      </c>
      <c r="AW202" s="66">
        <f>AW172/AW27*90</f>
        <v>0</v>
      </c>
      <c r="AX202" s="66">
        <f t="shared" si="1750"/>
        <v>0</v>
      </c>
      <c r="AY202" s="66">
        <f>AY172/AY27*90</f>
        <v>0</v>
      </c>
      <c r="AZ202" s="66">
        <f t="shared" si="1750"/>
        <v>0</v>
      </c>
      <c r="BA202" s="66">
        <f>BA172/BA27*90</f>
        <v>0</v>
      </c>
      <c r="BB202" s="66">
        <f t="shared" si="1750"/>
        <v>0</v>
      </c>
      <c r="BC202" s="66">
        <f>BC172/BC27*90</f>
        <v>0</v>
      </c>
      <c r="BD202" s="66">
        <f t="shared" si="1750"/>
        <v>0</v>
      </c>
      <c r="BE202" s="66">
        <f>BE172/BE27*90</f>
        <v>0</v>
      </c>
      <c r="BF202" s="66">
        <f t="shared" si="1750"/>
        <v>0</v>
      </c>
      <c r="BG202" s="66">
        <f>BG172/BG27*90</f>
        <v>0</v>
      </c>
      <c r="BH202" s="66">
        <f t="shared" si="1750"/>
        <v>0</v>
      </c>
      <c r="BI202" s="66">
        <f>BI172/BI27*90</f>
        <v>0</v>
      </c>
      <c r="BJ202" s="66">
        <f t="shared" si="1750"/>
        <v>0</v>
      </c>
      <c r="BK202" s="66">
        <f>BK172/BK27*90</f>
        <v>0</v>
      </c>
      <c r="BL202" s="66">
        <f t="shared" si="1750"/>
        <v>0</v>
      </c>
      <c r="BM202" s="66">
        <f>BM172/BM27*90</f>
        <v>0</v>
      </c>
      <c r="BN202" s="66">
        <f t="shared" si="1750"/>
        <v>0</v>
      </c>
      <c r="BO202" s="66">
        <f>BO172/BO27*90</f>
        <v>0</v>
      </c>
      <c r="BP202" s="66">
        <f t="shared" si="1750"/>
        <v>0</v>
      </c>
      <c r="BQ202" s="66">
        <f>BQ172/BQ27*90</f>
        <v>0</v>
      </c>
      <c r="BR202" s="66">
        <f t="shared" si="1750"/>
        <v>0</v>
      </c>
      <c r="BS202" s="66">
        <f>BS172/BS27*90</f>
        <v>0</v>
      </c>
      <c r="BT202" s="66">
        <f t="shared" si="1750"/>
        <v>0</v>
      </c>
      <c r="BU202" s="66">
        <f>BU172/BU27*90</f>
        <v>0</v>
      </c>
      <c r="BV202" s="66">
        <f t="shared" si="1750"/>
        <v>0</v>
      </c>
      <c r="BW202" s="66">
        <f>BW172/BW27*90</f>
        <v>0</v>
      </c>
      <c r="BX202" s="66">
        <f t="shared" si="1750"/>
        <v>0</v>
      </c>
      <c r="BY202" s="66">
        <f>BY172/BY27*90</f>
        <v>0</v>
      </c>
      <c r="BZ202" s="66">
        <f t="shared" si="1750"/>
        <v>0</v>
      </c>
      <c r="CA202" s="66">
        <f>CA172/CA27*90</f>
        <v>0</v>
      </c>
      <c r="CB202" s="66">
        <f t="shared" si="1750"/>
        <v>0</v>
      </c>
      <c r="CC202" s="66">
        <f>CC172/CC27*90</f>
        <v>113.18172687995023</v>
      </c>
      <c r="CD202" s="66">
        <f t="shared" si="1750"/>
        <v>113.18172687995023</v>
      </c>
      <c r="CE202" s="66">
        <f>CE172/CE27*90</f>
        <v>194.50330699883156</v>
      </c>
      <c r="CF202" s="66">
        <f t="shared" si="1750"/>
        <v>194.50330699883156</v>
      </c>
      <c r="CG202" s="66">
        <f>CG172/CG27*90</f>
        <v>179.81698668767885</v>
      </c>
      <c r="CH202" s="66">
        <f t="shared" si="1750"/>
        <v>179.81698668767885</v>
      </c>
      <c r="CI202" s="66">
        <f>CI172/CI27*90</f>
        <v>138.96636547407391</v>
      </c>
      <c r="CJ202" s="66">
        <f t="shared" si="1750"/>
        <v>138.96636547407391</v>
      </c>
      <c r="CK202" s="66">
        <f>CK172/CK27*90</f>
        <v>57.293850687510975</v>
      </c>
      <c r="CL202" s="66">
        <f t="shared" si="1750"/>
        <v>57.293850687510975</v>
      </c>
      <c r="CM202" s="29">
        <f t="shared" ref="CM202" si="1793">+CL202</f>
        <v>57.293850687510975</v>
      </c>
      <c r="CN202" s="29">
        <f t="shared" ref="CN202" si="1794">+CM202</f>
        <v>57.293850687510975</v>
      </c>
      <c r="CO202" s="29">
        <f t="shared" ref="CO202" si="1795">+CN202</f>
        <v>57.293850687510975</v>
      </c>
      <c r="CP202" s="29">
        <f t="shared" ref="CP202" si="1796">+CO202</f>
        <v>57.293850687510975</v>
      </c>
      <c r="CQ202" s="29">
        <f t="shared" ref="CQ202" si="1797">+CP202</f>
        <v>57.293850687510975</v>
      </c>
      <c r="CR202" s="29">
        <f t="shared" ref="CR202" si="1798">+CQ202</f>
        <v>57.293850687510975</v>
      </c>
      <c r="CS202" s="29">
        <f t="shared" ref="CS202" si="1799">+CR202</f>
        <v>57.293850687510975</v>
      </c>
      <c r="CT202" s="29">
        <f t="shared" ref="CT202" si="1800">+CS202</f>
        <v>57.293850687510975</v>
      </c>
      <c r="CU202" s="29">
        <f t="shared" ref="CU202" si="1801">+CT202</f>
        <v>57.293850687510975</v>
      </c>
      <c r="CV202" s="29">
        <f t="shared" ref="CV202" si="1802">+CU202</f>
        <v>57.293850687510975</v>
      </c>
      <c r="CW202" s="29">
        <f t="shared" ref="CW202" si="1803">+CV202</f>
        <v>57.293850687510975</v>
      </c>
      <c r="CX202" s="29">
        <f t="shared" ref="CX202" si="1804">+CW202</f>
        <v>57.293850687510975</v>
      </c>
      <c r="CY202" s="29">
        <f t="shared" ref="CY202" si="1805">+CX202</f>
        <v>57.293850687510975</v>
      </c>
      <c r="CZ202" s="29">
        <f t="shared" ref="CZ202" si="1806">+CY202</f>
        <v>57.293850687510975</v>
      </c>
      <c r="DA202" s="29">
        <f t="shared" ref="DA202" si="1807">+CZ202</f>
        <v>57.293850687510975</v>
      </c>
      <c r="DD202" s="132">
        <v>55.168695668805654</v>
      </c>
    </row>
    <row r="203" spans="1:108" s="61" customFormat="1" outlineLevel="1" x14ac:dyDescent="0.2">
      <c r="A203" s="67" t="s">
        <v>465</v>
      </c>
      <c r="B203" s="66">
        <f>B204-B202</f>
        <v>24.039007985107574</v>
      </c>
      <c r="C203" s="66">
        <f t="shared" ref="C203:V203" si="1808">C204-C202</f>
        <v>55.142257135740124</v>
      </c>
      <c r="D203" s="66" t="e">
        <f t="shared" si="1808"/>
        <v>#DIV/0!</v>
      </c>
      <c r="E203" s="66" t="e">
        <f t="shared" si="1808"/>
        <v>#DIV/0!</v>
      </c>
      <c r="F203" s="66" t="e">
        <f t="shared" si="1808"/>
        <v>#DIV/0!</v>
      </c>
      <c r="G203" s="66" t="e">
        <f t="shared" si="1808"/>
        <v>#DIV/0!</v>
      </c>
      <c r="H203" s="66" t="e">
        <f t="shared" si="1808"/>
        <v>#DIV/0!</v>
      </c>
      <c r="I203" s="66" t="e">
        <f t="shared" si="1808"/>
        <v>#DIV/0!</v>
      </c>
      <c r="J203" s="66" t="e">
        <f t="shared" si="1808"/>
        <v>#DIV/0!</v>
      </c>
      <c r="K203" s="66" t="e">
        <f t="shared" si="1808"/>
        <v>#DIV/0!</v>
      </c>
      <c r="L203" s="66" t="e">
        <f t="shared" si="1808"/>
        <v>#DIV/0!</v>
      </c>
      <c r="M203" s="66" t="e">
        <f t="shared" si="1808"/>
        <v>#DIV/0!</v>
      </c>
      <c r="N203" s="66" t="e">
        <f t="shared" si="1808"/>
        <v>#DIV/0!</v>
      </c>
      <c r="O203" s="66" t="e">
        <f t="shared" si="1808"/>
        <v>#DIV/0!</v>
      </c>
      <c r="P203" s="66" t="e">
        <f t="shared" si="1808"/>
        <v>#DIV/0!</v>
      </c>
      <c r="Q203" s="66" t="e">
        <f t="shared" si="1808"/>
        <v>#DIV/0!</v>
      </c>
      <c r="R203" s="66" t="e">
        <f t="shared" si="1808"/>
        <v>#DIV/0!</v>
      </c>
      <c r="S203" s="66" t="e">
        <f t="shared" si="1808"/>
        <v>#DIV/0!</v>
      </c>
      <c r="T203" s="66" t="e">
        <f t="shared" si="1808"/>
        <v>#DIV/0!</v>
      </c>
      <c r="U203" s="66" t="e">
        <f t="shared" si="1808"/>
        <v>#DIV/0!</v>
      </c>
      <c r="V203" s="66" t="e">
        <f t="shared" si="1808"/>
        <v>#DIV/0!</v>
      </c>
      <c r="W203" s="66" t="e">
        <f t="shared" ref="W203" si="1809">W204-W202</f>
        <v>#DIV/0!</v>
      </c>
      <c r="X203" s="66" t="e">
        <f t="shared" ref="X203:Y203" si="1810">X204-X202</f>
        <v>#DIV/0!</v>
      </c>
      <c r="Y203" s="66">
        <f t="shared" si="1810"/>
        <v>166.58032388444119</v>
      </c>
      <c r="Z203" s="66">
        <f t="shared" ref="Z203:AA203" si="1811">Z204-Z202</f>
        <v>218.20103491919758</v>
      </c>
      <c r="AA203" s="66">
        <f t="shared" si="1811"/>
        <v>336.61205923576063</v>
      </c>
      <c r="AB203" s="17">
        <f t="shared" ref="AA203:AD203" si="1812">AB204-AB202</f>
        <v>159.0006458483137</v>
      </c>
      <c r="AC203" s="17">
        <f t="shared" si="1812"/>
        <v>155.55075245194774</v>
      </c>
      <c r="AD203" s="17">
        <f t="shared" si="1812"/>
        <v>151.49263627232824</v>
      </c>
      <c r="AE203" s="17">
        <f t="shared" ref="AE203" si="1813">AE204-AE202</f>
        <v>149.50868291730717</v>
      </c>
      <c r="AI203" s="66">
        <f t="shared" ref="AI203:AK203" si="1814">AI204-AI202</f>
        <v>0</v>
      </c>
      <c r="AJ203" s="66">
        <f t="shared" si="1750"/>
        <v>0</v>
      </c>
      <c r="AK203" s="66">
        <f t="shared" si="1814"/>
        <v>0</v>
      </c>
      <c r="AL203" s="66">
        <f t="shared" si="1750"/>
        <v>0</v>
      </c>
      <c r="AM203" s="66">
        <f t="shared" ref="AM203:AO203" si="1815">AM204-AM202</f>
        <v>0</v>
      </c>
      <c r="AN203" s="66">
        <f t="shared" si="1750"/>
        <v>0</v>
      </c>
      <c r="AO203" s="66">
        <f t="shared" si="1815"/>
        <v>0</v>
      </c>
      <c r="AP203" s="66">
        <f t="shared" si="1750"/>
        <v>0</v>
      </c>
      <c r="AQ203" s="66">
        <f t="shared" ref="AQ203:BA203" si="1816">AQ204-AQ202</f>
        <v>0</v>
      </c>
      <c r="AR203" s="66">
        <f t="shared" si="1750"/>
        <v>0</v>
      </c>
      <c r="AS203" s="66">
        <f t="shared" si="1816"/>
        <v>0</v>
      </c>
      <c r="AT203" s="66">
        <f t="shared" si="1750"/>
        <v>0</v>
      </c>
      <c r="AU203" s="66">
        <f t="shared" si="1816"/>
        <v>0</v>
      </c>
      <c r="AV203" s="66">
        <f t="shared" si="1750"/>
        <v>0</v>
      </c>
      <c r="AW203" s="66">
        <f t="shared" si="1816"/>
        <v>0</v>
      </c>
      <c r="AX203" s="66">
        <f t="shared" si="1750"/>
        <v>0</v>
      </c>
      <c r="AY203" s="66">
        <f t="shared" si="1816"/>
        <v>0</v>
      </c>
      <c r="AZ203" s="66">
        <f t="shared" si="1750"/>
        <v>0</v>
      </c>
      <c r="BA203" s="66">
        <f t="shared" si="1816"/>
        <v>0</v>
      </c>
      <c r="BB203" s="66">
        <f t="shared" si="1750"/>
        <v>0</v>
      </c>
      <c r="BC203" s="66">
        <f t="shared" ref="BC203:BE203" si="1817">BC204-BC202</f>
        <v>0</v>
      </c>
      <c r="BD203" s="66">
        <f t="shared" si="1750"/>
        <v>0</v>
      </c>
      <c r="BE203" s="66">
        <f t="shared" si="1817"/>
        <v>0</v>
      </c>
      <c r="BF203" s="66">
        <f t="shared" si="1750"/>
        <v>0</v>
      </c>
      <c r="BG203" s="66">
        <f t="shared" ref="BG203:BI203" si="1818">BG204-BG202</f>
        <v>0</v>
      </c>
      <c r="BH203" s="66">
        <f t="shared" si="1750"/>
        <v>0</v>
      </c>
      <c r="BI203" s="66">
        <f t="shared" si="1818"/>
        <v>0</v>
      </c>
      <c r="BJ203" s="66">
        <f t="shared" si="1750"/>
        <v>0</v>
      </c>
      <c r="BK203" s="66">
        <f t="shared" ref="BK203:BM203" si="1819">BK204-BK202</f>
        <v>0</v>
      </c>
      <c r="BL203" s="66">
        <f t="shared" si="1750"/>
        <v>0</v>
      </c>
      <c r="BM203" s="66">
        <f t="shared" si="1819"/>
        <v>0</v>
      </c>
      <c r="BN203" s="66">
        <f t="shared" si="1750"/>
        <v>0</v>
      </c>
      <c r="BO203" s="66">
        <f t="shared" ref="BO203:BQ203" si="1820">BO204-BO202</f>
        <v>0</v>
      </c>
      <c r="BP203" s="66">
        <f t="shared" si="1750"/>
        <v>0</v>
      </c>
      <c r="BQ203" s="66">
        <f t="shared" si="1820"/>
        <v>0</v>
      </c>
      <c r="BR203" s="66">
        <f t="shared" si="1750"/>
        <v>0</v>
      </c>
      <c r="BS203" s="66">
        <f t="shared" ref="BS203:BU203" si="1821">BS204-BS202</f>
        <v>0</v>
      </c>
      <c r="BT203" s="66">
        <f t="shared" si="1750"/>
        <v>0</v>
      </c>
      <c r="BU203" s="66">
        <f t="shared" si="1821"/>
        <v>0</v>
      </c>
      <c r="BV203" s="66">
        <f t="shared" si="1750"/>
        <v>0</v>
      </c>
      <c r="BW203" s="66">
        <f t="shared" ref="BW203:BY203" si="1822">BW204-BW202</f>
        <v>0</v>
      </c>
      <c r="BX203" s="66">
        <f t="shared" si="1750"/>
        <v>0</v>
      </c>
      <c r="BY203" s="66">
        <f t="shared" si="1822"/>
        <v>0</v>
      </c>
      <c r="BZ203" s="66">
        <f t="shared" si="1750"/>
        <v>0</v>
      </c>
      <c r="CA203" s="66">
        <f t="shared" ref="CA203:CC203" si="1823">CA204-CA202</f>
        <v>0</v>
      </c>
      <c r="CB203" s="66">
        <f t="shared" si="1750"/>
        <v>0</v>
      </c>
      <c r="CC203" s="66">
        <f t="shared" si="1823"/>
        <v>104.95421479856479</v>
      </c>
      <c r="CD203" s="66">
        <f t="shared" si="1750"/>
        <v>104.95421479856479</v>
      </c>
      <c r="CE203" s="66">
        <f t="shared" ref="CE203" si="1824">CE204-CE202</f>
        <v>183.13355558652327</v>
      </c>
      <c r="CF203" s="66">
        <f t="shared" si="1750"/>
        <v>183.13355558652327</v>
      </c>
      <c r="CG203" s="66">
        <f t="shared" ref="CG203" si="1825">CG204-CG202</f>
        <v>289.11960353336372</v>
      </c>
      <c r="CH203" s="66">
        <f t="shared" si="1750"/>
        <v>289.11960353336372</v>
      </c>
      <c r="CI203" s="66">
        <f t="shared" ref="CI203:CK203" si="1826">CI204-CI202</f>
        <v>264.09374315010109</v>
      </c>
      <c r="CJ203" s="66">
        <f t="shared" si="1750"/>
        <v>264.09374315010109</v>
      </c>
      <c r="CK203" s="66">
        <f t="shared" si="1826"/>
        <v>129.94371109259671</v>
      </c>
      <c r="CL203" s="66">
        <f t="shared" si="1750"/>
        <v>129.94371109259671</v>
      </c>
      <c r="CM203" s="29">
        <f t="shared" ref="CM203:DA203" si="1827">CL203</f>
        <v>129.94371109259671</v>
      </c>
      <c r="CN203" s="29">
        <f t="shared" si="1827"/>
        <v>129.94371109259671</v>
      </c>
      <c r="CO203" s="29">
        <f t="shared" si="1827"/>
        <v>129.94371109259671</v>
      </c>
      <c r="CP203" s="29">
        <f t="shared" si="1827"/>
        <v>129.94371109259671</v>
      </c>
      <c r="CQ203" s="29">
        <f t="shared" si="1827"/>
        <v>129.94371109259671</v>
      </c>
      <c r="CR203" s="29">
        <f t="shared" si="1827"/>
        <v>129.94371109259671</v>
      </c>
      <c r="CS203" s="29">
        <f t="shared" si="1827"/>
        <v>129.94371109259671</v>
      </c>
      <c r="CT203" s="29">
        <f t="shared" si="1827"/>
        <v>129.94371109259671</v>
      </c>
      <c r="CU203" s="29">
        <f t="shared" si="1827"/>
        <v>129.94371109259671</v>
      </c>
      <c r="CV203" s="29">
        <f t="shared" si="1827"/>
        <v>129.94371109259671</v>
      </c>
      <c r="CW203" s="29">
        <f t="shared" si="1827"/>
        <v>129.94371109259671</v>
      </c>
      <c r="CX203" s="29">
        <f t="shared" si="1827"/>
        <v>129.94371109259671</v>
      </c>
      <c r="CY203" s="29">
        <f t="shared" si="1827"/>
        <v>129.94371109259671</v>
      </c>
      <c r="CZ203" s="29">
        <f t="shared" si="1827"/>
        <v>129.94371109259671</v>
      </c>
      <c r="DA203" s="29">
        <f t="shared" si="1827"/>
        <v>129.94371109259671</v>
      </c>
      <c r="DD203" s="132">
        <v>125.12381285807599</v>
      </c>
    </row>
    <row r="204" spans="1:108" s="7" customFormat="1" outlineLevel="1" x14ac:dyDescent="0.2">
      <c r="A204" s="68" t="s">
        <v>468</v>
      </c>
      <c r="B204" s="69">
        <f t="shared" ref="B204:AE204" si="1828">B175/B27*365</f>
        <v>122.45490743823413</v>
      </c>
      <c r="C204" s="69">
        <f t="shared" si="1828"/>
        <v>146.05710966410859</v>
      </c>
      <c r="D204" s="69" t="e">
        <f t="shared" si="1828"/>
        <v>#DIV/0!</v>
      </c>
      <c r="E204" s="69" t="e">
        <f t="shared" si="1828"/>
        <v>#DIV/0!</v>
      </c>
      <c r="F204" s="69" t="e">
        <f t="shared" si="1828"/>
        <v>#DIV/0!</v>
      </c>
      <c r="G204" s="69" t="e">
        <f t="shared" si="1828"/>
        <v>#DIV/0!</v>
      </c>
      <c r="H204" s="69" t="e">
        <f t="shared" si="1828"/>
        <v>#DIV/0!</v>
      </c>
      <c r="I204" s="69" t="e">
        <f t="shared" si="1828"/>
        <v>#DIV/0!</v>
      </c>
      <c r="J204" s="69" t="e">
        <f t="shared" si="1828"/>
        <v>#DIV/0!</v>
      </c>
      <c r="K204" s="69" t="e">
        <f t="shared" si="1828"/>
        <v>#DIV/0!</v>
      </c>
      <c r="L204" s="69" t="e">
        <f t="shared" si="1828"/>
        <v>#DIV/0!</v>
      </c>
      <c r="M204" s="69" t="e">
        <f t="shared" si="1828"/>
        <v>#DIV/0!</v>
      </c>
      <c r="N204" s="69" t="e">
        <f t="shared" si="1828"/>
        <v>#DIV/0!</v>
      </c>
      <c r="O204" s="69" t="e">
        <f t="shared" si="1828"/>
        <v>#DIV/0!</v>
      </c>
      <c r="P204" s="69" t="e">
        <f t="shared" si="1828"/>
        <v>#DIV/0!</v>
      </c>
      <c r="Q204" s="69" t="e">
        <f t="shared" si="1828"/>
        <v>#DIV/0!</v>
      </c>
      <c r="R204" s="69" t="e">
        <f t="shared" si="1828"/>
        <v>#DIV/0!</v>
      </c>
      <c r="S204" s="69" t="e">
        <f t="shared" si="1828"/>
        <v>#DIV/0!</v>
      </c>
      <c r="T204" s="69" t="e">
        <f t="shared" si="1828"/>
        <v>#DIV/0!</v>
      </c>
      <c r="U204" s="69" t="e">
        <f t="shared" si="1828"/>
        <v>#DIV/0!</v>
      </c>
      <c r="V204" s="69" t="e">
        <f t="shared" si="1828"/>
        <v>#DIV/0!</v>
      </c>
      <c r="W204" s="69" t="e">
        <f t="shared" si="1828"/>
        <v>#DIV/0!</v>
      </c>
      <c r="X204" s="69" t="e">
        <f t="shared" si="1828"/>
        <v>#DIV/0!</v>
      </c>
      <c r="Y204" s="69">
        <f t="shared" si="1828"/>
        <v>336.95380672151805</v>
      </c>
      <c r="Z204" s="69">
        <f t="shared" si="1828"/>
        <v>353.91045106321678</v>
      </c>
      <c r="AA204" s="69">
        <f t="shared" ref="AA204" si="1829">AA175/AA27*365</f>
        <v>485.02979070165441</v>
      </c>
      <c r="AB204" s="70">
        <f t="shared" si="1828"/>
        <v>229.10607215832235</v>
      </c>
      <c r="AC204" s="70">
        <f t="shared" si="1828"/>
        <v>224.1350764671453</v>
      </c>
      <c r="AD204" s="70">
        <f t="shared" si="1828"/>
        <v>218.28768475804665</v>
      </c>
      <c r="AE204" s="70">
        <f t="shared" si="1828"/>
        <v>215.4289808949955</v>
      </c>
      <c r="AI204" s="69">
        <f>AI175/AI27*90</f>
        <v>0</v>
      </c>
      <c r="AJ204" s="69">
        <f>+AJ202+AJ203</f>
        <v>0</v>
      </c>
      <c r="AK204" s="69">
        <f>AK175/AK27*90</f>
        <v>0</v>
      </c>
      <c r="AL204" s="69">
        <f>+AL202+AL203</f>
        <v>0</v>
      </c>
      <c r="AM204" s="69">
        <f>AM175/AM27*90</f>
        <v>0</v>
      </c>
      <c r="AN204" s="69">
        <f>+AN202+AN203</f>
        <v>0</v>
      </c>
      <c r="AO204" s="69">
        <f>AO175/AO27*90</f>
        <v>0</v>
      </c>
      <c r="AP204" s="69">
        <f>+AP202+AP203</f>
        <v>0</v>
      </c>
      <c r="AQ204" s="69">
        <f>AQ175/AQ27*90</f>
        <v>0</v>
      </c>
      <c r="AR204" s="69">
        <f>+AR202+AR203</f>
        <v>0</v>
      </c>
      <c r="AS204" s="69">
        <f>AS175/AS27*90</f>
        <v>0</v>
      </c>
      <c r="AT204" s="69">
        <f>+AT202+AT203</f>
        <v>0</v>
      </c>
      <c r="AU204" s="69">
        <f>AU175/AU27*90</f>
        <v>0</v>
      </c>
      <c r="AV204" s="69">
        <f>+AV202+AV203</f>
        <v>0</v>
      </c>
      <c r="AW204" s="69">
        <f>AW175/AW27*90</f>
        <v>0</v>
      </c>
      <c r="AX204" s="69">
        <f>+AX202+AX203</f>
        <v>0</v>
      </c>
      <c r="AY204" s="69">
        <f>AY175/AY27*90</f>
        <v>0</v>
      </c>
      <c r="AZ204" s="69">
        <f>+AZ202+AZ203</f>
        <v>0</v>
      </c>
      <c r="BA204" s="69">
        <f>BA175/BA27*90</f>
        <v>0</v>
      </c>
      <c r="BB204" s="69">
        <f>+BB202+BB203</f>
        <v>0</v>
      </c>
      <c r="BC204" s="69">
        <f>BC175/BC27*90</f>
        <v>0</v>
      </c>
      <c r="BD204" s="69">
        <f>+BD202+BD203</f>
        <v>0</v>
      </c>
      <c r="BE204" s="69">
        <f>BE175/BE27*90</f>
        <v>0</v>
      </c>
      <c r="BF204" s="69">
        <f>+BF202+BF203</f>
        <v>0</v>
      </c>
      <c r="BG204" s="69">
        <f>BG175/BG27*90</f>
        <v>0</v>
      </c>
      <c r="BH204" s="69">
        <f>+BH202+BH203</f>
        <v>0</v>
      </c>
      <c r="BI204" s="69">
        <f>BI175/BI27*90</f>
        <v>0</v>
      </c>
      <c r="BJ204" s="69">
        <f>+BJ202+BJ203</f>
        <v>0</v>
      </c>
      <c r="BK204" s="69">
        <f>BK175/BK27*90</f>
        <v>0</v>
      </c>
      <c r="BL204" s="69">
        <f>+BL202+BL203</f>
        <v>0</v>
      </c>
      <c r="BM204" s="69">
        <f>BM175/BM27*90</f>
        <v>0</v>
      </c>
      <c r="BN204" s="69">
        <f>+BN202+BN203</f>
        <v>0</v>
      </c>
      <c r="BO204" s="69">
        <f>BO175/BO27*90</f>
        <v>0</v>
      </c>
      <c r="BP204" s="69">
        <f>+BP202+BP203</f>
        <v>0</v>
      </c>
      <c r="BQ204" s="69">
        <f>BQ175/BQ27*90</f>
        <v>0</v>
      </c>
      <c r="BR204" s="69">
        <f>+BR202+BR203</f>
        <v>0</v>
      </c>
      <c r="BS204" s="69">
        <f>BS175/BS27*90</f>
        <v>0</v>
      </c>
      <c r="BT204" s="69">
        <f>+BT202+BT203</f>
        <v>0</v>
      </c>
      <c r="BU204" s="69">
        <f>BU175/BU27*90</f>
        <v>0</v>
      </c>
      <c r="BV204" s="69">
        <f>+BV202+BV203</f>
        <v>0</v>
      </c>
      <c r="BW204" s="69">
        <f>BW175/BW27*90</f>
        <v>0</v>
      </c>
      <c r="BX204" s="69">
        <f>+BX202+BX203</f>
        <v>0</v>
      </c>
      <c r="BY204" s="69">
        <f>BY175/BY27*90</f>
        <v>0</v>
      </c>
      <c r="BZ204" s="69">
        <f>+BZ202+BZ203</f>
        <v>0</v>
      </c>
      <c r="CA204" s="69">
        <f>CA175/CA27*90</f>
        <v>0</v>
      </c>
      <c r="CB204" s="69">
        <f>+CB202+CB203</f>
        <v>0</v>
      </c>
      <c r="CC204" s="69">
        <f>CC175/CC27*90</f>
        <v>218.13594167851502</v>
      </c>
      <c r="CD204" s="69">
        <f>+CD202+CD203</f>
        <v>218.13594167851502</v>
      </c>
      <c r="CE204" s="69">
        <f>CE175/CE27*90</f>
        <v>377.63686258535483</v>
      </c>
      <c r="CF204" s="69">
        <f>+CF202+CF203</f>
        <v>377.63686258535483</v>
      </c>
      <c r="CG204" s="69">
        <f>CG175/CG27*90</f>
        <v>468.93659022104259</v>
      </c>
      <c r="CH204" s="69">
        <f>+CH202+CH203</f>
        <v>468.93659022104259</v>
      </c>
      <c r="CI204" s="69">
        <f>CI175/CI27*90</f>
        <v>403.06010862417503</v>
      </c>
      <c r="CJ204" s="69">
        <f>+CJ202+CJ203</f>
        <v>403.06010862417497</v>
      </c>
      <c r="CK204" s="69">
        <f>CK175/CK27*90</f>
        <v>187.23756178010768</v>
      </c>
      <c r="CL204" s="69">
        <f>+CL202+CL203</f>
        <v>187.23756178010768</v>
      </c>
      <c r="CM204" s="49">
        <f t="shared" ref="CM204:DA204" si="1830">CM202+CM203</f>
        <v>187.23756178010768</v>
      </c>
      <c r="CN204" s="49">
        <f t="shared" si="1830"/>
        <v>187.23756178010768</v>
      </c>
      <c r="CO204" s="49">
        <f t="shared" si="1830"/>
        <v>187.23756178010768</v>
      </c>
      <c r="CP204" s="49">
        <f t="shared" si="1830"/>
        <v>187.23756178010768</v>
      </c>
      <c r="CQ204" s="49">
        <f t="shared" si="1830"/>
        <v>187.23756178010768</v>
      </c>
      <c r="CR204" s="49">
        <f t="shared" si="1830"/>
        <v>187.23756178010768</v>
      </c>
      <c r="CS204" s="49">
        <f t="shared" si="1830"/>
        <v>187.23756178010768</v>
      </c>
      <c r="CT204" s="49">
        <f t="shared" si="1830"/>
        <v>187.23756178010768</v>
      </c>
      <c r="CU204" s="49">
        <f t="shared" si="1830"/>
        <v>187.23756178010768</v>
      </c>
      <c r="CV204" s="49">
        <f t="shared" si="1830"/>
        <v>187.23756178010768</v>
      </c>
      <c r="CW204" s="49">
        <f t="shared" si="1830"/>
        <v>187.23756178010768</v>
      </c>
      <c r="CX204" s="49">
        <f t="shared" si="1830"/>
        <v>187.23756178010768</v>
      </c>
      <c r="CY204" s="49">
        <f t="shared" si="1830"/>
        <v>187.23756178010768</v>
      </c>
      <c r="CZ204" s="49">
        <f t="shared" si="1830"/>
        <v>187.23756178010768</v>
      </c>
      <c r="DA204" s="49">
        <f t="shared" si="1830"/>
        <v>187.23756178010768</v>
      </c>
      <c r="DD204" s="131">
        <v>180.29250852688165</v>
      </c>
    </row>
    <row r="205" spans="1:108" s="7" customFormat="1" x14ac:dyDescent="0.2">
      <c r="A205" s="68" t="s">
        <v>469</v>
      </c>
      <c r="B205" s="69">
        <f>B201-B204</f>
        <v>193.02371204257443</v>
      </c>
      <c r="C205" s="69">
        <f t="shared" ref="C205:V205" si="1831">C201-C204</f>
        <v>145.56349358904313</v>
      </c>
      <c r="D205" s="69" t="e">
        <f t="shared" si="1831"/>
        <v>#DIV/0!</v>
      </c>
      <c r="E205" s="69" t="e">
        <f t="shared" si="1831"/>
        <v>#DIV/0!</v>
      </c>
      <c r="F205" s="69" t="e">
        <f t="shared" si="1831"/>
        <v>#DIV/0!</v>
      </c>
      <c r="G205" s="69" t="e">
        <f t="shared" si="1831"/>
        <v>#DIV/0!</v>
      </c>
      <c r="H205" s="69" t="e">
        <f t="shared" si="1831"/>
        <v>#DIV/0!</v>
      </c>
      <c r="I205" s="69" t="e">
        <f t="shared" si="1831"/>
        <v>#DIV/0!</v>
      </c>
      <c r="J205" s="69" t="e">
        <f t="shared" si="1831"/>
        <v>#DIV/0!</v>
      </c>
      <c r="K205" s="69" t="e">
        <f t="shared" si="1831"/>
        <v>#DIV/0!</v>
      </c>
      <c r="L205" s="69" t="e">
        <f t="shared" si="1831"/>
        <v>#DIV/0!</v>
      </c>
      <c r="M205" s="69" t="e">
        <f t="shared" si="1831"/>
        <v>#DIV/0!</v>
      </c>
      <c r="N205" s="69" t="e">
        <f t="shared" si="1831"/>
        <v>#DIV/0!</v>
      </c>
      <c r="O205" s="69" t="e">
        <f t="shared" si="1831"/>
        <v>#DIV/0!</v>
      </c>
      <c r="P205" s="69" t="e">
        <f t="shared" si="1831"/>
        <v>#DIV/0!</v>
      </c>
      <c r="Q205" s="69" t="e">
        <f t="shared" si="1831"/>
        <v>#DIV/0!</v>
      </c>
      <c r="R205" s="69" t="e">
        <f t="shared" si="1831"/>
        <v>#DIV/0!</v>
      </c>
      <c r="S205" s="69" t="e">
        <f t="shared" si="1831"/>
        <v>#DIV/0!</v>
      </c>
      <c r="T205" s="69" t="e">
        <f t="shared" si="1831"/>
        <v>#DIV/0!</v>
      </c>
      <c r="U205" s="69" t="e">
        <f t="shared" si="1831"/>
        <v>#DIV/0!</v>
      </c>
      <c r="V205" s="69" t="e">
        <f t="shared" si="1831"/>
        <v>#DIV/0!</v>
      </c>
      <c r="W205" s="69" t="e">
        <f t="shared" ref="W205" si="1832">W201-W204</f>
        <v>#DIV/0!</v>
      </c>
      <c r="X205" s="69" t="e">
        <f t="shared" ref="X205:Y205" si="1833">X201-X204</f>
        <v>#DIV/0!</v>
      </c>
      <c r="Y205" s="69">
        <f t="shared" si="1833"/>
        <v>15.390338911121432</v>
      </c>
      <c r="Z205" s="69">
        <f t="shared" ref="Z205:AA205" si="1834">Z201-Z204</f>
        <v>68.640574594958878</v>
      </c>
      <c r="AA205" s="69">
        <f t="shared" si="1834"/>
        <v>-80.113153211400004</v>
      </c>
      <c r="AB205" s="70">
        <f t="shared" ref="AA205:AD205" si="1835">AB201-AB204</f>
        <v>-34.981357068640079</v>
      </c>
      <c r="AC205" s="70">
        <f t="shared" si="1835"/>
        <v>-34.222354159544068</v>
      </c>
      <c r="AD205" s="70">
        <f t="shared" si="1835"/>
        <v>-33.329537590479731</v>
      </c>
      <c r="AE205" s="70">
        <f t="shared" ref="AE205" si="1836">AE201-AE204</f>
        <v>-32.89305269226287</v>
      </c>
      <c r="AI205" s="69">
        <f t="shared" ref="AI205:AL205" si="1837">AI201-AI204</f>
        <v>0</v>
      </c>
      <c r="AJ205" s="69">
        <f t="shared" si="1837"/>
        <v>0</v>
      </c>
      <c r="AK205" s="69">
        <f t="shared" si="1837"/>
        <v>0</v>
      </c>
      <c r="AL205" s="69">
        <f t="shared" si="1837"/>
        <v>0</v>
      </c>
      <c r="AM205" s="69">
        <f t="shared" ref="AM205:AP205" si="1838">AM201-AM204</f>
        <v>0</v>
      </c>
      <c r="AN205" s="69">
        <f t="shared" si="1838"/>
        <v>0</v>
      </c>
      <c r="AO205" s="69">
        <f t="shared" si="1838"/>
        <v>0</v>
      </c>
      <c r="AP205" s="69">
        <f t="shared" si="1838"/>
        <v>0</v>
      </c>
      <c r="AQ205" s="69">
        <f t="shared" ref="AQ205:BB205" si="1839">AQ201-AQ204</f>
        <v>0</v>
      </c>
      <c r="AR205" s="69">
        <f t="shared" si="1839"/>
        <v>0</v>
      </c>
      <c r="AS205" s="69">
        <f t="shared" si="1839"/>
        <v>0</v>
      </c>
      <c r="AT205" s="69">
        <f t="shared" si="1839"/>
        <v>0</v>
      </c>
      <c r="AU205" s="69">
        <f t="shared" si="1839"/>
        <v>0</v>
      </c>
      <c r="AV205" s="69">
        <f t="shared" si="1839"/>
        <v>0</v>
      </c>
      <c r="AW205" s="69">
        <f t="shared" si="1839"/>
        <v>0</v>
      </c>
      <c r="AX205" s="69">
        <f t="shared" si="1839"/>
        <v>0</v>
      </c>
      <c r="AY205" s="69">
        <f t="shared" si="1839"/>
        <v>0</v>
      </c>
      <c r="AZ205" s="69">
        <f t="shared" si="1839"/>
        <v>0</v>
      </c>
      <c r="BA205" s="69">
        <f t="shared" si="1839"/>
        <v>0</v>
      </c>
      <c r="BB205" s="69">
        <f t="shared" si="1839"/>
        <v>0</v>
      </c>
      <c r="BC205" s="69">
        <f t="shared" ref="BC205:BF205" si="1840">BC201-BC204</f>
        <v>0</v>
      </c>
      <c r="BD205" s="69">
        <f t="shared" si="1840"/>
        <v>0</v>
      </c>
      <c r="BE205" s="69">
        <f t="shared" si="1840"/>
        <v>0</v>
      </c>
      <c r="BF205" s="69">
        <f t="shared" si="1840"/>
        <v>0</v>
      </c>
      <c r="BG205" s="69">
        <f t="shared" ref="BG205:BJ205" si="1841">BG201-BG204</f>
        <v>0</v>
      </c>
      <c r="BH205" s="69">
        <f t="shared" si="1841"/>
        <v>0</v>
      </c>
      <c r="BI205" s="69">
        <f t="shared" si="1841"/>
        <v>0</v>
      </c>
      <c r="BJ205" s="69">
        <f t="shared" si="1841"/>
        <v>0</v>
      </c>
      <c r="BK205" s="69">
        <f t="shared" ref="BK205:BN205" si="1842">BK201-BK204</f>
        <v>0</v>
      </c>
      <c r="BL205" s="69">
        <f t="shared" si="1842"/>
        <v>0</v>
      </c>
      <c r="BM205" s="69">
        <f t="shared" si="1842"/>
        <v>0</v>
      </c>
      <c r="BN205" s="69">
        <f t="shared" si="1842"/>
        <v>0</v>
      </c>
      <c r="BO205" s="69">
        <f t="shared" ref="BO205:BR205" si="1843">BO201-BO204</f>
        <v>0</v>
      </c>
      <c r="BP205" s="69">
        <f t="shared" si="1843"/>
        <v>0</v>
      </c>
      <c r="BQ205" s="69">
        <f t="shared" si="1843"/>
        <v>0</v>
      </c>
      <c r="BR205" s="69">
        <f t="shared" si="1843"/>
        <v>0</v>
      </c>
      <c r="BS205" s="69">
        <f t="shared" ref="BS205:BV205" si="1844">BS201-BS204</f>
        <v>0</v>
      </c>
      <c r="BT205" s="69">
        <f t="shared" si="1844"/>
        <v>0</v>
      </c>
      <c r="BU205" s="69">
        <f t="shared" si="1844"/>
        <v>0</v>
      </c>
      <c r="BV205" s="69">
        <f t="shared" si="1844"/>
        <v>0</v>
      </c>
      <c r="BW205" s="69">
        <f t="shared" ref="BW205:BZ205" si="1845">BW201-BW204</f>
        <v>0</v>
      </c>
      <c r="BX205" s="69">
        <f t="shared" si="1845"/>
        <v>0</v>
      </c>
      <c r="BY205" s="69">
        <f t="shared" si="1845"/>
        <v>0</v>
      </c>
      <c r="BZ205" s="69">
        <f t="shared" si="1845"/>
        <v>0</v>
      </c>
      <c r="CA205" s="69">
        <f t="shared" ref="CA205:CD205" si="1846">CA201-CA204</f>
        <v>0</v>
      </c>
      <c r="CB205" s="69">
        <f t="shared" si="1846"/>
        <v>0</v>
      </c>
      <c r="CC205" s="69">
        <f t="shared" si="1846"/>
        <v>11.39608433141791</v>
      </c>
      <c r="CD205" s="69">
        <f t="shared" si="1846"/>
        <v>11.396084331417882</v>
      </c>
      <c r="CE205" s="69">
        <f t="shared" ref="CE205:CF205" si="1847">CE201-CE204</f>
        <v>79.298830490850833</v>
      </c>
      <c r="CF205" s="69">
        <f t="shared" si="1847"/>
        <v>79.298830490850833</v>
      </c>
      <c r="CG205" s="69">
        <f t="shared" ref="CG205:CI205" si="1848">CG201-CG204</f>
        <v>90.949778127980835</v>
      </c>
      <c r="CH205" s="69">
        <f t="shared" ref="CH205:CK205" si="1849">CH201-CH204</f>
        <v>90.949778127980835</v>
      </c>
      <c r="CI205" s="69">
        <f t="shared" si="1848"/>
        <v>21.35195694001311</v>
      </c>
      <c r="CJ205" s="69">
        <f t="shared" si="1849"/>
        <v>21.351956940013224</v>
      </c>
      <c r="CK205" s="69">
        <f t="shared" si="1849"/>
        <v>-28.5886093877306</v>
      </c>
      <c r="CL205" s="69">
        <f t="shared" ref="CL205" si="1850">CL201-CL204</f>
        <v>-28.5886093877306</v>
      </c>
      <c r="CM205" s="49">
        <f t="shared" ref="CM205:DA205" si="1851">CM201-CM204</f>
        <v>-28.5886093877306</v>
      </c>
      <c r="CN205" s="49">
        <f t="shared" si="1851"/>
        <v>-28.5886093877306</v>
      </c>
      <c r="CO205" s="49">
        <f t="shared" si="1851"/>
        <v>-28.5886093877306</v>
      </c>
      <c r="CP205" s="49">
        <f t="shared" si="1851"/>
        <v>-28.5886093877306</v>
      </c>
      <c r="CQ205" s="49">
        <f t="shared" si="1851"/>
        <v>-28.5886093877306</v>
      </c>
      <c r="CR205" s="49">
        <f t="shared" si="1851"/>
        <v>-28.5886093877306</v>
      </c>
      <c r="CS205" s="49">
        <f t="shared" si="1851"/>
        <v>-28.5886093877306</v>
      </c>
      <c r="CT205" s="49">
        <f t="shared" si="1851"/>
        <v>-28.5886093877306</v>
      </c>
      <c r="CU205" s="49">
        <f t="shared" si="1851"/>
        <v>-28.5886093877306</v>
      </c>
      <c r="CV205" s="49">
        <f t="shared" si="1851"/>
        <v>-28.5886093877306</v>
      </c>
      <c r="CW205" s="49">
        <f t="shared" si="1851"/>
        <v>-28.5886093877306</v>
      </c>
      <c r="CX205" s="49">
        <f t="shared" si="1851"/>
        <v>-28.5886093877306</v>
      </c>
      <c r="CY205" s="49">
        <f t="shared" si="1851"/>
        <v>-28.5886093877306</v>
      </c>
      <c r="CZ205" s="49">
        <f t="shared" si="1851"/>
        <v>-28.5886093877306</v>
      </c>
      <c r="DA205" s="49">
        <f t="shared" si="1851"/>
        <v>-28.5886093877306</v>
      </c>
      <c r="DD205" s="131">
        <v>-27.52819494553313</v>
      </c>
    </row>
    <row r="206" spans="1:108" s="7" customFormat="1" x14ac:dyDescent="0.2">
      <c r="A206" s="68" t="s">
        <v>86</v>
      </c>
      <c r="AB206" s="76"/>
      <c r="AC206" s="76"/>
      <c r="AD206" s="76"/>
      <c r="AE206" s="76"/>
      <c r="CE206" s="114"/>
      <c r="CG206" s="114"/>
      <c r="CM206" s="49"/>
      <c r="CN206" s="49"/>
      <c r="CO206" s="49"/>
      <c r="CP206" s="49"/>
      <c r="CQ206" s="49"/>
      <c r="CR206" s="49"/>
      <c r="CS206" s="49"/>
      <c r="CT206" s="49"/>
      <c r="CU206" s="49"/>
      <c r="CV206" s="49"/>
      <c r="CW206" s="49"/>
      <c r="CX206" s="49"/>
      <c r="CY206" s="49"/>
      <c r="CZ206" s="49"/>
      <c r="DA206" s="49"/>
      <c r="DD206" s="131"/>
    </row>
    <row r="207" spans="1:108" s="85" customFormat="1" x14ac:dyDescent="0.2">
      <c r="A207" s="85" t="s">
        <v>440</v>
      </c>
      <c r="C207" s="85">
        <f t="shared" ref="C207:AE207" si="1852">C29/B29-1</f>
        <v>0.45249761129786248</v>
      </c>
      <c r="D207" s="85">
        <f t="shared" si="1852"/>
        <v>-1</v>
      </c>
      <c r="E207" s="85" t="e">
        <f t="shared" si="1852"/>
        <v>#DIV/0!</v>
      </c>
      <c r="F207" s="85" t="e">
        <f t="shared" si="1852"/>
        <v>#DIV/0!</v>
      </c>
      <c r="G207" s="85" t="e">
        <f t="shared" si="1852"/>
        <v>#DIV/0!</v>
      </c>
      <c r="H207" s="85" t="e">
        <f t="shared" si="1852"/>
        <v>#DIV/0!</v>
      </c>
      <c r="I207" s="85" t="e">
        <f t="shared" si="1852"/>
        <v>#DIV/0!</v>
      </c>
      <c r="J207" s="85" t="e">
        <f t="shared" si="1852"/>
        <v>#DIV/0!</v>
      </c>
      <c r="K207" s="85" t="e">
        <f t="shared" si="1852"/>
        <v>#DIV/0!</v>
      </c>
      <c r="L207" s="85" t="e">
        <f t="shared" si="1852"/>
        <v>#DIV/0!</v>
      </c>
      <c r="M207" s="85" t="e">
        <f t="shared" si="1852"/>
        <v>#DIV/0!</v>
      </c>
      <c r="N207" s="85" t="e">
        <f t="shared" si="1852"/>
        <v>#DIV/0!</v>
      </c>
      <c r="O207" s="85" t="e">
        <f t="shared" si="1852"/>
        <v>#DIV/0!</v>
      </c>
      <c r="P207" s="85" t="e">
        <f t="shared" si="1852"/>
        <v>#DIV/0!</v>
      </c>
      <c r="Q207" s="85" t="e">
        <f t="shared" si="1852"/>
        <v>#DIV/0!</v>
      </c>
      <c r="R207" s="85" t="e">
        <f t="shared" si="1852"/>
        <v>#DIV/0!</v>
      </c>
      <c r="S207" s="85" t="e">
        <f t="shared" si="1852"/>
        <v>#DIV/0!</v>
      </c>
      <c r="T207" s="85" t="e">
        <f t="shared" si="1852"/>
        <v>#DIV/0!</v>
      </c>
      <c r="U207" s="85" t="e">
        <f t="shared" si="1852"/>
        <v>#DIV/0!</v>
      </c>
      <c r="V207" s="85" t="e">
        <f t="shared" si="1852"/>
        <v>#DIV/0!</v>
      </c>
      <c r="W207" s="85" t="e">
        <f t="shared" si="1852"/>
        <v>#DIV/0!</v>
      </c>
      <c r="X207" s="85" t="e">
        <f t="shared" si="1852"/>
        <v>#DIV/0!</v>
      </c>
      <c r="Y207" s="85" t="e">
        <f t="shared" si="1852"/>
        <v>#DIV/0!</v>
      </c>
      <c r="Z207" s="85">
        <f t="shared" si="1852"/>
        <v>-0.41686519476104844</v>
      </c>
      <c r="AA207" s="85">
        <f t="shared" si="1852"/>
        <v>-8.0085201401501216E-2</v>
      </c>
      <c r="AB207" s="86">
        <f t="shared" si="1852"/>
        <v>3.3975549197024115</v>
      </c>
      <c r="AC207" s="86">
        <f t="shared" si="1852"/>
        <v>0.42219495650256444</v>
      </c>
      <c r="AD207" s="86">
        <f t="shared" si="1852"/>
        <v>0.32897573224762966</v>
      </c>
      <c r="AE207" s="86">
        <f t="shared" si="1852"/>
        <v>0.26655129656784116</v>
      </c>
      <c r="AN207" s="85">
        <f t="shared" ref="AN207:BS207" si="1853">+(AN29+AM29)/(AJ29+AI29)-1</f>
        <v>0.10151104985972315</v>
      </c>
      <c r="AO207" s="85">
        <f t="shared" si="1853"/>
        <v>-0.18538135593220351</v>
      </c>
      <c r="AP207" s="85">
        <f t="shared" si="1853"/>
        <v>-0.36939138840285346</v>
      </c>
      <c r="AQ207" s="85">
        <f t="shared" si="1853"/>
        <v>-0.43697730115564748</v>
      </c>
      <c r="AR207" s="85">
        <f t="shared" si="1853"/>
        <v>-0.52812854678856436</v>
      </c>
      <c r="AS207" s="85">
        <f t="shared" si="1853"/>
        <v>-0.56464710310926103</v>
      </c>
      <c r="AT207" s="85">
        <f t="shared" si="1853"/>
        <v>-0.44830730872030689</v>
      </c>
      <c r="AU207" s="85">
        <f t="shared" si="1853"/>
        <v>-0.15102780494832535</v>
      </c>
      <c r="AV207" s="85">
        <f t="shared" si="1853"/>
        <v>-8.9837313687240905E-2</v>
      </c>
      <c r="AW207" s="85">
        <f t="shared" si="1853"/>
        <v>-0.17381815491603159</v>
      </c>
      <c r="AX207" s="85">
        <f t="shared" si="1853"/>
        <v>-3.9188618858368773E-2</v>
      </c>
      <c r="AY207" s="85">
        <f t="shared" si="1853"/>
        <v>-0.20866342160496576</v>
      </c>
      <c r="AZ207" s="85">
        <f t="shared" si="1853"/>
        <v>-0.35142277480101947</v>
      </c>
      <c r="BA207" s="85">
        <f t="shared" si="1853"/>
        <v>-2.9964181777479171E-2</v>
      </c>
      <c r="BB207" s="85">
        <f t="shared" si="1853"/>
        <v>-0.16294669412033869</v>
      </c>
      <c r="BC207" s="85">
        <f t="shared" si="1853"/>
        <v>6.7379968849461624E-2</v>
      </c>
      <c r="BD207" s="85">
        <f t="shared" si="1853"/>
        <v>0.80839937117007254</v>
      </c>
      <c r="BE207" s="85">
        <f t="shared" si="1853"/>
        <v>1.0392785848632058</v>
      </c>
      <c r="BF207" s="85">
        <f t="shared" si="1853"/>
        <v>1.1057844734281561</v>
      </c>
      <c r="BG207" s="85">
        <f t="shared" si="1853"/>
        <v>0.39979063570612872</v>
      </c>
      <c r="BH207" s="85">
        <f t="shared" si="1853"/>
        <v>0.20546073874321413</v>
      </c>
      <c r="BI207" s="85">
        <f t="shared" si="1853"/>
        <v>0.79084479148984288</v>
      </c>
      <c r="BJ207" s="85">
        <f t="shared" si="1853"/>
        <v>0.87081416719449245</v>
      </c>
      <c r="BK207" s="85">
        <f t="shared" si="1853"/>
        <v>0.74447239407467847</v>
      </c>
      <c r="BL207" s="85">
        <f t="shared" si="1853"/>
        <v>0.43922468983178065</v>
      </c>
      <c r="BM207" s="85">
        <f t="shared" si="1853"/>
        <v>-0.36378026894494719</v>
      </c>
      <c r="BN207" s="85">
        <f t="shared" si="1853"/>
        <v>-0.51258932411994063</v>
      </c>
      <c r="BO207" s="85">
        <f t="shared" si="1853"/>
        <v>-0.67169116851061994</v>
      </c>
      <c r="BP207" s="85">
        <f t="shared" si="1853"/>
        <v>-0.84044543976439545</v>
      </c>
      <c r="BQ207" s="85">
        <f t="shared" si="1853"/>
        <v>-0.39183853874384811</v>
      </c>
      <c r="BR207" s="85">
        <f t="shared" si="1853"/>
        <v>-5.0006832312282201E-2</v>
      </c>
      <c r="BS207" s="85">
        <f t="shared" si="1853"/>
        <v>1.0987760162494395</v>
      </c>
      <c r="BT207" s="85">
        <f t="shared" ref="BT207:CL207" si="1854">+(BT29+BS29)/(BP29+BO29)-1</f>
        <v>5.0698263154521568</v>
      </c>
      <c r="BU207" s="85">
        <f t="shared" si="1854"/>
        <v>0.81467417932386099</v>
      </c>
      <c r="BV207" s="85">
        <f t="shared" si="1854"/>
        <v>0.15891832930783378</v>
      </c>
      <c r="BW207" s="85">
        <f t="shared" si="1854"/>
        <v>-0.36712647289866451</v>
      </c>
      <c r="BX207" s="85">
        <f t="shared" si="1854"/>
        <v>-0.5768920096085316</v>
      </c>
      <c r="BY207" s="85">
        <f t="shared" si="1854"/>
        <v>0.14145573180335247</v>
      </c>
      <c r="BZ207" s="85">
        <f t="shared" si="1854"/>
        <v>1.0869891244201497</v>
      </c>
      <c r="CA207" s="85">
        <f t="shared" si="1854"/>
        <v>3.1085337517129066</v>
      </c>
      <c r="CB207" s="85">
        <f t="shared" si="1854"/>
        <v>4.1498446526833286</v>
      </c>
      <c r="CC207" s="85">
        <f t="shared" si="1854"/>
        <v>0.75615784908933215</v>
      </c>
      <c r="CD207" s="85">
        <f t="shared" si="1854"/>
        <v>-6.42285266838305E-3</v>
      </c>
      <c r="CE207" s="85">
        <f t="shared" si="1854"/>
        <v>-0.41909685465276469</v>
      </c>
      <c r="CF207" s="85">
        <f t="shared" si="1854"/>
        <v>-0.58974035917465417</v>
      </c>
      <c r="CG207" s="85">
        <f t="shared" si="1854"/>
        <v>-0.66692033304374965</v>
      </c>
      <c r="CH207" s="85">
        <f t="shared" si="1854"/>
        <v>-0.26867048909261848</v>
      </c>
      <c r="CI207" s="85">
        <f t="shared" si="1854"/>
        <v>0.26073118064830192</v>
      </c>
      <c r="CJ207" s="85">
        <f t="shared" si="1854"/>
        <v>5.7747277408990882E-2</v>
      </c>
      <c r="CK207" s="85">
        <f t="shared" si="1854"/>
        <v>1.1930426753652883</v>
      </c>
      <c r="CL207" s="85">
        <f t="shared" si="1854"/>
        <v>0.95379161707685522</v>
      </c>
      <c r="CM207" s="86"/>
      <c r="CN207" s="86"/>
      <c r="CO207" s="86"/>
      <c r="CP207" s="86"/>
      <c r="CQ207" s="86"/>
      <c r="CR207" s="86"/>
      <c r="CS207" s="86"/>
      <c r="CT207" s="86"/>
      <c r="CU207" s="86"/>
      <c r="CV207" s="86"/>
      <c r="CW207" s="86"/>
      <c r="CX207" s="86"/>
      <c r="CY207" s="86"/>
      <c r="CZ207" s="86"/>
      <c r="DA207" s="86"/>
      <c r="DD207" s="134">
        <v>1.4747930418855439</v>
      </c>
    </row>
    <row r="208" spans="1:108" s="85" customFormat="1" x14ac:dyDescent="0.2">
      <c r="A208" s="85" t="s">
        <v>441</v>
      </c>
      <c r="C208" s="85">
        <f t="shared" ref="C208" si="1855">C205/B205-1</f>
        <v>-0.24587765902597081</v>
      </c>
      <c r="D208" s="85" t="e">
        <f t="shared" ref="D208" si="1856">D205/C205-1</f>
        <v>#DIV/0!</v>
      </c>
      <c r="E208" s="85" t="e">
        <f>E205/D205-1</f>
        <v>#DIV/0!</v>
      </c>
      <c r="F208" s="85" t="e">
        <f t="shared" ref="F208" si="1857">F205/E205-1</f>
        <v>#DIV/0!</v>
      </c>
      <c r="G208" s="85" t="e">
        <f t="shared" ref="G208" si="1858">G205/F205-1</f>
        <v>#DIV/0!</v>
      </c>
      <c r="H208" s="85" t="e">
        <f t="shared" ref="H208" si="1859">H205/G205-1</f>
        <v>#DIV/0!</v>
      </c>
      <c r="I208" s="85" t="e">
        <f t="shared" ref="I208" si="1860">I205/H205-1</f>
        <v>#DIV/0!</v>
      </c>
      <c r="J208" s="85" t="e">
        <f t="shared" ref="J208" si="1861">J205/I205-1</f>
        <v>#DIV/0!</v>
      </c>
      <c r="K208" s="85" t="e">
        <f>K205/J205-1</f>
        <v>#DIV/0!</v>
      </c>
      <c r="L208" s="85" t="e">
        <f t="shared" ref="L208" si="1862">L205/K205-1</f>
        <v>#DIV/0!</v>
      </c>
      <c r="M208" s="85" t="e">
        <f t="shared" ref="M208" si="1863">M205/L205-1</f>
        <v>#DIV/0!</v>
      </c>
      <c r="N208" s="85" t="e">
        <f t="shared" ref="N208" si="1864">N205/M205-1</f>
        <v>#DIV/0!</v>
      </c>
      <c r="O208" s="85" t="e">
        <f t="shared" ref="O208" si="1865">O205/N205-1</f>
        <v>#DIV/0!</v>
      </c>
      <c r="P208" s="85" t="e">
        <f t="shared" ref="P208" si="1866">P205/O205-1</f>
        <v>#DIV/0!</v>
      </c>
      <c r="Q208" s="85" t="e">
        <f t="shared" ref="Q208" si="1867">Q205/P205-1</f>
        <v>#DIV/0!</v>
      </c>
      <c r="R208" s="85" t="e">
        <f t="shared" ref="R208" si="1868">R205/Q205-1</f>
        <v>#DIV/0!</v>
      </c>
      <c r="S208" s="85" t="e">
        <f t="shared" ref="S208" si="1869">S205/R205-1</f>
        <v>#DIV/0!</v>
      </c>
      <c r="T208" s="85" t="e">
        <f t="shared" ref="T208" si="1870">T205/S205-1</f>
        <v>#DIV/0!</v>
      </c>
      <c r="U208" s="85" t="e">
        <f t="shared" ref="U208" si="1871">U205/T205-1</f>
        <v>#DIV/0!</v>
      </c>
      <c r="V208" s="85" t="e">
        <f t="shared" ref="V208" si="1872">V205/U205-1</f>
        <v>#DIV/0!</v>
      </c>
      <c r="W208" s="85" t="e">
        <f t="shared" ref="W208:AA208" si="1873">W205/V205-1</f>
        <v>#DIV/0!</v>
      </c>
      <c r="X208" s="85" t="e">
        <f t="shared" si="1873"/>
        <v>#DIV/0!</v>
      </c>
      <c r="Y208" s="85" t="e">
        <f t="shared" si="1873"/>
        <v>#DIV/0!</v>
      </c>
      <c r="Z208" s="85">
        <f t="shared" si="1873"/>
        <v>3.459978106483252</v>
      </c>
      <c r="AA208" s="85">
        <f t="shared" si="1873"/>
        <v>-2.1671398977083109</v>
      </c>
      <c r="AB208" s="86">
        <f t="shared" ref="AB208" si="1874">AB205/AA205-1</f>
        <v>-0.56335064010859237</v>
      </c>
      <c r="AC208" s="86">
        <f t="shared" ref="AC208" si="1875">AC205/AB205-1</f>
        <v>-2.1697354611106223E-2</v>
      </c>
      <c r="AD208" s="86">
        <f t="shared" ref="AD208" si="1876">AD205/AC205-1</f>
        <v>-2.6088695269239515E-2</v>
      </c>
      <c r="AE208" s="86">
        <f t="shared" ref="AE208" si="1877">AE205/AD205-1</f>
        <v>-1.3096038222310646E-2</v>
      </c>
      <c r="AN208" s="85" t="e">
        <f t="shared" ref="AN208:CK208" si="1878">+AN205/AJ205-1</f>
        <v>#DIV/0!</v>
      </c>
      <c r="AO208" s="85" t="e">
        <f t="shared" si="1878"/>
        <v>#DIV/0!</v>
      </c>
      <c r="AP208" s="85" t="e">
        <f t="shared" si="1878"/>
        <v>#DIV/0!</v>
      </c>
      <c r="AQ208" s="85" t="e">
        <f t="shared" si="1878"/>
        <v>#DIV/0!</v>
      </c>
      <c r="AR208" s="85" t="e">
        <f t="shared" si="1878"/>
        <v>#DIV/0!</v>
      </c>
      <c r="AS208" s="85" t="e">
        <f t="shared" si="1878"/>
        <v>#DIV/0!</v>
      </c>
      <c r="AT208" s="85" t="e">
        <f t="shared" si="1878"/>
        <v>#DIV/0!</v>
      </c>
      <c r="AU208" s="85" t="e">
        <f t="shared" si="1878"/>
        <v>#DIV/0!</v>
      </c>
      <c r="AV208" s="85" t="e">
        <f t="shared" si="1878"/>
        <v>#DIV/0!</v>
      </c>
      <c r="AW208" s="85" t="e">
        <f t="shared" si="1878"/>
        <v>#DIV/0!</v>
      </c>
      <c r="AX208" s="85" t="e">
        <f t="shared" si="1878"/>
        <v>#DIV/0!</v>
      </c>
      <c r="AY208" s="85" t="e">
        <f t="shared" si="1878"/>
        <v>#DIV/0!</v>
      </c>
      <c r="AZ208" s="85" t="e">
        <f t="shared" si="1878"/>
        <v>#DIV/0!</v>
      </c>
      <c r="BA208" s="85" t="e">
        <f t="shared" si="1878"/>
        <v>#DIV/0!</v>
      </c>
      <c r="BB208" s="85" t="e">
        <f t="shared" si="1878"/>
        <v>#DIV/0!</v>
      </c>
      <c r="BC208" s="85" t="e">
        <f t="shared" si="1878"/>
        <v>#DIV/0!</v>
      </c>
      <c r="BD208" s="85" t="e">
        <f t="shared" si="1878"/>
        <v>#DIV/0!</v>
      </c>
      <c r="BE208" s="85" t="e">
        <f t="shared" si="1878"/>
        <v>#DIV/0!</v>
      </c>
      <c r="BF208" s="85" t="e">
        <f t="shared" si="1878"/>
        <v>#DIV/0!</v>
      </c>
      <c r="BG208" s="85" t="e">
        <f t="shared" si="1878"/>
        <v>#DIV/0!</v>
      </c>
      <c r="BH208" s="85" t="e">
        <f t="shared" si="1878"/>
        <v>#DIV/0!</v>
      </c>
      <c r="BI208" s="85" t="e">
        <f t="shared" si="1878"/>
        <v>#DIV/0!</v>
      </c>
      <c r="BJ208" s="85" t="e">
        <f t="shared" si="1878"/>
        <v>#DIV/0!</v>
      </c>
      <c r="BK208" s="85" t="e">
        <f t="shared" si="1878"/>
        <v>#DIV/0!</v>
      </c>
      <c r="BL208" s="85" t="e">
        <f t="shared" si="1878"/>
        <v>#DIV/0!</v>
      </c>
      <c r="BM208" s="85" t="e">
        <f t="shared" si="1878"/>
        <v>#DIV/0!</v>
      </c>
      <c r="BN208" s="85" t="e">
        <f t="shared" si="1878"/>
        <v>#DIV/0!</v>
      </c>
      <c r="BO208" s="85" t="e">
        <f t="shared" si="1878"/>
        <v>#DIV/0!</v>
      </c>
      <c r="BP208" s="85" t="e">
        <f t="shared" si="1878"/>
        <v>#DIV/0!</v>
      </c>
      <c r="BQ208" s="85" t="e">
        <f t="shared" si="1878"/>
        <v>#DIV/0!</v>
      </c>
      <c r="BR208" s="85" t="e">
        <f t="shared" si="1878"/>
        <v>#DIV/0!</v>
      </c>
      <c r="BS208" s="85" t="e">
        <f t="shared" si="1878"/>
        <v>#DIV/0!</v>
      </c>
      <c r="BT208" s="85" t="e">
        <f t="shared" si="1878"/>
        <v>#DIV/0!</v>
      </c>
      <c r="BU208" s="85" t="e">
        <f t="shared" si="1878"/>
        <v>#DIV/0!</v>
      </c>
      <c r="BV208" s="85" t="e">
        <f t="shared" si="1878"/>
        <v>#DIV/0!</v>
      </c>
      <c r="BW208" s="85" t="e">
        <f t="shared" si="1878"/>
        <v>#DIV/0!</v>
      </c>
      <c r="BX208" s="85" t="e">
        <f t="shared" si="1878"/>
        <v>#DIV/0!</v>
      </c>
      <c r="BY208" s="85" t="e">
        <f t="shared" si="1878"/>
        <v>#DIV/0!</v>
      </c>
      <c r="BZ208" s="85" t="e">
        <f t="shared" si="1878"/>
        <v>#DIV/0!</v>
      </c>
      <c r="CA208" s="85" t="e">
        <f t="shared" si="1878"/>
        <v>#DIV/0!</v>
      </c>
      <c r="CB208" s="85" t="e">
        <f t="shared" si="1878"/>
        <v>#DIV/0!</v>
      </c>
      <c r="CC208" s="85" t="e">
        <f t="shared" si="1878"/>
        <v>#DIV/0!</v>
      </c>
      <c r="CD208" s="85" t="e">
        <f t="shared" si="1878"/>
        <v>#DIV/0!</v>
      </c>
      <c r="CE208" s="85" t="e">
        <f t="shared" si="1878"/>
        <v>#DIV/0!</v>
      </c>
      <c r="CF208" s="85" t="e">
        <f t="shared" si="1878"/>
        <v>#DIV/0!</v>
      </c>
      <c r="CG208" s="85">
        <f t="shared" si="1878"/>
        <v>6.98079195300802</v>
      </c>
      <c r="CH208" s="85">
        <f t="shared" si="1878"/>
        <v>6.9807919530080396</v>
      </c>
      <c r="CI208" s="85">
        <f t="shared" si="1878"/>
        <v>-0.73074058207609238</v>
      </c>
      <c r="CJ208" s="85">
        <f>+CJ205/CF205-1</f>
        <v>-0.73074058207609105</v>
      </c>
      <c r="CK208" s="85">
        <f t="shared" si="1878"/>
        <v>-1.314334020117145</v>
      </c>
      <c r="CL208" s="85">
        <f>+CL205/CH205-1</f>
        <v>-1.314334020117145</v>
      </c>
      <c r="CM208" s="86"/>
      <c r="CN208" s="86"/>
      <c r="CO208" s="86"/>
      <c r="CP208" s="86"/>
      <c r="CQ208" s="86"/>
      <c r="CR208" s="86"/>
      <c r="CS208" s="86"/>
      <c r="CT208" s="86"/>
      <c r="CU208" s="86"/>
      <c r="CV208" s="86"/>
      <c r="CW208" s="86"/>
      <c r="CX208" s="86"/>
      <c r="CY208" s="86"/>
      <c r="CZ208" s="86"/>
      <c r="DA208" s="86"/>
      <c r="DD208" s="134">
        <v>-1.4010484339324698</v>
      </c>
    </row>
    <row r="209" spans="1:108" s="102" customFormat="1" x14ac:dyDescent="0.2">
      <c r="A209" s="140" t="s">
        <v>87</v>
      </c>
      <c r="C209" s="102">
        <f>IF(C208&gt;C207,"RF",0)</f>
        <v>0</v>
      </c>
      <c r="D209" s="102" t="e">
        <f>IF(D208&gt;D207,"RF",0)</f>
        <v>#DIV/0!</v>
      </c>
      <c r="E209" s="102" t="e">
        <f t="shared" ref="E209:U209" si="1879">IF(E208&gt;E207,"RF",0)</f>
        <v>#DIV/0!</v>
      </c>
      <c r="F209" s="102" t="e">
        <f t="shared" si="1879"/>
        <v>#DIV/0!</v>
      </c>
      <c r="G209" s="102" t="e">
        <f t="shared" si="1879"/>
        <v>#DIV/0!</v>
      </c>
      <c r="H209" s="102" t="e">
        <f t="shared" si="1879"/>
        <v>#DIV/0!</v>
      </c>
      <c r="I209" s="102" t="e">
        <f t="shared" si="1879"/>
        <v>#DIV/0!</v>
      </c>
      <c r="J209" s="102" t="e">
        <f t="shared" si="1879"/>
        <v>#DIV/0!</v>
      </c>
      <c r="K209" s="102" t="e">
        <f t="shared" si="1879"/>
        <v>#DIV/0!</v>
      </c>
      <c r="L209" s="102" t="e">
        <f t="shared" si="1879"/>
        <v>#DIV/0!</v>
      </c>
      <c r="M209" s="102" t="e">
        <f t="shared" si="1879"/>
        <v>#DIV/0!</v>
      </c>
      <c r="N209" s="102" t="e">
        <f t="shared" si="1879"/>
        <v>#DIV/0!</v>
      </c>
      <c r="O209" s="102" t="e">
        <f t="shared" si="1879"/>
        <v>#DIV/0!</v>
      </c>
      <c r="P209" s="102" t="e">
        <f t="shared" si="1879"/>
        <v>#DIV/0!</v>
      </c>
      <c r="Q209" s="102" t="e">
        <f t="shared" si="1879"/>
        <v>#DIV/0!</v>
      </c>
      <c r="R209" s="102" t="e">
        <f t="shared" si="1879"/>
        <v>#DIV/0!</v>
      </c>
      <c r="S209" s="102" t="e">
        <f t="shared" si="1879"/>
        <v>#DIV/0!</v>
      </c>
      <c r="T209" s="102" t="e">
        <f t="shared" si="1879"/>
        <v>#DIV/0!</v>
      </c>
      <c r="U209" s="102" t="e">
        <f t="shared" si="1879"/>
        <v>#DIV/0!</v>
      </c>
      <c r="V209" s="102" t="e">
        <f>IF(V208&gt;V207,"RF",0)</f>
        <v>#DIV/0!</v>
      </c>
      <c r="W209" s="102" t="e">
        <f t="shared" ref="W209" si="1880">IF(W208&gt;W207,"RF",0)</f>
        <v>#DIV/0!</v>
      </c>
      <c r="X209" s="102" t="e">
        <f t="shared" ref="X209:Y209" si="1881">IF(X208&gt;X207,"RF",0)</f>
        <v>#DIV/0!</v>
      </c>
      <c r="Y209" s="102" t="e">
        <f t="shared" si="1881"/>
        <v>#DIV/0!</v>
      </c>
      <c r="Z209" s="102" t="str">
        <f t="shared" ref="Z209:AA209" si="1882">IF(Z208&gt;Z207,"RF",0)</f>
        <v>RF</v>
      </c>
      <c r="AA209" s="102">
        <f t="shared" si="1882"/>
        <v>0</v>
      </c>
      <c r="AB209" s="72">
        <f t="shared" ref="AA209:AD209" si="1883">IF(AB208&gt;AB207,"RF",0)</f>
        <v>0</v>
      </c>
      <c r="AC209" s="72">
        <f t="shared" si="1883"/>
        <v>0</v>
      </c>
      <c r="AD209" s="72">
        <f t="shared" si="1883"/>
        <v>0</v>
      </c>
      <c r="AE209" s="72">
        <f t="shared" ref="AE209" si="1884">IF(AE208&gt;AE207,"RF",0)</f>
        <v>0</v>
      </c>
      <c r="CM209" s="72"/>
      <c r="CN209" s="72"/>
      <c r="CO209" s="72"/>
      <c r="CP209" s="72"/>
      <c r="CQ209" s="72"/>
      <c r="CR209" s="72"/>
      <c r="CS209" s="72"/>
      <c r="CT209" s="72"/>
      <c r="CU209" s="72"/>
      <c r="CV209" s="72"/>
      <c r="CW209" s="72"/>
      <c r="CX209" s="72"/>
      <c r="CY209" s="72"/>
      <c r="CZ209" s="72"/>
      <c r="DA209" s="72"/>
      <c r="DD209" s="135">
        <v>0</v>
      </c>
    </row>
    <row r="210" spans="1:108" x14ac:dyDescent="0.2">
      <c r="A210" s="145" t="s">
        <v>494</v>
      </c>
      <c r="AA210" s="2"/>
    </row>
    <row r="211" spans="1:108" x14ac:dyDescent="0.2">
      <c r="A211" s="144" t="s">
        <v>495</v>
      </c>
      <c r="AA211" s="2"/>
    </row>
    <row r="212" spans="1:108" s="22" customFormat="1" x14ac:dyDescent="0.2">
      <c r="A212" s="22" t="s">
        <v>22</v>
      </c>
      <c r="C212" s="22">
        <f t="shared" ref="C212:AE212" si="1885">C67</f>
        <v>6.0145298780000145</v>
      </c>
      <c r="D212" s="22">
        <f t="shared" si="1885"/>
        <v>0</v>
      </c>
      <c r="E212" s="22">
        <f t="shared" si="1885"/>
        <v>0</v>
      </c>
      <c r="F212" s="22">
        <f t="shared" si="1885"/>
        <v>0</v>
      </c>
      <c r="G212" s="22">
        <f t="shared" si="1885"/>
        <v>0</v>
      </c>
      <c r="H212" s="22">
        <f t="shared" si="1885"/>
        <v>0</v>
      </c>
      <c r="I212" s="22">
        <f t="shared" si="1885"/>
        <v>0</v>
      </c>
      <c r="J212" s="22">
        <f t="shared" si="1885"/>
        <v>0</v>
      </c>
      <c r="K212" s="22">
        <f t="shared" si="1885"/>
        <v>0</v>
      </c>
      <c r="L212" s="22">
        <f t="shared" si="1885"/>
        <v>0</v>
      </c>
      <c r="M212" s="22">
        <f t="shared" si="1885"/>
        <v>0</v>
      </c>
      <c r="N212" s="22">
        <f t="shared" si="1885"/>
        <v>0</v>
      </c>
      <c r="O212" s="22">
        <f t="shared" si="1885"/>
        <v>0</v>
      </c>
      <c r="P212" s="22">
        <f t="shared" si="1885"/>
        <v>0</v>
      </c>
      <c r="Q212" s="22">
        <f t="shared" si="1885"/>
        <v>0</v>
      </c>
      <c r="R212" s="22">
        <f t="shared" si="1885"/>
        <v>0</v>
      </c>
      <c r="S212" s="22">
        <f t="shared" si="1885"/>
        <v>0</v>
      </c>
      <c r="T212" s="22">
        <f t="shared" si="1885"/>
        <v>0</v>
      </c>
      <c r="U212" s="22">
        <f t="shared" si="1885"/>
        <v>0</v>
      </c>
      <c r="V212" s="22">
        <f t="shared" si="1885"/>
        <v>0</v>
      </c>
      <c r="W212" s="22">
        <f t="shared" si="1885"/>
        <v>0</v>
      </c>
      <c r="X212" s="22">
        <f t="shared" si="1885"/>
        <v>0</v>
      </c>
      <c r="Y212" s="22">
        <f t="shared" si="1885"/>
        <v>21.639199999999978</v>
      </c>
      <c r="Z212" s="22">
        <f t="shared" si="1885"/>
        <v>-5.3821000000000145</v>
      </c>
      <c r="AA212" s="22">
        <f t="shared" ref="AA212" si="1886">AA67</f>
        <v>10.313900000000004</v>
      </c>
      <c r="AB212" s="23">
        <f t="shared" si="1885"/>
        <v>54.594005446733107</v>
      </c>
      <c r="AC212" s="23">
        <f t="shared" si="1885"/>
        <v>178.49183327344306</v>
      </c>
      <c r="AD212" s="23">
        <f t="shared" si="1885"/>
        <v>343.63298537591197</v>
      </c>
      <c r="AE212" s="23">
        <f t="shared" si="1885"/>
        <v>546.22675294075555</v>
      </c>
      <c r="AI212" s="22">
        <f t="shared" ref="AI212:BN212" si="1887">AI67</f>
        <v>4.4649999999999936</v>
      </c>
      <c r="AJ212" s="22">
        <f t="shared" si="1887"/>
        <v>-3.7169999999999908</v>
      </c>
      <c r="AK212" s="22">
        <f t="shared" si="1887"/>
        <v>1.6950000000000043</v>
      </c>
      <c r="AL212" s="22">
        <f t="shared" si="1887"/>
        <v>-3.4370000000000163</v>
      </c>
      <c r="AM212" s="22">
        <f t="shared" si="1887"/>
        <v>-13.757999999999992</v>
      </c>
      <c r="AN212" s="22">
        <f t="shared" si="1887"/>
        <v>-18.507999999999992</v>
      </c>
      <c r="AO212" s="22">
        <f t="shared" si="1887"/>
        <v>11.531000000000011</v>
      </c>
      <c r="AP212" s="22">
        <f t="shared" si="1887"/>
        <v>-1.5760000000000192</v>
      </c>
      <c r="AQ212" s="22">
        <f t="shared" si="1887"/>
        <v>-2.636000000000001</v>
      </c>
      <c r="AR212" s="22">
        <f t="shared" si="1887"/>
        <v>4.2170000000000014</v>
      </c>
      <c r="AS212" s="22">
        <f t="shared" si="1887"/>
        <v>0.11899999999999938</v>
      </c>
      <c r="AT212" s="22">
        <f t="shared" si="1887"/>
        <v>7.7749999999999932</v>
      </c>
      <c r="AU212" s="22">
        <f t="shared" si="1887"/>
        <v>0.93599999999999972</v>
      </c>
      <c r="AV212" s="22">
        <f t="shared" si="1887"/>
        <v>-2.8020000000000009</v>
      </c>
      <c r="AW212" s="22">
        <f t="shared" si="1887"/>
        <v>4.2959999999999887</v>
      </c>
      <c r="AX212" s="22">
        <f t="shared" si="1887"/>
        <v>10.694000000000003</v>
      </c>
      <c r="AY212" s="22">
        <f t="shared" si="1887"/>
        <v>-8.3480000000000043</v>
      </c>
      <c r="AZ212" s="22">
        <f t="shared" si="1887"/>
        <v>2.1000000000006236E-2</v>
      </c>
      <c r="BA212" s="22">
        <f t="shared" si="1887"/>
        <v>9.5400000000000045</v>
      </c>
      <c r="BB212" s="22">
        <f t="shared" si="1887"/>
        <v>4.5799999999999939</v>
      </c>
      <c r="BC212" s="22">
        <f t="shared" si="1887"/>
        <v>0.19300000000000117</v>
      </c>
      <c r="BD212" s="22">
        <f t="shared" si="1887"/>
        <v>4.5229999999999997</v>
      </c>
      <c r="BE212" s="22">
        <f t="shared" si="1887"/>
        <v>3.0009999999999999</v>
      </c>
      <c r="BF212" s="22">
        <f t="shared" si="1887"/>
        <v>-0.99799999999999289</v>
      </c>
      <c r="BG212" s="22">
        <f t="shared" si="1887"/>
        <v>3.3380000000000001</v>
      </c>
      <c r="BH212" s="22">
        <f t="shared" si="1887"/>
        <v>10.432</v>
      </c>
      <c r="BI212" s="22">
        <f t="shared" si="1887"/>
        <v>15.84999999999998</v>
      </c>
      <c r="BJ212" s="22">
        <f t="shared" si="1887"/>
        <v>5.4789999999999939</v>
      </c>
      <c r="BK212" s="22">
        <f t="shared" si="1887"/>
        <v>3.7719999999999887</v>
      </c>
      <c r="BL212" s="22">
        <f t="shared" si="1887"/>
        <v>9.7959999999999923</v>
      </c>
      <c r="BM212" s="22">
        <f t="shared" si="1887"/>
        <v>5.6500000000000128</v>
      </c>
      <c r="BN212" s="22">
        <f t="shared" si="1887"/>
        <v>4.5259999999999989</v>
      </c>
      <c r="BO212" s="22">
        <f t="shared" ref="BO212:CT212" si="1888">BO67</f>
        <v>-10.097</v>
      </c>
      <c r="BP212" s="22">
        <f t="shared" si="1888"/>
        <v>-11.356999999999998</v>
      </c>
      <c r="BQ212" s="22">
        <f t="shared" si="1888"/>
        <v>1.3540000000000054</v>
      </c>
      <c r="BR212" s="22">
        <f t="shared" si="1888"/>
        <v>-8.960000000000008</v>
      </c>
      <c r="BS212" s="22">
        <f t="shared" si="1888"/>
        <v>-1.046999999999993</v>
      </c>
      <c r="BT212" s="22">
        <f t="shared" si="1888"/>
        <v>2.1990000000000025</v>
      </c>
      <c r="BU212" s="22">
        <f t="shared" si="1888"/>
        <v>5.9429999999999961</v>
      </c>
      <c r="BV212" s="22">
        <f t="shared" si="1888"/>
        <v>-2.4539999999999949</v>
      </c>
      <c r="BW212" s="22">
        <f t="shared" si="1888"/>
        <v>-5.3449999999999998</v>
      </c>
      <c r="BX212" s="22">
        <f t="shared" si="1888"/>
        <v>-2.9460000000000011</v>
      </c>
      <c r="BY212" s="22">
        <f t="shared" si="1888"/>
        <v>11.384000000000007</v>
      </c>
      <c r="BZ212" s="22">
        <f t="shared" si="1888"/>
        <v>9.7930000000000046</v>
      </c>
      <c r="CA212" s="22">
        <f t="shared" si="1888"/>
        <v>4.3369999999999926</v>
      </c>
      <c r="CB212" s="22">
        <f t="shared" si="1888"/>
        <v>6.9840000000000106</v>
      </c>
      <c r="CC212" s="22">
        <f t="shared" si="1888"/>
        <v>10.319000000000003</v>
      </c>
      <c r="CD212" s="22">
        <f t="shared" si="1888"/>
        <v>3.6189999999999811</v>
      </c>
      <c r="CE212" s="22">
        <f t="shared" si="1888"/>
        <v>-2.7000000000006564E-2</v>
      </c>
      <c r="CF212" s="22">
        <f t="shared" si="1888"/>
        <v>-7.4969999999999919</v>
      </c>
      <c r="CG212" s="22">
        <f t="shared" si="1888"/>
        <v>-1.474000000000004</v>
      </c>
      <c r="CH212" s="22">
        <f t="shared" si="1888"/>
        <v>-2.9140000000000001</v>
      </c>
      <c r="CI212" s="22">
        <f t="shared" si="1888"/>
        <v>1.7179999999999831</v>
      </c>
      <c r="CJ212" s="22">
        <f t="shared" si="1888"/>
        <v>8.9199999999999822</v>
      </c>
      <c r="CK212" s="22">
        <f t="shared" ref="CK212:CL212" si="1889">CK67</f>
        <v>-8.9222999999999999</v>
      </c>
      <c r="CL212" s="22">
        <f t="shared" si="1889"/>
        <v>7.361000000000006</v>
      </c>
      <c r="CM212" s="23">
        <f t="shared" si="1888"/>
        <v>-5.239078890217133</v>
      </c>
      <c r="CN212" s="23">
        <f t="shared" si="1888"/>
        <v>23.536449997345631</v>
      </c>
      <c r="CO212" s="23">
        <f t="shared" si="1888"/>
        <v>28.935634339604455</v>
      </c>
      <c r="CP212" s="23">
        <f t="shared" si="1888"/>
        <v>23.517765347354835</v>
      </c>
      <c r="CQ212" s="23">
        <f t="shared" si="1888"/>
        <v>26.015730036649511</v>
      </c>
      <c r="CR212" s="23">
        <f t="shared" si="1888"/>
        <v>61.623205550389102</v>
      </c>
      <c r="CS212" s="23">
        <f t="shared" si="1888"/>
        <v>67.335132339049494</v>
      </c>
      <c r="CT212" s="23">
        <f t="shared" si="1888"/>
        <v>60.154000275148846</v>
      </c>
      <c r="CU212" s="23">
        <f t="shared" ref="CU212:DA212" si="1890">CU67</f>
        <v>62.287651105603715</v>
      </c>
      <c r="CV212" s="23">
        <f t="shared" si="1890"/>
        <v>107.43472899353063</v>
      </c>
      <c r="CW212" s="23">
        <f t="shared" si="1890"/>
        <v>113.7566050016284</v>
      </c>
      <c r="CX212" s="23">
        <f t="shared" si="1890"/>
        <v>104.63726523352955</v>
      </c>
      <c r="CY212" s="23">
        <f t="shared" si="1890"/>
        <v>106.50769318267893</v>
      </c>
      <c r="CZ212" s="23">
        <f t="shared" si="1890"/>
        <v>163.91308904222737</v>
      </c>
      <c r="DA212" s="23">
        <f t="shared" si="1890"/>
        <v>171.16870548231995</v>
      </c>
      <c r="DD212" s="120">
        <v>-29.175899999999992</v>
      </c>
    </row>
    <row r="213" spans="1:108" s="22" customFormat="1" x14ac:dyDescent="0.2">
      <c r="A213" s="22" t="s">
        <v>88</v>
      </c>
      <c r="C213" s="22">
        <f t="shared" ref="C213:AE213" si="1891">C51</f>
        <v>2.6181707250000001</v>
      </c>
      <c r="D213" s="22">
        <f t="shared" si="1891"/>
        <v>0</v>
      </c>
      <c r="E213" s="22">
        <f t="shared" si="1891"/>
        <v>0</v>
      </c>
      <c r="F213" s="22">
        <f t="shared" si="1891"/>
        <v>0</v>
      </c>
      <c r="G213" s="22">
        <f t="shared" si="1891"/>
        <v>0</v>
      </c>
      <c r="H213" s="22">
        <f t="shared" si="1891"/>
        <v>0</v>
      </c>
      <c r="I213" s="22">
        <f t="shared" si="1891"/>
        <v>0</v>
      </c>
      <c r="J213" s="22">
        <f t="shared" si="1891"/>
        <v>0</v>
      </c>
      <c r="K213" s="22">
        <f t="shared" si="1891"/>
        <v>0</v>
      </c>
      <c r="L213" s="22">
        <f t="shared" si="1891"/>
        <v>0</v>
      </c>
      <c r="M213" s="22">
        <f t="shared" si="1891"/>
        <v>0</v>
      </c>
      <c r="N213" s="22">
        <f t="shared" si="1891"/>
        <v>0</v>
      </c>
      <c r="O213" s="22">
        <f t="shared" si="1891"/>
        <v>0</v>
      </c>
      <c r="P213" s="22">
        <f t="shared" si="1891"/>
        <v>0</v>
      </c>
      <c r="Q213" s="22">
        <f t="shared" si="1891"/>
        <v>0</v>
      </c>
      <c r="R213" s="22">
        <f t="shared" si="1891"/>
        <v>0</v>
      </c>
      <c r="S213" s="22">
        <f t="shared" si="1891"/>
        <v>0</v>
      </c>
      <c r="T213" s="22">
        <f t="shared" si="1891"/>
        <v>0</v>
      </c>
      <c r="U213" s="22">
        <f t="shared" si="1891"/>
        <v>0</v>
      </c>
      <c r="V213" s="22">
        <f t="shared" si="1891"/>
        <v>0</v>
      </c>
      <c r="W213" s="22">
        <f t="shared" si="1891"/>
        <v>0</v>
      </c>
      <c r="X213" s="22">
        <f t="shared" si="1891"/>
        <v>0</v>
      </c>
      <c r="Y213" s="22">
        <f t="shared" si="1891"/>
        <v>3.8513999999999999</v>
      </c>
      <c r="Z213" s="22">
        <f t="shared" si="1891"/>
        <v>5.9714999999999998</v>
      </c>
      <c r="AA213" s="22">
        <f t="shared" ref="AA213" si="1892">AA51</f>
        <v>6.1506999999999996</v>
      </c>
      <c r="AB213" s="23">
        <f t="shared" si="1891"/>
        <v>13.107999999999999</v>
      </c>
      <c r="AC213" s="23">
        <f t="shared" si="1891"/>
        <v>13.107999999999999</v>
      </c>
      <c r="AD213" s="23">
        <f t="shared" si="1891"/>
        <v>13.107999999999999</v>
      </c>
      <c r="AE213" s="23">
        <f t="shared" si="1891"/>
        <v>13.107999999999999</v>
      </c>
      <c r="AI213" s="22">
        <f t="shared" ref="AI213:BN213" si="1893">AI51</f>
        <v>1.03</v>
      </c>
      <c r="AJ213" s="22">
        <f t="shared" si="1893"/>
        <v>1.1020000000000001</v>
      </c>
      <c r="AK213" s="22">
        <f t="shared" si="1893"/>
        <v>1.157</v>
      </c>
      <c r="AL213" s="22">
        <f t="shared" si="1893"/>
        <v>1.3149999999999999</v>
      </c>
      <c r="AM213" s="22">
        <f t="shared" si="1893"/>
        <v>2.081</v>
      </c>
      <c r="AN213" s="22">
        <f t="shared" si="1893"/>
        <v>2.1360000000000001</v>
      </c>
      <c r="AO213" s="22">
        <f t="shared" si="1893"/>
        <v>2.2389999999999999</v>
      </c>
      <c r="AP213" s="22">
        <f t="shared" si="1893"/>
        <v>1.925</v>
      </c>
      <c r="AQ213" s="22">
        <f t="shared" si="1893"/>
        <v>2.984</v>
      </c>
      <c r="AR213" s="22">
        <f t="shared" si="1893"/>
        <v>0.11799999999999999</v>
      </c>
      <c r="AS213" s="22">
        <f t="shared" si="1893"/>
        <v>1.5049999999999999</v>
      </c>
      <c r="AT213" s="22">
        <f t="shared" si="1893"/>
        <v>1.895</v>
      </c>
      <c r="AU213" s="22">
        <f t="shared" si="1893"/>
        <v>1.409</v>
      </c>
      <c r="AV213" s="22">
        <f t="shared" si="1893"/>
        <v>1.3939999999999999</v>
      </c>
      <c r="AW213" s="22">
        <f t="shared" si="1893"/>
        <v>1.48</v>
      </c>
      <c r="AX213" s="22">
        <f t="shared" si="1893"/>
        <v>1.5089999999999999</v>
      </c>
      <c r="AY213" s="22">
        <f t="shared" si="1893"/>
        <v>1.325</v>
      </c>
      <c r="AZ213" s="22">
        <f t="shared" si="1893"/>
        <v>1.3580000000000001</v>
      </c>
      <c r="BA213" s="22">
        <f t="shared" si="1893"/>
        <v>1.3440000000000001</v>
      </c>
      <c r="BB213" s="22">
        <f t="shared" si="1893"/>
        <v>1.159</v>
      </c>
      <c r="BC213" s="22">
        <f t="shared" si="1893"/>
        <v>1.2689999999999999</v>
      </c>
      <c r="BD213" s="22">
        <f t="shared" si="1893"/>
        <v>1.3240000000000001</v>
      </c>
      <c r="BE213" s="22">
        <f t="shared" si="1893"/>
        <v>1.3879999999999999</v>
      </c>
      <c r="BF213" s="22">
        <f t="shared" si="1893"/>
        <v>1.9419999999999999</v>
      </c>
      <c r="BG213" s="22">
        <f t="shared" si="1893"/>
        <v>1.4330000000000001</v>
      </c>
      <c r="BH213" s="22">
        <f t="shared" si="1893"/>
        <v>1.478</v>
      </c>
      <c r="BI213" s="22">
        <f t="shared" si="1893"/>
        <v>1.4590000000000001</v>
      </c>
      <c r="BJ213" s="22">
        <f t="shared" si="1893"/>
        <v>1.405</v>
      </c>
      <c r="BK213" s="22">
        <f t="shared" si="1893"/>
        <v>1.4490000000000001</v>
      </c>
      <c r="BL213" s="22">
        <f t="shared" si="1893"/>
        <v>1.4370000000000001</v>
      </c>
      <c r="BM213" s="22">
        <f t="shared" si="1893"/>
        <v>1.41</v>
      </c>
      <c r="BN213" s="22">
        <f t="shared" si="1893"/>
        <v>1.3720000000000001</v>
      </c>
      <c r="BO213" s="22">
        <f t="shared" ref="BO213:CT213" si="1894">BO51</f>
        <v>1.2969999999999999</v>
      </c>
      <c r="BP213" s="22">
        <f t="shared" si="1894"/>
        <v>1.27</v>
      </c>
      <c r="BQ213" s="22">
        <f t="shared" si="1894"/>
        <v>1.2589999999999999</v>
      </c>
      <c r="BR213" s="22">
        <f t="shared" si="1894"/>
        <v>1.2070000000000001</v>
      </c>
      <c r="BS213" s="22">
        <f t="shared" si="1894"/>
        <v>1.1950000000000001</v>
      </c>
      <c r="BT213" s="22">
        <f t="shared" si="1894"/>
        <v>1.1950000000000001</v>
      </c>
      <c r="BU213" s="22">
        <f t="shared" si="1894"/>
        <v>1.1419999999999999</v>
      </c>
      <c r="BV213" s="22">
        <f t="shared" si="1894"/>
        <v>1.1299999999999999</v>
      </c>
      <c r="BW213" s="22">
        <f t="shared" si="1894"/>
        <v>1.1100000000000001</v>
      </c>
      <c r="BX213" s="22">
        <f t="shared" si="1894"/>
        <v>1.129</v>
      </c>
      <c r="BY213" s="22">
        <f t="shared" si="1894"/>
        <v>1.133</v>
      </c>
      <c r="BZ213" s="22">
        <f t="shared" si="1894"/>
        <v>1.7749999999999999</v>
      </c>
      <c r="CA213" s="22">
        <f t="shared" si="1894"/>
        <v>1.34</v>
      </c>
      <c r="CB213" s="22">
        <f t="shared" si="1894"/>
        <v>1.2490000000000001</v>
      </c>
      <c r="CC213" s="22">
        <f t="shared" si="1894"/>
        <v>1.262</v>
      </c>
      <c r="CD213" s="22">
        <f t="shared" si="1894"/>
        <v>1.3340000000000001</v>
      </c>
      <c r="CE213" s="22">
        <f t="shared" si="1894"/>
        <v>1.552</v>
      </c>
      <c r="CF213" s="22">
        <f t="shared" si="1894"/>
        <v>1.4690000000000001</v>
      </c>
      <c r="CG213" s="22">
        <f t="shared" si="1894"/>
        <v>1.6160000000000001</v>
      </c>
      <c r="CH213" s="22">
        <f t="shared" si="1894"/>
        <v>2.4769999999999999</v>
      </c>
      <c r="CI213" s="22">
        <f t="shared" si="1894"/>
        <v>1.534</v>
      </c>
      <c r="CJ213" s="22">
        <f t="shared" si="1894"/>
        <v>1.55</v>
      </c>
      <c r="CK213" s="22">
        <f t="shared" ref="CK213:CL213" si="1895">CK51</f>
        <v>3.5851000000000002</v>
      </c>
      <c r="CL213" s="22">
        <f t="shared" si="1895"/>
        <v>3.2770000000000001</v>
      </c>
      <c r="CM213" s="23">
        <f t="shared" si="1894"/>
        <v>3.2769999999999997</v>
      </c>
      <c r="CN213" s="23">
        <f t="shared" si="1894"/>
        <v>3.2769999999999997</v>
      </c>
      <c r="CO213" s="23">
        <f t="shared" si="1894"/>
        <v>3.2769999999999997</v>
      </c>
      <c r="CP213" s="23">
        <f t="shared" si="1894"/>
        <v>3.2769999999999997</v>
      </c>
      <c r="CQ213" s="23">
        <f t="shared" si="1894"/>
        <v>3.2769999999999997</v>
      </c>
      <c r="CR213" s="23">
        <f t="shared" si="1894"/>
        <v>3.2769999999999997</v>
      </c>
      <c r="CS213" s="23">
        <f t="shared" si="1894"/>
        <v>3.2769999999999997</v>
      </c>
      <c r="CT213" s="23">
        <f t="shared" si="1894"/>
        <v>3.2769999999999997</v>
      </c>
      <c r="CU213" s="23">
        <f t="shared" ref="CU213:DA213" si="1896">CU51</f>
        <v>3.2769999999999997</v>
      </c>
      <c r="CV213" s="23">
        <f t="shared" si="1896"/>
        <v>3.2769999999999997</v>
      </c>
      <c r="CW213" s="23">
        <f t="shared" si="1896"/>
        <v>3.2769999999999997</v>
      </c>
      <c r="CX213" s="23">
        <f t="shared" si="1896"/>
        <v>3.2769999999999997</v>
      </c>
      <c r="CY213" s="23">
        <f t="shared" si="1896"/>
        <v>3.2769999999999997</v>
      </c>
      <c r="CZ213" s="23">
        <f t="shared" si="1896"/>
        <v>3.2769999999999997</v>
      </c>
      <c r="DA213" s="23">
        <f t="shared" si="1896"/>
        <v>3.2769999999999997</v>
      </c>
      <c r="DD213" s="120">
        <v>11.0809</v>
      </c>
    </row>
    <row r="214" spans="1:108" s="21" customFormat="1" x14ac:dyDescent="0.2">
      <c r="A214" s="21" t="s">
        <v>89</v>
      </c>
      <c r="C214" s="21">
        <f t="shared" ref="C214:W214" si="1897">C212+C213</f>
        <v>8.6327006030000142</v>
      </c>
      <c r="D214" s="21">
        <f t="shared" si="1897"/>
        <v>0</v>
      </c>
      <c r="E214" s="21">
        <f t="shared" si="1897"/>
        <v>0</v>
      </c>
      <c r="F214" s="21">
        <f t="shared" si="1897"/>
        <v>0</v>
      </c>
      <c r="G214" s="21">
        <f t="shared" si="1897"/>
        <v>0</v>
      </c>
      <c r="H214" s="21">
        <f t="shared" si="1897"/>
        <v>0</v>
      </c>
      <c r="I214" s="21">
        <f t="shared" si="1897"/>
        <v>0</v>
      </c>
      <c r="J214" s="21">
        <f t="shared" si="1897"/>
        <v>0</v>
      </c>
      <c r="K214" s="21">
        <f t="shared" si="1897"/>
        <v>0</v>
      </c>
      <c r="L214" s="21">
        <f t="shared" si="1897"/>
        <v>0</v>
      </c>
      <c r="M214" s="21">
        <f t="shared" si="1897"/>
        <v>0</v>
      </c>
      <c r="N214" s="21">
        <f t="shared" si="1897"/>
        <v>0</v>
      </c>
      <c r="O214" s="21">
        <f t="shared" si="1897"/>
        <v>0</v>
      </c>
      <c r="P214" s="21">
        <f t="shared" si="1897"/>
        <v>0</v>
      </c>
      <c r="Q214" s="21">
        <f t="shared" si="1897"/>
        <v>0</v>
      </c>
      <c r="R214" s="21">
        <f t="shared" si="1897"/>
        <v>0</v>
      </c>
      <c r="S214" s="21">
        <f t="shared" si="1897"/>
        <v>0</v>
      </c>
      <c r="T214" s="21">
        <f t="shared" si="1897"/>
        <v>0</v>
      </c>
      <c r="U214" s="21">
        <f t="shared" si="1897"/>
        <v>0</v>
      </c>
      <c r="V214" s="21">
        <f t="shared" si="1897"/>
        <v>0</v>
      </c>
      <c r="W214" s="21">
        <f t="shared" si="1897"/>
        <v>0</v>
      </c>
      <c r="X214" s="21">
        <f t="shared" ref="X214:Y214" si="1898">X212+X213</f>
        <v>0</v>
      </c>
      <c r="Y214" s="21">
        <f t="shared" si="1898"/>
        <v>25.490599999999979</v>
      </c>
      <c r="Z214" s="21">
        <f t="shared" ref="Z214:AA214" si="1899">Z212+Z213</f>
        <v>0.58939999999998527</v>
      </c>
      <c r="AA214" s="21">
        <f t="shared" si="1899"/>
        <v>16.464600000000004</v>
      </c>
      <c r="AB214" s="20">
        <f t="shared" ref="AA214:AD214" si="1900">AB212+AB213</f>
        <v>67.702005446733111</v>
      </c>
      <c r="AC214" s="20">
        <f t="shared" si="1900"/>
        <v>191.59983327344307</v>
      </c>
      <c r="AD214" s="20">
        <f t="shared" si="1900"/>
        <v>356.74098537591198</v>
      </c>
      <c r="AE214" s="20">
        <f t="shared" ref="AE214" si="1901">AE212+AE213</f>
        <v>559.33475294075549</v>
      </c>
      <c r="AI214" s="21">
        <f t="shared" ref="AI214" si="1902">AI212+AI213</f>
        <v>5.4949999999999939</v>
      </c>
      <c r="AJ214" s="21">
        <f t="shared" ref="AJ214:AL214" si="1903">AJ212+AJ213</f>
        <v>-2.6149999999999904</v>
      </c>
      <c r="AK214" s="21">
        <f t="shared" si="1903"/>
        <v>2.8520000000000043</v>
      </c>
      <c r="AL214" s="21">
        <f t="shared" si="1903"/>
        <v>-2.1220000000000163</v>
      </c>
      <c r="AM214" s="21">
        <f t="shared" ref="AM214" si="1904">AM212+AM213</f>
        <v>-11.676999999999992</v>
      </c>
      <c r="AN214" s="21">
        <f t="shared" ref="AN214:CD214" si="1905">AN212+AN213</f>
        <v>-16.371999999999993</v>
      </c>
      <c r="AO214" s="21">
        <f t="shared" si="1905"/>
        <v>13.77000000000001</v>
      </c>
      <c r="AP214" s="21">
        <f t="shared" si="1905"/>
        <v>0.34899999999998088</v>
      </c>
      <c r="AQ214" s="21">
        <f t="shared" si="1905"/>
        <v>0.34799999999999898</v>
      </c>
      <c r="AR214" s="21">
        <f t="shared" si="1905"/>
        <v>4.3350000000000017</v>
      </c>
      <c r="AS214" s="21">
        <f t="shared" si="1905"/>
        <v>1.6239999999999992</v>
      </c>
      <c r="AT214" s="21">
        <f t="shared" si="1905"/>
        <v>9.6699999999999928</v>
      </c>
      <c r="AU214" s="21">
        <f t="shared" si="1905"/>
        <v>2.3449999999999998</v>
      </c>
      <c r="AV214" s="21">
        <f t="shared" si="1905"/>
        <v>-1.408000000000001</v>
      </c>
      <c r="AW214" s="21">
        <f t="shared" si="1905"/>
        <v>5.7759999999999891</v>
      </c>
      <c r="AX214" s="21">
        <f t="shared" si="1905"/>
        <v>12.203000000000003</v>
      </c>
      <c r="AY214" s="21">
        <f t="shared" si="1905"/>
        <v>-7.0230000000000041</v>
      </c>
      <c r="AZ214" s="21">
        <f t="shared" si="1905"/>
        <v>1.3790000000000062</v>
      </c>
      <c r="BA214" s="21">
        <f t="shared" si="1905"/>
        <v>10.884000000000004</v>
      </c>
      <c r="BB214" s="21">
        <f t="shared" si="1905"/>
        <v>5.7389999999999937</v>
      </c>
      <c r="BC214" s="21">
        <f t="shared" si="1905"/>
        <v>1.4620000000000011</v>
      </c>
      <c r="BD214" s="21">
        <f t="shared" si="1905"/>
        <v>5.8469999999999995</v>
      </c>
      <c r="BE214" s="21">
        <f t="shared" si="1905"/>
        <v>4.3889999999999993</v>
      </c>
      <c r="BF214" s="21">
        <f t="shared" si="1905"/>
        <v>0.94400000000000706</v>
      </c>
      <c r="BG214" s="21">
        <f t="shared" si="1905"/>
        <v>4.7709999999999999</v>
      </c>
      <c r="BH214" s="21">
        <f t="shared" si="1905"/>
        <v>11.91</v>
      </c>
      <c r="BI214" s="21">
        <f t="shared" si="1905"/>
        <v>17.30899999999998</v>
      </c>
      <c r="BJ214" s="21">
        <f t="shared" si="1905"/>
        <v>6.8839999999999941</v>
      </c>
      <c r="BK214" s="21">
        <f t="shared" si="1905"/>
        <v>5.2209999999999885</v>
      </c>
      <c r="BL214" s="21">
        <f t="shared" si="1905"/>
        <v>11.232999999999992</v>
      </c>
      <c r="BM214" s="21">
        <f t="shared" si="1905"/>
        <v>7.0600000000000129</v>
      </c>
      <c r="BN214" s="21">
        <f t="shared" si="1905"/>
        <v>5.8979999999999988</v>
      </c>
      <c r="BO214" s="21">
        <f t="shared" si="1905"/>
        <v>-8.7999999999999989</v>
      </c>
      <c r="BP214" s="21">
        <f t="shared" si="1905"/>
        <v>-10.086999999999998</v>
      </c>
      <c r="BQ214" s="21">
        <f t="shared" si="1905"/>
        <v>2.6130000000000053</v>
      </c>
      <c r="BR214" s="21">
        <f t="shared" si="1905"/>
        <v>-7.7530000000000081</v>
      </c>
      <c r="BS214" s="21">
        <f t="shared" si="1905"/>
        <v>0.14800000000000701</v>
      </c>
      <c r="BT214" s="21">
        <f t="shared" si="1905"/>
        <v>3.3940000000000028</v>
      </c>
      <c r="BU214" s="21">
        <f t="shared" si="1905"/>
        <v>7.0849999999999955</v>
      </c>
      <c r="BV214" s="21">
        <f t="shared" si="1905"/>
        <v>-1.323999999999995</v>
      </c>
      <c r="BW214" s="21">
        <f t="shared" si="1905"/>
        <v>-4.2349999999999994</v>
      </c>
      <c r="BX214" s="21">
        <f t="shared" si="1905"/>
        <v>-1.8170000000000011</v>
      </c>
      <c r="BY214" s="21">
        <f t="shared" si="1905"/>
        <v>12.517000000000007</v>
      </c>
      <c r="BZ214" s="21">
        <f t="shared" si="1905"/>
        <v>11.568000000000005</v>
      </c>
      <c r="CA214" s="21">
        <f t="shared" si="1905"/>
        <v>5.6769999999999925</v>
      </c>
      <c r="CB214" s="21">
        <f t="shared" si="1905"/>
        <v>8.2330000000000112</v>
      </c>
      <c r="CC214" s="21">
        <f t="shared" si="1905"/>
        <v>11.581000000000003</v>
      </c>
      <c r="CD214" s="21">
        <f t="shared" si="1905"/>
        <v>4.9529999999999816</v>
      </c>
      <c r="CE214" s="21">
        <f t="shared" ref="CE214:CF214" si="1906">CE212+CE213</f>
        <v>1.5249999999999935</v>
      </c>
      <c r="CF214" s="21">
        <f t="shared" si="1906"/>
        <v>-6.0279999999999916</v>
      </c>
      <c r="CG214" s="21">
        <f t="shared" ref="CG214:CH214" si="1907">CG212+CG213</f>
        <v>0.14199999999999613</v>
      </c>
      <c r="CH214" s="21">
        <f t="shared" si="1907"/>
        <v>-0.43700000000000028</v>
      </c>
      <c r="CI214" s="21">
        <f t="shared" ref="CI214:CJ214" si="1908">CI212+CI213</f>
        <v>3.2519999999999829</v>
      </c>
      <c r="CJ214" s="21">
        <f t="shared" si="1908"/>
        <v>10.469999999999983</v>
      </c>
      <c r="CK214" s="21">
        <f t="shared" ref="CK214:CL214" si="1909">CK212+CK213</f>
        <v>-5.3371999999999993</v>
      </c>
      <c r="CL214" s="21">
        <f t="shared" si="1909"/>
        <v>10.638000000000005</v>
      </c>
      <c r="CM214" s="20">
        <f t="shared" ref="CM214:DA214" si="1910">CM212+CM213</f>
        <v>-1.9620788902171333</v>
      </c>
      <c r="CN214" s="20">
        <f t="shared" si="1910"/>
        <v>26.813449997345632</v>
      </c>
      <c r="CO214" s="20">
        <f t="shared" si="1910"/>
        <v>32.212634339604456</v>
      </c>
      <c r="CP214" s="20">
        <f t="shared" si="1910"/>
        <v>26.794765347354836</v>
      </c>
      <c r="CQ214" s="20">
        <f t="shared" si="1910"/>
        <v>29.292730036649512</v>
      </c>
      <c r="CR214" s="20">
        <f t="shared" si="1910"/>
        <v>64.900205550389103</v>
      </c>
      <c r="CS214" s="20">
        <f t="shared" si="1910"/>
        <v>70.612132339049495</v>
      </c>
      <c r="CT214" s="20">
        <f t="shared" si="1910"/>
        <v>63.431000275148847</v>
      </c>
      <c r="CU214" s="20">
        <f t="shared" si="1910"/>
        <v>65.564651105603716</v>
      </c>
      <c r="CV214" s="20">
        <f t="shared" si="1910"/>
        <v>110.71172899353063</v>
      </c>
      <c r="CW214" s="20">
        <f t="shared" si="1910"/>
        <v>117.0336050016284</v>
      </c>
      <c r="CX214" s="20">
        <f t="shared" si="1910"/>
        <v>107.91426523352955</v>
      </c>
      <c r="CY214" s="20">
        <f t="shared" si="1910"/>
        <v>109.78469318267894</v>
      </c>
      <c r="CZ214" s="20">
        <f t="shared" si="1910"/>
        <v>167.19008904222736</v>
      </c>
      <c r="DA214" s="20">
        <f t="shared" si="1910"/>
        <v>174.44570548231994</v>
      </c>
      <c r="DD214" s="122">
        <v>-18.094999999999992</v>
      </c>
    </row>
    <row r="215" spans="1:108" s="22" customFormat="1" x14ac:dyDescent="0.2">
      <c r="A215" s="22" t="s">
        <v>65</v>
      </c>
      <c r="C215" s="22">
        <f t="shared" ref="C215:AA215" si="1911">B167-C167+B182+B183-C182-C183</f>
        <v>-20.120135112999982</v>
      </c>
      <c r="D215" s="22">
        <f t="shared" si="1911"/>
        <v>102.347921364</v>
      </c>
      <c r="E215" s="22">
        <f>D167-E167+D182+D183-E182-E183</f>
        <v>0</v>
      </c>
      <c r="F215" s="22">
        <f t="shared" si="1911"/>
        <v>0</v>
      </c>
      <c r="G215" s="22">
        <f t="shared" si="1911"/>
        <v>0</v>
      </c>
      <c r="H215" s="22">
        <f t="shared" si="1911"/>
        <v>0</v>
      </c>
      <c r="I215" s="22">
        <f t="shared" si="1911"/>
        <v>0</v>
      </c>
      <c r="J215" s="22">
        <f>I167-J167+I182+I183-J182-J183</f>
        <v>0</v>
      </c>
      <c r="K215" s="22">
        <f>J167-K167+J182+J183-K182-K183</f>
        <v>0</v>
      </c>
      <c r="L215" s="22">
        <f t="shared" si="1911"/>
        <v>0</v>
      </c>
      <c r="M215" s="22">
        <f t="shared" si="1911"/>
        <v>0</v>
      </c>
      <c r="N215" s="22">
        <f t="shared" si="1911"/>
        <v>0</v>
      </c>
      <c r="O215" s="22">
        <f t="shared" si="1911"/>
        <v>0</v>
      </c>
      <c r="P215" s="22">
        <f t="shared" si="1911"/>
        <v>0</v>
      </c>
      <c r="Q215" s="22">
        <f t="shared" si="1911"/>
        <v>0</v>
      </c>
      <c r="R215" s="22">
        <f t="shared" si="1911"/>
        <v>0</v>
      </c>
      <c r="S215" s="22">
        <f t="shared" si="1911"/>
        <v>0</v>
      </c>
      <c r="T215" s="22">
        <f t="shared" si="1911"/>
        <v>0</v>
      </c>
      <c r="U215" s="22">
        <f t="shared" si="1911"/>
        <v>0</v>
      </c>
      <c r="V215" s="22">
        <f t="shared" si="1911"/>
        <v>0</v>
      </c>
      <c r="W215" s="22">
        <f t="shared" si="1911"/>
        <v>0</v>
      </c>
      <c r="X215" s="22">
        <f t="shared" si="1911"/>
        <v>0</v>
      </c>
      <c r="Y215" s="22">
        <f t="shared" si="1911"/>
        <v>-642.60929999999996</v>
      </c>
      <c r="Z215" s="22">
        <f t="shared" si="1911"/>
        <v>189.1454</v>
      </c>
      <c r="AA215" s="22">
        <f t="shared" si="1911"/>
        <v>52.556299999999986</v>
      </c>
      <c r="AB215" s="23">
        <f t="shared" ref="AB215" si="1912">AA167-AB167+AA182+AA183-AB182-AB183</f>
        <v>-439.65296871462789</v>
      </c>
      <c r="AC215" s="23">
        <f t="shared" ref="AC215" si="1913">AB167-AC167+AB182+AB183-AC182-AC183</f>
        <v>-327.2965616278982</v>
      </c>
      <c r="AD215" s="23">
        <f t="shared" ref="AD215" si="1914">AC167-AD167+AC182+AC183-AD182-AD183</f>
        <v>-342.46775169562216</v>
      </c>
      <c r="AE215" s="23">
        <f t="shared" ref="AE215" si="1915">AD167-AE167+AD182+AD183-AE182-AE183</f>
        <v>-376.47624180879006</v>
      </c>
      <c r="AI215" s="22">
        <f>AH167-AI167+AH182+AH183-AI182-AJ183</f>
        <v>0</v>
      </c>
      <c r="AJ215" s="22">
        <f t="shared" ref="AJ215:AL215" si="1916">AI167-AJ167+AI182+AI183-AJ182-AK183</f>
        <v>0</v>
      </c>
      <c r="AK215" s="22">
        <f t="shared" si="1916"/>
        <v>0</v>
      </c>
      <c r="AL215" s="22">
        <f t="shared" si="1916"/>
        <v>0</v>
      </c>
      <c r="AM215" s="22">
        <f t="shared" ref="AM215" si="1917">AL167-AM167+AL182+AL183-AM182-AM183</f>
        <v>0</v>
      </c>
      <c r="AN215" s="22">
        <f t="shared" ref="AN215" si="1918">AM167-AN167+AM182+AM183-AN182-AN183</f>
        <v>0</v>
      </c>
      <c r="AO215" s="22">
        <f t="shared" ref="AO215" si="1919">AN167-AO167+AN182+AN183-AO182-AO183</f>
        <v>0</v>
      </c>
      <c r="AP215" s="22">
        <f t="shared" ref="AP215" si="1920">AO167-AP167+AO182+AO183-AP182-AP183</f>
        <v>0</v>
      </c>
      <c r="AQ215" s="22">
        <f t="shared" ref="AQ215" si="1921">AP167-AQ167+AP182+AP183-AQ182-AQ183</f>
        <v>0</v>
      </c>
      <c r="AR215" s="22">
        <f t="shared" ref="AR215" si="1922">AQ167-AR167+AQ182+AQ183-AR182-AR183</f>
        <v>0</v>
      </c>
      <c r="AS215" s="22">
        <f t="shared" ref="AS215" si="1923">AR167-AS167+AR182+AR183-AS182-AS183</f>
        <v>0</v>
      </c>
      <c r="AT215" s="22">
        <f t="shared" ref="AT215" si="1924">AS167-AT167+AS182+AS183-AT182-AT183</f>
        <v>0</v>
      </c>
      <c r="AU215" s="22">
        <f t="shared" ref="AU215" si="1925">AT167-AU167+AT182+AT183-AU182-AU183</f>
        <v>0</v>
      </c>
      <c r="AV215" s="22">
        <f t="shared" ref="AV215" si="1926">AU167-AV167+AU182+AU183-AV182-AV183</f>
        <v>0</v>
      </c>
      <c r="AW215" s="22">
        <f t="shared" ref="AW215" si="1927">AV167-AW167+AV182+AV183-AW182-AW183</f>
        <v>0</v>
      </c>
      <c r="AX215" s="22">
        <f t="shared" ref="AX215" si="1928">AW167-AX167+AW182+AW183-AX182-AX183</f>
        <v>0</v>
      </c>
      <c r="AY215" s="22">
        <f t="shared" ref="AY215" si="1929">AX167-AY167+AX182+AX183-AY182-AY183</f>
        <v>0</v>
      </c>
      <c r="AZ215" s="22">
        <f t="shared" ref="AZ215" si="1930">AY167-AZ167+AY182+AY183-AZ182-AZ183</f>
        <v>0</v>
      </c>
      <c r="BA215" s="22">
        <f t="shared" ref="BA215" si="1931">AZ167-BA167+AZ182+AZ183-BA182-BA183</f>
        <v>0</v>
      </c>
      <c r="BB215" s="22">
        <f t="shared" ref="BB215" si="1932">BA167-BB167+BA182+BA183-BB182-BB183</f>
        <v>0</v>
      </c>
      <c r="BC215" s="22">
        <f t="shared" ref="BC215" si="1933">BB167-BC167+BB182+BB183-BC182-BC183</f>
        <v>0</v>
      </c>
      <c r="BD215" s="22">
        <f t="shared" ref="BD215" si="1934">BC167-BD167+BC182+BC183-BD182-BD183</f>
        <v>0</v>
      </c>
      <c r="BE215" s="22">
        <f t="shared" ref="BE215" si="1935">BD167-BE167+BD182+BD183-BE182-BE183</f>
        <v>0</v>
      </c>
      <c r="BF215" s="22">
        <f t="shared" ref="BF215" si="1936">BE167-BF167+BE182+BE183-BF182-BF183</f>
        <v>0</v>
      </c>
      <c r="BG215" s="22">
        <f t="shared" ref="BG215" si="1937">BF167-BG167+BF182+BF183-BG182-BG183</f>
        <v>0</v>
      </c>
      <c r="BH215" s="22">
        <f t="shared" ref="BH215" si="1938">BG167-BH167+BG182+BG183-BH182-BH183</f>
        <v>0</v>
      </c>
      <c r="BI215" s="22">
        <f t="shared" ref="BI215" si="1939">BH167-BI167+BH182+BH183-BI182-BI183</f>
        <v>0</v>
      </c>
      <c r="BJ215" s="22">
        <f t="shared" ref="BJ215" si="1940">BI167-BJ167+BI182+BI183-BJ182-BJ183</f>
        <v>0</v>
      </c>
      <c r="BK215" s="22">
        <f t="shared" ref="BK215" si="1941">BJ167-BK167+BJ182+BJ183-BK182-BK183</f>
        <v>0</v>
      </c>
      <c r="BL215" s="22">
        <f t="shared" ref="BL215" si="1942">BK167-BL167+BK182+BK183-BL182-BL183</f>
        <v>0</v>
      </c>
      <c r="BM215" s="22">
        <f t="shared" ref="BM215" si="1943">BL167-BM167+BL182+BL183-BM182-BM183</f>
        <v>0</v>
      </c>
      <c r="BN215" s="22">
        <f t="shared" ref="BN215" si="1944">BM167-BN167+BM182+BM183-BN182-BN183</f>
        <v>0</v>
      </c>
      <c r="BO215" s="22">
        <f t="shared" ref="BO215" si="1945">BN167-BO167+BN182+BN183-BO182-BO183</f>
        <v>0</v>
      </c>
      <c r="BP215" s="22">
        <f t="shared" ref="BP215" si="1946">BO167-BP167+BO182+BO183-BP182-BP183</f>
        <v>0</v>
      </c>
      <c r="BQ215" s="22">
        <f t="shared" ref="BQ215" si="1947">BP167-BQ167+BP182+BP183-BQ182-BQ183</f>
        <v>0</v>
      </c>
      <c r="BR215" s="22">
        <f t="shared" ref="BR215" si="1948">BQ167-BR167+BQ182+BQ183-BR182-BR183</f>
        <v>0</v>
      </c>
      <c r="BS215" s="22">
        <f t="shared" ref="BS215" si="1949">BR167-BS167+BR182+BR183-BS182-BS183</f>
        <v>0</v>
      </c>
      <c r="BT215" s="22">
        <f t="shared" ref="BT215" si="1950">BS167-BT167+BS182+BS183-BT182-BT183</f>
        <v>0</v>
      </c>
      <c r="BU215" s="22">
        <f t="shared" ref="BU215" si="1951">BT167-BU167+BT182+BT183-BU182-BU183</f>
        <v>0</v>
      </c>
      <c r="BV215" s="22">
        <f t="shared" ref="BV215" si="1952">BU167-BV167+BU182+BU183-BV182-BV183</f>
        <v>0</v>
      </c>
      <c r="BW215" s="22">
        <f t="shared" ref="BW215" si="1953">BV167-BW167+BV182+BV183-BW182-BW183</f>
        <v>0</v>
      </c>
      <c r="BX215" s="22">
        <f t="shared" ref="BX215" si="1954">BW167-BX167+BW182+BW183-BX182-BX183</f>
        <v>0</v>
      </c>
      <c r="BY215" s="22">
        <f t="shared" ref="BY215" si="1955">BX167-BY167+BX182+BX183-BY182-BY183</f>
        <v>0</v>
      </c>
      <c r="BZ215" s="22">
        <f t="shared" ref="BZ215" si="1956">BY167-BZ167+BY182+BY183-BZ182-BZ183</f>
        <v>0</v>
      </c>
      <c r="CA215" s="22">
        <f t="shared" ref="CA215" si="1957">BZ167-CA167+BZ182+BZ183-CA182-CA183</f>
        <v>0</v>
      </c>
      <c r="CB215" s="22">
        <f t="shared" ref="CB215" si="1958">CA167-CB167+CA182+CA183-CB182-CB183</f>
        <v>0</v>
      </c>
      <c r="CC215" s="22">
        <f t="shared" ref="CC215" si="1959">CB167-CC167+CB182+CB183-CC182-CC183</f>
        <v>-646.65200000000004</v>
      </c>
      <c r="CD215" s="22">
        <f t="shared" ref="CD215" si="1960">CC167-CD167+CC182+CC183-CD182-CD183</f>
        <v>96.067702606901094</v>
      </c>
      <c r="CE215" s="22">
        <f t="shared" ref="CE215" si="1961">CD167-CE167+CD182+CD183-CE182-CE183</f>
        <v>76.93329739309894</v>
      </c>
      <c r="CF215" s="22">
        <f t="shared" ref="CF215" si="1962">CE167-CF167+CE182+CE183-CF182-CF183</f>
        <v>50.01144586062361</v>
      </c>
      <c r="CG215" s="22">
        <f t="shared" ref="CG215" si="1963">CF167-CG167+CF182+CF183-CG182-CG183</f>
        <v>-29.824445860623673</v>
      </c>
      <c r="CH215" s="22">
        <f t="shared" ref="CH215:CL215" si="1964">CG167-CH167+CG182+CG183-CH182-CH183</f>
        <v>-444.55142351981635</v>
      </c>
      <c r="CI215" s="22">
        <f t="shared" si="1964"/>
        <v>507.77242351981641</v>
      </c>
      <c r="CJ215" s="22">
        <f t="shared" si="1964"/>
        <v>-45.907405708857993</v>
      </c>
      <c r="CK215" s="22">
        <f t="shared" si="1964"/>
        <v>29.309405708857998</v>
      </c>
      <c r="CL215" s="22">
        <f t="shared" si="1964"/>
        <v>-120.69171626748107</v>
      </c>
      <c r="CM215" s="23">
        <f t="shared" ref="CM215" si="1965">CL167-CM167+CL182+CL183-CM182-CM183</f>
        <v>-0.21482662736332259</v>
      </c>
      <c r="CN215" s="23">
        <f t="shared" ref="CN215" si="1966">CM167-CN167+CM182+CM183-CN182-CN183</f>
        <v>-281.2845925916846</v>
      </c>
      <c r="CO215" s="23">
        <f t="shared" ref="CO215" si="1967">CN167-CO167+CN182+CN183-CO182-CO183</f>
        <v>-31.528433228098947</v>
      </c>
      <c r="CP215" s="23">
        <f t="shared" ref="CP215" si="1968">CO167-CP167+CO182+CO183-CP182-CP183</f>
        <v>20.783439846381157</v>
      </c>
      <c r="CQ215" s="23">
        <f t="shared" ref="CQ215" si="1969">CP167-CQ167+CP182+CP183-CQ182-CQ183</f>
        <v>-5.9230745980461279</v>
      </c>
      <c r="CR215" s="23">
        <f t="shared" ref="CR215" si="1970">CQ167-CR167+CQ182+CQ183-CR182-CR183</f>
        <v>-320.14951943069832</v>
      </c>
      <c r="CS215" s="23">
        <f t="shared" ref="CS215" si="1971">CR167-CS167+CR182+CR183-CS182-CS183</f>
        <v>-22.007407445534909</v>
      </c>
      <c r="CT215" s="23">
        <f t="shared" ref="CT215" si="1972">CS167-CT167+CS182+CS183-CT182-CT183</f>
        <v>39.342436125305085</v>
      </c>
      <c r="CU215" s="23">
        <f t="shared" ref="CU215" si="1973">CT167-CU167+CT182+CT183-CU182-CU183</f>
        <v>5.9984110441234852</v>
      </c>
      <c r="CV215" s="23">
        <f t="shared" ref="CV215" si="1974">CU167-CV167+CU182+CU183-CV182-CV183</f>
        <v>-372.2528718056185</v>
      </c>
      <c r="CW215" s="23">
        <f t="shared" ref="CW215" si="1975">CV167-CW167+CV182+CV183-CW182-CW183</f>
        <v>-15.555727059432229</v>
      </c>
      <c r="CX215" s="23">
        <f t="shared" ref="CX215" si="1976">CW167-CX167+CW182+CW183-CX182-CX183</f>
        <v>57.087300656806519</v>
      </c>
      <c r="CY215" s="23">
        <f t="shared" ref="CY215" si="1977">CX167-CY167+CX182+CX183-CY182-CY183</f>
        <v>16.185596601809266</v>
      </c>
      <c r="CZ215" s="23">
        <f t="shared" ref="CZ215" si="1978">CY167-CZ167+CY182+CY183-CZ182-CZ183</f>
        <v>-438.52481811927919</v>
      </c>
      <c r="DA215" s="23">
        <f t="shared" ref="DA215" si="1979">CZ167-DA167+CZ182+CZ183-DA182-DA183</f>
        <v>-11.22432094812666</v>
      </c>
      <c r="DD215" s="120">
        <v>46.622900000000037</v>
      </c>
    </row>
    <row r="216" spans="1:108" s="22" customFormat="1" x14ac:dyDescent="0.2">
      <c r="A216" s="22" t="s">
        <v>73</v>
      </c>
      <c r="C216" s="22">
        <f t="shared" ref="C216:AA216" si="1980">B175-C175</f>
        <v>-19.336765199000006</v>
      </c>
      <c r="D216" s="22">
        <f t="shared" si="1980"/>
        <v>51.029969928000007</v>
      </c>
      <c r="E216" s="22">
        <f>D175-E175</f>
        <v>0</v>
      </c>
      <c r="F216" s="22">
        <f t="shared" si="1980"/>
        <v>0</v>
      </c>
      <c r="G216" s="22">
        <f t="shared" si="1980"/>
        <v>0</v>
      </c>
      <c r="H216" s="22">
        <f t="shared" si="1980"/>
        <v>0</v>
      </c>
      <c r="I216" s="22">
        <f t="shared" si="1980"/>
        <v>0</v>
      </c>
      <c r="J216" s="22">
        <f>I175-J175</f>
        <v>0</v>
      </c>
      <c r="K216" s="22">
        <f>J175-K175</f>
        <v>0</v>
      </c>
      <c r="L216" s="22">
        <f t="shared" si="1980"/>
        <v>0</v>
      </c>
      <c r="M216" s="22">
        <f t="shared" si="1980"/>
        <v>0</v>
      </c>
      <c r="N216" s="22">
        <f t="shared" si="1980"/>
        <v>0</v>
      </c>
      <c r="O216" s="22">
        <f t="shared" si="1980"/>
        <v>0</v>
      </c>
      <c r="P216" s="22">
        <f t="shared" si="1980"/>
        <v>0</v>
      </c>
      <c r="Q216" s="22">
        <f t="shared" si="1980"/>
        <v>0</v>
      </c>
      <c r="R216" s="22">
        <f t="shared" si="1980"/>
        <v>0</v>
      </c>
      <c r="S216" s="22">
        <f t="shared" si="1980"/>
        <v>0</v>
      </c>
      <c r="T216" s="22">
        <f t="shared" si="1980"/>
        <v>0</v>
      </c>
      <c r="U216" s="22">
        <f t="shared" si="1980"/>
        <v>0</v>
      </c>
      <c r="V216" s="22">
        <f t="shared" si="1980"/>
        <v>0</v>
      </c>
      <c r="W216" s="22">
        <f t="shared" si="1980"/>
        <v>0</v>
      </c>
      <c r="X216" s="22">
        <f t="shared" si="1980"/>
        <v>0</v>
      </c>
      <c r="Y216" s="22">
        <f t="shared" si="1980"/>
        <v>-615.39240000000007</v>
      </c>
      <c r="Z216" s="22">
        <f t="shared" si="1980"/>
        <v>238.47680000000008</v>
      </c>
      <c r="AA216" s="22">
        <f t="shared" si="1980"/>
        <v>-98.273799999999994</v>
      </c>
      <c r="AB216" s="23">
        <f t="shared" ref="AB216" si="1981">AA175-AB175</f>
        <v>-511.87662135309665</v>
      </c>
      <c r="AC216" s="23">
        <f t="shared" ref="AC216" si="1982">AB175-AC175</f>
        <v>-386.27554266261245</v>
      </c>
      <c r="AD216" s="23">
        <f t="shared" ref="AD216" si="1983">AC175-AD175</f>
        <v>-404.18058769913841</v>
      </c>
      <c r="AE216" s="23">
        <f t="shared" ref="AE216" si="1984">AD175-AE175</f>
        <v>-444.31742234311241</v>
      </c>
      <c r="AI216" s="22">
        <f t="shared" ref="AI216" si="1985">AH175-AI175</f>
        <v>0</v>
      </c>
      <c r="AJ216" s="22">
        <f t="shared" ref="AJ216" si="1986">AI175-AJ175</f>
        <v>0</v>
      </c>
      <c r="AK216" s="22">
        <f t="shared" ref="AK216" si="1987">AJ175-AK175</f>
        <v>0</v>
      </c>
      <c r="AL216" s="22">
        <f t="shared" ref="AL216" si="1988">AK175-AL175</f>
        <v>0</v>
      </c>
      <c r="AM216" s="22">
        <f t="shared" ref="AM216" si="1989">AL175-AM175</f>
        <v>0</v>
      </c>
      <c r="AN216" s="22">
        <f t="shared" ref="AN216" si="1990">AM175-AN175</f>
        <v>0</v>
      </c>
      <c r="AO216" s="22">
        <f t="shared" ref="AO216" si="1991">AN175-AO175</f>
        <v>0</v>
      </c>
      <c r="AP216" s="22">
        <f t="shared" ref="AP216" si="1992">AO175-AP175</f>
        <v>0</v>
      </c>
      <c r="AQ216" s="22">
        <f t="shared" ref="AQ216" si="1993">AP175-AQ175</f>
        <v>0</v>
      </c>
      <c r="AR216" s="22">
        <f t="shared" ref="AR216" si="1994">AQ175-AR175</f>
        <v>0</v>
      </c>
      <c r="AS216" s="22">
        <f t="shared" ref="AS216" si="1995">AR175-AS175</f>
        <v>0</v>
      </c>
      <c r="AT216" s="22">
        <f t="shared" ref="AT216" si="1996">AS175-AT175</f>
        <v>0</v>
      </c>
      <c r="AU216" s="22">
        <f t="shared" ref="AU216" si="1997">AT175-AU175</f>
        <v>0</v>
      </c>
      <c r="AV216" s="22">
        <f t="shared" ref="AV216" si="1998">AU175-AV175</f>
        <v>0</v>
      </c>
      <c r="AW216" s="22">
        <f t="shared" ref="AW216" si="1999">AV175-AW175</f>
        <v>0</v>
      </c>
      <c r="AX216" s="22">
        <f t="shared" ref="AX216" si="2000">AW175-AX175</f>
        <v>0</v>
      </c>
      <c r="AY216" s="22">
        <f t="shared" ref="AY216" si="2001">AX175-AY175</f>
        <v>0</v>
      </c>
      <c r="AZ216" s="22">
        <f t="shared" ref="AZ216" si="2002">AY175-AZ175</f>
        <v>0</v>
      </c>
      <c r="BA216" s="22">
        <f t="shared" ref="BA216" si="2003">AZ175-BA175</f>
        <v>0</v>
      </c>
      <c r="BB216" s="22">
        <f t="shared" ref="BB216" si="2004">BA175-BB175</f>
        <v>0</v>
      </c>
      <c r="BC216" s="22">
        <f t="shared" ref="BC216" si="2005">BB175-BC175</f>
        <v>0</v>
      </c>
      <c r="BD216" s="22">
        <f t="shared" ref="BD216" si="2006">BC175-BD175</f>
        <v>0</v>
      </c>
      <c r="BE216" s="22">
        <f t="shared" ref="BE216" si="2007">BD175-BE175</f>
        <v>0</v>
      </c>
      <c r="BF216" s="22">
        <f t="shared" ref="BF216" si="2008">BE175-BF175</f>
        <v>0</v>
      </c>
      <c r="BG216" s="22">
        <f t="shared" ref="BG216" si="2009">BF175-BG175</f>
        <v>0</v>
      </c>
      <c r="BH216" s="22">
        <f t="shared" ref="BH216" si="2010">BG175-BH175</f>
        <v>0</v>
      </c>
      <c r="BI216" s="22">
        <f t="shared" ref="BI216" si="2011">BH175-BI175</f>
        <v>0</v>
      </c>
      <c r="BJ216" s="22">
        <f t="shared" ref="BJ216" si="2012">BI175-BJ175</f>
        <v>0</v>
      </c>
      <c r="BK216" s="22">
        <f t="shared" ref="BK216" si="2013">BJ175-BK175</f>
        <v>0</v>
      </c>
      <c r="BL216" s="22">
        <f t="shared" ref="BL216" si="2014">BK175-BL175</f>
        <v>0</v>
      </c>
      <c r="BM216" s="22">
        <f t="shared" ref="BM216" si="2015">BL175-BM175</f>
        <v>0</v>
      </c>
      <c r="BN216" s="22">
        <f t="shared" ref="BN216" si="2016">BM175-BN175</f>
        <v>0</v>
      </c>
      <c r="BO216" s="22">
        <f t="shared" ref="BO216" si="2017">BN175-BO175</f>
        <v>0</v>
      </c>
      <c r="BP216" s="22">
        <f t="shared" ref="BP216" si="2018">BO175-BP175</f>
        <v>0</v>
      </c>
      <c r="BQ216" s="22">
        <f t="shared" ref="BQ216" si="2019">BP175-BQ175</f>
        <v>0</v>
      </c>
      <c r="BR216" s="22">
        <f t="shared" ref="BR216" si="2020">BQ175-BR175</f>
        <v>0</v>
      </c>
      <c r="BS216" s="22">
        <f t="shared" ref="BS216" si="2021">BR175-BS175</f>
        <v>0</v>
      </c>
      <c r="BT216" s="22">
        <f t="shared" ref="BT216" si="2022">BS175-BT175</f>
        <v>0</v>
      </c>
      <c r="BU216" s="22">
        <f t="shared" ref="BU216" si="2023">BT175-BU175</f>
        <v>0</v>
      </c>
      <c r="BV216" s="22">
        <f t="shared" ref="BV216" si="2024">BU175-BV175</f>
        <v>0</v>
      </c>
      <c r="BW216" s="22">
        <f t="shared" ref="BW216" si="2025">BV175-BW175</f>
        <v>0</v>
      </c>
      <c r="BX216" s="22">
        <f t="shared" ref="BX216" si="2026">BW175-BX175</f>
        <v>0</v>
      </c>
      <c r="BY216" s="22">
        <f t="shared" ref="BY216" si="2027">BX175-BY175</f>
        <v>0</v>
      </c>
      <c r="BZ216" s="22">
        <f t="shared" ref="BZ216" si="2028">BY175-BZ175</f>
        <v>0</v>
      </c>
      <c r="CA216" s="22">
        <f t="shared" ref="CA216" si="2029">BZ175-CA175</f>
        <v>0</v>
      </c>
      <c r="CB216" s="22">
        <f t="shared" ref="CB216" si="2030">CA175-CB175</f>
        <v>0</v>
      </c>
      <c r="CC216" s="22">
        <f t="shared" ref="CC216" si="2031">CB175-CC175</f>
        <v>-615.39300000000003</v>
      </c>
      <c r="CD216" s="22">
        <f t="shared" ref="CD216" si="2032">CC175-CD175</f>
        <v>134.35802797918888</v>
      </c>
      <c r="CE216" s="22">
        <f t="shared" ref="CE216" si="2033">CD175-CE175</f>
        <v>89.60597202081118</v>
      </c>
      <c r="CF216" s="22">
        <f t="shared" ref="CF216" si="2034">CE175-CF175</f>
        <v>37.279800508109361</v>
      </c>
      <c r="CG216" s="22">
        <f t="shared" ref="CG216" si="2035">CF175-CG175</f>
        <v>-22.766400508109371</v>
      </c>
      <c r="CH216" s="22">
        <f t="shared" ref="CH216:CL216" si="2036">CG175-CH175</f>
        <v>-296.81990399231398</v>
      </c>
      <c r="CI216" s="22">
        <f t="shared" si="2036"/>
        <v>305.97450399231394</v>
      </c>
      <c r="CJ216" s="22">
        <f t="shared" si="2036"/>
        <v>-22.954155434862002</v>
      </c>
      <c r="CK216" s="22">
        <f t="shared" si="2036"/>
        <v>-84.474844565137914</v>
      </c>
      <c r="CL216" s="22">
        <f t="shared" si="2036"/>
        <v>-73.912950636769096</v>
      </c>
      <c r="CM216" s="23">
        <f t="shared" ref="CM216" si="2037">CL175-CM175</f>
        <v>-68.781003237586219</v>
      </c>
      <c r="CN216" s="23">
        <f t="shared" ref="CN216" si="2038">CM175-CN175</f>
        <v>-331.97219703613098</v>
      </c>
      <c r="CO216" s="23">
        <f t="shared" ref="CO216" si="2039">CN175-CO175</f>
        <v>-37.209870442610395</v>
      </c>
      <c r="CP216" s="23">
        <f t="shared" ref="CP216" si="2040">CO175-CP175</f>
        <v>24.528624636710447</v>
      </c>
      <c r="CQ216" s="23">
        <f t="shared" ref="CQ216" si="2041">CP175-CQ175</f>
        <v>-6.9904151855789678</v>
      </c>
      <c r="CR216" s="23">
        <f t="shared" ref="CR216" si="2042">CQ175-CR175</f>
        <v>-377.84060039061069</v>
      </c>
      <c r="CS216" s="23">
        <f t="shared" ref="CS216" si="2043">CR175-CS175</f>
        <v>-25.973151723133242</v>
      </c>
      <c r="CT216" s="23">
        <f t="shared" ref="CT216" si="2044">CS175-CT175</f>
        <v>46.431960019332109</v>
      </c>
      <c r="CU216" s="23">
        <f t="shared" ref="CU216" si="2045">CT175-CU175</f>
        <v>7.0793272916093883</v>
      </c>
      <c r="CV216" s="23">
        <f t="shared" ref="CV216" si="2046">CU175-CV175</f>
        <v>-439.3329992507156</v>
      </c>
      <c r="CW216" s="23">
        <f t="shared" ref="CW216" si="2047">CV175-CW175</f>
        <v>-18.358875759364309</v>
      </c>
      <c r="CX216" s="23">
        <f t="shared" ref="CX216" si="2048">CW175-CX175</f>
        <v>67.374456763837998</v>
      </c>
      <c r="CY216" s="23">
        <f t="shared" ref="CY216" si="2049">CX175-CY175</f>
        <v>19.102248063913294</v>
      </c>
      <c r="CZ216" s="23">
        <f t="shared" ref="CZ216" si="2050">CY175-CZ175</f>
        <v>-517.54717876513541</v>
      </c>
      <c r="DA216" s="23">
        <f t="shared" ref="DA216" si="2051">CZ175-DA175</f>
        <v>-13.24694840572829</v>
      </c>
      <c r="DD216" s="120">
        <v>-98.274399999999957</v>
      </c>
    </row>
    <row r="217" spans="1:108" s="21" customFormat="1" x14ac:dyDescent="0.2">
      <c r="A217" s="21" t="s">
        <v>90</v>
      </c>
      <c r="C217" s="21">
        <f t="shared" ref="C217:W217" si="2052">C215-C216</f>
        <v>-0.78336991399997657</v>
      </c>
      <c r="D217" s="21">
        <f t="shared" si="2052"/>
        <v>51.317951435999994</v>
      </c>
      <c r="E217" s="21">
        <f t="shared" si="2052"/>
        <v>0</v>
      </c>
      <c r="F217" s="21">
        <f t="shared" si="2052"/>
        <v>0</v>
      </c>
      <c r="G217" s="21">
        <f t="shared" si="2052"/>
        <v>0</v>
      </c>
      <c r="H217" s="21">
        <f t="shared" si="2052"/>
        <v>0</v>
      </c>
      <c r="I217" s="21">
        <f t="shared" si="2052"/>
        <v>0</v>
      </c>
      <c r="J217" s="21">
        <f>J215-J216</f>
        <v>0</v>
      </c>
      <c r="K217" s="21">
        <f t="shared" si="2052"/>
        <v>0</v>
      </c>
      <c r="L217" s="21">
        <f t="shared" si="2052"/>
        <v>0</v>
      </c>
      <c r="M217" s="21">
        <f t="shared" si="2052"/>
        <v>0</v>
      </c>
      <c r="N217" s="21">
        <f t="shared" si="2052"/>
        <v>0</v>
      </c>
      <c r="O217" s="21">
        <f t="shared" si="2052"/>
        <v>0</v>
      </c>
      <c r="P217" s="21">
        <f t="shared" si="2052"/>
        <v>0</v>
      </c>
      <c r="Q217" s="21">
        <f t="shared" si="2052"/>
        <v>0</v>
      </c>
      <c r="R217" s="21">
        <f t="shared" si="2052"/>
        <v>0</v>
      </c>
      <c r="S217" s="21">
        <f t="shared" si="2052"/>
        <v>0</v>
      </c>
      <c r="T217" s="21">
        <f t="shared" si="2052"/>
        <v>0</v>
      </c>
      <c r="U217" s="21">
        <f t="shared" si="2052"/>
        <v>0</v>
      </c>
      <c r="V217" s="21">
        <f t="shared" si="2052"/>
        <v>0</v>
      </c>
      <c r="W217" s="21">
        <f t="shared" si="2052"/>
        <v>0</v>
      </c>
      <c r="X217" s="21">
        <f t="shared" ref="X217:Y217" si="2053">X215-X216</f>
        <v>0</v>
      </c>
      <c r="Y217" s="21">
        <f t="shared" si="2053"/>
        <v>-27.216899999999896</v>
      </c>
      <c r="Z217" s="21">
        <f t="shared" ref="Z217:AA217" si="2054">Z215-Z216</f>
        <v>-49.331400000000087</v>
      </c>
      <c r="AA217" s="21">
        <f t="shared" si="2054"/>
        <v>150.83009999999999</v>
      </c>
      <c r="AB217" s="20">
        <f t="shared" ref="AA217:AD217" si="2055">AB215-AB216</f>
        <v>72.223652638468764</v>
      </c>
      <c r="AC217" s="20">
        <f t="shared" si="2055"/>
        <v>58.978981034714252</v>
      </c>
      <c r="AD217" s="20">
        <f t="shared" si="2055"/>
        <v>61.712836003516259</v>
      </c>
      <c r="AE217" s="20">
        <f t="shared" ref="AE217" si="2056">AE215-AE216</f>
        <v>67.841180534322348</v>
      </c>
      <c r="AI217" s="21">
        <f t="shared" ref="AI217" si="2057">AI215-AI216</f>
        <v>0</v>
      </c>
      <c r="AJ217" s="21">
        <f t="shared" ref="AJ217:AL217" si="2058">AJ215-AJ216</f>
        <v>0</v>
      </c>
      <c r="AK217" s="21">
        <f t="shared" si="2058"/>
        <v>0</v>
      </c>
      <c r="AL217" s="21">
        <f t="shared" si="2058"/>
        <v>0</v>
      </c>
      <c r="AM217" s="21">
        <f t="shared" ref="AM217" si="2059">AM215-AM216</f>
        <v>0</v>
      </c>
      <c r="AN217" s="21">
        <f t="shared" ref="AN217:CD217" si="2060">AN215-AN216</f>
        <v>0</v>
      </c>
      <c r="AO217" s="21">
        <f t="shared" si="2060"/>
        <v>0</v>
      </c>
      <c r="AP217" s="21">
        <f t="shared" si="2060"/>
        <v>0</v>
      </c>
      <c r="AQ217" s="21">
        <f t="shared" si="2060"/>
        <v>0</v>
      </c>
      <c r="AR217" s="21">
        <f t="shared" si="2060"/>
        <v>0</v>
      </c>
      <c r="AS217" s="21">
        <f t="shared" si="2060"/>
        <v>0</v>
      </c>
      <c r="AT217" s="21">
        <f t="shared" si="2060"/>
        <v>0</v>
      </c>
      <c r="AU217" s="21">
        <f t="shared" si="2060"/>
        <v>0</v>
      </c>
      <c r="AV217" s="21">
        <f t="shared" si="2060"/>
        <v>0</v>
      </c>
      <c r="AW217" s="21">
        <f t="shared" si="2060"/>
        <v>0</v>
      </c>
      <c r="AX217" s="21">
        <f t="shared" si="2060"/>
        <v>0</v>
      </c>
      <c r="AY217" s="21">
        <f t="shared" si="2060"/>
        <v>0</v>
      </c>
      <c r="AZ217" s="21">
        <f t="shared" si="2060"/>
        <v>0</v>
      </c>
      <c r="BA217" s="21">
        <f t="shared" si="2060"/>
        <v>0</v>
      </c>
      <c r="BB217" s="21">
        <f t="shared" si="2060"/>
        <v>0</v>
      </c>
      <c r="BC217" s="21">
        <f t="shared" si="2060"/>
        <v>0</v>
      </c>
      <c r="BD217" s="21">
        <f t="shared" si="2060"/>
        <v>0</v>
      </c>
      <c r="BE217" s="21">
        <f t="shared" si="2060"/>
        <v>0</v>
      </c>
      <c r="BF217" s="21">
        <f t="shared" si="2060"/>
        <v>0</v>
      </c>
      <c r="BG217" s="21">
        <f t="shared" si="2060"/>
        <v>0</v>
      </c>
      <c r="BH217" s="21">
        <f t="shared" si="2060"/>
        <v>0</v>
      </c>
      <c r="BI217" s="21">
        <f t="shared" si="2060"/>
        <v>0</v>
      </c>
      <c r="BJ217" s="21">
        <f t="shared" si="2060"/>
        <v>0</v>
      </c>
      <c r="BK217" s="21">
        <f t="shared" si="2060"/>
        <v>0</v>
      </c>
      <c r="BL217" s="21">
        <f t="shared" si="2060"/>
        <v>0</v>
      </c>
      <c r="BM217" s="21">
        <f t="shared" si="2060"/>
        <v>0</v>
      </c>
      <c r="BN217" s="21">
        <f t="shared" si="2060"/>
        <v>0</v>
      </c>
      <c r="BO217" s="21">
        <f t="shared" si="2060"/>
        <v>0</v>
      </c>
      <c r="BP217" s="21">
        <f t="shared" si="2060"/>
        <v>0</v>
      </c>
      <c r="BQ217" s="21">
        <f t="shared" si="2060"/>
        <v>0</v>
      </c>
      <c r="BR217" s="21">
        <f t="shared" si="2060"/>
        <v>0</v>
      </c>
      <c r="BS217" s="21">
        <f t="shared" si="2060"/>
        <v>0</v>
      </c>
      <c r="BT217" s="21">
        <f t="shared" si="2060"/>
        <v>0</v>
      </c>
      <c r="BU217" s="21">
        <f t="shared" si="2060"/>
        <v>0</v>
      </c>
      <c r="BV217" s="21">
        <f t="shared" si="2060"/>
        <v>0</v>
      </c>
      <c r="BW217" s="21">
        <f t="shared" si="2060"/>
        <v>0</v>
      </c>
      <c r="BX217" s="21">
        <f t="shared" si="2060"/>
        <v>0</v>
      </c>
      <c r="BY217" s="21">
        <f t="shared" si="2060"/>
        <v>0</v>
      </c>
      <c r="BZ217" s="21">
        <f t="shared" si="2060"/>
        <v>0</v>
      </c>
      <c r="CA217" s="21">
        <f t="shared" si="2060"/>
        <v>0</v>
      </c>
      <c r="CB217" s="21">
        <f t="shared" si="2060"/>
        <v>0</v>
      </c>
      <c r="CC217" s="21">
        <f t="shared" si="2060"/>
        <v>-31.259000000000015</v>
      </c>
      <c r="CD217" s="21">
        <f t="shared" si="2060"/>
        <v>-38.290325372287782</v>
      </c>
      <c r="CE217" s="21">
        <f t="shared" ref="CE217:CF217" si="2061">CE215-CE216</f>
        <v>-12.67267462771224</v>
      </c>
      <c r="CF217" s="21">
        <f t="shared" si="2061"/>
        <v>12.731645352514249</v>
      </c>
      <c r="CG217" s="21">
        <f t="shared" ref="CG217:CH217" si="2062">CG215-CG216</f>
        <v>-7.0580453525143021</v>
      </c>
      <c r="CH217" s="21">
        <f t="shared" si="2062"/>
        <v>-147.73151952750237</v>
      </c>
      <c r="CI217" s="21">
        <f t="shared" ref="CI217:CJ217" si="2063">CI215-CI216</f>
        <v>201.79791952750247</v>
      </c>
      <c r="CJ217" s="21">
        <f t="shared" si="2063"/>
        <v>-22.953250273995991</v>
      </c>
      <c r="CK217" s="21">
        <f t="shared" ref="CK217:CL217" si="2064">CK215-CK216</f>
        <v>113.78425027399591</v>
      </c>
      <c r="CL217" s="21">
        <f t="shared" si="2064"/>
        <v>-46.778765630711973</v>
      </c>
      <c r="CM217" s="20">
        <f t="shared" ref="CM217:DA217" si="2065">CM215-CM216</f>
        <v>68.566176610222897</v>
      </c>
      <c r="CN217" s="20">
        <f t="shared" si="2065"/>
        <v>50.687604444446379</v>
      </c>
      <c r="CO217" s="20">
        <f t="shared" si="2065"/>
        <v>5.6814372145114476</v>
      </c>
      <c r="CP217" s="20">
        <f t="shared" si="2065"/>
        <v>-3.7451847903292901</v>
      </c>
      <c r="CQ217" s="20">
        <f t="shared" si="2065"/>
        <v>1.0673405875328399</v>
      </c>
      <c r="CR217" s="20">
        <f t="shared" si="2065"/>
        <v>57.69108095991237</v>
      </c>
      <c r="CS217" s="20">
        <f t="shared" si="2065"/>
        <v>3.9657442775983327</v>
      </c>
      <c r="CT217" s="20">
        <f t="shared" si="2065"/>
        <v>-7.0895238940270247</v>
      </c>
      <c r="CU217" s="20">
        <f t="shared" si="2065"/>
        <v>-1.0809162474859031</v>
      </c>
      <c r="CV217" s="20">
        <f t="shared" si="2065"/>
        <v>67.080127445097105</v>
      </c>
      <c r="CW217" s="20">
        <f t="shared" si="2065"/>
        <v>2.8031486999320805</v>
      </c>
      <c r="CX217" s="20">
        <f t="shared" si="2065"/>
        <v>-10.287156107031478</v>
      </c>
      <c r="CY217" s="20">
        <f t="shared" si="2065"/>
        <v>-2.9166514621040278</v>
      </c>
      <c r="CZ217" s="20">
        <f t="shared" si="2065"/>
        <v>79.022360645856224</v>
      </c>
      <c r="DA217" s="20">
        <f t="shared" si="2065"/>
        <v>2.0226274576016294</v>
      </c>
      <c r="DD217" s="122">
        <v>144.8973</v>
      </c>
    </row>
    <row r="218" spans="1:108" s="21" customFormat="1" x14ac:dyDescent="0.2">
      <c r="A218" s="21" t="s">
        <v>91</v>
      </c>
      <c r="C218" s="21">
        <f t="shared" ref="C218:W218" si="2066">C214+C217</f>
        <v>7.8493306890000376</v>
      </c>
      <c r="D218" s="21">
        <f>D214+D217</f>
        <v>51.317951435999994</v>
      </c>
      <c r="E218" s="21">
        <f t="shared" si="2066"/>
        <v>0</v>
      </c>
      <c r="F218" s="21">
        <f t="shared" si="2066"/>
        <v>0</v>
      </c>
      <c r="G218" s="21">
        <f t="shared" si="2066"/>
        <v>0</v>
      </c>
      <c r="H218" s="21">
        <f t="shared" si="2066"/>
        <v>0</v>
      </c>
      <c r="I218" s="21">
        <f t="shared" si="2066"/>
        <v>0</v>
      </c>
      <c r="J218" s="21">
        <f>J214+J217</f>
        <v>0</v>
      </c>
      <c r="K218" s="21">
        <f t="shared" si="2066"/>
        <v>0</v>
      </c>
      <c r="L218" s="21">
        <f t="shared" si="2066"/>
        <v>0</v>
      </c>
      <c r="M218" s="21">
        <f t="shared" si="2066"/>
        <v>0</v>
      </c>
      <c r="N218" s="21">
        <f t="shared" si="2066"/>
        <v>0</v>
      </c>
      <c r="O218" s="21">
        <f t="shared" si="2066"/>
        <v>0</v>
      </c>
      <c r="P218" s="21">
        <f t="shared" si="2066"/>
        <v>0</v>
      </c>
      <c r="Q218" s="21">
        <f t="shared" si="2066"/>
        <v>0</v>
      </c>
      <c r="R218" s="21">
        <f t="shared" si="2066"/>
        <v>0</v>
      </c>
      <c r="S218" s="21">
        <f t="shared" si="2066"/>
        <v>0</v>
      </c>
      <c r="T218" s="21">
        <f t="shared" si="2066"/>
        <v>0</v>
      </c>
      <c r="U218" s="21">
        <f t="shared" si="2066"/>
        <v>0</v>
      </c>
      <c r="V218" s="21">
        <f t="shared" si="2066"/>
        <v>0</v>
      </c>
      <c r="W218" s="21">
        <f t="shared" si="2066"/>
        <v>0</v>
      </c>
      <c r="X218" s="21">
        <f t="shared" ref="X218:Y218" si="2067">X214+X217</f>
        <v>0</v>
      </c>
      <c r="Y218" s="21">
        <f t="shared" si="2067"/>
        <v>-1.7262999999999167</v>
      </c>
      <c r="Z218" s="21">
        <f t="shared" ref="Z218:AA218" si="2068">Z214+Z217</f>
        <v>-48.742000000000104</v>
      </c>
      <c r="AA218" s="21">
        <f t="shared" si="2068"/>
        <v>167.29469999999998</v>
      </c>
      <c r="AB218" s="20">
        <f t="shared" ref="AA218:AD218" si="2069">AB214+AB217</f>
        <v>139.92565808520186</v>
      </c>
      <c r="AC218" s="20">
        <f t="shared" si="2069"/>
        <v>250.57881430815732</v>
      </c>
      <c r="AD218" s="20">
        <f t="shared" si="2069"/>
        <v>418.45382137942823</v>
      </c>
      <c r="AE218" s="20">
        <f t="shared" ref="AE218" si="2070">AE214+AE217</f>
        <v>627.17593347507784</v>
      </c>
      <c r="AI218" s="21">
        <f t="shared" ref="AI218" si="2071">AI214+AI217</f>
        <v>5.4949999999999939</v>
      </c>
      <c r="AJ218" s="21">
        <f t="shared" ref="AJ218:AL218" si="2072">AJ214+AJ217</f>
        <v>-2.6149999999999904</v>
      </c>
      <c r="AK218" s="21">
        <f t="shared" si="2072"/>
        <v>2.8520000000000043</v>
      </c>
      <c r="AL218" s="21">
        <f t="shared" si="2072"/>
        <v>-2.1220000000000163</v>
      </c>
      <c r="AM218" s="21">
        <f t="shared" ref="AM218" si="2073">AM214+AM217</f>
        <v>-11.676999999999992</v>
      </c>
      <c r="AN218" s="21">
        <f t="shared" ref="AN218:CD218" si="2074">AN214+AN217</f>
        <v>-16.371999999999993</v>
      </c>
      <c r="AO218" s="21">
        <f t="shared" si="2074"/>
        <v>13.77000000000001</v>
      </c>
      <c r="AP218" s="21">
        <f t="shared" si="2074"/>
        <v>0.34899999999998088</v>
      </c>
      <c r="AQ218" s="21">
        <f t="shared" si="2074"/>
        <v>0.34799999999999898</v>
      </c>
      <c r="AR218" s="21">
        <f t="shared" si="2074"/>
        <v>4.3350000000000017</v>
      </c>
      <c r="AS218" s="21">
        <f t="shared" si="2074"/>
        <v>1.6239999999999992</v>
      </c>
      <c r="AT218" s="21">
        <f t="shared" si="2074"/>
        <v>9.6699999999999928</v>
      </c>
      <c r="AU218" s="21">
        <f t="shared" si="2074"/>
        <v>2.3449999999999998</v>
      </c>
      <c r="AV218" s="21">
        <f t="shared" si="2074"/>
        <v>-1.408000000000001</v>
      </c>
      <c r="AW218" s="21">
        <f t="shared" si="2074"/>
        <v>5.7759999999999891</v>
      </c>
      <c r="AX218" s="21">
        <f t="shared" si="2074"/>
        <v>12.203000000000003</v>
      </c>
      <c r="AY218" s="21">
        <f t="shared" si="2074"/>
        <v>-7.0230000000000041</v>
      </c>
      <c r="AZ218" s="21">
        <f t="shared" si="2074"/>
        <v>1.3790000000000062</v>
      </c>
      <c r="BA218" s="21">
        <f t="shared" si="2074"/>
        <v>10.884000000000004</v>
      </c>
      <c r="BB218" s="21">
        <f t="shared" si="2074"/>
        <v>5.7389999999999937</v>
      </c>
      <c r="BC218" s="21">
        <f t="shared" si="2074"/>
        <v>1.4620000000000011</v>
      </c>
      <c r="BD218" s="21">
        <f t="shared" si="2074"/>
        <v>5.8469999999999995</v>
      </c>
      <c r="BE218" s="21">
        <f t="shared" si="2074"/>
        <v>4.3889999999999993</v>
      </c>
      <c r="BF218" s="21">
        <f t="shared" si="2074"/>
        <v>0.94400000000000706</v>
      </c>
      <c r="BG218" s="21">
        <f t="shared" si="2074"/>
        <v>4.7709999999999999</v>
      </c>
      <c r="BH218" s="21">
        <f t="shared" si="2074"/>
        <v>11.91</v>
      </c>
      <c r="BI218" s="21">
        <f t="shared" si="2074"/>
        <v>17.30899999999998</v>
      </c>
      <c r="BJ218" s="21">
        <f t="shared" si="2074"/>
        <v>6.8839999999999941</v>
      </c>
      <c r="BK218" s="21">
        <f t="shared" si="2074"/>
        <v>5.2209999999999885</v>
      </c>
      <c r="BL218" s="21">
        <f t="shared" si="2074"/>
        <v>11.232999999999992</v>
      </c>
      <c r="BM218" s="21">
        <f t="shared" si="2074"/>
        <v>7.0600000000000129</v>
      </c>
      <c r="BN218" s="21">
        <f t="shared" si="2074"/>
        <v>5.8979999999999988</v>
      </c>
      <c r="BO218" s="21">
        <f t="shared" si="2074"/>
        <v>-8.7999999999999989</v>
      </c>
      <c r="BP218" s="21">
        <f t="shared" si="2074"/>
        <v>-10.086999999999998</v>
      </c>
      <c r="BQ218" s="21">
        <f t="shared" si="2074"/>
        <v>2.6130000000000053</v>
      </c>
      <c r="BR218" s="21">
        <f t="shared" si="2074"/>
        <v>-7.7530000000000081</v>
      </c>
      <c r="BS218" s="21">
        <f t="shared" si="2074"/>
        <v>0.14800000000000701</v>
      </c>
      <c r="BT218" s="21">
        <f t="shared" si="2074"/>
        <v>3.3940000000000028</v>
      </c>
      <c r="BU218" s="21">
        <f t="shared" si="2074"/>
        <v>7.0849999999999955</v>
      </c>
      <c r="BV218" s="21">
        <f t="shared" si="2074"/>
        <v>-1.323999999999995</v>
      </c>
      <c r="BW218" s="21">
        <f t="shared" si="2074"/>
        <v>-4.2349999999999994</v>
      </c>
      <c r="BX218" s="21">
        <f t="shared" si="2074"/>
        <v>-1.8170000000000011</v>
      </c>
      <c r="BY218" s="21">
        <f t="shared" si="2074"/>
        <v>12.517000000000007</v>
      </c>
      <c r="BZ218" s="21">
        <f t="shared" si="2074"/>
        <v>11.568000000000005</v>
      </c>
      <c r="CA218" s="21">
        <f t="shared" si="2074"/>
        <v>5.6769999999999925</v>
      </c>
      <c r="CB218" s="21">
        <f t="shared" si="2074"/>
        <v>8.2330000000000112</v>
      </c>
      <c r="CC218" s="21">
        <f t="shared" si="2074"/>
        <v>-19.678000000000011</v>
      </c>
      <c r="CD218" s="21">
        <f t="shared" si="2074"/>
        <v>-33.3373253722878</v>
      </c>
      <c r="CE218" s="21">
        <f t="shared" ref="CE218:CF218" si="2075">CE214+CE217</f>
        <v>-11.147674627712247</v>
      </c>
      <c r="CF218" s="21">
        <f t="shared" si="2075"/>
        <v>6.7036453525142576</v>
      </c>
      <c r="CG218" s="21">
        <f t="shared" ref="CG218:CH218" si="2076">CG214+CG217</f>
        <v>-6.9160453525143062</v>
      </c>
      <c r="CH218" s="21">
        <f t="shared" si="2076"/>
        <v>-148.16851952750238</v>
      </c>
      <c r="CI218" s="21">
        <f t="shared" ref="CI218:CJ218" si="2077">CI214+CI217</f>
        <v>205.04991952750245</v>
      </c>
      <c r="CJ218" s="21">
        <f t="shared" si="2077"/>
        <v>-12.483250273996008</v>
      </c>
      <c r="CK218" s="21">
        <f t="shared" ref="CK218:CL218" si="2078">CK214+CK217</f>
        <v>108.44705027399591</v>
      </c>
      <c r="CL218" s="21">
        <f t="shared" si="2078"/>
        <v>-36.140765630711968</v>
      </c>
      <c r="CM218" s="20">
        <f t="shared" ref="CM218:DA218" si="2079">CM214+CM217</f>
        <v>66.604097720005768</v>
      </c>
      <c r="CN218" s="20">
        <f t="shared" si="2079"/>
        <v>77.501054441792007</v>
      </c>
      <c r="CO218" s="20">
        <f t="shared" si="2079"/>
        <v>37.894071554115904</v>
      </c>
      <c r="CP218" s="20">
        <f t="shared" si="2079"/>
        <v>23.049580557025546</v>
      </c>
      <c r="CQ218" s="20">
        <f t="shared" si="2079"/>
        <v>30.360070624182352</v>
      </c>
      <c r="CR218" s="20">
        <f t="shared" si="2079"/>
        <v>122.59128651030147</v>
      </c>
      <c r="CS218" s="20">
        <f t="shared" si="2079"/>
        <v>74.577876616647828</v>
      </c>
      <c r="CT218" s="20">
        <f t="shared" si="2079"/>
        <v>56.341476381121822</v>
      </c>
      <c r="CU218" s="20">
        <f t="shared" si="2079"/>
        <v>64.483734858117813</v>
      </c>
      <c r="CV218" s="20">
        <f t="shared" si="2079"/>
        <v>177.79185643862775</v>
      </c>
      <c r="CW218" s="20">
        <f t="shared" si="2079"/>
        <v>119.83675370156048</v>
      </c>
      <c r="CX218" s="20">
        <f t="shared" si="2079"/>
        <v>97.62710912649807</v>
      </c>
      <c r="CY218" s="20">
        <f t="shared" si="2079"/>
        <v>106.86804172057491</v>
      </c>
      <c r="CZ218" s="20">
        <f t="shared" si="2079"/>
        <v>246.21244968808358</v>
      </c>
      <c r="DA218" s="20">
        <f t="shared" si="2079"/>
        <v>176.46833293992157</v>
      </c>
      <c r="DD218" s="122">
        <v>126.8023</v>
      </c>
    </row>
    <row r="219" spans="1:108" s="22" customFormat="1" x14ac:dyDescent="0.2">
      <c r="AB219" s="23"/>
      <c r="AC219" s="23"/>
      <c r="AD219" s="23"/>
      <c r="AE219" s="23"/>
      <c r="CM219" s="23"/>
      <c r="CN219" s="23"/>
      <c r="CO219" s="23"/>
      <c r="CP219" s="23"/>
      <c r="CQ219" s="23"/>
      <c r="CR219" s="23"/>
      <c r="CS219" s="23"/>
      <c r="CT219" s="23"/>
      <c r="CU219" s="23"/>
      <c r="CV219" s="23"/>
      <c r="CW219" s="23"/>
      <c r="CX219" s="23"/>
      <c r="CY219" s="23"/>
      <c r="CZ219" s="23"/>
      <c r="DA219" s="23"/>
      <c r="DD219" s="120"/>
    </row>
    <row r="220" spans="1:108" s="21" customFormat="1" x14ac:dyDescent="0.2">
      <c r="A220" s="21" t="s">
        <v>92</v>
      </c>
      <c r="C220" s="21">
        <f t="shared" ref="C220:W220" si="2080">C221+C222</f>
        <v>-3.2008240809999968</v>
      </c>
      <c r="D220" s="21">
        <f>D221+D222</f>
        <v>25.523382116000001</v>
      </c>
      <c r="E220" s="21">
        <f t="shared" si="2080"/>
        <v>0</v>
      </c>
      <c r="F220" s="21">
        <f t="shared" si="2080"/>
        <v>0</v>
      </c>
      <c r="G220" s="21">
        <f t="shared" si="2080"/>
        <v>0</v>
      </c>
      <c r="H220" s="21">
        <f t="shared" si="2080"/>
        <v>0</v>
      </c>
      <c r="I220" s="21">
        <f t="shared" si="2080"/>
        <v>0</v>
      </c>
      <c r="J220" s="21">
        <f t="shared" si="2080"/>
        <v>0</v>
      </c>
      <c r="K220" s="21">
        <f t="shared" si="2080"/>
        <v>0</v>
      </c>
      <c r="L220" s="21">
        <f t="shared" si="2080"/>
        <v>0</v>
      </c>
      <c r="M220" s="21">
        <f t="shared" si="2080"/>
        <v>0</v>
      </c>
      <c r="N220" s="21">
        <f t="shared" si="2080"/>
        <v>0</v>
      </c>
      <c r="O220" s="21">
        <f t="shared" si="2080"/>
        <v>0</v>
      </c>
      <c r="P220" s="21">
        <f t="shared" si="2080"/>
        <v>0</v>
      </c>
      <c r="Q220" s="21">
        <f t="shared" si="2080"/>
        <v>0</v>
      </c>
      <c r="R220" s="21">
        <f t="shared" si="2080"/>
        <v>0</v>
      </c>
      <c r="S220" s="21">
        <f t="shared" si="2080"/>
        <v>0</v>
      </c>
      <c r="T220" s="21">
        <f t="shared" si="2080"/>
        <v>0</v>
      </c>
      <c r="U220" s="21">
        <f t="shared" si="2080"/>
        <v>0</v>
      </c>
      <c r="V220" s="21">
        <f t="shared" si="2080"/>
        <v>0</v>
      </c>
      <c r="W220" s="21">
        <f t="shared" si="2080"/>
        <v>0</v>
      </c>
      <c r="X220" s="21">
        <f t="shared" ref="X220:Y220" si="2081">X221+X222</f>
        <v>0</v>
      </c>
      <c r="Y220" s="21">
        <f t="shared" si="2081"/>
        <v>-57.562299999999993</v>
      </c>
      <c r="Z220" s="21">
        <f t="shared" ref="Z220:AA220" si="2082">Z221+Z222</f>
        <v>-14.337900000000012</v>
      </c>
      <c r="AA220" s="21">
        <f t="shared" si="2082"/>
        <v>-1.9960999999999842</v>
      </c>
      <c r="AB220" s="20">
        <f t="shared" ref="AA220:AD220" si="2083">AB221+AB222</f>
        <v>-7.1762999999999977</v>
      </c>
      <c r="AC220" s="20">
        <f t="shared" si="2083"/>
        <v>-13.108000000000004</v>
      </c>
      <c r="AD220" s="20">
        <f t="shared" si="2083"/>
        <v>-13.107999999999997</v>
      </c>
      <c r="AE220" s="20">
        <f t="shared" ref="AE220" si="2084">AE221+AE222</f>
        <v>-13.107999999999997</v>
      </c>
      <c r="AI220" s="21">
        <f t="shared" ref="AI220" si="2085">AI221+AI222</f>
        <v>-1.03</v>
      </c>
      <c r="AJ220" s="21">
        <f t="shared" ref="AJ220:AL220" si="2086">AJ221+AJ222</f>
        <v>-1.1020000000000001</v>
      </c>
      <c r="AK220" s="21">
        <f t="shared" si="2086"/>
        <v>-1.157</v>
      </c>
      <c r="AL220" s="21">
        <f t="shared" si="2086"/>
        <v>-1.3149999999999999</v>
      </c>
      <c r="AM220" s="21">
        <f t="shared" ref="AM220" si="2087">AM221+AM222</f>
        <v>-2.081</v>
      </c>
      <c r="AN220" s="21">
        <f t="shared" ref="AN220:CD220" si="2088">AN221+AN222</f>
        <v>-2.1360000000000001</v>
      </c>
      <c r="AO220" s="21">
        <f t="shared" si="2088"/>
        <v>-2.2389999999999999</v>
      </c>
      <c r="AP220" s="21">
        <f t="shared" si="2088"/>
        <v>-1.925</v>
      </c>
      <c r="AQ220" s="21">
        <f t="shared" si="2088"/>
        <v>-2.984</v>
      </c>
      <c r="AR220" s="21">
        <f t="shared" si="2088"/>
        <v>-0.11799999999999999</v>
      </c>
      <c r="AS220" s="21">
        <f t="shared" si="2088"/>
        <v>-1.5049999999999999</v>
      </c>
      <c r="AT220" s="21">
        <f t="shared" si="2088"/>
        <v>-1.895</v>
      </c>
      <c r="AU220" s="21">
        <f t="shared" si="2088"/>
        <v>-1.409</v>
      </c>
      <c r="AV220" s="21">
        <f t="shared" si="2088"/>
        <v>-1.3939999999999999</v>
      </c>
      <c r="AW220" s="21">
        <f t="shared" si="2088"/>
        <v>-1.48</v>
      </c>
      <c r="AX220" s="21">
        <f t="shared" si="2088"/>
        <v>-1.5089999999999999</v>
      </c>
      <c r="AY220" s="21">
        <f t="shared" si="2088"/>
        <v>-1.325</v>
      </c>
      <c r="AZ220" s="21">
        <f t="shared" si="2088"/>
        <v>-1.3580000000000001</v>
      </c>
      <c r="BA220" s="21">
        <f t="shared" si="2088"/>
        <v>-1.3440000000000001</v>
      </c>
      <c r="BB220" s="21">
        <f t="shared" si="2088"/>
        <v>-1.159</v>
      </c>
      <c r="BC220" s="21">
        <f t="shared" si="2088"/>
        <v>-1.2689999999999999</v>
      </c>
      <c r="BD220" s="21">
        <f t="shared" si="2088"/>
        <v>-1.3240000000000001</v>
      </c>
      <c r="BE220" s="21">
        <f t="shared" si="2088"/>
        <v>-1.3879999999999999</v>
      </c>
      <c r="BF220" s="21">
        <f t="shared" si="2088"/>
        <v>-1.9419999999999999</v>
      </c>
      <c r="BG220" s="21">
        <f t="shared" si="2088"/>
        <v>-1.4330000000000001</v>
      </c>
      <c r="BH220" s="21">
        <f t="shared" si="2088"/>
        <v>-1.478</v>
      </c>
      <c r="BI220" s="21">
        <f t="shared" si="2088"/>
        <v>-1.4590000000000001</v>
      </c>
      <c r="BJ220" s="21">
        <f t="shared" si="2088"/>
        <v>-1.405</v>
      </c>
      <c r="BK220" s="21">
        <f t="shared" si="2088"/>
        <v>-1.4490000000000001</v>
      </c>
      <c r="BL220" s="21">
        <f t="shared" si="2088"/>
        <v>-1.4370000000000001</v>
      </c>
      <c r="BM220" s="21">
        <f t="shared" si="2088"/>
        <v>-1.41</v>
      </c>
      <c r="BN220" s="21">
        <f t="shared" si="2088"/>
        <v>-1.3720000000000001</v>
      </c>
      <c r="BO220" s="21">
        <f t="shared" si="2088"/>
        <v>-1.2969999999999999</v>
      </c>
      <c r="BP220" s="21">
        <f t="shared" si="2088"/>
        <v>-1.27</v>
      </c>
      <c r="BQ220" s="21">
        <f t="shared" si="2088"/>
        <v>-1.2589999999999999</v>
      </c>
      <c r="BR220" s="21">
        <f t="shared" si="2088"/>
        <v>-1.2070000000000001</v>
      </c>
      <c r="BS220" s="21">
        <f t="shared" si="2088"/>
        <v>-1.1950000000000001</v>
      </c>
      <c r="BT220" s="21">
        <f t="shared" si="2088"/>
        <v>-1.1950000000000001</v>
      </c>
      <c r="BU220" s="21">
        <f t="shared" si="2088"/>
        <v>-1.1419999999999999</v>
      </c>
      <c r="BV220" s="21">
        <f t="shared" si="2088"/>
        <v>-1.1299999999999999</v>
      </c>
      <c r="BW220" s="21">
        <f t="shared" si="2088"/>
        <v>-1.1100000000000001</v>
      </c>
      <c r="BX220" s="21">
        <f t="shared" si="2088"/>
        <v>-1.129</v>
      </c>
      <c r="BY220" s="21">
        <f t="shared" si="2088"/>
        <v>-1.133</v>
      </c>
      <c r="BZ220" s="21">
        <f t="shared" si="2088"/>
        <v>-1.7749999999999999</v>
      </c>
      <c r="CA220" s="21">
        <f t="shared" si="2088"/>
        <v>-1.34</v>
      </c>
      <c r="CB220" s="21">
        <f t="shared" si="2088"/>
        <v>-1.2490000000000001</v>
      </c>
      <c r="CC220" s="21">
        <f t="shared" si="2088"/>
        <v>-50.929000000000002</v>
      </c>
      <c r="CD220" s="21">
        <f t="shared" si="2088"/>
        <v>-1.3340000000000032</v>
      </c>
      <c r="CE220" s="21">
        <f t="shared" ref="CE220:CF220" si="2089">CE221+CE222</f>
        <v>-3.8740000000000023</v>
      </c>
      <c r="CF220" s="21">
        <f t="shared" si="2089"/>
        <v>-1.4690000000000012</v>
      </c>
      <c r="CG220" s="21">
        <f t="shared" ref="CG220:CH220" si="2090">CG221+CG222</f>
        <v>-11.704300000000003</v>
      </c>
      <c r="CH220" s="21">
        <f t="shared" si="2090"/>
        <v>-2.4769999999999968</v>
      </c>
      <c r="CI220" s="21">
        <f t="shared" ref="CI220:CJ220" si="2091">CI221+CI222</f>
        <v>4.268300000000008</v>
      </c>
      <c r="CJ220" s="21">
        <f t="shared" si="2091"/>
        <v>-1.5499999999999972</v>
      </c>
      <c r="CK220" s="21">
        <f t="shared" ref="CK220:CL220" si="2092">CK221+CK222</f>
        <v>0.69890000000000452</v>
      </c>
      <c r="CL220" s="21">
        <f t="shared" si="2092"/>
        <v>-3.277000000000001</v>
      </c>
      <c r="CM220" s="20">
        <f t="shared" ref="CM220:DA220" si="2093">CM221+CM222</f>
        <v>-3.277000000000001</v>
      </c>
      <c r="CN220" s="20">
        <f t="shared" si="2093"/>
        <v>-3.277000000000001</v>
      </c>
      <c r="CO220" s="20">
        <f t="shared" si="2093"/>
        <v>-3.277000000000001</v>
      </c>
      <c r="CP220" s="20">
        <f t="shared" si="2093"/>
        <v>-3.277000000000001</v>
      </c>
      <c r="CQ220" s="20">
        <f t="shared" si="2093"/>
        <v>-3.277000000000001</v>
      </c>
      <c r="CR220" s="20">
        <f t="shared" si="2093"/>
        <v>-3.277000000000001</v>
      </c>
      <c r="CS220" s="20">
        <f t="shared" si="2093"/>
        <v>-3.277000000000001</v>
      </c>
      <c r="CT220" s="20">
        <f t="shared" si="2093"/>
        <v>-3.277000000000001</v>
      </c>
      <c r="CU220" s="20">
        <f t="shared" si="2093"/>
        <v>-3.277000000000001</v>
      </c>
      <c r="CV220" s="20">
        <f t="shared" si="2093"/>
        <v>-3.277000000000001</v>
      </c>
      <c r="CW220" s="20">
        <f t="shared" si="2093"/>
        <v>-3.277000000000001</v>
      </c>
      <c r="CX220" s="20">
        <f t="shared" si="2093"/>
        <v>-3.277000000000001</v>
      </c>
      <c r="CY220" s="20">
        <f t="shared" si="2093"/>
        <v>-3.277000000000001</v>
      </c>
      <c r="CZ220" s="20">
        <f t="shared" si="2093"/>
        <v>-3.277000000000001</v>
      </c>
      <c r="DA220" s="20">
        <f t="shared" si="2093"/>
        <v>-3.277000000000001</v>
      </c>
      <c r="DD220" s="122">
        <v>-0.99459999999999127</v>
      </c>
    </row>
    <row r="221" spans="1:108" s="22" customFormat="1" x14ac:dyDescent="0.2">
      <c r="A221" s="22" t="s">
        <v>93</v>
      </c>
      <c r="C221" s="22">
        <f t="shared" ref="C221:AA221" si="2094">B159-C159</f>
        <v>0</v>
      </c>
      <c r="D221" s="22">
        <f t="shared" si="2094"/>
        <v>0.51026119999999997</v>
      </c>
      <c r="E221" s="22">
        <f>D159-E159</f>
        <v>0</v>
      </c>
      <c r="F221" s="22">
        <f t="shared" si="2094"/>
        <v>0</v>
      </c>
      <c r="G221" s="22">
        <f t="shared" si="2094"/>
        <v>0</v>
      </c>
      <c r="H221" s="22">
        <f t="shared" si="2094"/>
        <v>0</v>
      </c>
      <c r="I221" s="22">
        <f t="shared" si="2094"/>
        <v>0</v>
      </c>
      <c r="J221" s="22">
        <f>I159-J159</f>
        <v>0</v>
      </c>
      <c r="K221" s="22">
        <f>J159-K159</f>
        <v>0</v>
      </c>
      <c r="L221" s="22">
        <f t="shared" si="2094"/>
        <v>0</v>
      </c>
      <c r="M221" s="22">
        <f t="shared" si="2094"/>
        <v>0</v>
      </c>
      <c r="N221" s="22">
        <f t="shared" si="2094"/>
        <v>0</v>
      </c>
      <c r="O221" s="22">
        <f t="shared" si="2094"/>
        <v>0</v>
      </c>
      <c r="P221" s="22">
        <f t="shared" si="2094"/>
        <v>0</v>
      </c>
      <c r="Q221" s="22">
        <f t="shared" si="2094"/>
        <v>0</v>
      </c>
      <c r="R221" s="22">
        <f t="shared" si="2094"/>
        <v>0</v>
      </c>
      <c r="S221" s="22">
        <f t="shared" si="2094"/>
        <v>0</v>
      </c>
      <c r="T221" s="22">
        <f t="shared" si="2094"/>
        <v>0</v>
      </c>
      <c r="U221" s="22">
        <f t="shared" si="2094"/>
        <v>0</v>
      </c>
      <c r="V221" s="22">
        <f t="shared" si="2094"/>
        <v>0</v>
      </c>
      <c r="W221" s="22">
        <f t="shared" si="2094"/>
        <v>0</v>
      </c>
      <c r="X221" s="22">
        <f t="shared" si="2094"/>
        <v>0</v>
      </c>
      <c r="Y221" s="22">
        <f t="shared" si="2094"/>
        <v>0</v>
      </c>
      <c r="Z221" s="22">
        <f t="shared" si="2094"/>
        <v>0</v>
      </c>
      <c r="AA221" s="22">
        <f t="shared" si="2094"/>
        <v>0</v>
      </c>
      <c r="AB221" s="23">
        <f t="shared" ref="AB221" si="2095">AA159-AB159</f>
        <v>0</v>
      </c>
      <c r="AC221" s="23">
        <f t="shared" ref="AC221" si="2096">AB159-AC159</f>
        <v>0</v>
      </c>
      <c r="AD221" s="23">
        <f t="shared" ref="AD221" si="2097">AC159-AD159</f>
        <v>0</v>
      </c>
      <c r="AE221" s="23">
        <f t="shared" ref="AE221" si="2098">AD159-AE159</f>
        <v>0</v>
      </c>
      <c r="AI221" s="22">
        <f t="shared" ref="AI221" si="2099">AH159-AI159</f>
        <v>0</v>
      </c>
      <c r="AJ221" s="22">
        <f t="shared" ref="AJ221" si="2100">AI159-AJ159</f>
        <v>0</v>
      </c>
      <c r="AK221" s="22">
        <f t="shared" ref="AK221" si="2101">AJ159-AK159</f>
        <v>0</v>
      </c>
      <c r="AL221" s="22">
        <f t="shared" ref="AL221" si="2102">AK159-AL159</f>
        <v>0</v>
      </c>
      <c r="AM221" s="22">
        <f t="shared" ref="AM221" si="2103">AL159-AM159</f>
        <v>0</v>
      </c>
      <c r="AN221" s="22">
        <f t="shared" ref="AN221" si="2104">AM159-AN159</f>
        <v>0</v>
      </c>
      <c r="AO221" s="22">
        <f t="shared" ref="AO221" si="2105">AN159-AO159</f>
        <v>0</v>
      </c>
      <c r="AP221" s="22">
        <f t="shared" ref="AP221" si="2106">AO159-AP159</f>
        <v>0</v>
      </c>
      <c r="AQ221" s="22">
        <f t="shared" ref="AQ221" si="2107">AP159-AQ159</f>
        <v>0</v>
      </c>
      <c r="AR221" s="22">
        <f t="shared" ref="AR221" si="2108">AQ159-AR159</f>
        <v>0</v>
      </c>
      <c r="AS221" s="22">
        <f t="shared" ref="AS221" si="2109">AR159-AS159</f>
        <v>0</v>
      </c>
      <c r="AT221" s="22">
        <f t="shared" ref="AT221" si="2110">AS159-AT159</f>
        <v>0</v>
      </c>
      <c r="AU221" s="22">
        <f t="shared" ref="AU221" si="2111">AT159-AU159</f>
        <v>0</v>
      </c>
      <c r="AV221" s="22">
        <f t="shared" ref="AV221" si="2112">AU159-AV159</f>
        <v>0</v>
      </c>
      <c r="AW221" s="22">
        <f t="shared" ref="AW221" si="2113">AV159-AW159</f>
        <v>0</v>
      </c>
      <c r="AX221" s="22">
        <f t="shared" ref="AX221" si="2114">AW159-AX159</f>
        <v>0</v>
      </c>
      <c r="AY221" s="22">
        <f t="shared" ref="AY221" si="2115">AX159-AY159</f>
        <v>0</v>
      </c>
      <c r="AZ221" s="22">
        <f t="shared" ref="AZ221" si="2116">AY159-AZ159</f>
        <v>0</v>
      </c>
      <c r="BA221" s="22">
        <f t="shared" ref="BA221" si="2117">AZ159-BA159</f>
        <v>0</v>
      </c>
      <c r="BB221" s="22">
        <f t="shared" ref="BB221" si="2118">BA159-BB159</f>
        <v>0</v>
      </c>
      <c r="BC221" s="22">
        <f t="shared" ref="BC221" si="2119">BB159-BC159</f>
        <v>0</v>
      </c>
      <c r="BD221" s="22">
        <f t="shared" ref="BD221" si="2120">BC159-BD159</f>
        <v>0</v>
      </c>
      <c r="BE221" s="22">
        <f t="shared" ref="BE221" si="2121">BD159-BE159</f>
        <v>0</v>
      </c>
      <c r="BF221" s="22">
        <f t="shared" ref="BF221" si="2122">BE159-BF159</f>
        <v>0</v>
      </c>
      <c r="BG221" s="22">
        <f t="shared" ref="BG221" si="2123">BF159-BG159</f>
        <v>0</v>
      </c>
      <c r="BH221" s="22">
        <f t="shared" ref="BH221" si="2124">BG159-BH159</f>
        <v>0</v>
      </c>
      <c r="BI221" s="22">
        <f t="shared" ref="BI221" si="2125">BH159-BI159</f>
        <v>0</v>
      </c>
      <c r="BJ221" s="22">
        <f t="shared" ref="BJ221" si="2126">BI159-BJ159</f>
        <v>0</v>
      </c>
      <c r="BK221" s="22">
        <f t="shared" ref="BK221" si="2127">BJ159-BK159</f>
        <v>0</v>
      </c>
      <c r="BL221" s="22">
        <f t="shared" ref="BL221" si="2128">BK159-BL159</f>
        <v>0</v>
      </c>
      <c r="BM221" s="22">
        <f t="shared" ref="BM221" si="2129">BL159-BM159</f>
        <v>0</v>
      </c>
      <c r="BN221" s="22">
        <f t="shared" ref="BN221" si="2130">BM159-BN159</f>
        <v>0</v>
      </c>
      <c r="BO221" s="22">
        <f t="shared" ref="BO221" si="2131">BN159-BO159</f>
        <v>0</v>
      </c>
      <c r="BP221" s="22">
        <f t="shared" ref="BP221" si="2132">BO159-BP159</f>
        <v>0</v>
      </c>
      <c r="BQ221" s="22">
        <f t="shared" ref="BQ221" si="2133">BP159-BQ159</f>
        <v>0</v>
      </c>
      <c r="BR221" s="22">
        <f t="shared" ref="BR221" si="2134">BQ159-BR159</f>
        <v>0</v>
      </c>
      <c r="BS221" s="22">
        <f t="shared" ref="BS221" si="2135">BR159-BS159</f>
        <v>0</v>
      </c>
      <c r="BT221" s="22">
        <f t="shared" ref="BT221" si="2136">BS159-BT159</f>
        <v>0</v>
      </c>
      <c r="BU221" s="22">
        <f t="shared" ref="BU221" si="2137">BT159-BU159</f>
        <v>0</v>
      </c>
      <c r="BV221" s="22">
        <f t="shared" ref="BV221" si="2138">BU159-BV159</f>
        <v>0</v>
      </c>
      <c r="BW221" s="22">
        <f t="shared" ref="BW221" si="2139">BV159-BW159</f>
        <v>0</v>
      </c>
      <c r="BX221" s="22">
        <f t="shared" ref="BX221" si="2140">BW159-BX159</f>
        <v>0</v>
      </c>
      <c r="BY221" s="22">
        <f t="shared" ref="BY221" si="2141">BX159-BY159</f>
        <v>0</v>
      </c>
      <c r="BZ221" s="22">
        <f t="shared" ref="BZ221" si="2142">BY159-BZ159</f>
        <v>0</v>
      </c>
      <c r="CA221" s="22">
        <f t="shared" ref="CA221" si="2143">BZ159-CA159</f>
        <v>0</v>
      </c>
      <c r="CB221" s="22">
        <f t="shared" ref="CB221" si="2144">CA159-CB159</f>
        <v>0</v>
      </c>
      <c r="CC221" s="22">
        <f t="shared" ref="CC221" si="2145">CB159-CC159</f>
        <v>0</v>
      </c>
      <c r="CD221" s="22">
        <f t="shared" ref="CD221" si="2146">CC159-CD159</f>
        <v>0</v>
      </c>
      <c r="CE221" s="22">
        <f t="shared" ref="CE221" si="2147">CD159-CE159</f>
        <v>0</v>
      </c>
      <c r="CF221" s="22">
        <f t="shared" ref="CF221" si="2148">CE159-CF159</f>
        <v>0</v>
      </c>
      <c r="CG221" s="22">
        <f t="shared" ref="CG221" si="2149">CF159-CG159</f>
        <v>0</v>
      </c>
      <c r="CH221" s="22">
        <f t="shared" ref="CH221:CL221" si="2150">CG159-CH159</f>
        <v>0</v>
      </c>
      <c r="CI221" s="22">
        <f t="shared" si="2150"/>
        <v>-4.4340000000000002</v>
      </c>
      <c r="CJ221" s="22">
        <f t="shared" si="2150"/>
        <v>0</v>
      </c>
      <c r="CK221" s="22">
        <f t="shared" si="2150"/>
        <v>4.4340000000000002</v>
      </c>
      <c r="CL221" s="22">
        <f t="shared" si="2150"/>
        <v>0</v>
      </c>
      <c r="CM221" s="23">
        <f t="shared" ref="CM221" si="2151">CL159-CM159</f>
        <v>0</v>
      </c>
      <c r="CN221" s="23">
        <f t="shared" ref="CN221" si="2152">CM159-CN159</f>
        <v>0</v>
      </c>
      <c r="CO221" s="23">
        <f t="shared" ref="CO221" si="2153">CN159-CO159</f>
        <v>0</v>
      </c>
      <c r="CP221" s="23">
        <f t="shared" ref="CP221" si="2154">CO159-CP159</f>
        <v>0</v>
      </c>
      <c r="CQ221" s="23">
        <f t="shared" ref="CQ221" si="2155">CP159-CQ159</f>
        <v>0</v>
      </c>
      <c r="CR221" s="23">
        <f t="shared" ref="CR221" si="2156">CQ159-CR159</f>
        <v>0</v>
      </c>
      <c r="CS221" s="23">
        <f t="shared" ref="CS221" si="2157">CR159-CS159</f>
        <v>0</v>
      </c>
      <c r="CT221" s="23">
        <f t="shared" ref="CT221" si="2158">CS159-CT159</f>
        <v>0</v>
      </c>
      <c r="CU221" s="23">
        <f t="shared" ref="CU221" si="2159">CT159-CU159</f>
        <v>0</v>
      </c>
      <c r="CV221" s="23">
        <f t="shared" ref="CV221" si="2160">CU159-CV159</f>
        <v>0</v>
      </c>
      <c r="CW221" s="23">
        <f t="shared" ref="CW221" si="2161">CV159-CW159</f>
        <v>0</v>
      </c>
      <c r="CX221" s="23">
        <f t="shared" ref="CX221" si="2162">CW159-CX159</f>
        <v>0</v>
      </c>
      <c r="CY221" s="23">
        <f t="shared" ref="CY221" si="2163">CX159-CY159</f>
        <v>0</v>
      </c>
      <c r="CZ221" s="23">
        <f t="shared" ref="CZ221" si="2164">CY159-CZ159</f>
        <v>0</v>
      </c>
      <c r="DA221" s="23">
        <f t="shared" ref="DA221" si="2165">CZ159-DA159</f>
        <v>0</v>
      </c>
      <c r="DD221" s="120">
        <v>0</v>
      </c>
    </row>
    <row r="222" spans="1:108" s="22" customFormat="1" x14ac:dyDescent="0.2">
      <c r="A222" s="22" t="s">
        <v>94</v>
      </c>
      <c r="C222" s="22">
        <f t="shared" ref="C222:AE222" si="2166">B157-C51-C157</f>
        <v>-3.2008240809999968</v>
      </c>
      <c r="D222" s="22">
        <f t="shared" si="2166"/>
        <v>25.013120916000002</v>
      </c>
      <c r="E222" s="22">
        <f t="shared" si="2166"/>
        <v>0</v>
      </c>
      <c r="F222" s="22">
        <f t="shared" si="2166"/>
        <v>0</v>
      </c>
      <c r="G222" s="22">
        <f t="shared" si="2166"/>
        <v>0</v>
      </c>
      <c r="H222" s="22">
        <f t="shared" si="2166"/>
        <v>0</v>
      </c>
      <c r="I222" s="22">
        <f t="shared" si="2166"/>
        <v>0</v>
      </c>
      <c r="J222" s="22">
        <f t="shared" si="2166"/>
        <v>0</v>
      </c>
      <c r="K222" s="22">
        <f t="shared" si="2166"/>
        <v>0</v>
      </c>
      <c r="L222" s="22">
        <f t="shared" si="2166"/>
        <v>0</v>
      </c>
      <c r="M222" s="22">
        <f t="shared" si="2166"/>
        <v>0</v>
      </c>
      <c r="N222" s="22">
        <f t="shared" si="2166"/>
        <v>0</v>
      </c>
      <c r="O222" s="22">
        <f t="shared" si="2166"/>
        <v>0</v>
      </c>
      <c r="P222" s="22">
        <f t="shared" si="2166"/>
        <v>0</v>
      </c>
      <c r="Q222" s="22">
        <f t="shared" si="2166"/>
        <v>0</v>
      </c>
      <c r="R222" s="22">
        <f t="shared" si="2166"/>
        <v>0</v>
      </c>
      <c r="S222" s="22">
        <f t="shared" si="2166"/>
        <v>0</v>
      </c>
      <c r="T222" s="22">
        <f t="shared" si="2166"/>
        <v>0</v>
      </c>
      <c r="U222" s="22">
        <f t="shared" si="2166"/>
        <v>0</v>
      </c>
      <c r="V222" s="22">
        <f t="shared" si="2166"/>
        <v>0</v>
      </c>
      <c r="W222" s="22">
        <f t="shared" si="2166"/>
        <v>0</v>
      </c>
      <c r="X222" s="22">
        <f t="shared" si="2166"/>
        <v>0</v>
      </c>
      <c r="Y222" s="22">
        <f t="shared" si="2166"/>
        <v>-57.562299999999993</v>
      </c>
      <c r="Z222" s="22">
        <f t="shared" si="2166"/>
        <v>-14.337900000000012</v>
      </c>
      <c r="AA222" s="22">
        <f t="shared" si="2166"/>
        <v>-1.9960999999999842</v>
      </c>
      <c r="AB222" s="23">
        <f t="shared" si="2166"/>
        <v>-7.1762999999999977</v>
      </c>
      <c r="AC222" s="23">
        <f t="shared" si="2166"/>
        <v>-13.108000000000004</v>
      </c>
      <c r="AD222" s="23">
        <f t="shared" si="2166"/>
        <v>-13.107999999999997</v>
      </c>
      <c r="AE222" s="23">
        <f t="shared" si="2166"/>
        <v>-13.107999999999997</v>
      </c>
      <c r="AI222" s="22">
        <f t="shared" ref="AI222:BN222" si="2167">AH157-AI51-AI157</f>
        <v>-1.03</v>
      </c>
      <c r="AJ222" s="22">
        <f t="shared" si="2167"/>
        <v>-1.1020000000000001</v>
      </c>
      <c r="AK222" s="22">
        <f t="shared" si="2167"/>
        <v>-1.157</v>
      </c>
      <c r="AL222" s="22">
        <f t="shared" si="2167"/>
        <v>-1.3149999999999999</v>
      </c>
      <c r="AM222" s="22">
        <f t="shared" si="2167"/>
        <v>-2.081</v>
      </c>
      <c r="AN222" s="22">
        <f t="shared" si="2167"/>
        <v>-2.1360000000000001</v>
      </c>
      <c r="AO222" s="22">
        <f t="shared" si="2167"/>
        <v>-2.2389999999999999</v>
      </c>
      <c r="AP222" s="22">
        <f t="shared" si="2167"/>
        <v>-1.925</v>
      </c>
      <c r="AQ222" s="22">
        <f t="shared" si="2167"/>
        <v>-2.984</v>
      </c>
      <c r="AR222" s="22">
        <f t="shared" si="2167"/>
        <v>-0.11799999999999999</v>
      </c>
      <c r="AS222" s="22">
        <f t="shared" si="2167"/>
        <v>-1.5049999999999999</v>
      </c>
      <c r="AT222" s="22">
        <f t="shared" si="2167"/>
        <v>-1.895</v>
      </c>
      <c r="AU222" s="22">
        <f t="shared" si="2167"/>
        <v>-1.409</v>
      </c>
      <c r="AV222" s="22">
        <f t="shared" si="2167"/>
        <v>-1.3939999999999999</v>
      </c>
      <c r="AW222" s="22">
        <f t="shared" si="2167"/>
        <v>-1.48</v>
      </c>
      <c r="AX222" s="22">
        <f t="shared" si="2167"/>
        <v>-1.5089999999999999</v>
      </c>
      <c r="AY222" s="22">
        <f t="shared" si="2167"/>
        <v>-1.325</v>
      </c>
      <c r="AZ222" s="22">
        <f t="shared" si="2167"/>
        <v>-1.3580000000000001</v>
      </c>
      <c r="BA222" s="22">
        <f t="shared" si="2167"/>
        <v>-1.3440000000000001</v>
      </c>
      <c r="BB222" s="22">
        <f t="shared" si="2167"/>
        <v>-1.159</v>
      </c>
      <c r="BC222" s="22">
        <f t="shared" si="2167"/>
        <v>-1.2689999999999999</v>
      </c>
      <c r="BD222" s="22">
        <f t="shared" si="2167"/>
        <v>-1.3240000000000001</v>
      </c>
      <c r="BE222" s="22">
        <f t="shared" si="2167"/>
        <v>-1.3879999999999999</v>
      </c>
      <c r="BF222" s="22">
        <f t="shared" si="2167"/>
        <v>-1.9419999999999999</v>
      </c>
      <c r="BG222" s="22">
        <f t="shared" si="2167"/>
        <v>-1.4330000000000001</v>
      </c>
      <c r="BH222" s="22">
        <f t="shared" si="2167"/>
        <v>-1.478</v>
      </c>
      <c r="BI222" s="22">
        <f t="shared" si="2167"/>
        <v>-1.4590000000000001</v>
      </c>
      <c r="BJ222" s="22">
        <f t="shared" si="2167"/>
        <v>-1.405</v>
      </c>
      <c r="BK222" s="22">
        <f t="shared" si="2167"/>
        <v>-1.4490000000000001</v>
      </c>
      <c r="BL222" s="22">
        <f t="shared" si="2167"/>
        <v>-1.4370000000000001</v>
      </c>
      <c r="BM222" s="22">
        <f t="shared" si="2167"/>
        <v>-1.41</v>
      </c>
      <c r="BN222" s="22">
        <f t="shared" si="2167"/>
        <v>-1.3720000000000001</v>
      </c>
      <c r="BO222" s="22">
        <f t="shared" ref="BO222:CT222" si="2168">BN157-BO51-BO157</f>
        <v>-1.2969999999999999</v>
      </c>
      <c r="BP222" s="22">
        <f t="shared" si="2168"/>
        <v>-1.27</v>
      </c>
      <c r="BQ222" s="22">
        <f t="shared" si="2168"/>
        <v>-1.2589999999999999</v>
      </c>
      <c r="BR222" s="22">
        <f t="shared" si="2168"/>
        <v>-1.2070000000000001</v>
      </c>
      <c r="BS222" s="22">
        <f t="shared" si="2168"/>
        <v>-1.1950000000000001</v>
      </c>
      <c r="BT222" s="22">
        <f t="shared" si="2168"/>
        <v>-1.1950000000000001</v>
      </c>
      <c r="BU222" s="22">
        <f t="shared" si="2168"/>
        <v>-1.1419999999999999</v>
      </c>
      <c r="BV222" s="22">
        <f t="shared" si="2168"/>
        <v>-1.1299999999999999</v>
      </c>
      <c r="BW222" s="22">
        <f t="shared" si="2168"/>
        <v>-1.1100000000000001</v>
      </c>
      <c r="BX222" s="22">
        <f t="shared" si="2168"/>
        <v>-1.129</v>
      </c>
      <c r="BY222" s="22">
        <f t="shared" si="2168"/>
        <v>-1.133</v>
      </c>
      <c r="BZ222" s="22">
        <f t="shared" si="2168"/>
        <v>-1.7749999999999999</v>
      </c>
      <c r="CA222" s="22">
        <f t="shared" si="2168"/>
        <v>-1.34</v>
      </c>
      <c r="CB222" s="22">
        <f t="shared" si="2168"/>
        <v>-1.2490000000000001</v>
      </c>
      <c r="CC222" s="22">
        <f t="shared" si="2168"/>
        <v>-50.929000000000002</v>
      </c>
      <c r="CD222" s="22">
        <f t="shared" si="2168"/>
        <v>-1.3340000000000032</v>
      </c>
      <c r="CE222" s="22">
        <f t="shared" si="2168"/>
        <v>-3.8740000000000023</v>
      </c>
      <c r="CF222" s="22">
        <f t="shared" si="2168"/>
        <v>-1.4690000000000012</v>
      </c>
      <c r="CG222" s="22">
        <f t="shared" si="2168"/>
        <v>-11.704300000000003</v>
      </c>
      <c r="CH222" s="22">
        <f t="shared" si="2168"/>
        <v>-2.4769999999999968</v>
      </c>
      <c r="CI222" s="22">
        <f t="shared" si="2168"/>
        <v>8.7023000000000081</v>
      </c>
      <c r="CJ222" s="22">
        <f t="shared" si="2168"/>
        <v>-1.5499999999999972</v>
      </c>
      <c r="CK222" s="22">
        <f t="shared" si="2168"/>
        <v>-3.7350999999999956</v>
      </c>
      <c r="CL222" s="22">
        <f t="shared" si="2168"/>
        <v>-3.277000000000001</v>
      </c>
      <c r="CM222" s="23">
        <f t="shared" si="2168"/>
        <v>-3.277000000000001</v>
      </c>
      <c r="CN222" s="23">
        <f t="shared" si="2168"/>
        <v>-3.277000000000001</v>
      </c>
      <c r="CO222" s="23">
        <f t="shared" si="2168"/>
        <v>-3.277000000000001</v>
      </c>
      <c r="CP222" s="23">
        <f t="shared" si="2168"/>
        <v>-3.277000000000001</v>
      </c>
      <c r="CQ222" s="23">
        <f t="shared" si="2168"/>
        <v>-3.277000000000001</v>
      </c>
      <c r="CR222" s="23">
        <f t="shared" si="2168"/>
        <v>-3.277000000000001</v>
      </c>
      <c r="CS222" s="23">
        <f t="shared" si="2168"/>
        <v>-3.277000000000001</v>
      </c>
      <c r="CT222" s="23">
        <f t="shared" si="2168"/>
        <v>-3.277000000000001</v>
      </c>
      <c r="CU222" s="23">
        <f t="shared" ref="CU222:DA222" si="2169">CT157-CU51-CU157</f>
        <v>-3.277000000000001</v>
      </c>
      <c r="CV222" s="23">
        <f t="shared" si="2169"/>
        <v>-3.277000000000001</v>
      </c>
      <c r="CW222" s="23">
        <f t="shared" si="2169"/>
        <v>-3.277000000000001</v>
      </c>
      <c r="CX222" s="23">
        <f t="shared" si="2169"/>
        <v>-3.277000000000001</v>
      </c>
      <c r="CY222" s="23">
        <f t="shared" si="2169"/>
        <v>-3.277000000000001</v>
      </c>
      <c r="CZ222" s="23">
        <f t="shared" si="2169"/>
        <v>-3.277000000000001</v>
      </c>
      <c r="DA222" s="23">
        <f t="shared" si="2169"/>
        <v>-3.277000000000001</v>
      </c>
      <c r="DD222" s="120">
        <v>-0.99459999999999127</v>
      </c>
    </row>
    <row r="223" spans="1:108" s="22" customFormat="1" x14ac:dyDescent="0.2">
      <c r="AB223" s="23"/>
      <c r="AC223" s="23"/>
      <c r="AD223" s="23"/>
      <c r="AE223" s="23"/>
      <c r="CM223" s="23"/>
      <c r="CN223" s="23"/>
      <c r="CO223" s="23"/>
      <c r="CP223" s="23"/>
      <c r="CQ223" s="23"/>
      <c r="CR223" s="23"/>
      <c r="CS223" s="23"/>
      <c r="CT223" s="23"/>
      <c r="CU223" s="23"/>
      <c r="CV223" s="23"/>
      <c r="CW223" s="23"/>
      <c r="CX223" s="23"/>
      <c r="CY223" s="23"/>
      <c r="CZ223" s="23"/>
      <c r="DA223" s="23"/>
      <c r="DD223" s="120"/>
    </row>
    <row r="224" spans="1:108" s="21" customFormat="1" x14ac:dyDescent="0.2">
      <c r="A224" s="21" t="s">
        <v>95</v>
      </c>
      <c r="C224" s="21">
        <f t="shared" ref="C224:W224" si="2170">C225+C226</f>
        <v>0.942666349999989</v>
      </c>
      <c r="D224" s="21">
        <f t="shared" si="2170"/>
        <v>-83.775956506</v>
      </c>
      <c r="E224" s="21">
        <f t="shared" si="2170"/>
        <v>0</v>
      </c>
      <c r="F224" s="21">
        <f t="shared" si="2170"/>
        <v>0</v>
      </c>
      <c r="G224" s="21">
        <f t="shared" si="2170"/>
        <v>0</v>
      </c>
      <c r="H224" s="21">
        <f t="shared" si="2170"/>
        <v>0</v>
      </c>
      <c r="I224" s="21">
        <f t="shared" si="2170"/>
        <v>0</v>
      </c>
      <c r="J224" s="21">
        <f t="shared" si="2170"/>
        <v>0</v>
      </c>
      <c r="K224" s="21">
        <f t="shared" si="2170"/>
        <v>0</v>
      </c>
      <c r="L224" s="21">
        <f t="shared" si="2170"/>
        <v>0</v>
      </c>
      <c r="M224" s="21">
        <f t="shared" si="2170"/>
        <v>0</v>
      </c>
      <c r="N224" s="21">
        <f t="shared" si="2170"/>
        <v>0</v>
      </c>
      <c r="O224" s="21">
        <f t="shared" si="2170"/>
        <v>0</v>
      </c>
      <c r="P224" s="21">
        <f t="shared" si="2170"/>
        <v>0</v>
      </c>
      <c r="Q224" s="21">
        <f t="shared" si="2170"/>
        <v>0</v>
      </c>
      <c r="R224" s="21">
        <f t="shared" si="2170"/>
        <v>0</v>
      </c>
      <c r="S224" s="21">
        <f t="shared" si="2170"/>
        <v>0</v>
      </c>
      <c r="T224" s="21">
        <f t="shared" si="2170"/>
        <v>0</v>
      </c>
      <c r="U224" s="21">
        <f t="shared" si="2170"/>
        <v>0</v>
      </c>
      <c r="V224" s="21">
        <f t="shared" si="2170"/>
        <v>0</v>
      </c>
      <c r="W224" s="21">
        <f t="shared" si="2170"/>
        <v>0</v>
      </c>
      <c r="X224" s="21">
        <f t="shared" ref="X224:Y224" si="2171">X225+X226</f>
        <v>0</v>
      </c>
      <c r="Y224" s="21">
        <f t="shared" si="2171"/>
        <v>189.75290000000001</v>
      </c>
      <c r="Z224" s="21">
        <f t="shared" ref="Z224:AA224" si="2172">Z225+Z226</f>
        <v>-4.8582999999999856</v>
      </c>
      <c r="AA224" s="21">
        <f t="shared" si="2172"/>
        <v>-1.321899999999971</v>
      </c>
      <c r="AB224" s="20">
        <f t="shared" ref="AA224:AD224" si="2173">AB225+AB226</f>
        <v>2.99999999811007E-4</v>
      </c>
      <c r="AC224" s="20">
        <f t="shared" si="2173"/>
        <v>-1.1368683772161603E-13</v>
      </c>
      <c r="AD224" s="20">
        <f t="shared" si="2173"/>
        <v>-3.979039320256561E-13</v>
      </c>
      <c r="AE224" s="20">
        <f t="shared" ref="AE224" si="2174">AE225+AE226</f>
        <v>3.4106051316484809E-13</v>
      </c>
      <c r="AI224" s="21">
        <f t="shared" ref="AI224" si="2175">AI225+AI226</f>
        <v>-4.4649999999999936</v>
      </c>
      <c r="AJ224" s="21">
        <f t="shared" ref="AJ224:AL224" si="2176">AJ225+AJ226</f>
        <v>0</v>
      </c>
      <c r="AK224" s="21">
        <f t="shared" si="2176"/>
        <v>2.0219999999999865</v>
      </c>
      <c r="AL224" s="21">
        <f t="shared" si="2176"/>
        <v>0</v>
      </c>
      <c r="AM224" s="21">
        <f t="shared" ref="AM224" si="2177">AM225+AM226</f>
        <v>17.195000000000007</v>
      </c>
      <c r="AN224" s="21">
        <f t="shared" ref="AN224:CD224" si="2178">AN225+AN226</f>
        <v>0</v>
      </c>
      <c r="AO224" s="21">
        <f t="shared" si="2178"/>
        <v>6.9769999999999808</v>
      </c>
      <c r="AP224" s="21">
        <f t="shared" si="2178"/>
        <v>0</v>
      </c>
      <c r="AQ224" s="21">
        <f t="shared" si="2178"/>
        <v>4.2120000000000202</v>
      </c>
      <c r="AR224" s="21">
        <f t="shared" si="2178"/>
        <v>0</v>
      </c>
      <c r="AS224" s="21">
        <f t="shared" si="2178"/>
        <v>-4.3360000000000012</v>
      </c>
      <c r="AT224" s="21">
        <f t="shared" si="2178"/>
        <v>0</v>
      </c>
      <c r="AU224" s="21">
        <f t="shared" si="2178"/>
        <v>-8.7109999999999932</v>
      </c>
      <c r="AV224" s="21">
        <f t="shared" si="2178"/>
        <v>0</v>
      </c>
      <c r="AW224" s="21">
        <f t="shared" si="2178"/>
        <v>-1.4939999999999878</v>
      </c>
      <c r="AX224" s="21">
        <f t="shared" si="2178"/>
        <v>0</v>
      </c>
      <c r="AY224" s="21">
        <f t="shared" si="2178"/>
        <v>-2.3459999999999983</v>
      </c>
      <c r="AZ224" s="21">
        <f t="shared" si="2178"/>
        <v>0</v>
      </c>
      <c r="BA224" s="21">
        <f t="shared" si="2178"/>
        <v>-9.5610000000000106</v>
      </c>
      <c r="BB224" s="21">
        <f t="shared" si="2178"/>
        <v>0</v>
      </c>
      <c r="BC224" s="21">
        <f t="shared" si="2178"/>
        <v>-4.7729999999999952</v>
      </c>
      <c r="BD224" s="21">
        <f t="shared" si="2178"/>
        <v>0</v>
      </c>
      <c r="BE224" s="21">
        <f t="shared" si="2178"/>
        <v>-7.5239999999999991</v>
      </c>
      <c r="BF224" s="21">
        <f t="shared" si="2178"/>
        <v>0</v>
      </c>
      <c r="BG224" s="21">
        <f t="shared" si="2178"/>
        <v>-2.340000000000007</v>
      </c>
      <c r="BH224" s="21">
        <f t="shared" si="2178"/>
        <v>0</v>
      </c>
      <c r="BI224" s="21">
        <f t="shared" si="2178"/>
        <v>-26.281999999999982</v>
      </c>
      <c r="BJ224" s="21">
        <f t="shared" si="2178"/>
        <v>0</v>
      </c>
      <c r="BK224" s="21">
        <f t="shared" si="2178"/>
        <v>-9.2509999999999835</v>
      </c>
      <c r="BL224" s="21">
        <f t="shared" si="2178"/>
        <v>0</v>
      </c>
      <c r="BM224" s="21">
        <f t="shared" si="2178"/>
        <v>-15.446000000000005</v>
      </c>
      <c r="BN224" s="21">
        <f t="shared" si="2178"/>
        <v>0</v>
      </c>
      <c r="BO224" s="21">
        <f t="shared" si="2178"/>
        <v>5.5710000000000006</v>
      </c>
      <c r="BP224" s="21">
        <f t="shared" si="2178"/>
        <v>0</v>
      </c>
      <c r="BQ224" s="21">
        <f t="shared" si="2178"/>
        <v>10.002999999999993</v>
      </c>
      <c r="BR224" s="21">
        <f t="shared" si="2178"/>
        <v>0</v>
      </c>
      <c r="BS224" s="21">
        <f t="shared" si="2178"/>
        <v>10.007000000000001</v>
      </c>
      <c r="BT224" s="21">
        <f t="shared" si="2178"/>
        <v>0</v>
      </c>
      <c r="BU224" s="21">
        <f t="shared" si="2178"/>
        <v>-8.1419999999999995</v>
      </c>
      <c r="BV224" s="21">
        <f t="shared" si="2178"/>
        <v>0</v>
      </c>
      <c r="BW224" s="21">
        <f t="shared" si="2178"/>
        <v>7.7989999999999942</v>
      </c>
      <c r="BX224" s="21">
        <f t="shared" si="2178"/>
        <v>0</v>
      </c>
      <c r="BY224" s="21">
        <f t="shared" si="2178"/>
        <v>-8.4380000000000059</v>
      </c>
      <c r="BZ224" s="21">
        <f t="shared" si="2178"/>
        <v>0</v>
      </c>
      <c r="CA224" s="21">
        <f t="shared" si="2178"/>
        <v>-14.129999999999997</v>
      </c>
      <c r="CB224" s="21">
        <f t="shared" si="2178"/>
        <v>0</v>
      </c>
      <c r="CC224" s="21">
        <f t="shared" si="2178"/>
        <v>194.08899999999997</v>
      </c>
      <c r="CD224" s="21">
        <f t="shared" si="2178"/>
        <v>0</v>
      </c>
      <c r="CE224" s="21">
        <f t="shared" ref="CE224:CF224" si="2179">CE225+CE226</f>
        <v>-3.2869999999999777</v>
      </c>
      <c r="CF224" s="21">
        <f t="shared" si="2179"/>
        <v>0</v>
      </c>
      <c r="CG224" s="21">
        <f t="shared" ref="CG224:CH224" si="2180">CG225+CG226</f>
        <v>-1.5742999999999654</v>
      </c>
      <c r="CH224" s="21">
        <f t="shared" si="2180"/>
        <v>0</v>
      </c>
      <c r="CI224" s="21">
        <f t="shared" ref="CI224:CJ224" si="2181">CI225+CI226</f>
        <v>2.5812999999999704</v>
      </c>
      <c r="CJ224" s="21">
        <f t="shared" si="2181"/>
        <v>0</v>
      </c>
      <c r="CK224" s="21">
        <f t="shared" ref="CK224:CL224" si="2182">CK225+CK226</f>
        <v>7.6093000000000188</v>
      </c>
      <c r="CL224" s="21">
        <f t="shared" si="2182"/>
        <v>0</v>
      </c>
      <c r="CM224" s="20">
        <f t="shared" ref="CM224:DA224" si="2183">CM225+CM226</f>
        <v>0</v>
      </c>
      <c r="CN224" s="20">
        <f t="shared" si="2183"/>
        <v>0</v>
      </c>
      <c r="CO224" s="20">
        <f t="shared" si="2183"/>
        <v>-2.8421709430404007E-14</v>
      </c>
      <c r="CP224" s="20">
        <f t="shared" si="2183"/>
        <v>0</v>
      </c>
      <c r="CQ224" s="20">
        <f t="shared" si="2183"/>
        <v>0</v>
      </c>
      <c r="CR224" s="20">
        <f t="shared" si="2183"/>
        <v>0</v>
      </c>
      <c r="CS224" s="20">
        <f t="shared" si="2183"/>
        <v>0</v>
      </c>
      <c r="CT224" s="20">
        <f t="shared" si="2183"/>
        <v>0</v>
      </c>
      <c r="CU224" s="20">
        <f t="shared" si="2183"/>
        <v>5.6843418860808015E-14</v>
      </c>
      <c r="CV224" s="20">
        <f t="shared" si="2183"/>
        <v>0</v>
      </c>
      <c r="CW224" s="20">
        <f t="shared" si="2183"/>
        <v>0</v>
      </c>
      <c r="CX224" s="20">
        <f t="shared" si="2183"/>
        <v>0</v>
      </c>
      <c r="CY224" s="20">
        <f t="shared" si="2183"/>
        <v>0</v>
      </c>
      <c r="CZ224" s="20">
        <f t="shared" si="2183"/>
        <v>1.1368683772161603E-13</v>
      </c>
      <c r="DA224" s="20">
        <f t="shared" si="2183"/>
        <v>0</v>
      </c>
      <c r="DD224" s="122">
        <v>38.168199999999956</v>
      </c>
    </row>
    <row r="225" spans="1:108" s="22" customFormat="1" x14ac:dyDescent="0.2">
      <c r="A225" s="22" t="s">
        <v>49</v>
      </c>
      <c r="C225" s="22">
        <f t="shared" ref="C225:AA225" si="2184">C147-B147</f>
        <v>2.3030338000000015</v>
      </c>
      <c r="D225" s="22">
        <f t="shared" si="2184"/>
        <v>-33.564968401000002</v>
      </c>
      <c r="E225" s="22">
        <f>E147-D147</f>
        <v>0</v>
      </c>
      <c r="F225" s="22">
        <f t="shared" si="2184"/>
        <v>0</v>
      </c>
      <c r="G225" s="22">
        <f t="shared" si="2184"/>
        <v>0</v>
      </c>
      <c r="H225" s="22">
        <f t="shared" si="2184"/>
        <v>0</v>
      </c>
      <c r="I225" s="22">
        <f t="shared" si="2184"/>
        <v>0</v>
      </c>
      <c r="J225" s="22">
        <f>J147-I147</f>
        <v>0</v>
      </c>
      <c r="K225" s="22">
        <f>K147-J147</f>
        <v>0</v>
      </c>
      <c r="L225" s="22">
        <f t="shared" si="2184"/>
        <v>0</v>
      </c>
      <c r="M225" s="22">
        <f t="shared" si="2184"/>
        <v>0</v>
      </c>
      <c r="N225" s="22">
        <f t="shared" si="2184"/>
        <v>0</v>
      </c>
      <c r="O225" s="22">
        <f t="shared" si="2184"/>
        <v>0</v>
      </c>
      <c r="P225" s="22">
        <f t="shared" si="2184"/>
        <v>0</v>
      </c>
      <c r="Q225" s="22">
        <f t="shared" si="2184"/>
        <v>0</v>
      </c>
      <c r="R225" s="22">
        <f t="shared" si="2184"/>
        <v>0</v>
      </c>
      <c r="S225" s="22">
        <f t="shared" si="2184"/>
        <v>0</v>
      </c>
      <c r="T225" s="22">
        <f t="shared" si="2184"/>
        <v>0</v>
      </c>
      <c r="U225" s="22">
        <f t="shared" si="2184"/>
        <v>0</v>
      </c>
      <c r="V225" s="22">
        <f t="shared" si="2184"/>
        <v>0</v>
      </c>
      <c r="W225" s="22">
        <f t="shared" si="2184"/>
        <v>0</v>
      </c>
      <c r="X225" s="22">
        <f t="shared" si="2184"/>
        <v>0</v>
      </c>
      <c r="Y225" s="22">
        <f t="shared" si="2184"/>
        <v>0</v>
      </c>
      <c r="Z225" s="22">
        <f t="shared" si="2184"/>
        <v>0</v>
      </c>
      <c r="AA225" s="22">
        <f t="shared" si="2184"/>
        <v>0</v>
      </c>
      <c r="AB225" s="23">
        <f t="shared" ref="AB225" si="2185">AB147-AA147</f>
        <v>0</v>
      </c>
      <c r="AC225" s="23">
        <f t="shared" ref="AC225" si="2186">AC147-AB147</f>
        <v>0</v>
      </c>
      <c r="AD225" s="23">
        <f t="shared" ref="AD225" si="2187">AD147-AC147</f>
        <v>0</v>
      </c>
      <c r="AE225" s="23">
        <f t="shared" ref="AE225" si="2188">AE147-AD147</f>
        <v>0</v>
      </c>
      <c r="AI225" s="22">
        <f t="shared" ref="AI225" si="2189">AI147-AH147</f>
        <v>0</v>
      </c>
      <c r="AJ225" s="22">
        <f t="shared" ref="AJ225" si="2190">AJ147-AI147</f>
        <v>0</v>
      </c>
      <c r="AK225" s="22">
        <f t="shared" ref="AK225" si="2191">AK147-AJ147</f>
        <v>0</v>
      </c>
      <c r="AL225" s="22">
        <f t="shared" ref="AL225" si="2192">AL147-AK147</f>
        <v>0</v>
      </c>
      <c r="AM225" s="22">
        <f t="shared" ref="AM225" si="2193">AM147-AL147</f>
        <v>0</v>
      </c>
      <c r="AN225" s="22">
        <f t="shared" ref="AN225" si="2194">AN147-AM147</f>
        <v>0</v>
      </c>
      <c r="AO225" s="22">
        <f t="shared" ref="AO225" si="2195">AO147-AN147</f>
        <v>0</v>
      </c>
      <c r="AP225" s="22">
        <f t="shared" ref="AP225" si="2196">AP147-AO147</f>
        <v>0</v>
      </c>
      <c r="AQ225" s="22">
        <f t="shared" ref="AQ225" si="2197">AQ147-AP147</f>
        <v>0</v>
      </c>
      <c r="AR225" s="22">
        <f t="shared" ref="AR225" si="2198">AR147-AQ147</f>
        <v>0</v>
      </c>
      <c r="AS225" s="22">
        <f t="shared" ref="AS225" si="2199">AS147-AR147</f>
        <v>0</v>
      </c>
      <c r="AT225" s="22">
        <f t="shared" ref="AT225" si="2200">AT147-AS147</f>
        <v>0</v>
      </c>
      <c r="AU225" s="22">
        <f t="shared" ref="AU225" si="2201">AU147-AT147</f>
        <v>0</v>
      </c>
      <c r="AV225" s="22">
        <f t="shared" ref="AV225" si="2202">AV147-AU147</f>
        <v>0</v>
      </c>
      <c r="AW225" s="22">
        <f t="shared" ref="AW225" si="2203">AW147-AV147</f>
        <v>0</v>
      </c>
      <c r="AX225" s="22">
        <f t="shared" ref="AX225" si="2204">AX147-AW147</f>
        <v>0</v>
      </c>
      <c r="AY225" s="22">
        <f t="shared" ref="AY225" si="2205">AY147-AX147</f>
        <v>0</v>
      </c>
      <c r="AZ225" s="22">
        <f t="shared" ref="AZ225" si="2206">AZ147-AY147</f>
        <v>0</v>
      </c>
      <c r="BA225" s="22">
        <f t="shared" ref="BA225" si="2207">BA147-AZ147</f>
        <v>0</v>
      </c>
      <c r="BB225" s="22">
        <f t="shared" ref="BB225" si="2208">BB147-BA147</f>
        <v>0</v>
      </c>
      <c r="BC225" s="22">
        <f t="shared" ref="BC225" si="2209">BC147-BB147</f>
        <v>0</v>
      </c>
      <c r="BD225" s="22">
        <f t="shared" ref="BD225" si="2210">BD147-BC147</f>
        <v>0</v>
      </c>
      <c r="BE225" s="22">
        <f t="shared" ref="BE225" si="2211">BE147-BD147</f>
        <v>0</v>
      </c>
      <c r="BF225" s="22">
        <f t="shared" ref="BF225" si="2212">BF147-BE147</f>
        <v>0</v>
      </c>
      <c r="BG225" s="22">
        <f t="shared" ref="BG225" si="2213">BG147-BF147</f>
        <v>0</v>
      </c>
      <c r="BH225" s="22">
        <f t="shared" ref="BH225" si="2214">BH147-BG147</f>
        <v>0</v>
      </c>
      <c r="BI225" s="22">
        <f t="shared" ref="BI225" si="2215">BI147-BH147</f>
        <v>0</v>
      </c>
      <c r="BJ225" s="22">
        <f t="shared" ref="BJ225" si="2216">BJ147-BI147</f>
        <v>0</v>
      </c>
      <c r="BK225" s="22">
        <f t="shared" ref="BK225" si="2217">BK147-BJ147</f>
        <v>0</v>
      </c>
      <c r="BL225" s="22">
        <f t="shared" ref="BL225" si="2218">BL147-BK147</f>
        <v>0</v>
      </c>
      <c r="BM225" s="22">
        <f t="shared" ref="BM225" si="2219">BM147-BL147</f>
        <v>0</v>
      </c>
      <c r="BN225" s="22">
        <f t="shared" ref="BN225" si="2220">BN147-BM147</f>
        <v>0</v>
      </c>
      <c r="BO225" s="22">
        <f t="shared" ref="BO225" si="2221">BO147-BN147</f>
        <v>0</v>
      </c>
      <c r="BP225" s="22">
        <f t="shared" ref="BP225" si="2222">BP147-BO147</f>
        <v>0</v>
      </c>
      <c r="BQ225" s="22">
        <f t="shared" ref="BQ225" si="2223">BQ147-BP147</f>
        <v>0</v>
      </c>
      <c r="BR225" s="22">
        <f t="shared" ref="BR225" si="2224">BR147-BQ147</f>
        <v>0</v>
      </c>
      <c r="BS225" s="22">
        <f t="shared" ref="BS225" si="2225">BS147-BR147</f>
        <v>0</v>
      </c>
      <c r="BT225" s="22">
        <f t="shared" ref="BT225" si="2226">BT147-BS147</f>
        <v>0</v>
      </c>
      <c r="BU225" s="22">
        <f t="shared" ref="BU225" si="2227">BU147-BT147</f>
        <v>0</v>
      </c>
      <c r="BV225" s="22">
        <f t="shared" ref="BV225" si="2228">BV147-BU147</f>
        <v>0</v>
      </c>
      <c r="BW225" s="22">
        <f t="shared" ref="BW225" si="2229">BW147-BV147</f>
        <v>0</v>
      </c>
      <c r="BX225" s="22">
        <f t="shared" ref="BX225" si="2230">BX147-BW147</f>
        <v>0</v>
      </c>
      <c r="BY225" s="22">
        <f t="shared" ref="BY225" si="2231">BY147-BX147</f>
        <v>0</v>
      </c>
      <c r="BZ225" s="22">
        <f t="shared" ref="BZ225" si="2232">BZ147-BY147</f>
        <v>0</v>
      </c>
      <c r="CA225" s="22">
        <f t="shared" ref="CA225" si="2233">CA147-BZ147</f>
        <v>0</v>
      </c>
      <c r="CB225" s="22">
        <f t="shared" ref="CB225" si="2234">CB147-CA147</f>
        <v>0</v>
      </c>
      <c r="CC225" s="22">
        <f t="shared" ref="CC225" si="2235">CC147-CB147</f>
        <v>0</v>
      </c>
      <c r="CD225" s="22">
        <f t="shared" ref="CD225" si="2236">CD147-CC147</f>
        <v>0</v>
      </c>
      <c r="CE225" s="22">
        <f t="shared" ref="CE225" si="2237">CE147-CD147</f>
        <v>0</v>
      </c>
      <c r="CF225" s="22">
        <f t="shared" ref="CF225" si="2238">CF147-CE147</f>
        <v>0</v>
      </c>
      <c r="CG225" s="22">
        <f t="shared" ref="CG225" si="2239">CG147-CF147</f>
        <v>0</v>
      </c>
      <c r="CH225" s="22">
        <f t="shared" ref="CH225:CL225" si="2240">CH147-CG147</f>
        <v>0</v>
      </c>
      <c r="CI225" s="22">
        <f t="shared" si="2240"/>
        <v>0</v>
      </c>
      <c r="CJ225" s="22">
        <f t="shared" si="2240"/>
        <v>0</v>
      </c>
      <c r="CK225" s="22">
        <f t="shared" si="2240"/>
        <v>0</v>
      </c>
      <c r="CL225" s="22">
        <f t="shared" si="2240"/>
        <v>0</v>
      </c>
      <c r="CM225" s="23">
        <f t="shared" ref="CM225" si="2241">CM147-CL147</f>
        <v>0</v>
      </c>
      <c r="CN225" s="23">
        <f t="shared" ref="CN225" si="2242">CN147-CM147</f>
        <v>0</v>
      </c>
      <c r="CO225" s="23">
        <f t="shared" ref="CO225" si="2243">CO147-CN147</f>
        <v>0</v>
      </c>
      <c r="CP225" s="23">
        <f t="shared" ref="CP225" si="2244">CP147-CO147</f>
        <v>0</v>
      </c>
      <c r="CQ225" s="23">
        <f t="shared" ref="CQ225" si="2245">CQ147-CP147</f>
        <v>0</v>
      </c>
      <c r="CR225" s="23">
        <f t="shared" ref="CR225" si="2246">CR147-CQ147</f>
        <v>0</v>
      </c>
      <c r="CS225" s="23">
        <f t="shared" ref="CS225" si="2247">CS147-CR147</f>
        <v>0</v>
      </c>
      <c r="CT225" s="23">
        <f t="shared" ref="CT225" si="2248">CT147-CS147</f>
        <v>0</v>
      </c>
      <c r="CU225" s="23">
        <f t="shared" ref="CU225" si="2249">CU147-CT147</f>
        <v>0</v>
      </c>
      <c r="CV225" s="23">
        <f t="shared" ref="CV225" si="2250">CV147-CU147</f>
        <v>0</v>
      </c>
      <c r="CW225" s="23">
        <f t="shared" ref="CW225" si="2251">CW147-CV147</f>
        <v>0</v>
      </c>
      <c r="CX225" s="23">
        <f t="shared" ref="CX225" si="2252">CX147-CW147</f>
        <v>0</v>
      </c>
      <c r="CY225" s="23">
        <f t="shared" ref="CY225" si="2253">CY147-CX147</f>
        <v>0</v>
      </c>
      <c r="CZ225" s="23">
        <f t="shared" ref="CZ225" si="2254">CZ147-CY147</f>
        <v>0</v>
      </c>
      <c r="DA225" s="23">
        <f t="shared" ref="DA225" si="2255">DA147-CZ147</f>
        <v>0</v>
      </c>
      <c r="DD225" s="120">
        <v>0</v>
      </c>
    </row>
    <row r="226" spans="1:108" s="22" customFormat="1" x14ac:dyDescent="0.2">
      <c r="A226" s="22" t="s">
        <v>27</v>
      </c>
      <c r="C226" s="22">
        <f t="shared" ref="C226:AE226" si="2256">C139-C67-B139+C141-B141</f>
        <v>-1.3603674500000125</v>
      </c>
      <c r="D226" s="22">
        <f t="shared" si="2256"/>
        <v>-50.210988104999998</v>
      </c>
      <c r="E226" s="22">
        <f t="shared" si="2256"/>
        <v>0</v>
      </c>
      <c r="F226" s="22">
        <f t="shared" si="2256"/>
        <v>0</v>
      </c>
      <c r="G226" s="22">
        <f t="shared" si="2256"/>
        <v>0</v>
      </c>
      <c r="H226" s="22">
        <f t="shared" si="2256"/>
        <v>0</v>
      </c>
      <c r="I226" s="22">
        <f t="shared" si="2256"/>
        <v>0</v>
      </c>
      <c r="J226" s="22">
        <f t="shared" si="2256"/>
        <v>0</v>
      </c>
      <c r="K226" s="22">
        <f t="shared" si="2256"/>
        <v>0</v>
      </c>
      <c r="L226" s="22">
        <f t="shared" si="2256"/>
        <v>0</v>
      </c>
      <c r="M226" s="22">
        <f t="shared" si="2256"/>
        <v>0</v>
      </c>
      <c r="N226" s="22">
        <f t="shared" si="2256"/>
        <v>0</v>
      </c>
      <c r="O226" s="22">
        <f t="shared" si="2256"/>
        <v>0</v>
      </c>
      <c r="P226" s="22">
        <f t="shared" si="2256"/>
        <v>0</v>
      </c>
      <c r="Q226" s="22">
        <f t="shared" si="2256"/>
        <v>0</v>
      </c>
      <c r="R226" s="22">
        <f t="shared" si="2256"/>
        <v>0</v>
      </c>
      <c r="S226" s="22">
        <f t="shared" si="2256"/>
        <v>0</v>
      </c>
      <c r="T226" s="22">
        <f t="shared" si="2256"/>
        <v>0</v>
      </c>
      <c r="U226" s="22">
        <f t="shared" si="2256"/>
        <v>0</v>
      </c>
      <c r="V226" s="22">
        <f t="shared" si="2256"/>
        <v>0</v>
      </c>
      <c r="W226" s="22">
        <f t="shared" si="2256"/>
        <v>0</v>
      </c>
      <c r="X226" s="22">
        <f t="shared" si="2256"/>
        <v>0</v>
      </c>
      <c r="Y226" s="22">
        <f t="shared" si="2256"/>
        <v>189.75290000000001</v>
      </c>
      <c r="Z226" s="22">
        <f t="shared" si="2256"/>
        <v>-4.8582999999999856</v>
      </c>
      <c r="AA226" s="22">
        <f t="shared" si="2256"/>
        <v>-1.321899999999971</v>
      </c>
      <c r="AB226" s="23">
        <f t="shared" si="2256"/>
        <v>2.99999999811007E-4</v>
      </c>
      <c r="AC226" s="23">
        <f t="shared" si="2256"/>
        <v>-1.1368683772161603E-13</v>
      </c>
      <c r="AD226" s="23">
        <f t="shared" si="2256"/>
        <v>-3.979039320256561E-13</v>
      </c>
      <c r="AE226" s="23">
        <f t="shared" si="2256"/>
        <v>3.4106051316484809E-13</v>
      </c>
      <c r="AI226" s="22">
        <f t="shared" ref="AI226:BN226" si="2257">AI139-AI67-AH139+AI141-AH141</f>
        <v>-4.4649999999999936</v>
      </c>
      <c r="AJ226" s="22">
        <f t="shared" si="2257"/>
        <v>0</v>
      </c>
      <c r="AK226" s="22">
        <f t="shared" si="2257"/>
        <v>2.0219999999999865</v>
      </c>
      <c r="AL226" s="22">
        <f t="shared" si="2257"/>
        <v>0</v>
      </c>
      <c r="AM226" s="22">
        <f t="shared" si="2257"/>
        <v>17.195000000000007</v>
      </c>
      <c r="AN226" s="22">
        <f t="shared" si="2257"/>
        <v>0</v>
      </c>
      <c r="AO226" s="22">
        <f t="shared" si="2257"/>
        <v>6.9769999999999808</v>
      </c>
      <c r="AP226" s="22">
        <f t="shared" si="2257"/>
        <v>0</v>
      </c>
      <c r="AQ226" s="22">
        <f t="shared" si="2257"/>
        <v>4.2120000000000202</v>
      </c>
      <c r="AR226" s="22">
        <f t="shared" si="2257"/>
        <v>0</v>
      </c>
      <c r="AS226" s="22">
        <f t="shared" si="2257"/>
        <v>-4.3360000000000012</v>
      </c>
      <c r="AT226" s="22">
        <f t="shared" si="2257"/>
        <v>0</v>
      </c>
      <c r="AU226" s="22">
        <f t="shared" si="2257"/>
        <v>-8.7109999999999932</v>
      </c>
      <c r="AV226" s="22">
        <f t="shared" si="2257"/>
        <v>0</v>
      </c>
      <c r="AW226" s="22">
        <f t="shared" si="2257"/>
        <v>-1.4939999999999878</v>
      </c>
      <c r="AX226" s="22">
        <f t="shared" si="2257"/>
        <v>0</v>
      </c>
      <c r="AY226" s="22">
        <f t="shared" si="2257"/>
        <v>-2.3459999999999983</v>
      </c>
      <c r="AZ226" s="22">
        <f t="shared" si="2257"/>
        <v>0</v>
      </c>
      <c r="BA226" s="22">
        <f t="shared" si="2257"/>
        <v>-9.5610000000000106</v>
      </c>
      <c r="BB226" s="22">
        <f t="shared" si="2257"/>
        <v>0</v>
      </c>
      <c r="BC226" s="22">
        <f t="shared" si="2257"/>
        <v>-4.7729999999999952</v>
      </c>
      <c r="BD226" s="22">
        <f t="shared" si="2257"/>
        <v>0</v>
      </c>
      <c r="BE226" s="22">
        <f t="shared" si="2257"/>
        <v>-7.5239999999999991</v>
      </c>
      <c r="BF226" s="22">
        <f t="shared" si="2257"/>
        <v>0</v>
      </c>
      <c r="BG226" s="22">
        <f t="shared" si="2257"/>
        <v>-2.340000000000007</v>
      </c>
      <c r="BH226" s="22">
        <f t="shared" si="2257"/>
        <v>0</v>
      </c>
      <c r="BI226" s="22">
        <f t="shared" si="2257"/>
        <v>-26.281999999999982</v>
      </c>
      <c r="BJ226" s="22">
        <f t="shared" si="2257"/>
        <v>0</v>
      </c>
      <c r="BK226" s="22">
        <f t="shared" si="2257"/>
        <v>-9.2509999999999835</v>
      </c>
      <c r="BL226" s="22">
        <f t="shared" si="2257"/>
        <v>0</v>
      </c>
      <c r="BM226" s="22">
        <f t="shared" si="2257"/>
        <v>-15.446000000000005</v>
      </c>
      <c r="BN226" s="22">
        <f t="shared" si="2257"/>
        <v>0</v>
      </c>
      <c r="BO226" s="22">
        <f t="shared" ref="BO226:CT226" si="2258">BO139-BO67-BN139+BO141-BN141</f>
        <v>5.5710000000000006</v>
      </c>
      <c r="BP226" s="22">
        <f t="shared" si="2258"/>
        <v>0</v>
      </c>
      <c r="BQ226" s="22">
        <f t="shared" si="2258"/>
        <v>10.002999999999993</v>
      </c>
      <c r="BR226" s="22">
        <f t="shared" si="2258"/>
        <v>0</v>
      </c>
      <c r="BS226" s="22">
        <f t="shared" si="2258"/>
        <v>10.007000000000001</v>
      </c>
      <c r="BT226" s="22">
        <f t="shared" si="2258"/>
        <v>0</v>
      </c>
      <c r="BU226" s="22">
        <f t="shared" si="2258"/>
        <v>-8.1419999999999995</v>
      </c>
      <c r="BV226" s="22">
        <f t="shared" si="2258"/>
        <v>0</v>
      </c>
      <c r="BW226" s="22">
        <f t="shared" si="2258"/>
        <v>7.7989999999999942</v>
      </c>
      <c r="BX226" s="22">
        <f t="shared" si="2258"/>
        <v>0</v>
      </c>
      <c r="BY226" s="22">
        <f t="shared" si="2258"/>
        <v>-8.4380000000000059</v>
      </c>
      <c r="BZ226" s="22">
        <f t="shared" si="2258"/>
        <v>0</v>
      </c>
      <c r="CA226" s="22">
        <f t="shared" si="2258"/>
        <v>-14.129999999999997</v>
      </c>
      <c r="CB226" s="22">
        <f t="shared" si="2258"/>
        <v>0</v>
      </c>
      <c r="CC226" s="22">
        <f t="shared" si="2258"/>
        <v>194.08899999999997</v>
      </c>
      <c r="CD226" s="22">
        <f t="shared" si="2258"/>
        <v>0</v>
      </c>
      <c r="CE226" s="22">
        <f t="shared" si="2258"/>
        <v>-3.2869999999999777</v>
      </c>
      <c r="CF226" s="22">
        <f t="shared" si="2258"/>
        <v>0</v>
      </c>
      <c r="CG226" s="22">
        <f t="shared" si="2258"/>
        <v>-1.5742999999999654</v>
      </c>
      <c r="CH226" s="22">
        <f t="shared" si="2258"/>
        <v>0</v>
      </c>
      <c r="CI226" s="22">
        <f t="shared" si="2258"/>
        <v>2.5812999999999704</v>
      </c>
      <c r="CJ226" s="22">
        <f t="shared" si="2258"/>
        <v>0</v>
      </c>
      <c r="CK226" s="22">
        <f t="shared" si="2258"/>
        <v>7.6093000000000188</v>
      </c>
      <c r="CL226" s="22">
        <f t="shared" si="2258"/>
        <v>0</v>
      </c>
      <c r="CM226" s="23">
        <f t="shared" si="2258"/>
        <v>0</v>
      </c>
      <c r="CN226" s="23">
        <f t="shared" si="2258"/>
        <v>0</v>
      </c>
      <c r="CO226" s="23">
        <f t="shared" si="2258"/>
        <v>-2.8421709430404007E-14</v>
      </c>
      <c r="CP226" s="23">
        <f t="shared" si="2258"/>
        <v>0</v>
      </c>
      <c r="CQ226" s="23">
        <f t="shared" si="2258"/>
        <v>0</v>
      </c>
      <c r="CR226" s="23">
        <f t="shared" si="2258"/>
        <v>0</v>
      </c>
      <c r="CS226" s="23">
        <f t="shared" si="2258"/>
        <v>0</v>
      </c>
      <c r="CT226" s="23">
        <f t="shared" si="2258"/>
        <v>0</v>
      </c>
      <c r="CU226" s="23">
        <f t="shared" ref="CU226:DA226" si="2259">CU139-CU67-CT139+CU141-CT141</f>
        <v>5.6843418860808015E-14</v>
      </c>
      <c r="CV226" s="23">
        <f t="shared" si="2259"/>
        <v>0</v>
      </c>
      <c r="CW226" s="23">
        <f t="shared" si="2259"/>
        <v>0</v>
      </c>
      <c r="CX226" s="23">
        <f t="shared" si="2259"/>
        <v>0</v>
      </c>
      <c r="CY226" s="23">
        <f t="shared" si="2259"/>
        <v>0</v>
      </c>
      <c r="CZ226" s="23">
        <f t="shared" si="2259"/>
        <v>1.1368683772161603E-13</v>
      </c>
      <c r="DA226" s="23">
        <f t="shared" si="2259"/>
        <v>0</v>
      </c>
      <c r="DD226" s="120">
        <v>38.168199999999956</v>
      </c>
    </row>
    <row r="227" spans="1:108" s="22" customFormat="1" x14ac:dyDescent="0.2">
      <c r="AB227" s="23"/>
      <c r="AC227" s="23"/>
      <c r="AD227" s="23"/>
      <c r="AE227" s="23"/>
      <c r="CM227" s="23"/>
      <c r="CN227" s="23"/>
      <c r="CO227" s="23"/>
      <c r="CP227" s="23"/>
      <c r="CQ227" s="23"/>
      <c r="CR227" s="23"/>
      <c r="CS227" s="23"/>
      <c r="CT227" s="23"/>
      <c r="CU227" s="23"/>
      <c r="CV227" s="23"/>
      <c r="CW227" s="23"/>
      <c r="CX227" s="23"/>
      <c r="CY227" s="23"/>
      <c r="CZ227" s="23"/>
      <c r="DA227" s="23"/>
      <c r="DD227" s="120"/>
    </row>
    <row r="228" spans="1:108" s="22" customFormat="1" x14ac:dyDescent="0.2">
      <c r="A228" s="22" t="s">
        <v>442</v>
      </c>
      <c r="C228" s="22">
        <f t="shared" ref="C228" si="2260">B180</f>
        <v>1.3434499959999999</v>
      </c>
      <c r="D228" s="22">
        <f t="shared" ref="D228" si="2261">C180</f>
        <v>6.934622954</v>
      </c>
      <c r="E228" s="22">
        <f>D180</f>
        <v>0</v>
      </c>
      <c r="F228" s="22">
        <f t="shared" ref="F228" si="2262">E180</f>
        <v>0</v>
      </c>
      <c r="G228" s="22">
        <f t="shared" ref="G228" si="2263">F180</f>
        <v>0</v>
      </c>
      <c r="H228" s="22">
        <f t="shared" ref="H228" si="2264">G180</f>
        <v>0</v>
      </c>
      <c r="I228" s="22">
        <f t="shared" ref="I228" si="2265">H180</f>
        <v>0</v>
      </c>
      <c r="J228" s="22">
        <f>I180</f>
        <v>0</v>
      </c>
      <c r="K228" s="22">
        <f>J180</f>
        <v>0</v>
      </c>
      <c r="L228" s="22">
        <f t="shared" ref="L228" si="2266">K180</f>
        <v>0</v>
      </c>
      <c r="M228" s="22">
        <f t="shared" ref="M228" si="2267">L180</f>
        <v>0</v>
      </c>
      <c r="N228" s="22">
        <f t="shared" ref="N228" si="2268">M180</f>
        <v>0</v>
      </c>
      <c r="O228" s="22">
        <f t="shared" ref="O228" si="2269">N180</f>
        <v>0</v>
      </c>
      <c r="P228" s="22">
        <f t="shared" ref="P228" si="2270">O180</f>
        <v>0</v>
      </c>
      <c r="Q228" s="22">
        <f t="shared" ref="Q228" si="2271">P180</f>
        <v>0</v>
      </c>
      <c r="R228" s="22">
        <f t="shared" ref="R228" si="2272">Q180</f>
        <v>0</v>
      </c>
      <c r="S228" s="22">
        <f t="shared" ref="S228" si="2273">R180</f>
        <v>0</v>
      </c>
      <c r="T228" s="22">
        <f t="shared" ref="T228" si="2274">S180</f>
        <v>0</v>
      </c>
      <c r="U228" s="22">
        <f t="shared" ref="U228" si="2275">T180</f>
        <v>0</v>
      </c>
      <c r="V228" s="22">
        <f t="shared" ref="V228" si="2276">U180</f>
        <v>0</v>
      </c>
      <c r="W228" s="22">
        <f t="shared" ref="W228:AA228" si="2277">V180</f>
        <v>0</v>
      </c>
      <c r="X228" s="22">
        <f t="shared" si="2277"/>
        <v>0</v>
      </c>
      <c r="Y228" s="22">
        <f t="shared" si="2277"/>
        <v>0</v>
      </c>
      <c r="Z228" s="22">
        <f t="shared" si="2277"/>
        <v>130.46430000000001</v>
      </c>
      <c r="AA228" s="22">
        <f t="shared" si="2277"/>
        <v>62.5261</v>
      </c>
      <c r="AB228" s="23">
        <f t="shared" ref="AB228" si="2278">AA180</f>
        <v>226.50280000000001</v>
      </c>
      <c r="AC228" s="23">
        <f t="shared" ref="AC228" si="2279">AB180</f>
        <v>359.25345808520171</v>
      </c>
      <c r="AD228" s="23">
        <f t="shared" ref="AD228" si="2280">AC180</f>
        <v>596.72427239335889</v>
      </c>
      <c r="AE228" s="23">
        <f t="shared" ref="AE228" si="2281">AD180</f>
        <v>1002.0700937727865</v>
      </c>
      <c r="AI228" s="22">
        <f t="shared" ref="AI228" si="2282">AH180</f>
        <v>0</v>
      </c>
      <c r="AJ228" s="22">
        <f t="shared" ref="AJ228" si="2283">AI180</f>
        <v>0</v>
      </c>
      <c r="AK228" s="22">
        <f t="shared" ref="AK228" si="2284">AJ180</f>
        <v>-3.7169999999999908</v>
      </c>
      <c r="AL228" s="22">
        <f t="shared" ref="AL228" si="2285">AK180</f>
        <v>0</v>
      </c>
      <c r="AM228" s="22">
        <f t="shared" ref="AM228" si="2286">AL180</f>
        <v>-3.4370000000000163</v>
      </c>
      <c r="AN228" s="22">
        <f t="shared" ref="AN228" si="2287">AM180</f>
        <v>0</v>
      </c>
      <c r="AO228" s="22">
        <f t="shared" ref="AO228" si="2288">AN180</f>
        <v>-18.507999999999992</v>
      </c>
      <c r="AP228" s="22">
        <f t="shared" ref="AP228" si="2289">AO180</f>
        <v>0</v>
      </c>
      <c r="AQ228" s="22">
        <f t="shared" ref="AQ228" si="2290">AP180</f>
        <v>-1.5760000000000192</v>
      </c>
      <c r="AR228" s="22">
        <f t="shared" ref="AR228" si="2291">AQ180</f>
        <v>0</v>
      </c>
      <c r="AS228" s="22">
        <f t="shared" ref="AS228" si="2292">AR180</f>
        <v>4.2170000000000014</v>
      </c>
      <c r="AT228" s="22">
        <f t="shared" ref="AT228" si="2293">AS180</f>
        <v>0</v>
      </c>
      <c r="AU228" s="22">
        <f t="shared" ref="AU228" si="2294">AT180</f>
        <v>7.7749999999999932</v>
      </c>
      <c r="AV228" s="22">
        <f t="shared" ref="AV228" si="2295">AU180</f>
        <v>0</v>
      </c>
      <c r="AW228" s="22">
        <f t="shared" ref="AW228" si="2296">AV180</f>
        <v>-2.8020000000000009</v>
      </c>
      <c r="AX228" s="22">
        <f t="shared" ref="AX228" si="2297">AW180</f>
        <v>0</v>
      </c>
      <c r="AY228" s="22">
        <f t="shared" ref="AY228" si="2298">AX180</f>
        <v>10.694000000000003</v>
      </c>
      <c r="AZ228" s="22">
        <f t="shared" ref="AZ228" si="2299">AY180</f>
        <v>0</v>
      </c>
      <c r="BA228" s="22">
        <f t="shared" ref="BA228" si="2300">AZ180</f>
        <v>2.1000000000006125E-2</v>
      </c>
      <c r="BB228" s="22">
        <f t="shared" ref="BB228" si="2301">BA180</f>
        <v>0</v>
      </c>
      <c r="BC228" s="22">
        <f t="shared" ref="BC228" si="2302">BB180</f>
        <v>4.5799999999999939</v>
      </c>
      <c r="BD228" s="22">
        <f t="shared" ref="BD228" si="2303">BC180</f>
        <v>0</v>
      </c>
      <c r="BE228" s="22">
        <f t="shared" ref="BE228" si="2304">BD180</f>
        <v>4.5229999999999997</v>
      </c>
      <c r="BF228" s="22">
        <f t="shared" ref="BF228" si="2305">BE180</f>
        <v>0</v>
      </c>
      <c r="BG228" s="22">
        <f t="shared" ref="BG228" si="2306">BF180</f>
        <v>-0.99799999999999289</v>
      </c>
      <c r="BH228" s="22">
        <f t="shared" ref="BH228" si="2307">BG180</f>
        <v>0</v>
      </c>
      <c r="BI228" s="22">
        <f t="shared" ref="BI228" si="2308">BH180</f>
        <v>10.432</v>
      </c>
      <c r="BJ228" s="22">
        <f t="shared" ref="BJ228" si="2309">BI180</f>
        <v>0</v>
      </c>
      <c r="BK228" s="22">
        <f t="shared" ref="BK228" si="2310">BJ180</f>
        <v>5.4789999999999939</v>
      </c>
      <c r="BL228" s="22">
        <f t="shared" ref="BL228" si="2311">BK180</f>
        <v>0</v>
      </c>
      <c r="BM228" s="22">
        <f t="shared" ref="BM228" si="2312">BL180</f>
        <v>9.7959999999999923</v>
      </c>
      <c r="BN228" s="22">
        <f t="shared" ref="BN228" si="2313">BM180</f>
        <v>0</v>
      </c>
      <c r="BO228" s="22">
        <f t="shared" ref="BO228" si="2314">BN180</f>
        <v>4.5259999999999989</v>
      </c>
      <c r="BP228" s="22">
        <f t="shared" ref="BP228" si="2315">BO180</f>
        <v>0</v>
      </c>
      <c r="BQ228" s="22">
        <f t="shared" ref="BQ228" si="2316">BP180</f>
        <v>-11.356999999999998</v>
      </c>
      <c r="BR228" s="22">
        <f t="shared" ref="BR228" si="2317">BQ180</f>
        <v>0</v>
      </c>
      <c r="BS228" s="22">
        <f t="shared" ref="BS228" si="2318">BR180</f>
        <v>-8.960000000000008</v>
      </c>
      <c r="BT228" s="22">
        <f t="shared" ref="BT228" si="2319">BS180</f>
        <v>0</v>
      </c>
      <c r="BU228" s="22">
        <f t="shared" ref="BU228" si="2320">BT180</f>
        <v>2.1990000000000025</v>
      </c>
      <c r="BV228" s="22">
        <f t="shared" ref="BV228" si="2321">BU180</f>
        <v>0</v>
      </c>
      <c r="BW228" s="22">
        <f t="shared" ref="BW228" si="2322">BV180</f>
        <v>-2.4539999999999949</v>
      </c>
      <c r="BX228" s="22">
        <f t="shared" ref="BX228" si="2323">BW180</f>
        <v>0</v>
      </c>
      <c r="BY228" s="22">
        <f t="shared" ref="BY228" si="2324">BX180</f>
        <v>-2.9460000000000011</v>
      </c>
      <c r="BZ228" s="22">
        <f t="shared" ref="BZ228" si="2325">BY180</f>
        <v>0</v>
      </c>
      <c r="CA228" s="22">
        <f t="shared" ref="CA228" si="2326">BZ180</f>
        <v>9.7930000000000046</v>
      </c>
      <c r="CB228" s="22">
        <f t="shared" ref="CB228" si="2327">CA180</f>
        <v>0</v>
      </c>
      <c r="CC228" s="22">
        <f t="shared" ref="CC228" si="2328">CB180</f>
        <v>6.9840000000000106</v>
      </c>
      <c r="CD228" s="22">
        <f t="shared" ref="CD228" si="2329">CC180</f>
        <v>130.465</v>
      </c>
      <c r="CE228" s="22">
        <f t="shared" ref="CE228" si="2330">CD180</f>
        <v>95.793674627712193</v>
      </c>
      <c r="CF228" s="22">
        <f t="shared" ref="CF228" si="2331">CE180</f>
        <v>77.486000000000004</v>
      </c>
      <c r="CG228" s="22">
        <f t="shared" ref="CG228" si="2332">CF180</f>
        <v>82.720645352514254</v>
      </c>
      <c r="CH228" s="22">
        <f t="shared" ref="CH228:CL228" si="2333">CG180</f>
        <v>62.5261</v>
      </c>
      <c r="CI228" s="22">
        <f t="shared" si="2333"/>
        <v>-88.119419527502373</v>
      </c>
      <c r="CJ228" s="22">
        <f t="shared" si="2333"/>
        <v>123.78</v>
      </c>
      <c r="CK228" s="22">
        <f t="shared" si="2333"/>
        <v>109.746749726004</v>
      </c>
      <c r="CL228" s="22">
        <f t="shared" si="2333"/>
        <v>226.50299999999999</v>
      </c>
      <c r="CM228" s="23">
        <f t="shared" ref="CM228" si="2334">CL180</f>
        <v>187.08523436928803</v>
      </c>
      <c r="CN228" s="23">
        <f t="shared" ref="CN228" si="2335">CM180</f>
        <v>250.41233208929378</v>
      </c>
      <c r="CO228" s="23">
        <f t="shared" ref="CO228" si="2336">CN180</f>
        <v>324.6363865310858</v>
      </c>
      <c r="CP228" s="23">
        <f t="shared" ref="CP228" si="2337">CO180</f>
        <v>359.25345808520171</v>
      </c>
      <c r="CQ228" s="23">
        <f t="shared" ref="CQ228" si="2338">CP180</f>
        <v>379.02603864222726</v>
      </c>
      <c r="CR228" s="23">
        <f t="shared" ref="CR228" si="2339">CQ180</f>
        <v>406.10910926640963</v>
      </c>
      <c r="CS228" s="23">
        <f t="shared" ref="CS228" si="2340">CR180</f>
        <v>525.42339577671112</v>
      </c>
      <c r="CT228" s="23">
        <f t="shared" ref="CT228" si="2341">CS180</f>
        <v>596.72427239335889</v>
      </c>
      <c r="CU228" s="23">
        <f t="shared" ref="CU228" si="2342">CT180</f>
        <v>649.78874877448061</v>
      </c>
      <c r="CV228" s="23">
        <f t="shared" ref="CV228" si="2343">CU180</f>
        <v>710.99548363259839</v>
      </c>
      <c r="CW228" s="23">
        <f t="shared" ref="CW228" si="2344">CV180</f>
        <v>885.5103400712261</v>
      </c>
      <c r="CX228" s="23">
        <f t="shared" ref="CX228" si="2345">CW180</f>
        <v>1002.0700937727865</v>
      </c>
      <c r="CY228" s="23">
        <f t="shared" ref="CY228" si="2346">CX180</f>
        <v>1096.4202028992845</v>
      </c>
      <c r="CZ228" s="23">
        <f t="shared" ref="CZ228" si="2347">CY180</f>
        <v>1200.0112446198593</v>
      </c>
      <c r="DA228" s="23">
        <f t="shared" ref="DA228" si="2348">CZ180</f>
        <v>1442.9466943079431</v>
      </c>
      <c r="DD228" s="120">
        <v>62.5261</v>
      </c>
    </row>
    <row r="229" spans="1:108" s="22" customFormat="1" x14ac:dyDescent="0.2">
      <c r="A229" s="22" t="s">
        <v>443</v>
      </c>
      <c r="C229" s="22">
        <f t="shared" ref="C229:W229" si="2349">C228+C224+C220+C218</f>
        <v>6.9346229540000301</v>
      </c>
      <c r="D229" s="22">
        <f t="shared" si="2349"/>
        <v>0</v>
      </c>
      <c r="E229" s="22">
        <f t="shared" si="2349"/>
        <v>0</v>
      </c>
      <c r="F229" s="22">
        <f t="shared" si="2349"/>
        <v>0</v>
      </c>
      <c r="G229" s="22">
        <f t="shared" si="2349"/>
        <v>0</v>
      </c>
      <c r="H229" s="22">
        <f t="shared" si="2349"/>
        <v>0</v>
      </c>
      <c r="I229" s="22">
        <f t="shared" si="2349"/>
        <v>0</v>
      </c>
      <c r="J229" s="22">
        <f>J228+J224+J220+J218</f>
        <v>0</v>
      </c>
      <c r="K229" s="22">
        <f>K228+K224+K220+K218</f>
        <v>0</v>
      </c>
      <c r="L229" s="22">
        <f>L228+L224+L220+L218</f>
        <v>0</v>
      </c>
      <c r="M229" s="22">
        <f>M228+M224+M220+M218</f>
        <v>0</v>
      </c>
      <c r="N229" s="22">
        <f t="shared" si="2349"/>
        <v>0</v>
      </c>
      <c r="O229" s="22">
        <f t="shared" si="2349"/>
        <v>0</v>
      </c>
      <c r="P229" s="22">
        <f t="shared" si="2349"/>
        <v>0</v>
      </c>
      <c r="Q229" s="22">
        <f t="shared" si="2349"/>
        <v>0</v>
      </c>
      <c r="R229" s="22">
        <f t="shared" si="2349"/>
        <v>0</v>
      </c>
      <c r="S229" s="22">
        <f t="shared" si="2349"/>
        <v>0</v>
      </c>
      <c r="T229" s="22">
        <f t="shared" si="2349"/>
        <v>0</v>
      </c>
      <c r="U229" s="22">
        <f t="shared" si="2349"/>
        <v>0</v>
      </c>
      <c r="V229" s="22">
        <f t="shared" si="2349"/>
        <v>0</v>
      </c>
      <c r="W229" s="22">
        <f t="shared" si="2349"/>
        <v>0</v>
      </c>
      <c r="X229" s="22">
        <f t="shared" ref="X229:Y229" si="2350">X228+X224+X220+X218</f>
        <v>0</v>
      </c>
      <c r="Y229" s="22">
        <f t="shared" si="2350"/>
        <v>130.46430000000009</v>
      </c>
      <c r="Z229" s="22">
        <f t="shared" ref="Z229:AA229" si="2351">Z228+Z224+Z220+Z218</f>
        <v>62.5260999999999</v>
      </c>
      <c r="AA229" s="22">
        <f t="shared" si="2351"/>
        <v>226.50280000000004</v>
      </c>
      <c r="AB229" s="23">
        <f t="shared" ref="AA229:AD229" si="2352">AB228+AB224+AB220+AB218</f>
        <v>359.25245808520168</v>
      </c>
      <c r="AC229" s="23">
        <f t="shared" si="2352"/>
        <v>596.72427239335889</v>
      </c>
      <c r="AD229" s="23">
        <f t="shared" si="2352"/>
        <v>1002.0700937727868</v>
      </c>
      <c r="AE229" s="23">
        <f t="shared" ref="AE229" si="2353">AE228+AE224+AE220+AE218</f>
        <v>1616.1380272478648</v>
      </c>
      <c r="AI229" s="22">
        <f t="shared" ref="AI229" si="2354">AI228+AI224+AI220+AI218</f>
        <v>0</v>
      </c>
      <c r="AJ229" s="22">
        <f t="shared" ref="AJ229:AL229" si="2355">AJ228+AJ224+AJ220+AJ218</f>
        <v>-3.7169999999999908</v>
      </c>
      <c r="AK229" s="22">
        <f t="shared" si="2355"/>
        <v>0</v>
      </c>
      <c r="AL229" s="22">
        <f t="shared" si="2355"/>
        <v>-3.4370000000000163</v>
      </c>
      <c r="AM229" s="22">
        <f t="shared" ref="AM229" si="2356">AM228+AM224+AM220+AM218</f>
        <v>0</v>
      </c>
      <c r="AN229" s="22">
        <f t="shared" ref="AN229:CD229" si="2357">AN228+AN224+AN220+AN218</f>
        <v>-18.507999999999992</v>
      </c>
      <c r="AO229" s="22">
        <f t="shared" si="2357"/>
        <v>0</v>
      </c>
      <c r="AP229" s="22">
        <f t="shared" si="2357"/>
        <v>-1.5760000000000192</v>
      </c>
      <c r="AQ229" s="22">
        <f t="shared" si="2357"/>
        <v>0</v>
      </c>
      <c r="AR229" s="22">
        <f t="shared" si="2357"/>
        <v>4.2170000000000014</v>
      </c>
      <c r="AS229" s="22">
        <f t="shared" si="2357"/>
        <v>0</v>
      </c>
      <c r="AT229" s="22">
        <f t="shared" si="2357"/>
        <v>7.7749999999999932</v>
      </c>
      <c r="AU229" s="22">
        <f t="shared" si="2357"/>
        <v>0</v>
      </c>
      <c r="AV229" s="22">
        <f t="shared" si="2357"/>
        <v>-2.8020000000000009</v>
      </c>
      <c r="AW229" s="22">
        <f t="shared" si="2357"/>
        <v>0</v>
      </c>
      <c r="AX229" s="22">
        <f t="shared" si="2357"/>
        <v>10.694000000000003</v>
      </c>
      <c r="AY229" s="22">
        <f t="shared" si="2357"/>
        <v>0</v>
      </c>
      <c r="AZ229" s="22">
        <f t="shared" si="2357"/>
        <v>2.1000000000006125E-2</v>
      </c>
      <c r="BA229" s="22">
        <f t="shared" si="2357"/>
        <v>0</v>
      </c>
      <c r="BB229" s="22">
        <f t="shared" si="2357"/>
        <v>4.5799999999999939</v>
      </c>
      <c r="BC229" s="22">
        <f t="shared" si="2357"/>
        <v>0</v>
      </c>
      <c r="BD229" s="22">
        <f t="shared" si="2357"/>
        <v>4.5229999999999997</v>
      </c>
      <c r="BE229" s="22">
        <f t="shared" si="2357"/>
        <v>0</v>
      </c>
      <c r="BF229" s="22">
        <f t="shared" si="2357"/>
        <v>-0.99799999999999289</v>
      </c>
      <c r="BG229" s="22">
        <f t="shared" si="2357"/>
        <v>0</v>
      </c>
      <c r="BH229" s="22">
        <f t="shared" si="2357"/>
        <v>10.432</v>
      </c>
      <c r="BI229" s="22">
        <f t="shared" si="2357"/>
        <v>0</v>
      </c>
      <c r="BJ229" s="22">
        <f t="shared" si="2357"/>
        <v>5.4789999999999939</v>
      </c>
      <c r="BK229" s="22">
        <f t="shared" si="2357"/>
        <v>0</v>
      </c>
      <c r="BL229" s="22">
        <f t="shared" si="2357"/>
        <v>9.7959999999999923</v>
      </c>
      <c r="BM229" s="22">
        <f t="shared" si="2357"/>
        <v>0</v>
      </c>
      <c r="BN229" s="22">
        <f t="shared" si="2357"/>
        <v>4.5259999999999989</v>
      </c>
      <c r="BO229" s="22">
        <f t="shared" si="2357"/>
        <v>0</v>
      </c>
      <c r="BP229" s="22">
        <f t="shared" si="2357"/>
        <v>-11.356999999999998</v>
      </c>
      <c r="BQ229" s="22">
        <f t="shared" si="2357"/>
        <v>0</v>
      </c>
      <c r="BR229" s="22">
        <f t="shared" si="2357"/>
        <v>-8.960000000000008</v>
      </c>
      <c r="BS229" s="22">
        <f t="shared" si="2357"/>
        <v>4.4408920985006262E-16</v>
      </c>
      <c r="BT229" s="22">
        <f t="shared" si="2357"/>
        <v>2.1990000000000025</v>
      </c>
      <c r="BU229" s="22">
        <f t="shared" si="2357"/>
        <v>0</v>
      </c>
      <c r="BV229" s="22">
        <f t="shared" si="2357"/>
        <v>-2.4539999999999949</v>
      </c>
      <c r="BW229" s="22">
        <f t="shared" si="2357"/>
        <v>0</v>
      </c>
      <c r="BX229" s="22">
        <f t="shared" si="2357"/>
        <v>-2.9460000000000011</v>
      </c>
      <c r="BY229" s="22">
        <f t="shared" si="2357"/>
        <v>0</v>
      </c>
      <c r="BZ229" s="22">
        <f t="shared" si="2357"/>
        <v>9.7930000000000046</v>
      </c>
      <c r="CA229" s="22">
        <f t="shared" si="2357"/>
        <v>0</v>
      </c>
      <c r="CB229" s="22">
        <f t="shared" si="2357"/>
        <v>6.9840000000000106</v>
      </c>
      <c r="CC229" s="22">
        <f t="shared" si="2357"/>
        <v>130.46599999999995</v>
      </c>
      <c r="CD229" s="22">
        <f t="shared" si="2357"/>
        <v>95.793674627712193</v>
      </c>
      <c r="CE229" s="22">
        <f t="shared" ref="CE229:CF229" si="2358">CE228+CE224+CE220+CE218</f>
        <v>77.484999999999971</v>
      </c>
      <c r="CF229" s="22">
        <f t="shared" si="2358"/>
        <v>82.720645352514254</v>
      </c>
      <c r="CG229" s="22">
        <f t="shared" ref="CG229:CH229" si="2359">CG228+CG224+CG220+CG218</f>
        <v>62.525999999999982</v>
      </c>
      <c r="CH229" s="22">
        <f t="shared" si="2359"/>
        <v>-88.119419527502373</v>
      </c>
      <c r="CI229" s="22">
        <f t="shared" ref="CI229:CJ229" si="2360">CI228+CI224+CI220+CI218</f>
        <v>123.78010000000006</v>
      </c>
      <c r="CJ229" s="22">
        <f t="shared" si="2360"/>
        <v>109.746749726004</v>
      </c>
      <c r="CK229" s="22">
        <f t="shared" ref="CK229:CL229" si="2361">CK228+CK224+CK220+CK218</f>
        <v>226.50199999999995</v>
      </c>
      <c r="CL229" s="22">
        <f t="shared" si="2361"/>
        <v>187.08523436928803</v>
      </c>
      <c r="CM229" s="23">
        <f t="shared" ref="CM229:DA229" si="2362">CM228+CM224+CM220+CM218</f>
        <v>250.41233208929378</v>
      </c>
      <c r="CN229" s="23">
        <f t="shared" si="2362"/>
        <v>324.6363865310858</v>
      </c>
      <c r="CO229" s="23">
        <f t="shared" si="2362"/>
        <v>359.25345808520171</v>
      </c>
      <c r="CP229" s="23">
        <f t="shared" si="2362"/>
        <v>379.02603864222726</v>
      </c>
      <c r="CQ229" s="23">
        <f t="shared" si="2362"/>
        <v>406.10910926640963</v>
      </c>
      <c r="CR229" s="23">
        <f t="shared" si="2362"/>
        <v>525.42339577671112</v>
      </c>
      <c r="CS229" s="23">
        <f t="shared" si="2362"/>
        <v>596.72427239335889</v>
      </c>
      <c r="CT229" s="23">
        <f t="shared" si="2362"/>
        <v>649.78874877448061</v>
      </c>
      <c r="CU229" s="23">
        <f t="shared" si="2362"/>
        <v>710.99548363259839</v>
      </c>
      <c r="CV229" s="23">
        <f t="shared" si="2362"/>
        <v>885.5103400712261</v>
      </c>
      <c r="CW229" s="23">
        <f t="shared" si="2362"/>
        <v>1002.0700937727865</v>
      </c>
      <c r="CX229" s="23">
        <f t="shared" si="2362"/>
        <v>1096.4202028992845</v>
      </c>
      <c r="CY229" s="23">
        <f t="shared" si="2362"/>
        <v>1200.0112446198593</v>
      </c>
      <c r="CZ229" s="23">
        <f t="shared" si="2362"/>
        <v>1442.9466943079431</v>
      </c>
      <c r="DA229" s="23">
        <f t="shared" si="2362"/>
        <v>1616.1380272478646</v>
      </c>
      <c r="DD229" s="120">
        <v>226.50199999999995</v>
      </c>
    </row>
    <row r="230" spans="1:108" s="27" customFormat="1" x14ac:dyDescent="0.2">
      <c r="A230" s="27" t="s">
        <v>444</v>
      </c>
      <c r="C230" s="27">
        <f t="shared" ref="C230:W230" si="2363">C229-C180</f>
        <v>3.0198066269804258E-14</v>
      </c>
      <c r="D230" s="27">
        <f t="shared" si="2363"/>
        <v>0</v>
      </c>
      <c r="E230" s="27">
        <f t="shared" si="2363"/>
        <v>0</v>
      </c>
      <c r="F230" s="27">
        <f t="shared" si="2363"/>
        <v>0</v>
      </c>
      <c r="G230" s="27">
        <f t="shared" si="2363"/>
        <v>0</v>
      </c>
      <c r="H230" s="27">
        <f t="shared" si="2363"/>
        <v>0</v>
      </c>
      <c r="I230" s="27">
        <f t="shared" si="2363"/>
        <v>0</v>
      </c>
      <c r="J230" s="27">
        <f>J229-J180</f>
        <v>0</v>
      </c>
      <c r="K230" s="27">
        <f t="shared" si="2363"/>
        <v>0</v>
      </c>
      <c r="L230" s="27">
        <f t="shared" si="2363"/>
        <v>0</v>
      </c>
      <c r="M230" s="27">
        <f t="shared" si="2363"/>
        <v>0</v>
      </c>
      <c r="N230" s="27">
        <f t="shared" si="2363"/>
        <v>0</v>
      </c>
      <c r="O230" s="27">
        <f t="shared" si="2363"/>
        <v>0</v>
      </c>
      <c r="P230" s="27">
        <f t="shared" si="2363"/>
        <v>0</v>
      </c>
      <c r="Q230" s="27">
        <f t="shared" si="2363"/>
        <v>0</v>
      </c>
      <c r="R230" s="27">
        <f t="shared" si="2363"/>
        <v>0</v>
      </c>
      <c r="S230" s="27">
        <f t="shared" si="2363"/>
        <v>0</v>
      </c>
      <c r="T230" s="27">
        <f t="shared" si="2363"/>
        <v>0</v>
      </c>
      <c r="U230" s="27">
        <f t="shared" si="2363"/>
        <v>0</v>
      </c>
      <c r="V230" s="27">
        <f t="shared" si="2363"/>
        <v>0</v>
      </c>
      <c r="W230" s="27">
        <f t="shared" si="2363"/>
        <v>0</v>
      </c>
      <c r="X230" s="27">
        <f t="shared" ref="X230:Y230" si="2364">X229-X180</f>
        <v>0</v>
      </c>
      <c r="Y230" s="27">
        <f t="shared" si="2364"/>
        <v>0</v>
      </c>
      <c r="Z230" s="27">
        <f t="shared" ref="Z230:AA230" si="2365">Z229-Z180</f>
        <v>-9.9475983006414026E-14</v>
      </c>
      <c r="AA230" s="27">
        <f t="shared" si="2365"/>
        <v>0</v>
      </c>
      <c r="AB230" s="29">
        <f t="shared" ref="AA230:AD230" si="2366">AB229-AB180</f>
        <v>-1.0000000000331966E-3</v>
      </c>
      <c r="AC230" s="29">
        <f t="shared" si="2366"/>
        <v>0</v>
      </c>
      <c r="AD230" s="29">
        <f t="shared" si="2366"/>
        <v>0</v>
      </c>
      <c r="AE230" s="29">
        <f t="shared" ref="AE230" si="2367">AE229-AE180</f>
        <v>0</v>
      </c>
      <c r="AI230" s="27">
        <f t="shared" ref="AI230" si="2368">AI229-AI180</f>
        <v>0</v>
      </c>
      <c r="AJ230" s="27">
        <f t="shared" ref="AJ230:AL230" si="2369">AJ229-AJ180</f>
        <v>0</v>
      </c>
      <c r="AK230" s="27">
        <f t="shared" si="2369"/>
        <v>0</v>
      </c>
      <c r="AL230" s="27">
        <f t="shared" si="2369"/>
        <v>0</v>
      </c>
      <c r="AM230" s="27">
        <f t="shared" ref="AM230" si="2370">AM229-AM180</f>
        <v>0</v>
      </c>
      <c r="AN230" s="27">
        <f t="shared" ref="AN230:CD230" si="2371">AN229-AN180</f>
        <v>0</v>
      </c>
      <c r="AO230" s="27">
        <f t="shared" si="2371"/>
        <v>0</v>
      </c>
      <c r="AP230" s="27">
        <f t="shared" si="2371"/>
        <v>0</v>
      </c>
      <c r="AQ230" s="27">
        <f t="shared" si="2371"/>
        <v>0</v>
      </c>
      <c r="AR230" s="27">
        <f t="shared" si="2371"/>
        <v>0</v>
      </c>
      <c r="AS230" s="27">
        <f t="shared" si="2371"/>
        <v>0</v>
      </c>
      <c r="AT230" s="27">
        <f t="shared" si="2371"/>
        <v>0</v>
      </c>
      <c r="AU230" s="27">
        <f t="shared" si="2371"/>
        <v>0</v>
      </c>
      <c r="AV230" s="27">
        <f t="shared" si="2371"/>
        <v>0</v>
      </c>
      <c r="AW230" s="27">
        <f t="shared" si="2371"/>
        <v>0</v>
      </c>
      <c r="AX230" s="27">
        <f t="shared" si="2371"/>
        <v>0</v>
      </c>
      <c r="AY230" s="27">
        <f t="shared" si="2371"/>
        <v>0</v>
      </c>
      <c r="AZ230" s="27">
        <f t="shared" si="2371"/>
        <v>0</v>
      </c>
      <c r="BA230" s="27">
        <f t="shared" si="2371"/>
        <v>0</v>
      </c>
      <c r="BB230" s="27">
        <f t="shared" si="2371"/>
        <v>0</v>
      </c>
      <c r="BC230" s="27">
        <f t="shared" si="2371"/>
        <v>0</v>
      </c>
      <c r="BD230" s="27">
        <f t="shared" si="2371"/>
        <v>0</v>
      </c>
      <c r="BE230" s="27">
        <f t="shared" si="2371"/>
        <v>0</v>
      </c>
      <c r="BF230" s="27">
        <f t="shared" si="2371"/>
        <v>0</v>
      </c>
      <c r="BG230" s="27">
        <f t="shared" si="2371"/>
        <v>0</v>
      </c>
      <c r="BH230" s="27">
        <f t="shared" si="2371"/>
        <v>0</v>
      </c>
      <c r="BI230" s="27">
        <f t="shared" si="2371"/>
        <v>0</v>
      </c>
      <c r="BJ230" s="27">
        <f t="shared" si="2371"/>
        <v>0</v>
      </c>
      <c r="BK230" s="27">
        <f t="shared" si="2371"/>
        <v>0</v>
      </c>
      <c r="BL230" s="27">
        <f t="shared" si="2371"/>
        <v>0</v>
      </c>
      <c r="BM230" s="27">
        <f t="shared" si="2371"/>
        <v>0</v>
      </c>
      <c r="BN230" s="27">
        <f t="shared" si="2371"/>
        <v>0</v>
      </c>
      <c r="BO230" s="27">
        <f t="shared" si="2371"/>
        <v>0</v>
      </c>
      <c r="BP230" s="27">
        <f t="shared" si="2371"/>
        <v>0</v>
      </c>
      <c r="BQ230" s="27">
        <f t="shared" si="2371"/>
        <v>0</v>
      </c>
      <c r="BR230" s="27">
        <f t="shared" si="2371"/>
        <v>0</v>
      </c>
      <c r="BS230" s="27">
        <f t="shared" si="2371"/>
        <v>4.4408920985006262E-16</v>
      </c>
      <c r="BT230" s="27">
        <f t="shared" si="2371"/>
        <v>0</v>
      </c>
      <c r="BU230" s="27">
        <f t="shared" si="2371"/>
        <v>0</v>
      </c>
      <c r="BV230" s="27">
        <f t="shared" si="2371"/>
        <v>0</v>
      </c>
      <c r="BW230" s="27">
        <f t="shared" si="2371"/>
        <v>0</v>
      </c>
      <c r="BX230" s="27">
        <f t="shared" si="2371"/>
        <v>0</v>
      </c>
      <c r="BY230" s="27">
        <f t="shared" si="2371"/>
        <v>0</v>
      </c>
      <c r="BZ230" s="27">
        <f t="shared" si="2371"/>
        <v>0</v>
      </c>
      <c r="CA230" s="27">
        <f t="shared" si="2371"/>
        <v>0</v>
      </c>
      <c r="CB230" s="27">
        <f t="shared" si="2371"/>
        <v>0</v>
      </c>
      <c r="CC230" s="27">
        <f t="shared" si="2371"/>
        <v>9.9999999994793143E-4</v>
      </c>
      <c r="CD230" s="27">
        <f t="shared" si="2371"/>
        <v>0</v>
      </c>
      <c r="CE230" s="27">
        <f t="shared" ref="CE230:CF230" si="2372">CE229-CE180</f>
        <v>-1.0000000000331966E-3</v>
      </c>
      <c r="CF230" s="27">
        <f t="shared" si="2372"/>
        <v>0</v>
      </c>
      <c r="CG230" s="27">
        <f t="shared" ref="CG230:CH230" si="2373">CG229-CG180</f>
        <v>-1.0000000001753051E-4</v>
      </c>
      <c r="CH230" s="27">
        <f t="shared" si="2373"/>
        <v>0</v>
      </c>
      <c r="CI230" s="27">
        <f t="shared" ref="CI230:CJ230" si="2374">CI229-CI180</f>
        <v>1.0000000006016307E-4</v>
      </c>
      <c r="CJ230" s="27">
        <f t="shared" si="2374"/>
        <v>0</v>
      </c>
      <c r="CK230" s="27">
        <f t="shared" ref="CK230:CL230" si="2375">CK229-CK180</f>
        <v>-1.0000000000331966E-3</v>
      </c>
      <c r="CL230" s="27">
        <f t="shared" si="2375"/>
        <v>0</v>
      </c>
      <c r="CM230" s="29">
        <f t="shared" ref="CM230:DA230" si="2376">CM229-CM180</f>
        <v>0</v>
      </c>
      <c r="CN230" s="29">
        <f t="shared" si="2376"/>
        <v>0</v>
      </c>
      <c r="CO230" s="29">
        <f t="shared" si="2376"/>
        <v>0</v>
      </c>
      <c r="CP230" s="29">
        <f t="shared" si="2376"/>
        <v>0</v>
      </c>
      <c r="CQ230" s="29">
        <f t="shared" si="2376"/>
        <v>0</v>
      </c>
      <c r="CR230" s="29">
        <f t="shared" si="2376"/>
        <v>0</v>
      </c>
      <c r="CS230" s="29">
        <f t="shared" si="2376"/>
        <v>0</v>
      </c>
      <c r="CT230" s="29">
        <f t="shared" si="2376"/>
        <v>0</v>
      </c>
      <c r="CU230" s="29">
        <f t="shared" si="2376"/>
        <v>0</v>
      </c>
      <c r="CV230" s="29">
        <f t="shared" si="2376"/>
        <v>0</v>
      </c>
      <c r="CW230" s="29">
        <f t="shared" si="2376"/>
        <v>0</v>
      </c>
      <c r="CX230" s="29">
        <f t="shared" si="2376"/>
        <v>0</v>
      </c>
      <c r="CY230" s="29">
        <f t="shared" si="2376"/>
        <v>0</v>
      </c>
      <c r="CZ230" s="29">
        <f t="shared" si="2376"/>
        <v>0</v>
      </c>
      <c r="DA230" s="29">
        <f t="shared" si="2376"/>
        <v>0</v>
      </c>
      <c r="DD230" s="132">
        <v>-1.0000000000331966E-3</v>
      </c>
    </row>
    <row r="231" spans="1:108" s="22" customFormat="1" x14ac:dyDescent="0.2">
      <c r="AB231" s="23"/>
      <c r="AC231" s="23"/>
      <c r="AD231" s="23"/>
      <c r="AE231" s="23"/>
      <c r="CM231" s="23"/>
      <c r="CN231" s="23"/>
      <c r="CO231" s="23"/>
      <c r="CP231" s="23"/>
      <c r="CQ231" s="23"/>
      <c r="CR231" s="23"/>
      <c r="CS231" s="23"/>
      <c r="CT231" s="23"/>
      <c r="CU231" s="23"/>
      <c r="CV231" s="23"/>
      <c r="CW231" s="23"/>
      <c r="CX231" s="23"/>
      <c r="CY231" s="23"/>
      <c r="CZ231" s="23"/>
      <c r="DA231" s="23"/>
      <c r="DD231" s="120"/>
    </row>
    <row r="232" spans="1:108" s="21" customFormat="1" x14ac:dyDescent="0.2">
      <c r="A232" s="21" t="s">
        <v>96</v>
      </c>
      <c r="C232" s="21">
        <f t="shared" ref="C232:W232" si="2377">C218+C220</f>
        <v>4.6485066080000408</v>
      </c>
      <c r="D232" s="21">
        <f t="shared" si="2377"/>
        <v>76.841333551999995</v>
      </c>
      <c r="E232" s="21">
        <f t="shared" si="2377"/>
        <v>0</v>
      </c>
      <c r="F232" s="21">
        <f t="shared" si="2377"/>
        <v>0</v>
      </c>
      <c r="G232" s="21">
        <f t="shared" si="2377"/>
        <v>0</v>
      </c>
      <c r="H232" s="21">
        <f t="shared" si="2377"/>
        <v>0</v>
      </c>
      <c r="I232" s="21">
        <f t="shared" si="2377"/>
        <v>0</v>
      </c>
      <c r="J232" s="21">
        <f>J218+J220</f>
        <v>0</v>
      </c>
      <c r="K232" s="21">
        <f t="shared" si="2377"/>
        <v>0</v>
      </c>
      <c r="L232" s="21">
        <f t="shared" si="2377"/>
        <v>0</v>
      </c>
      <c r="M232" s="21">
        <f t="shared" si="2377"/>
        <v>0</v>
      </c>
      <c r="N232" s="21">
        <f t="shared" si="2377"/>
        <v>0</v>
      </c>
      <c r="O232" s="21">
        <f t="shared" si="2377"/>
        <v>0</v>
      </c>
      <c r="P232" s="21">
        <f t="shared" si="2377"/>
        <v>0</v>
      </c>
      <c r="Q232" s="21">
        <f t="shared" si="2377"/>
        <v>0</v>
      </c>
      <c r="R232" s="21">
        <f t="shared" si="2377"/>
        <v>0</v>
      </c>
      <c r="S232" s="21">
        <f t="shared" si="2377"/>
        <v>0</v>
      </c>
      <c r="T232" s="21">
        <f t="shared" si="2377"/>
        <v>0</v>
      </c>
      <c r="U232" s="21">
        <f t="shared" si="2377"/>
        <v>0</v>
      </c>
      <c r="V232" s="21">
        <f t="shared" si="2377"/>
        <v>0</v>
      </c>
      <c r="W232" s="21">
        <f t="shared" si="2377"/>
        <v>0</v>
      </c>
      <c r="X232" s="21">
        <f t="shared" ref="X232:Y232" si="2378">X218+X220</f>
        <v>0</v>
      </c>
      <c r="Y232" s="21">
        <f t="shared" si="2378"/>
        <v>-59.28859999999991</v>
      </c>
      <c r="Z232" s="21">
        <f t="shared" ref="Z232:AA232" si="2379">Z218+Z220</f>
        <v>-63.079900000000116</v>
      </c>
      <c r="AA232" s="21">
        <f t="shared" si="2379"/>
        <v>165.29859999999999</v>
      </c>
      <c r="AB232" s="20">
        <f t="shared" ref="AA232:AD232" si="2380">AB218+AB220</f>
        <v>132.74935808520186</v>
      </c>
      <c r="AC232" s="20">
        <f t="shared" si="2380"/>
        <v>237.47081430815732</v>
      </c>
      <c r="AD232" s="20">
        <f t="shared" si="2380"/>
        <v>405.34582137942823</v>
      </c>
      <c r="AE232" s="20">
        <f t="shared" ref="AE232" si="2381">AE218+AE220</f>
        <v>614.06793347507789</v>
      </c>
      <c r="AI232" s="21">
        <f t="shared" ref="AI232" si="2382">AI218+AI220</f>
        <v>4.4649999999999936</v>
      </c>
      <c r="AJ232" s="21">
        <f t="shared" ref="AJ232:AL232" si="2383">AJ218+AJ220</f>
        <v>-3.7169999999999908</v>
      </c>
      <c r="AK232" s="21">
        <f t="shared" si="2383"/>
        <v>1.6950000000000043</v>
      </c>
      <c r="AL232" s="21">
        <f t="shared" si="2383"/>
        <v>-3.4370000000000163</v>
      </c>
      <c r="AM232" s="21">
        <f t="shared" ref="AM232" si="2384">AM218+AM220</f>
        <v>-13.757999999999992</v>
      </c>
      <c r="AN232" s="21">
        <f t="shared" ref="AN232:CD232" si="2385">AN218+AN220</f>
        <v>-18.507999999999992</v>
      </c>
      <c r="AO232" s="21">
        <f t="shared" si="2385"/>
        <v>11.531000000000009</v>
      </c>
      <c r="AP232" s="21">
        <f t="shared" si="2385"/>
        <v>-1.5760000000000192</v>
      </c>
      <c r="AQ232" s="21">
        <f t="shared" si="2385"/>
        <v>-2.636000000000001</v>
      </c>
      <c r="AR232" s="21">
        <f t="shared" si="2385"/>
        <v>4.2170000000000014</v>
      </c>
      <c r="AS232" s="21">
        <f t="shared" si="2385"/>
        <v>0.11899999999999933</v>
      </c>
      <c r="AT232" s="21">
        <f t="shared" si="2385"/>
        <v>7.7749999999999932</v>
      </c>
      <c r="AU232" s="21">
        <f t="shared" si="2385"/>
        <v>0.93599999999999972</v>
      </c>
      <c r="AV232" s="21">
        <f t="shared" si="2385"/>
        <v>-2.8020000000000009</v>
      </c>
      <c r="AW232" s="21">
        <f t="shared" si="2385"/>
        <v>4.2959999999999887</v>
      </c>
      <c r="AX232" s="21">
        <f t="shared" si="2385"/>
        <v>10.694000000000003</v>
      </c>
      <c r="AY232" s="21">
        <f t="shared" si="2385"/>
        <v>-8.3480000000000043</v>
      </c>
      <c r="AZ232" s="21">
        <f t="shared" si="2385"/>
        <v>2.1000000000006125E-2</v>
      </c>
      <c r="BA232" s="21">
        <f t="shared" si="2385"/>
        <v>9.5400000000000045</v>
      </c>
      <c r="BB232" s="21">
        <f t="shared" si="2385"/>
        <v>4.5799999999999939</v>
      </c>
      <c r="BC232" s="21">
        <f t="shared" si="2385"/>
        <v>0.19300000000000117</v>
      </c>
      <c r="BD232" s="21">
        <f t="shared" si="2385"/>
        <v>4.5229999999999997</v>
      </c>
      <c r="BE232" s="21">
        <f t="shared" si="2385"/>
        <v>3.0009999999999994</v>
      </c>
      <c r="BF232" s="21">
        <f t="shared" si="2385"/>
        <v>-0.99799999999999289</v>
      </c>
      <c r="BG232" s="21">
        <f t="shared" si="2385"/>
        <v>3.3380000000000001</v>
      </c>
      <c r="BH232" s="21">
        <f t="shared" si="2385"/>
        <v>10.432</v>
      </c>
      <c r="BI232" s="21">
        <f t="shared" si="2385"/>
        <v>15.84999999999998</v>
      </c>
      <c r="BJ232" s="21">
        <f t="shared" si="2385"/>
        <v>5.4789999999999939</v>
      </c>
      <c r="BK232" s="21">
        <f t="shared" si="2385"/>
        <v>3.7719999999999887</v>
      </c>
      <c r="BL232" s="21">
        <f t="shared" si="2385"/>
        <v>9.7959999999999923</v>
      </c>
      <c r="BM232" s="21">
        <f t="shared" si="2385"/>
        <v>5.6500000000000128</v>
      </c>
      <c r="BN232" s="21">
        <f t="shared" si="2385"/>
        <v>4.5259999999999989</v>
      </c>
      <c r="BO232" s="21">
        <f t="shared" si="2385"/>
        <v>-10.097</v>
      </c>
      <c r="BP232" s="21">
        <f t="shared" si="2385"/>
        <v>-11.356999999999998</v>
      </c>
      <c r="BQ232" s="21">
        <f t="shared" si="2385"/>
        <v>1.3540000000000054</v>
      </c>
      <c r="BR232" s="21">
        <f t="shared" si="2385"/>
        <v>-8.960000000000008</v>
      </c>
      <c r="BS232" s="21">
        <f t="shared" si="2385"/>
        <v>-1.046999999999993</v>
      </c>
      <c r="BT232" s="21">
        <f t="shared" si="2385"/>
        <v>2.1990000000000025</v>
      </c>
      <c r="BU232" s="21">
        <f t="shared" si="2385"/>
        <v>5.9429999999999961</v>
      </c>
      <c r="BV232" s="21">
        <f t="shared" si="2385"/>
        <v>-2.4539999999999949</v>
      </c>
      <c r="BW232" s="21">
        <f t="shared" si="2385"/>
        <v>-5.3449999999999998</v>
      </c>
      <c r="BX232" s="21">
        <f t="shared" si="2385"/>
        <v>-2.9460000000000011</v>
      </c>
      <c r="BY232" s="21">
        <f t="shared" si="2385"/>
        <v>11.384000000000007</v>
      </c>
      <c r="BZ232" s="21">
        <f t="shared" si="2385"/>
        <v>9.7930000000000046</v>
      </c>
      <c r="CA232" s="21">
        <f t="shared" si="2385"/>
        <v>4.3369999999999926</v>
      </c>
      <c r="CB232" s="21">
        <f t="shared" si="2385"/>
        <v>6.9840000000000106</v>
      </c>
      <c r="CC232" s="21">
        <f t="shared" si="2385"/>
        <v>-70.607000000000014</v>
      </c>
      <c r="CD232" s="21">
        <f t="shared" si="2385"/>
        <v>-34.671325372287804</v>
      </c>
      <c r="CE232" s="21">
        <f t="shared" ref="CE232:CF232" si="2386">CE218+CE220</f>
        <v>-15.021674627712249</v>
      </c>
      <c r="CF232" s="21">
        <f t="shared" si="2386"/>
        <v>5.2346453525142564</v>
      </c>
      <c r="CG232" s="21">
        <f t="shared" ref="CG232:CH232" si="2387">CG218+CG220</f>
        <v>-18.62034535251431</v>
      </c>
      <c r="CH232" s="21">
        <f t="shared" si="2387"/>
        <v>-150.64551952750239</v>
      </c>
      <c r="CI232" s="21">
        <f t="shared" ref="CI232:CJ232" si="2388">CI218+CI220</f>
        <v>209.31821952750246</v>
      </c>
      <c r="CJ232" s="21">
        <f t="shared" si="2388"/>
        <v>-14.033250273996005</v>
      </c>
      <c r="CK232" s="21">
        <f t="shared" ref="CK232:CL232" si="2389">CK218+CK220</f>
        <v>109.14595027399592</v>
      </c>
      <c r="CL232" s="21">
        <f t="shared" si="2389"/>
        <v>-39.417765630711969</v>
      </c>
      <c r="CM232" s="20">
        <f t="shared" ref="CM232:DA232" si="2390">CM218+CM220</f>
        <v>63.327097720005767</v>
      </c>
      <c r="CN232" s="20">
        <f t="shared" si="2390"/>
        <v>74.224054441792006</v>
      </c>
      <c r="CO232" s="20">
        <f t="shared" si="2390"/>
        <v>34.617071554115903</v>
      </c>
      <c r="CP232" s="20">
        <f t="shared" si="2390"/>
        <v>19.772580557025545</v>
      </c>
      <c r="CQ232" s="20">
        <f t="shared" si="2390"/>
        <v>27.083070624182351</v>
      </c>
      <c r="CR232" s="20">
        <f t="shared" si="2390"/>
        <v>119.31428651030147</v>
      </c>
      <c r="CS232" s="20">
        <f t="shared" si="2390"/>
        <v>71.300876616647827</v>
      </c>
      <c r="CT232" s="20">
        <f t="shared" si="2390"/>
        <v>53.064476381121821</v>
      </c>
      <c r="CU232" s="20">
        <f t="shared" si="2390"/>
        <v>61.206734858117812</v>
      </c>
      <c r="CV232" s="20">
        <f t="shared" si="2390"/>
        <v>174.51485643862776</v>
      </c>
      <c r="CW232" s="20">
        <f t="shared" si="2390"/>
        <v>116.55975370156048</v>
      </c>
      <c r="CX232" s="20">
        <f t="shared" si="2390"/>
        <v>94.350109126498069</v>
      </c>
      <c r="CY232" s="20">
        <f t="shared" si="2390"/>
        <v>103.59104172057491</v>
      </c>
      <c r="CZ232" s="20">
        <f t="shared" si="2390"/>
        <v>242.93544968808357</v>
      </c>
      <c r="DA232" s="20">
        <f t="shared" si="2390"/>
        <v>173.19133293992155</v>
      </c>
      <c r="DD232" s="122">
        <v>125.80770000000001</v>
      </c>
    </row>
    <row r="233" spans="1:108" x14ac:dyDescent="0.2">
      <c r="A233" s="144" t="s">
        <v>496</v>
      </c>
      <c r="AA233" s="2"/>
    </row>
    <row r="234" spans="1:108" x14ac:dyDescent="0.2">
      <c r="AA234" s="2"/>
    </row>
    <row r="235" spans="1:108" s="7" customFormat="1" hidden="1" outlineLevel="1" x14ac:dyDescent="0.2">
      <c r="A235" s="60" t="s">
        <v>97</v>
      </c>
      <c r="AB235" s="76"/>
      <c r="AC235" s="76"/>
      <c r="AD235" s="76"/>
      <c r="AE235" s="76"/>
      <c r="CM235" s="49"/>
      <c r="CN235" s="49"/>
      <c r="CO235" s="49"/>
      <c r="CP235" s="49"/>
      <c r="CQ235" s="49"/>
      <c r="CR235" s="49"/>
      <c r="CS235" s="49"/>
      <c r="CT235" s="49"/>
      <c r="CU235" s="49"/>
      <c r="CV235" s="49"/>
      <c r="CW235" s="49"/>
      <c r="CX235" s="49"/>
      <c r="CY235" s="49"/>
      <c r="CZ235" s="49"/>
      <c r="DA235" s="49"/>
      <c r="DD235" s="131"/>
    </row>
    <row r="236" spans="1:108" s="61" customFormat="1" hidden="1" outlineLevel="1" x14ac:dyDescent="0.2">
      <c r="A236" s="61" t="s">
        <v>98</v>
      </c>
      <c r="AB236" s="62"/>
      <c r="AC236" s="62"/>
      <c r="AD236" s="62"/>
      <c r="AE236" s="62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2"/>
    </row>
    <row r="237" spans="1:108" s="61" customFormat="1" hidden="1" outlineLevel="1" x14ac:dyDescent="0.2">
      <c r="A237" s="61" t="s">
        <v>99</v>
      </c>
      <c r="AB237" s="62"/>
      <c r="AC237" s="62"/>
      <c r="AD237" s="62"/>
      <c r="AE237" s="62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2"/>
    </row>
    <row r="238" spans="1:108" s="61" customFormat="1" hidden="1" outlineLevel="1" x14ac:dyDescent="0.2">
      <c r="A238" s="61" t="s">
        <v>100</v>
      </c>
      <c r="AB238" s="62"/>
      <c r="AC238" s="62"/>
      <c r="AD238" s="62"/>
      <c r="AE238" s="62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2"/>
    </row>
    <row r="239" spans="1:108" s="61" customFormat="1" hidden="1" outlineLevel="1" x14ac:dyDescent="0.2">
      <c r="AB239" s="62"/>
      <c r="AC239" s="62"/>
      <c r="AD239" s="62"/>
      <c r="AE239" s="62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D239" s="132"/>
    </row>
    <row r="240" spans="1:108" s="61" customFormat="1" hidden="1" outlineLevel="1" x14ac:dyDescent="0.2">
      <c r="AB240" s="62"/>
      <c r="AC240" s="62"/>
      <c r="AD240" s="62"/>
      <c r="AE240" s="62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2"/>
    </row>
    <row r="241" spans="1:108" s="61" customFormat="1" hidden="1" outlineLevel="1" x14ac:dyDescent="0.2">
      <c r="AB241" s="62"/>
      <c r="AC241" s="62"/>
      <c r="AD241" s="62"/>
      <c r="AE241" s="62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2"/>
    </row>
    <row r="242" spans="1:108" s="11" customFormat="1" collapsed="1" x14ac:dyDescent="0.2">
      <c r="AB242" s="62"/>
      <c r="AC242" s="62"/>
      <c r="AD242" s="62"/>
      <c r="AE242" s="62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2"/>
    </row>
    <row r="243" spans="1:108" s="82" customFormat="1" x14ac:dyDescent="0.2">
      <c r="A243" s="81" t="s">
        <v>101</v>
      </c>
      <c r="AB243" s="71"/>
      <c r="AC243" s="71"/>
      <c r="AD243" s="71"/>
      <c r="AE243" s="71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2"/>
    </row>
    <row r="244" spans="1:108" s="65" customFormat="1" x14ac:dyDescent="0.2">
      <c r="A244" s="65" t="s">
        <v>470</v>
      </c>
      <c r="AB244" s="49"/>
      <c r="AC244" s="49"/>
      <c r="AD244" s="49"/>
      <c r="AE244" s="49"/>
      <c r="AL244" s="65">
        <f t="shared" ref="AL244:BQ244" si="2391">SUM(AI29:AL29)</f>
        <v>530.07799999999997</v>
      </c>
      <c r="AM244" s="65">
        <f t="shared" si="2391"/>
        <v>539.15300000000002</v>
      </c>
      <c r="AN244" s="65">
        <f t="shared" si="2391"/>
        <v>550.702</v>
      </c>
      <c r="AO244" s="65">
        <f t="shared" si="2391"/>
        <v>482.62799999999999</v>
      </c>
      <c r="AP244" s="65">
        <f t="shared" si="2391"/>
        <v>429.94499999999994</v>
      </c>
      <c r="AQ244" s="65">
        <f t="shared" si="2391"/>
        <v>380.27</v>
      </c>
      <c r="AR244" s="65">
        <f t="shared" si="2391"/>
        <v>311.75299999999999</v>
      </c>
      <c r="AS244" s="65">
        <f t="shared" si="2391"/>
        <v>240.01899999999998</v>
      </c>
      <c r="AT244" s="65">
        <f t="shared" si="2391"/>
        <v>219.334</v>
      </c>
      <c r="AU244" s="65">
        <f t="shared" si="2391"/>
        <v>220.101</v>
      </c>
      <c r="AV244" s="65">
        <f t="shared" si="2391"/>
        <v>209.84699999999998</v>
      </c>
      <c r="AW244" s="65">
        <f t="shared" si="2391"/>
        <v>201.30499999999998</v>
      </c>
      <c r="AX244" s="65">
        <f t="shared" si="2391"/>
        <v>205.39</v>
      </c>
      <c r="AY244" s="65">
        <f t="shared" si="2391"/>
        <v>177.94200000000001</v>
      </c>
      <c r="AZ244" s="65">
        <f t="shared" si="2391"/>
        <v>171.613</v>
      </c>
      <c r="BA244" s="65">
        <f t="shared" si="2391"/>
        <v>175.26500000000001</v>
      </c>
      <c r="BB244" s="65">
        <f t="shared" si="2391"/>
        <v>153.80700000000002</v>
      </c>
      <c r="BC244" s="65">
        <f t="shared" si="2391"/>
        <v>181.23500000000001</v>
      </c>
      <c r="BD244" s="65">
        <f t="shared" si="2391"/>
        <v>204.20099999999999</v>
      </c>
      <c r="BE244" s="65">
        <f t="shared" si="2391"/>
        <v>271.30200000000002</v>
      </c>
      <c r="BF244" s="65">
        <f t="shared" si="2391"/>
        <v>305.346</v>
      </c>
      <c r="BG244" s="65">
        <f t="shared" si="2391"/>
        <v>309.11100000000005</v>
      </c>
      <c r="BH244" s="65">
        <f t="shared" si="2391"/>
        <v>328.50799999999998</v>
      </c>
      <c r="BI244" s="65">
        <f t="shared" si="2391"/>
        <v>448.87700000000001</v>
      </c>
      <c r="BJ244" s="65">
        <f t="shared" si="2391"/>
        <v>496.23899999999998</v>
      </c>
      <c r="BK244" s="65">
        <f t="shared" si="2391"/>
        <v>547.43099999999993</v>
      </c>
      <c r="BL244" s="65">
        <f t="shared" si="2391"/>
        <v>555.92700000000002</v>
      </c>
      <c r="BM244" s="65">
        <f t="shared" si="2391"/>
        <v>432.29599999999999</v>
      </c>
      <c r="BN244" s="65">
        <f t="shared" si="2391"/>
        <v>371.21800000000002</v>
      </c>
      <c r="BO244" s="65">
        <f t="shared" si="2391"/>
        <v>277.17899999999997</v>
      </c>
      <c r="BP244" s="65">
        <f t="shared" si="2391"/>
        <v>206.84200000000001</v>
      </c>
      <c r="BQ244" s="65">
        <f t="shared" si="2391"/>
        <v>198.27799999999999</v>
      </c>
      <c r="BR244" s="65">
        <f t="shared" ref="BR244:CW244" si="2392">SUM(BO29:BR29)</f>
        <v>198.05900000000003</v>
      </c>
      <c r="BS244" s="65">
        <f t="shared" si="2392"/>
        <v>281.58499999999998</v>
      </c>
      <c r="BT244" s="65">
        <f t="shared" si="2392"/>
        <v>356.26800000000003</v>
      </c>
      <c r="BU244" s="65">
        <f t="shared" si="2392"/>
        <v>381.35</v>
      </c>
      <c r="BV244" s="65">
        <f t="shared" si="2392"/>
        <v>382.78399999999999</v>
      </c>
      <c r="BW244" s="65">
        <f t="shared" si="2392"/>
        <v>322.93099999999998</v>
      </c>
      <c r="BX244" s="65">
        <f t="shared" si="2392"/>
        <v>273.512</v>
      </c>
      <c r="BY244" s="65">
        <f t="shared" si="2392"/>
        <v>354.36599999999999</v>
      </c>
      <c r="BZ244" s="65">
        <f t="shared" si="2392"/>
        <v>483.702</v>
      </c>
      <c r="CA244" s="65">
        <f t="shared" si="2392"/>
        <v>667.41399999999999</v>
      </c>
      <c r="CB244" s="65">
        <f t="shared" si="2392"/>
        <v>816.2829999999999</v>
      </c>
      <c r="CC244" s="65">
        <f t="shared" si="2392"/>
        <v>859.221</v>
      </c>
      <c r="CD244" s="65">
        <f t="shared" si="2392"/>
        <v>813.69099999999992</v>
      </c>
      <c r="CE244" s="65">
        <f t="shared" si="2392"/>
        <v>685.81799999999998</v>
      </c>
      <c r="CF244" s="65">
        <f t="shared" si="2392"/>
        <v>570.29100000000005</v>
      </c>
      <c r="CG244" s="65">
        <f t="shared" si="2392"/>
        <v>388.72700000000003</v>
      </c>
      <c r="CH244" s="65">
        <f t="shared" si="2392"/>
        <v>462.56299999999999</v>
      </c>
      <c r="CI244" s="65">
        <f t="shared" si="2392"/>
        <v>451.39400000000001</v>
      </c>
      <c r="CJ244" s="65">
        <f t="shared" si="2392"/>
        <v>472.34100000000001</v>
      </c>
      <c r="CK244" s="65">
        <f t="shared" si="2392"/>
        <v>628.41290000000004</v>
      </c>
      <c r="CL244" s="65">
        <f t="shared" si="2392"/>
        <v>752.0299</v>
      </c>
      <c r="CM244" s="49">
        <f t="shared" si="2392"/>
        <v>966.91190000000006</v>
      </c>
      <c r="CN244" s="49">
        <f t="shared" si="2392"/>
        <v>1326.4979000000001</v>
      </c>
      <c r="CO244" s="49">
        <f t="shared" si="2392"/>
        <v>1572.542772</v>
      </c>
      <c r="CP244" s="49">
        <f t="shared" si="2392"/>
        <v>1690.69130172</v>
      </c>
      <c r="CQ244" s="49">
        <f t="shared" si="2392"/>
        <v>1859.7169337651999</v>
      </c>
      <c r="CR244" s="49">
        <f t="shared" si="2392"/>
        <v>2050.7902589263322</v>
      </c>
      <c r="CS244" s="49">
        <f t="shared" si="2392"/>
        <v>2236.4623992229622</v>
      </c>
      <c r="CT244" s="49">
        <f t="shared" si="2392"/>
        <v>2411.6062023328955</v>
      </c>
      <c r="CU244" s="49">
        <f t="shared" si="2392"/>
        <v>2579.9870631629351</v>
      </c>
      <c r="CV244" s="49">
        <f t="shared" si="2392"/>
        <v>2777.9256465182707</v>
      </c>
      <c r="CW244" s="49">
        <f t="shared" si="2392"/>
        <v>2972.2042546516268</v>
      </c>
      <c r="CX244" s="49">
        <f t="shared" ref="CX244:DA244" si="2393">SUM(CU29:CX29)</f>
        <v>3156.4163745809801</v>
      </c>
      <c r="CY244" s="49">
        <f t="shared" si="2393"/>
        <v>3334.8494037166915</v>
      </c>
      <c r="CZ244" s="49">
        <f t="shared" si="2393"/>
        <v>3550.8778602301891</v>
      </c>
      <c r="DA244" s="49">
        <f t="shared" si="2393"/>
        <v>3764.4491523934721</v>
      </c>
      <c r="DD244" s="131"/>
    </row>
    <row r="245" spans="1:108" s="65" customFormat="1" x14ac:dyDescent="0.2">
      <c r="A245" s="65" t="s">
        <v>471</v>
      </c>
      <c r="AB245" s="49"/>
      <c r="AC245" s="49"/>
      <c r="AD245" s="49"/>
      <c r="AE245" s="49"/>
      <c r="AL245" s="65">
        <f t="shared" ref="AL245:BQ245" si="2394">SUM(AI47:AL47)</f>
        <v>-1.7920000000000087</v>
      </c>
      <c r="AM245" s="65">
        <f t="shared" si="2394"/>
        <v>-26.659999999999997</v>
      </c>
      <c r="AN245" s="65">
        <f t="shared" si="2394"/>
        <v>-33.646999999999998</v>
      </c>
      <c r="AO245" s="65">
        <f t="shared" si="2394"/>
        <v>-23.902999999999992</v>
      </c>
      <c r="AP245" s="65">
        <f t="shared" si="2394"/>
        <v>-26.480999999999995</v>
      </c>
      <c r="AQ245" s="65">
        <f t="shared" si="2394"/>
        <v>-12.693000000000001</v>
      </c>
      <c r="AR245" s="65">
        <f t="shared" si="2394"/>
        <v>-4.4500000000000064</v>
      </c>
      <c r="AS245" s="65">
        <f t="shared" si="2394"/>
        <v>-19.739000000000019</v>
      </c>
      <c r="AT245" s="65">
        <f t="shared" si="2394"/>
        <v>-8.4330000000000069</v>
      </c>
      <c r="AU245" s="65">
        <f t="shared" si="2394"/>
        <v>-3.1420000000000066</v>
      </c>
      <c r="AV245" s="65">
        <f t="shared" si="2394"/>
        <v>-0.94100000000000961</v>
      </c>
      <c r="AW245" s="65">
        <f t="shared" si="2394"/>
        <v>8.3569999999999816</v>
      </c>
      <c r="AX245" s="65">
        <f t="shared" si="2394"/>
        <v>4.3079999999999892</v>
      </c>
      <c r="AY245" s="65">
        <f t="shared" si="2394"/>
        <v>-6.5020000000000149</v>
      </c>
      <c r="AZ245" s="65">
        <f t="shared" si="2394"/>
        <v>-4.3970000000000073</v>
      </c>
      <c r="BA245" s="65">
        <f t="shared" si="2394"/>
        <v>-1.9749999999999925</v>
      </c>
      <c r="BB245" s="65">
        <f t="shared" si="2394"/>
        <v>-5.2999999999999048E-2</v>
      </c>
      <c r="BC245" s="65">
        <f t="shared" si="2394"/>
        <v>8.7580000000000062</v>
      </c>
      <c r="BD245" s="65">
        <f t="shared" si="2394"/>
        <v>11.596</v>
      </c>
      <c r="BE245" s="65">
        <f t="shared" si="2394"/>
        <v>8.4959999999999951</v>
      </c>
      <c r="BF245" s="65">
        <f t="shared" si="2394"/>
        <v>3.8120000000000083</v>
      </c>
      <c r="BG245" s="65">
        <f t="shared" si="2394"/>
        <v>1.1250000000000071</v>
      </c>
      <c r="BH245" s="65">
        <f t="shared" si="2394"/>
        <v>5.6890000000000072</v>
      </c>
      <c r="BI245" s="65">
        <f t="shared" si="2394"/>
        <v>24.063999999999986</v>
      </c>
      <c r="BJ245" s="65">
        <f t="shared" si="2394"/>
        <v>31.596999999999973</v>
      </c>
      <c r="BK245" s="65">
        <f t="shared" si="2394"/>
        <v>39.912999999999961</v>
      </c>
      <c r="BL245" s="65">
        <f t="shared" si="2394"/>
        <v>43.144999999999953</v>
      </c>
      <c r="BM245" s="65">
        <f t="shared" si="2394"/>
        <v>24.754999999999988</v>
      </c>
      <c r="BN245" s="65">
        <f t="shared" si="2394"/>
        <v>22.130999999999993</v>
      </c>
      <c r="BO245" s="65">
        <f t="shared" si="2394"/>
        <v>6.3020000000000067</v>
      </c>
      <c r="BP245" s="65">
        <f t="shared" si="2394"/>
        <v>-14.249999999999984</v>
      </c>
      <c r="BQ245" s="65">
        <f t="shared" si="2394"/>
        <v>-18.401999999999994</v>
      </c>
      <c r="BR245" s="65">
        <f t="shared" ref="BR245:CW245" si="2395">SUM(BO47:BR47)</f>
        <v>-27.286999999999999</v>
      </c>
      <c r="BS245" s="65">
        <f t="shared" si="2395"/>
        <v>-16.930999999999994</v>
      </c>
      <c r="BT245" s="65">
        <f t="shared" si="2395"/>
        <v>-3.0539999999999914</v>
      </c>
      <c r="BU245" s="65">
        <f t="shared" si="2395"/>
        <v>1.5659999999999989</v>
      </c>
      <c r="BV245" s="65">
        <f t="shared" si="2395"/>
        <v>9.4880000000000102</v>
      </c>
      <c r="BW245" s="65">
        <f t="shared" si="2395"/>
        <v>3.1510000000000034</v>
      </c>
      <c r="BX245" s="65">
        <f t="shared" si="2395"/>
        <v>-5.3990000000000009</v>
      </c>
      <c r="BY245" s="65">
        <f t="shared" si="2395"/>
        <v>-3.7539999999999907</v>
      </c>
      <c r="BZ245" s="65">
        <f t="shared" si="2395"/>
        <v>6.6450000000000102</v>
      </c>
      <c r="CA245" s="65">
        <f t="shared" si="2395"/>
        <v>20.956000000000003</v>
      </c>
      <c r="CB245" s="65">
        <f t="shared" si="2395"/>
        <v>31.655000000000015</v>
      </c>
      <c r="CC245" s="65">
        <f t="shared" si="2395"/>
        <v>36.717000000000013</v>
      </c>
      <c r="CD245" s="65">
        <f t="shared" si="2395"/>
        <v>30.818999999999988</v>
      </c>
      <c r="CE245" s="65">
        <f t="shared" si="2395"/>
        <v>24.214999999999989</v>
      </c>
      <c r="CF245" s="65">
        <f t="shared" si="2395"/>
        <v>9.4139999999999873</v>
      </c>
      <c r="CG245" s="65">
        <f t="shared" si="2395"/>
        <v>-3.7870000000000203</v>
      </c>
      <c r="CH245" s="65">
        <f t="shared" si="2395"/>
        <v>-10.036000000000001</v>
      </c>
      <c r="CI245" s="65">
        <f t="shared" si="2395"/>
        <v>-8.6840000000000117</v>
      </c>
      <c r="CJ245" s="65">
        <f t="shared" si="2395"/>
        <v>11.277999999999963</v>
      </c>
      <c r="CK245" s="65">
        <f t="shared" si="2395"/>
        <v>-7.9003000000000299</v>
      </c>
      <c r="CL245" s="65">
        <f t="shared" si="2395"/>
        <v>-1.4973000000000241</v>
      </c>
      <c r="CM245" s="49">
        <f t="shared" si="2395"/>
        <v>-9.067036100105355</v>
      </c>
      <c r="CN245" s="49">
        <f t="shared" si="2395"/>
        <v>11.690206858732694</v>
      </c>
      <c r="CO245" s="49">
        <f t="shared" si="2395"/>
        <v>69.856837471460807</v>
      </c>
      <c r="CP245" s="49">
        <f t="shared" si="2395"/>
        <v>95.872172674162016</v>
      </c>
      <c r="CQ245" s="49">
        <f t="shared" si="2395"/>
        <v>135.56485513560216</v>
      </c>
      <c r="CR245" s="49">
        <f t="shared" si="2395"/>
        <v>184.7407563633052</v>
      </c>
      <c r="CS245" s="49">
        <f t="shared" si="2395"/>
        <v>233.86841804203516</v>
      </c>
      <c r="CT245" s="49">
        <f t="shared" si="2395"/>
        <v>280.26656817733289</v>
      </c>
      <c r="CU245" s="49">
        <f t="shared" si="2395"/>
        <v>325.83546923793415</v>
      </c>
      <c r="CV245" s="49">
        <f t="shared" si="2395"/>
        <v>383.77176089424211</v>
      </c>
      <c r="CW245" s="49">
        <f t="shared" si="2395"/>
        <v>441.95177281979363</v>
      </c>
      <c r="CX245" s="49">
        <f t="shared" ref="CX245:DA245" si="2396">SUM(CU47:CX47)</f>
        <v>497.08053829277668</v>
      </c>
      <c r="CY245" s="49">
        <f t="shared" si="2396"/>
        <v>551.43236532886613</v>
      </c>
      <c r="CZ245" s="49">
        <f t="shared" si="2396"/>
        <v>621.69130589353585</v>
      </c>
      <c r="DA245" s="49">
        <f t="shared" si="2396"/>
        <v>692.48928752609504</v>
      </c>
      <c r="DD245" s="131"/>
    </row>
    <row r="246" spans="1:108" s="65" customFormat="1" x14ac:dyDescent="0.2">
      <c r="A246" s="65" t="s">
        <v>472</v>
      </c>
      <c r="AB246" s="49"/>
      <c r="AC246" s="49"/>
      <c r="AD246" s="49"/>
      <c r="AE246" s="49"/>
      <c r="AL246" s="65">
        <f t="shared" ref="AL246:BQ246" si="2397">SUM(AI60:AL60)</f>
        <v>-0.9940000000000091</v>
      </c>
      <c r="AM246" s="65">
        <f t="shared" si="2397"/>
        <v>-19.216999999999995</v>
      </c>
      <c r="AN246" s="65">
        <f t="shared" si="2397"/>
        <v>-34.007999999999996</v>
      </c>
      <c r="AO246" s="65">
        <f t="shared" si="2397"/>
        <v>-24.17199999999999</v>
      </c>
      <c r="AP246" s="65">
        <f t="shared" si="2397"/>
        <v>-22.310999999999989</v>
      </c>
      <c r="AQ246" s="65">
        <f t="shared" si="2397"/>
        <v>-11.189000000000002</v>
      </c>
      <c r="AR246" s="65">
        <f t="shared" si="2397"/>
        <v>8.1929999999999925</v>
      </c>
      <c r="AS246" s="65">
        <f t="shared" si="2397"/>
        <v>-3.2190000000000194</v>
      </c>
      <c r="AT246" s="65">
        <f t="shared" si="2397"/>
        <v>3.9099999999999939</v>
      </c>
      <c r="AU246" s="65">
        <f t="shared" si="2397"/>
        <v>7.4819999999999949</v>
      </c>
      <c r="AV246" s="65">
        <f t="shared" si="2397"/>
        <v>3.8059999999999925</v>
      </c>
      <c r="AW246" s="65">
        <f t="shared" si="2397"/>
        <v>7.982999999999981</v>
      </c>
      <c r="AX246" s="65">
        <f t="shared" si="2397"/>
        <v>-1.2150000000000114</v>
      </c>
      <c r="AY246" s="65">
        <f t="shared" si="2397"/>
        <v>-10.499000000000015</v>
      </c>
      <c r="AZ246" s="65">
        <f t="shared" si="2397"/>
        <v>-7.6760000000000081</v>
      </c>
      <c r="BA246" s="65">
        <f t="shared" si="2397"/>
        <v>-2.4319999999999915</v>
      </c>
      <c r="BB246" s="65">
        <f t="shared" si="2397"/>
        <v>5.7930000000000001</v>
      </c>
      <c r="BC246" s="65">
        <f t="shared" si="2397"/>
        <v>14.334000000000007</v>
      </c>
      <c r="BD246" s="65">
        <f t="shared" si="2397"/>
        <v>18.835999999999999</v>
      </c>
      <c r="BE246" s="65">
        <f t="shared" si="2397"/>
        <v>12.296999999999995</v>
      </c>
      <c r="BF246" s="65">
        <f t="shared" si="2397"/>
        <v>6.7190000000000074</v>
      </c>
      <c r="BG246" s="65">
        <f t="shared" si="2397"/>
        <v>9.8640000000000061</v>
      </c>
      <c r="BH246" s="65">
        <f t="shared" si="2397"/>
        <v>15.773000000000007</v>
      </c>
      <c r="BI246" s="65">
        <f t="shared" si="2397"/>
        <v>28.621999999999986</v>
      </c>
      <c r="BJ246" s="65">
        <f t="shared" si="2397"/>
        <v>35.098999999999975</v>
      </c>
      <c r="BK246" s="65">
        <f t="shared" si="2397"/>
        <v>35.532999999999966</v>
      </c>
      <c r="BL246" s="65">
        <f t="shared" si="2397"/>
        <v>34.896999999999949</v>
      </c>
      <c r="BM246" s="65">
        <f t="shared" si="2397"/>
        <v>24.696999999999989</v>
      </c>
      <c r="BN246" s="65">
        <f t="shared" si="2397"/>
        <v>23.743999999999993</v>
      </c>
      <c r="BO246" s="65">
        <f t="shared" si="2397"/>
        <v>9.8750000000000053</v>
      </c>
      <c r="BP246" s="65">
        <f t="shared" si="2397"/>
        <v>-11.277999999999984</v>
      </c>
      <c r="BQ246" s="65">
        <f t="shared" si="2397"/>
        <v>-15.573999999999991</v>
      </c>
      <c r="BR246" s="65">
        <f t="shared" ref="BR246:CW246" si="2398">SUM(BO60:BR60)</f>
        <v>-29.06</v>
      </c>
      <c r="BS246" s="65">
        <f t="shared" si="2398"/>
        <v>-20.009999999999994</v>
      </c>
      <c r="BT246" s="65">
        <f t="shared" si="2398"/>
        <v>-6.4539999999999926</v>
      </c>
      <c r="BU246" s="65">
        <f t="shared" si="2398"/>
        <v>-1.8650000000000029</v>
      </c>
      <c r="BV246" s="65">
        <f t="shared" si="2398"/>
        <v>4.6410000000000107</v>
      </c>
      <c r="BW246" s="65">
        <f t="shared" si="2398"/>
        <v>0.34300000000000441</v>
      </c>
      <c r="BX246" s="65">
        <f t="shared" si="2398"/>
        <v>-4.8019999999999996</v>
      </c>
      <c r="BY246" s="65">
        <f t="shared" si="2398"/>
        <v>0.63900000000001178</v>
      </c>
      <c r="BZ246" s="65">
        <f t="shared" si="2398"/>
        <v>12.886000000000012</v>
      </c>
      <c r="CA246" s="65">
        <f t="shared" si="2398"/>
        <v>22.568000000000001</v>
      </c>
      <c r="CB246" s="65">
        <f t="shared" si="2398"/>
        <v>32.498000000000019</v>
      </c>
      <c r="CC246" s="65">
        <f t="shared" si="2398"/>
        <v>31.43300000000001</v>
      </c>
      <c r="CD246" s="65">
        <f t="shared" si="2398"/>
        <v>25.25899999999999</v>
      </c>
      <c r="CE246" s="65">
        <f t="shared" si="2398"/>
        <v>20.894999999999985</v>
      </c>
      <c r="CF246" s="65">
        <f t="shared" si="2398"/>
        <v>6.4139999999999864</v>
      </c>
      <c r="CG246" s="65">
        <f t="shared" si="2398"/>
        <v>-5.3790000000000209</v>
      </c>
      <c r="CH246" s="65">
        <f t="shared" si="2398"/>
        <v>-11.912000000000003</v>
      </c>
      <c r="CI246" s="65">
        <f t="shared" si="2398"/>
        <v>-10.167000000000012</v>
      </c>
      <c r="CJ246" s="65">
        <f t="shared" si="2398"/>
        <v>6.2499999999999609</v>
      </c>
      <c r="CK246" s="65">
        <f t="shared" si="2398"/>
        <v>10.210699999999967</v>
      </c>
      <c r="CL246" s="65">
        <f t="shared" si="2398"/>
        <v>18.093699999999977</v>
      </c>
      <c r="CM246" s="49">
        <f t="shared" si="2398"/>
        <v>11.136621109782855</v>
      </c>
      <c r="CN246" s="49">
        <f t="shared" si="2398"/>
        <v>25.753071107128505</v>
      </c>
      <c r="CO246" s="49">
        <f t="shared" si="2398"/>
        <v>52.202005446732962</v>
      </c>
      <c r="CP246" s="49">
        <f t="shared" si="2398"/>
        <v>70.750770794087785</v>
      </c>
      <c r="CQ246" s="49">
        <f t="shared" si="2398"/>
        <v>102.00557972095444</v>
      </c>
      <c r="CR246" s="49">
        <f t="shared" si="2398"/>
        <v>140.09233527399789</v>
      </c>
      <c r="CS246" s="49">
        <f t="shared" si="2398"/>
        <v>178.49183327344295</v>
      </c>
      <c r="CT246" s="49">
        <f t="shared" si="2398"/>
        <v>215.12806820123694</v>
      </c>
      <c r="CU246" s="49">
        <f t="shared" si="2398"/>
        <v>251.39998927019118</v>
      </c>
      <c r="CV246" s="49">
        <f t="shared" si="2398"/>
        <v>297.2115127133327</v>
      </c>
      <c r="CW246" s="49">
        <f t="shared" si="2398"/>
        <v>343.63298537591163</v>
      </c>
      <c r="CX246" s="49">
        <f t="shared" ref="CX246:DA246" si="2399">SUM(CU60:CX60)</f>
        <v>388.11625033429232</v>
      </c>
      <c r="CY246" s="49">
        <f t="shared" si="2399"/>
        <v>432.33629241136748</v>
      </c>
      <c r="CZ246" s="49">
        <f t="shared" si="2399"/>
        <v>488.81465246006428</v>
      </c>
      <c r="DA246" s="49">
        <f t="shared" si="2399"/>
        <v>546.22675294075577</v>
      </c>
      <c r="DD246" s="131"/>
    </row>
    <row r="247" spans="1:108" s="92" customFormat="1" x14ac:dyDescent="0.2">
      <c r="AB247" s="29"/>
      <c r="AC247" s="29"/>
      <c r="AD247" s="29"/>
      <c r="AE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D247" s="132"/>
    </row>
    <row r="248" spans="1:108" s="11" customFormat="1" x14ac:dyDescent="0.2">
      <c r="AB248" s="62"/>
      <c r="AC248" s="62"/>
      <c r="AD248" s="62"/>
      <c r="AE248" s="62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D248" s="132"/>
    </row>
    <row r="249" spans="1:108" s="61" customFormat="1" hidden="1" outlineLevel="1" x14ac:dyDescent="0.2">
      <c r="A249" s="60" t="s">
        <v>339</v>
      </c>
      <c r="AB249" s="62"/>
      <c r="AC249" s="62"/>
      <c r="AD249" s="62"/>
      <c r="AE249" s="62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D249" s="132"/>
    </row>
    <row r="250" spans="1:108" s="63" customFormat="1" hidden="1" outlineLevel="1" x14ac:dyDescent="0.2">
      <c r="A250" s="63" t="s">
        <v>473</v>
      </c>
      <c r="B250" s="63">
        <f t="shared" ref="B250:Z250" si="2400">B27-B256</f>
        <v>94.467587850000001</v>
      </c>
      <c r="C250" s="63">
        <f t="shared" si="2400"/>
        <v>127.525041859</v>
      </c>
      <c r="D250" s="63">
        <f t="shared" si="2400"/>
        <v>0</v>
      </c>
      <c r="E250" s="63">
        <f t="shared" si="2400"/>
        <v>0</v>
      </c>
      <c r="F250" s="63">
        <f t="shared" si="2400"/>
        <v>0</v>
      </c>
      <c r="G250" s="63">
        <f t="shared" si="2400"/>
        <v>0</v>
      </c>
      <c r="H250" s="63">
        <f t="shared" si="2400"/>
        <v>0</v>
      </c>
      <c r="I250" s="63">
        <f t="shared" si="2400"/>
        <v>0</v>
      </c>
      <c r="J250" s="63">
        <f t="shared" si="2400"/>
        <v>0</v>
      </c>
      <c r="K250" s="63">
        <f t="shared" si="2400"/>
        <v>0</v>
      </c>
      <c r="L250" s="63">
        <f t="shared" si="2400"/>
        <v>0</v>
      </c>
      <c r="M250" s="63">
        <f t="shared" si="2400"/>
        <v>0</v>
      </c>
      <c r="N250" s="63">
        <f t="shared" si="2400"/>
        <v>0</v>
      </c>
      <c r="O250" s="63">
        <f t="shared" si="2400"/>
        <v>0</v>
      </c>
      <c r="P250" s="63">
        <f t="shared" si="2400"/>
        <v>0</v>
      </c>
      <c r="Q250" s="63">
        <f t="shared" si="2400"/>
        <v>0</v>
      </c>
      <c r="R250" s="63">
        <f t="shared" si="2400"/>
        <v>0</v>
      </c>
      <c r="S250" s="63">
        <f t="shared" si="2400"/>
        <v>0</v>
      </c>
      <c r="T250" s="63">
        <f t="shared" si="2400"/>
        <v>0</v>
      </c>
      <c r="U250" s="63">
        <f t="shared" si="2400"/>
        <v>0</v>
      </c>
      <c r="V250" s="63">
        <f t="shared" si="2400"/>
        <v>0</v>
      </c>
      <c r="W250" s="63">
        <f t="shared" si="2400"/>
        <v>0</v>
      </c>
      <c r="X250" s="63">
        <f t="shared" si="2400"/>
        <v>0</v>
      </c>
      <c r="Y250" s="63">
        <f t="shared" si="2400"/>
        <v>666.61429999999996</v>
      </c>
      <c r="Z250" s="63">
        <f t="shared" si="2400"/>
        <v>388.726</v>
      </c>
      <c r="AA250" s="63">
        <f t="shared" ref="AA250" si="2401">AA27-AA256</f>
        <v>357.59480000000002</v>
      </c>
      <c r="AB250" s="29"/>
      <c r="AC250" s="29"/>
      <c r="AD250" s="29"/>
      <c r="AE250" s="29"/>
      <c r="AI250" s="63">
        <f t="shared" ref="AI250:BN250" si="2402">AI27-AI256</f>
        <v>92.71</v>
      </c>
      <c r="AJ250" s="63">
        <f t="shared" si="2402"/>
        <v>110.46000000000001</v>
      </c>
      <c r="AK250" s="63">
        <f t="shared" si="2402"/>
        <v>194.452</v>
      </c>
      <c r="AL250" s="63">
        <f t="shared" si="2402"/>
        <v>135.274</v>
      </c>
      <c r="AM250" s="63">
        <f t="shared" si="2402"/>
        <v>101.785</v>
      </c>
      <c r="AN250" s="63">
        <f t="shared" si="2402"/>
        <v>122.009</v>
      </c>
      <c r="AO250" s="63">
        <f t="shared" si="2402"/>
        <v>126.378</v>
      </c>
      <c r="AP250" s="63">
        <f t="shared" si="2402"/>
        <v>92.660999999999987</v>
      </c>
      <c r="AQ250" s="63">
        <f t="shared" si="2402"/>
        <v>52.11</v>
      </c>
      <c r="AR250" s="63">
        <f t="shared" si="2402"/>
        <v>53.491999999999997</v>
      </c>
      <c r="AS250" s="63">
        <f t="shared" si="2402"/>
        <v>54.643999999999998</v>
      </c>
      <c r="AT250" s="63">
        <f t="shared" si="2402"/>
        <v>59.087999999999994</v>
      </c>
      <c r="AU250" s="63">
        <f t="shared" si="2402"/>
        <v>52.876999999999995</v>
      </c>
      <c r="AV250" s="63">
        <f t="shared" si="2402"/>
        <v>45.015000000000001</v>
      </c>
      <c r="AW250" s="63">
        <f t="shared" si="2402"/>
        <v>46.101999999999997</v>
      </c>
      <c r="AX250" s="63">
        <f t="shared" si="2402"/>
        <v>63.966999999999999</v>
      </c>
      <c r="AY250" s="63">
        <f t="shared" si="2402"/>
        <v>26.428999999999998</v>
      </c>
      <c r="AZ250" s="63">
        <f t="shared" si="2402"/>
        <v>38.273000000000003</v>
      </c>
      <c r="BA250" s="63">
        <f t="shared" si="2402"/>
        <v>51.014000000000003</v>
      </c>
      <c r="BB250" s="63">
        <f t="shared" si="2402"/>
        <v>42.052</v>
      </c>
      <c r="BC250" s="63">
        <f t="shared" si="2402"/>
        <v>55.746000000000002</v>
      </c>
      <c r="BD250" s="63">
        <f t="shared" si="2402"/>
        <v>59.875</v>
      </c>
      <c r="BE250" s="63">
        <f t="shared" si="2402"/>
        <v>116.855</v>
      </c>
      <c r="BF250" s="63">
        <f t="shared" si="2402"/>
        <v>75.759</v>
      </c>
      <c r="BG250" s="63">
        <f t="shared" si="2402"/>
        <v>56.622</v>
      </c>
      <c r="BH250" s="63">
        <f t="shared" si="2402"/>
        <v>79.272000000000006</v>
      </c>
      <c r="BI250" s="63">
        <f t="shared" si="2402"/>
        <v>237.22399999999999</v>
      </c>
      <c r="BJ250" s="63">
        <f t="shared" si="2402"/>
        <v>123.121</v>
      </c>
      <c r="BK250" s="63">
        <f t="shared" si="2402"/>
        <v>107.81399999999999</v>
      </c>
      <c r="BL250" s="63">
        <f t="shared" si="2402"/>
        <v>87.768000000000001</v>
      </c>
      <c r="BM250" s="63">
        <f t="shared" si="2402"/>
        <v>113.593</v>
      </c>
      <c r="BN250" s="63">
        <f t="shared" si="2402"/>
        <v>62.042999999999999</v>
      </c>
      <c r="BO250" s="63">
        <f t="shared" ref="BO250:CT250" si="2403">BO27-BO256</f>
        <v>13.775</v>
      </c>
      <c r="BP250" s="63">
        <f t="shared" si="2403"/>
        <v>17.431000000000001</v>
      </c>
      <c r="BQ250" s="63">
        <f t="shared" si="2403"/>
        <v>105.029</v>
      </c>
      <c r="BR250" s="63">
        <f t="shared" si="2403"/>
        <v>61.823999999999998</v>
      </c>
      <c r="BS250" s="63">
        <f t="shared" si="2403"/>
        <v>97.301000000000002</v>
      </c>
      <c r="BT250" s="63">
        <f t="shared" si="2403"/>
        <v>92.114000000000004</v>
      </c>
      <c r="BU250" s="63">
        <f t="shared" si="2403"/>
        <v>130.11099999999999</v>
      </c>
      <c r="BV250" s="63">
        <f t="shared" si="2403"/>
        <v>63.258000000000003</v>
      </c>
      <c r="BW250" s="63">
        <f t="shared" si="2403"/>
        <v>37.448</v>
      </c>
      <c r="BX250" s="63">
        <f t="shared" si="2403"/>
        <v>42.695</v>
      </c>
      <c r="BY250" s="63">
        <f t="shared" si="2403"/>
        <v>210.965</v>
      </c>
      <c r="BZ250" s="63">
        <f t="shared" si="2403"/>
        <v>192.59399999999999</v>
      </c>
      <c r="CA250" s="63">
        <f t="shared" si="2403"/>
        <v>221.16</v>
      </c>
      <c r="CB250" s="63">
        <f t="shared" si="2403"/>
        <v>191.56399999999999</v>
      </c>
      <c r="CC250" s="63">
        <f t="shared" si="2403"/>
        <v>253.90299999999999</v>
      </c>
      <c r="CD250" s="63">
        <f t="shared" si="2403"/>
        <v>147.06399999999999</v>
      </c>
      <c r="CE250" s="63">
        <f t="shared" si="2403"/>
        <v>93.287000000000006</v>
      </c>
      <c r="CF250" s="63">
        <f t="shared" si="2403"/>
        <v>76.037000000000006</v>
      </c>
      <c r="CG250" s="63">
        <f t="shared" si="2403"/>
        <v>72.338999999999999</v>
      </c>
      <c r="CH250" s="63">
        <f t="shared" si="2403"/>
        <v>220.9</v>
      </c>
      <c r="CI250" s="63">
        <f t="shared" si="2403"/>
        <v>82.117999999999995</v>
      </c>
      <c r="CJ250" s="63">
        <f t="shared" si="2403"/>
        <v>96.983999999999995</v>
      </c>
      <c r="CK250" s="63">
        <f t="shared" ref="CK250:CL250" si="2404">CK27-CK256</f>
        <v>228.4109</v>
      </c>
      <c r="CL250" s="63">
        <f t="shared" si="2404"/>
        <v>344.517</v>
      </c>
      <c r="CM250" s="29">
        <f t="shared" si="2403"/>
        <v>297</v>
      </c>
      <c r="CN250" s="29">
        <f t="shared" si="2403"/>
        <v>456.57</v>
      </c>
      <c r="CO250" s="29">
        <f t="shared" si="2403"/>
        <v>474.45577200000002</v>
      </c>
      <c r="CP250" s="29">
        <f t="shared" si="2403"/>
        <v>462.66552971999999</v>
      </c>
      <c r="CQ250" s="29">
        <f t="shared" si="2403"/>
        <v>466.02563204519998</v>
      </c>
      <c r="CR250" s="29">
        <f t="shared" si="2403"/>
        <v>647.643325161132</v>
      </c>
      <c r="CS250" s="29">
        <f t="shared" si="2403"/>
        <v>660.12791229663014</v>
      </c>
      <c r="CT250" s="29">
        <f t="shared" si="2403"/>
        <v>637.8093328299334</v>
      </c>
      <c r="CU250" s="29">
        <f t="shared" ref="CU250:DA250" si="2405">CU27-CU256</f>
        <v>634.40649287523945</v>
      </c>
      <c r="CV250" s="29">
        <f t="shared" si="2405"/>
        <v>845.58190851646782</v>
      </c>
      <c r="CW250" s="29">
        <f t="shared" si="2405"/>
        <v>854.40652042998568</v>
      </c>
      <c r="CX250" s="29">
        <f t="shared" si="2405"/>
        <v>822.02145275928694</v>
      </c>
      <c r="CY250" s="29">
        <f t="shared" si="2405"/>
        <v>812.8395220109511</v>
      </c>
      <c r="CZ250" s="29">
        <f t="shared" si="2405"/>
        <v>1061.6103650299656</v>
      </c>
      <c r="DA250" s="29">
        <f t="shared" si="2405"/>
        <v>1067.9778125932685</v>
      </c>
      <c r="DD250" s="132"/>
    </row>
    <row r="251" spans="1:108" s="63" customFormat="1" hidden="1" outlineLevel="1" x14ac:dyDescent="0.2">
      <c r="A251" s="63" t="s">
        <v>474</v>
      </c>
      <c r="B251" s="63">
        <f t="shared" ref="B251:Z251" si="2406">B47-B257</f>
        <v>-3.3921743639999953</v>
      </c>
      <c r="C251" s="63">
        <f t="shared" si="2406"/>
        <v>15.030995734000015</v>
      </c>
      <c r="D251" s="63">
        <f t="shared" si="2406"/>
        <v>0</v>
      </c>
      <c r="E251" s="63">
        <f t="shared" si="2406"/>
        <v>0</v>
      </c>
      <c r="F251" s="63">
        <f t="shared" si="2406"/>
        <v>0</v>
      </c>
      <c r="G251" s="63">
        <f t="shared" si="2406"/>
        <v>0</v>
      </c>
      <c r="H251" s="63">
        <f t="shared" si="2406"/>
        <v>0</v>
      </c>
      <c r="I251" s="63">
        <f t="shared" si="2406"/>
        <v>0</v>
      </c>
      <c r="J251" s="63">
        <f t="shared" si="2406"/>
        <v>0</v>
      </c>
      <c r="K251" s="63">
        <f t="shared" si="2406"/>
        <v>0</v>
      </c>
      <c r="L251" s="63">
        <f t="shared" si="2406"/>
        <v>0</v>
      </c>
      <c r="M251" s="63">
        <f t="shared" si="2406"/>
        <v>0</v>
      </c>
      <c r="N251" s="63">
        <f t="shared" si="2406"/>
        <v>0</v>
      </c>
      <c r="O251" s="63">
        <f t="shared" si="2406"/>
        <v>0</v>
      </c>
      <c r="P251" s="63">
        <f t="shared" si="2406"/>
        <v>0</v>
      </c>
      <c r="Q251" s="63">
        <f t="shared" si="2406"/>
        <v>0</v>
      </c>
      <c r="R251" s="63">
        <f t="shared" si="2406"/>
        <v>0</v>
      </c>
      <c r="S251" s="63">
        <f t="shared" si="2406"/>
        <v>0</v>
      </c>
      <c r="T251" s="63">
        <f t="shared" si="2406"/>
        <v>0</v>
      </c>
      <c r="U251" s="63">
        <f t="shared" si="2406"/>
        <v>0</v>
      </c>
      <c r="V251" s="63">
        <f t="shared" si="2406"/>
        <v>0</v>
      </c>
      <c r="W251" s="63">
        <f t="shared" si="2406"/>
        <v>0</v>
      </c>
      <c r="X251" s="63">
        <f t="shared" si="2406"/>
        <v>0</v>
      </c>
      <c r="Y251" s="63">
        <f t="shared" si="2406"/>
        <v>25.367499999999978</v>
      </c>
      <c r="Z251" s="63">
        <f t="shared" si="2406"/>
        <v>-3.7890000000000157</v>
      </c>
      <c r="AA251" s="63">
        <f t="shared" ref="AA251" si="2407">AA47-AA257</f>
        <v>22.440200000000004</v>
      </c>
      <c r="AB251" s="29"/>
      <c r="AC251" s="29"/>
      <c r="AD251" s="29"/>
      <c r="AE251" s="29"/>
      <c r="AI251" s="63">
        <f t="shared" ref="AI251:BN251" si="2408">AI47-AI257</f>
        <v>6.840999999999994</v>
      </c>
      <c r="AJ251" s="63">
        <f t="shared" si="2408"/>
        <v>-5.512999999999991</v>
      </c>
      <c r="AK251" s="63">
        <f t="shared" si="2408"/>
        <v>2.4860000000000042</v>
      </c>
      <c r="AL251" s="63">
        <f t="shared" si="2408"/>
        <v>-5.6060000000000159</v>
      </c>
      <c r="AM251" s="63">
        <f t="shared" si="2408"/>
        <v>-18.026999999999994</v>
      </c>
      <c r="AN251" s="63">
        <f t="shared" si="2408"/>
        <v>-12.499999999999993</v>
      </c>
      <c r="AO251" s="63">
        <f t="shared" si="2408"/>
        <v>12.230000000000011</v>
      </c>
      <c r="AP251" s="63">
        <f t="shared" si="2408"/>
        <v>-8.1840000000000188</v>
      </c>
      <c r="AQ251" s="63">
        <f t="shared" si="2408"/>
        <v>-4.2390000000000008</v>
      </c>
      <c r="AR251" s="63">
        <f t="shared" si="2408"/>
        <v>-4.2569999999999979</v>
      </c>
      <c r="AS251" s="63">
        <f t="shared" si="2408"/>
        <v>-3.0590000000000011</v>
      </c>
      <c r="AT251" s="63">
        <f t="shared" si="2408"/>
        <v>3.1219999999999928</v>
      </c>
      <c r="AU251" s="63">
        <f t="shared" si="2408"/>
        <v>1.0519999999999996</v>
      </c>
      <c r="AV251" s="63">
        <f t="shared" si="2408"/>
        <v>-2.0560000000000009</v>
      </c>
      <c r="AW251" s="63">
        <f t="shared" si="2408"/>
        <v>6.2389999999999901</v>
      </c>
      <c r="AX251" s="63">
        <f t="shared" si="2408"/>
        <v>-0.9269999999999996</v>
      </c>
      <c r="AY251" s="63">
        <f t="shared" si="2408"/>
        <v>-9.7580000000000044</v>
      </c>
      <c r="AZ251" s="63">
        <f t="shared" si="2408"/>
        <v>4.9000000000006594E-2</v>
      </c>
      <c r="BA251" s="63">
        <f t="shared" si="2408"/>
        <v>8.6610000000000049</v>
      </c>
      <c r="BB251" s="63">
        <f t="shared" si="2408"/>
        <v>0.99499999999999389</v>
      </c>
      <c r="BC251" s="63">
        <f t="shared" si="2408"/>
        <v>-0.94699999999999918</v>
      </c>
      <c r="BD251" s="63">
        <f t="shared" si="2408"/>
        <v>2.8870000000000005</v>
      </c>
      <c r="BE251" s="63">
        <f t="shared" si="2408"/>
        <v>5.5609999999999999</v>
      </c>
      <c r="BF251" s="63">
        <f t="shared" si="2408"/>
        <v>-3.688999999999993</v>
      </c>
      <c r="BG251" s="63">
        <f t="shared" si="2408"/>
        <v>-3.6340000000000003</v>
      </c>
      <c r="BH251" s="63">
        <f t="shared" si="2408"/>
        <v>7.4510000000000005</v>
      </c>
      <c r="BI251" s="63">
        <f t="shared" si="2408"/>
        <v>23.935999999999979</v>
      </c>
      <c r="BJ251" s="63">
        <f t="shared" si="2408"/>
        <v>3.8439999999999941</v>
      </c>
      <c r="BK251" s="63">
        <f t="shared" si="2408"/>
        <v>4.6819999999999879</v>
      </c>
      <c r="BL251" s="63">
        <f t="shared" si="2408"/>
        <v>10.682999999999993</v>
      </c>
      <c r="BM251" s="63">
        <f t="shared" si="2408"/>
        <v>5.5460000000000136</v>
      </c>
      <c r="BN251" s="63">
        <f t="shared" si="2408"/>
        <v>1.2199999999999989</v>
      </c>
      <c r="BO251" s="63">
        <f t="shared" ref="BO251:CT251" si="2409">BO47-BO257</f>
        <v>-11.146999999999998</v>
      </c>
      <c r="BP251" s="63">
        <f t="shared" si="2409"/>
        <v>-9.868999999999998</v>
      </c>
      <c r="BQ251" s="63">
        <f t="shared" si="2409"/>
        <v>1.3940000000000055</v>
      </c>
      <c r="BR251" s="63">
        <f t="shared" si="2409"/>
        <v>-7.6650000000000063</v>
      </c>
      <c r="BS251" s="63">
        <f t="shared" si="2409"/>
        <v>-0.79099999999999326</v>
      </c>
      <c r="BT251" s="63">
        <f t="shared" si="2409"/>
        <v>4.0080000000000027</v>
      </c>
      <c r="BU251" s="63">
        <f t="shared" si="2409"/>
        <v>6.0139999999999958</v>
      </c>
      <c r="BV251" s="63">
        <f t="shared" si="2409"/>
        <v>0.257000000000005</v>
      </c>
      <c r="BW251" s="63">
        <f t="shared" si="2409"/>
        <v>-7.1280000000000001</v>
      </c>
      <c r="BX251" s="63">
        <f t="shared" si="2409"/>
        <v>-4.5420000000000016</v>
      </c>
      <c r="BY251" s="63">
        <f t="shared" si="2409"/>
        <v>7.659000000000006</v>
      </c>
      <c r="BZ251" s="63">
        <f t="shared" si="2409"/>
        <v>10.656000000000006</v>
      </c>
      <c r="CA251" s="63">
        <f t="shared" si="2409"/>
        <v>7.1829999999999927</v>
      </c>
      <c r="CB251" s="63">
        <f t="shared" si="2409"/>
        <v>6.1570000000000107</v>
      </c>
      <c r="CC251" s="63">
        <f t="shared" si="2409"/>
        <v>12.721000000000004</v>
      </c>
      <c r="CD251" s="63">
        <f t="shared" si="2409"/>
        <v>4.7579999999999814</v>
      </c>
      <c r="CE251" s="63">
        <f t="shared" si="2409"/>
        <v>0.57899999999999352</v>
      </c>
      <c r="CF251" s="63">
        <f t="shared" si="2409"/>
        <v>-8.6439999999999912</v>
      </c>
      <c r="CG251" s="63">
        <f t="shared" si="2409"/>
        <v>-0.48000000000000398</v>
      </c>
      <c r="CH251" s="63">
        <f t="shared" si="2409"/>
        <v>-1.4909999999999997</v>
      </c>
      <c r="CI251" s="63">
        <f t="shared" si="2409"/>
        <v>1.9309999999999832</v>
      </c>
      <c r="CJ251" s="63">
        <f t="shared" si="2409"/>
        <v>11.317999999999984</v>
      </c>
      <c r="CK251" s="63">
        <f t="shared" ref="CK251:CL251" si="2410">CK47-CK257</f>
        <v>-19.658299999999997</v>
      </c>
      <c r="CL251" s="63">
        <f t="shared" si="2410"/>
        <v>4.9120000000000061</v>
      </c>
      <c r="CM251" s="29">
        <f t="shared" si="2409"/>
        <v>-5.6387361001053478</v>
      </c>
      <c r="CN251" s="29">
        <f t="shared" si="2409"/>
        <v>32.075242958838032</v>
      </c>
      <c r="CO251" s="29">
        <f t="shared" si="2409"/>
        <v>38.508330612728116</v>
      </c>
      <c r="CP251" s="29">
        <f t="shared" si="2409"/>
        <v>30.927335202701215</v>
      </c>
      <c r="CQ251" s="29">
        <f t="shared" si="2409"/>
        <v>34.053946361334795</v>
      </c>
      <c r="CR251" s="29">
        <f t="shared" si="2409"/>
        <v>81.251144186541069</v>
      </c>
      <c r="CS251" s="29">
        <f t="shared" si="2409"/>
        <v>87.635992291458081</v>
      </c>
      <c r="CT251" s="29">
        <f t="shared" si="2409"/>
        <v>77.325485337998941</v>
      </c>
      <c r="CU251" s="29">
        <f t="shared" ref="CU251:DA251" si="2411">CU47-CU257</f>
        <v>79.622847421936058</v>
      </c>
      <c r="CV251" s="29">
        <f t="shared" si="2411"/>
        <v>139.18743584284903</v>
      </c>
      <c r="CW251" s="29">
        <f t="shared" si="2411"/>
        <v>145.81600421700961</v>
      </c>
      <c r="CX251" s="29">
        <f t="shared" si="2411"/>
        <v>132.45425081098199</v>
      </c>
      <c r="CY251" s="29">
        <f t="shared" si="2411"/>
        <v>133.97467445802545</v>
      </c>
      <c r="CZ251" s="29">
        <f t="shared" si="2411"/>
        <v>209.44637640751876</v>
      </c>
      <c r="DA251" s="29">
        <f t="shared" si="2411"/>
        <v>216.61398584956885</v>
      </c>
      <c r="DD251" s="132"/>
    </row>
    <row r="252" spans="1:108" s="88" customFormat="1" hidden="1" outlineLevel="1" x14ac:dyDescent="0.2">
      <c r="A252" s="85" t="s">
        <v>475</v>
      </c>
      <c r="B252" s="85">
        <f>+B251/B250</f>
        <v>-3.5908341063881577E-2</v>
      </c>
      <c r="C252" s="85">
        <f t="shared" ref="C252" si="2412">+C251/C250</f>
        <v>0.1178670127442049</v>
      </c>
      <c r="D252" s="85" t="e">
        <f t="shared" ref="D252" si="2413">+D251/D250</f>
        <v>#DIV/0!</v>
      </c>
      <c r="E252" s="85" t="e">
        <f t="shared" ref="E252" si="2414">+E251/E250</f>
        <v>#DIV/0!</v>
      </c>
      <c r="F252" s="85" t="e">
        <f t="shared" ref="F252" si="2415">+F251/F250</f>
        <v>#DIV/0!</v>
      </c>
      <c r="G252" s="85" t="e">
        <f t="shared" ref="G252" si="2416">+G251/G250</f>
        <v>#DIV/0!</v>
      </c>
      <c r="H252" s="85" t="e">
        <f t="shared" ref="H252" si="2417">+H251/H250</f>
        <v>#DIV/0!</v>
      </c>
      <c r="I252" s="85" t="e">
        <f t="shared" ref="I252" si="2418">+I251/I250</f>
        <v>#DIV/0!</v>
      </c>
      <c r="J252" s="85" t="e">
        <f t="shared" ref="J252" si="2419">+J251/J250</f>
        <v>#DIV/0!</v>
      </c>
      <c r="K252" s="85" t="e">
        <f t="shared" ref="K252" si="2420">+K251/K250</f>
        <v>#DIV/0!</v>
      </c>
      <c r="L252" s="85" t="e">
        <f t="shared" ref="L252" si="2421">+L251/L250</f>
        <v>#DIV/0!</v>
      </c>
      <c r="M252" s="85" t="e">
        <f t="shared" ref="M252" si="2422">+M251/M250</f>
        <v>#DIV/0!</v>
      </c>
      <c r="N252" s="85" t="e">
        <f t="shared" ref="N252" si="2423">+N251/N250</f>
        <v>#DIV/0!</v>
      </c>
      <c r="O252" s="85" t="e">
        <f t="shared" ref="O252" si="2424">+O251/O250</f>
        <v>#DIV/0!</v>
      </c>
      <c r="P252" s="85" t="e">
        <f t="shared" ref="P252" si="2425">+P251/P250</f>
        <v>#DIV/0!</v>
      </c>
      <c r="Q252" s="85" t="e">
        <f t="shared" ref="Q252" si="2426">+Q251/Q250</f>
        <v>#DIV/0!</v>
      </c>
      <c r="R252" s="85" t="e">
        <f t="shared" ref="R252" si="2427">+R251/R250</f>
        <v>#DIV/0!</v>
      </c>
      <c r="S252" s="85" t="e">
        <f t="shared" ref="S252" si="2428">+S251/S250</f>
        <v>#DIV/0!</v>
      </c>
      <c r="T252" s="85" t="e">
        <f t="shared" ref="T252" si="2429">+T251/T250</f>
        <v>#DIV/0!</v>
      </c>
      <c r="U252" s="85" t="e">
        <f t="shared" ref="U252" si="2430">+U251/U250</f>
        <v>#DIV/0!</v>
      </c>
      <c r="V252" s="85" t="e">
        <f t="shared" ref="V252" si="2431">+V251/V250</f>
        <v>#DIV/0!</v>
      </c>
      <c r="W252" s="85" t="e">
        <f t="shared" ref="W252" si="2432">+W251/W250</f>
        <v>#DIV/0!</v>
      </c>
      <c r="X252" s="85" t="e">
        <f t="shared" ref="X252:Y252" si="2433">+X251/X250</f>
        <v>#DIV/0!</v>
      </c>
      <c r="Y252" s="85">
        <f t="shared" si="2433"/>
        <v>3.8054239160486024E-2</v>
      </c>
      <c r="Z252" s="85">
        <f t="shared" ref="Z252:AA252" si="2434">+Z251/Z250</f>
        <v>-9.747225552188472E-3</v>
      </c>
      <c r="AA252" s="85">
        <f t="shared" si="2434"/>
        <v>6.2753149654301468E-2</v>
      </c>
      <c r="AB252" s="86"/>
      <c r="AC252" s="86"/>
      <c r="AD252" s="86"/>
      <c r="AE252" s="86"/>
      <c r="AF252" s="85"/>
      <c r="AG252" s="85"/>
      <c r="AH252" s="85"/>
      <c r="AI252" s="85">
        <f t="shared" ref="AI252" si="2435">+AI251/AI250</f>
        <v>7.3789235249703322E-2</v>
      </c>
      <c r="AJ252" s="85">
        <f t="shared" ref="AJ252" si="2436">+AJ251/AJ250</f>
        <v>-4.9909469491218453E-2</v>
      </c>
      <c r="AK252" s="85">
        <f t="shared" ref="AK252" si="2437">+AK251/AK250</f>
        <v>1.2784646082323679E-2</v>
      </c>
      <c r="AL252" s="85">
        <f t="shared" ref="AL252" si="2438">+AL251/AL250</f>
        <v>-4.1441814391531377E-2</v>
      </c>
      <c r="AM252" s="85">
        <f t="shared" ref="AM252" si="2439">+AM251/AM250</f>
        <v>-0.17710861128850022</v>
      </c>
      <c r="AN252" s="85">
        <f t="shared" ref="AN252" si="2440">+AN251/AN250</f>
        <v>-0.10245145849896313</v>
      </c>
      <c r="AO252" s="85">
        <f t="shared" ref="AO252" si="2441">+AO251/AO250</f>
        <v>9.6773172545854588E-2</v>
      </c>
      <c r="AP252" s="85">
        <f t="shared" ref="AP252" si="2442">+AP251/AP250</f>
        <v>-8.8321947745006207E-2</v>
      </c>
      <c r="AQ252" s="85">
        <f t="shared" ref="AQ252" si="2443">+AQ251/AQ250</f>
        <v>-8.1347150259067372E-2</v>
      </c>
      <c r="AR252" s="85">
        <f t="shared" ref="AR252" si="2444">+AR251/AR250</f>
        <v>-7.9581993569131801E-2</v>
      </c>
      <c r="AS252" s="85">
        <f t="shared" ref="AS252" si="2445">+AS251/AS250</f>
        <v>-5.5980528511821996E-2</v>
      </c>
      <c r="AT252" s="85">
        <f t="shared" ref="AT252" si="2446">+AT251/AT250</f>
        <v>5.283644733279165E-2</v>
      </c>
      <c r="AU252" s="85">
        <f t="shared" ref="AU252" si="2447">+AU251/AU250</f>
        <v>1.9895228549274727E-2</v>
      </c>
      <c r="AV252" s="85">
        <f t="shared" ref="AV252" si="2448">+AV251/AV250</f>
        <v>-4.5673664334110874E-2</v>
      </c>
      <c r="AW252" s="85">
        <f t="shared" ref="AW252" si="2449">+AW251/AW250</f>
        <v>0.13533035443147781</v>
      </c>
      <c r="AX252" s="85">
        <f t="shared" ref="AX252" si="2450">+AX251/AX250</f>
        <v>-1.4491847358794373E-2</v>
      </c>
      <c r="AY252" s="85">
        <f t="shared" ref="AY252" si="2451">+AY251/AY250</f>
        <v>-0.36921563434106491</v>
      </c>
      <c r="AZ252" s="85">
        <f t="shared" ref="AZ252" si="2452">+AZ251/AZ250</f>
        <v>1.2802759125233609E-3</v>
      </c>
      <c r="BA252" s="85">
        <f t="shared" ref="BA252" si="2453">+BA251/BA250</f>
        <v>0.16977692398165217</v>
      </c>
      <c r="BB252" s="85">
        <f t="shared" ref="BB252" si="2454">+BB251/BB250</f>
        <v>2.366118139446385E-2</v>
      </c>
      <c r="BC252" s="85">
        <f t="shared" ref="BC252" si="2455">+BC251/BC250</f>
        <v>-1.6987765938363274E-2</v>
      </c>
      <c r="BD252" s="85">
        <f t="shared" ref="BD252" si="2456">+BD251/BD250</f>
        <v>4.8217118997912325E-2</v>
      </c>
      <c r="BE252" s="85">
        <f t="shared" ref="BE252" si="2457">+BE251/BE250</f>
        <v>4.7588892216849941E-2</v>
      </c>
      <c r="BF252" s="85">
        <f t="shared" ref="BF252" si="2458">+BF251/BF250</f>
        <v>-4.8693884554970271E-2</v>
      </c>
      <c r="BG252" s="85">
        <f t="shared" ref="BG252" si="2459">+BG251/BG250</f>
        <v>-6.41800007064392E-2</v>
      </c>
      <c r="BH252" s="85">
        <f t="shared" ref="BH252" si="2460">+BH251/BH250</f>
        <v>9.3992834796649508E-2</v>
      </c>
      <c r="BI252" s="85">
        <f t="shared" ref="BI252" si="2461">+BI251/BI250</f>
        <v>0.10090041479782813</v>
      </c>
      <c r="BJ252" s="85">
        <f t="shared" ref="BJ252" si="2462">+BJ251/BJ250</f>
        <v>3.1221318865181358E-2</v>
      </c>
      <c r="BK252" s="85">
        <f t="shared" ref="BK252" si="2463">+BK251/BK250</f>
        <v>4.3426642180050719E-2</v>
      </c>
      <c r="BL252" s="85">
        <f t="shared" ref="BL252" si="2464">+BL251/BL250</f>
        <v>0.1217186218211648</v>
      </c>
      <c r="BM252" s="85">
        <f t="shared" ref="BM252" si="2465">+BM251/BM250</f>
        <v>4.8823431021277841E-2</v>
      </c>
      <c r="BN252" s="85">
        <f t="shared" ref="BN252" si="2466">+BN251/BN250</f>
        <v>1.9663781570846008E-2</v>
      </c>
      <c r="BO252" s="85">
        <f t="shared" ref="BO252" si="2467">+BO251/BO250</f>
        <v>-0.80921960072595267</v>
      </c>
      <c r="BP252" s="85">
        <f t="shared" ref="BP252" si="2468">+BP251/BP250</f>
        <v>-0.56617520509437191</v>
      </c>
      <c r="BQ252" s="85">
        <f t="shared" ref="BQ252" si="2469">+BQ251/BQ250</f>
        <v>1.3272524731264751E-2</v>
      </c>
      <c r="BR252" s="85">
        <f t="shared" ref="BR252" si="2470">+BR251/BR250</f>
        <v>-0.12398097826086966</v>
      </c>
      <c r="BS252" s="85">
        <f t="shared" ref="BS252" si="2471">+BS251/BS250</f>
        <v>-8.1294128528996961E-3</v>
      </c>
      <c r="BT252" s="85">
        <f t="shared" ref="BT252" si="2472">+BT251/BT250</f>
        <v>4.3511301213713466E-2</v>
      </c>
      <c r="BU252" s="85">
        <f t="shared" ref="BU252" si="2473">+BU251/BU250</f>
        <v>4.6222071923204003E-2</v>
      </c>
      <c r="BV252" s="85">
        <f t="shared" ref="BV252" si="2474">+BV251/BV250</f>
        <v>4.0627272439850296E-3</v>
      </c>
      <c r="BW252" s="85">
        <f t="shared" ref="BW252" si="2475">+BW251/BW250</f>
        <v>-0.19034394360179449</v>
      </c>
      <c r="BX252" s="85">
        <f t="shared" ref="BX252" si="2476">+BX251/BX250</f>
        <v>-0.10638248038411996</v>
      </c>
      <c r="BY252" s="85">
        <f t="shared" ref="BY252" si="2477">+BY251/BY250</f>
        <v>3.6304600289147518E-2</v>
      </c>
      <c r="BZ252" s="85">
        <f t="shared" ref="BZ252" si="2478">+BZ251/BZ250</f>
        <v>5.5328826443191412E-2</v>
      </c>
      <c r="CA252" s="85">
        <f t="shared" ref="CA252" si="2479">+CA251/CA250</f>
        <v>3.247874841743531E-2</v>
      </c>
      <c r="CB252" s="85">
        <f t="shared" ref="CB252:CC252" si="2480">+CB251/CB250</f>
        <v>3.214069449374627E-2</v>
      </c>
      <c r="CC252" s="85">
        <f t="shared" si="2480"/>
        <v>5.010181053394408E-2</v>
      </c>
      <c r="CD252" s="85">
        <f t="shared" ref="CD252" si="2481">+CD251/CD250</f>
        <v>3.2353261165206856E-2</v>
      </c>
      <c r="CE252" s="85">
        <f t="shared" ref="CE252:CF252" si="2482">+CE251/CE250</f>
        <v>6.206652588249097E-3</v>
      </c>
      <c r="CF252" s="85">
        <f t="shared" si="2482"/>
        <v>-0.11368149716585334</v>
      </c>
      <c r="CG252" s="85">
        <f t="shared" ref="CG252:CH252" si="2483">+CG251/CG250</f>
        <v>-6.6354248745490538E-3</v>
      </c>
      <c r="CH252" s="85">
        <f t="shared" si="2483"/>
        <v>-6.7496604798551367E-3</v>
      </c>
      <c r="CI252" s="85">
        <f t="shared" ref="CI252:CJ252" si="2484">+CI251/CI250</f>
        <v>2.3514941912856906E-2</v>
      </c>
      <c r="CJ252" s="85">
        <f t="shared" si="2484"/>
        <v>0.11669966179988435</v>
      </c>
      <c r="CK252" s="85">
        <f t="shared" ref="CK252:CL252" si="2485">+CK251/CK250</f>
        <v>-8.6065507381652959E-2</v>
      </c>
      <c r="CL252" s="85">
        <f t="shared" si="2485"/>
        <v>1.4257641858021537E-2</v>
      </c>
      <c r="CM252" s="46">
        <f t="shared" ref="CM252:DA252" si="2486">+CM251/CM250</f>
        <v>-1.8985643434698142E-2</v>
      </c>
      <c r="CN252" s="46">
        <f t="shared" si="2486"/>
        <v>7.0252629298547933E-2</v>
      </c>
      <c r="CO252" s="46">
        <f t="shared" si="2486"/>
        <v>8.1163161848367429E-2</v>
      </c>
      <c r="CP252" s="46">
        <f t="shared" si="2486"/>
        <v>6.6845989631901234E-2</v>
      </c>
      <c r="CQ252" s="46">
        <f t="shared" si="2486"/>
        <v>7.3073118772213563E-2</v>
      </c>
      <c r="CR252" s="46">
        <f t="shared" si="2486"/>
        <v>0.12545662254193077</v>
      </c>
      <c r="CS252" s="46">
        <f t="shared" si="2486"/>
        <v>0.13275607751013963</v>
      </c>
      <c r="CT252" s="46">
        <f t="shared" si="2486"/>
        <v>0.12123605183842166</v>
      </c>
      <c r="CU252" s="46">
        <f t="shared" si="2486"/>
        <v>0.12550761746001621</v>
      </c>
      <c r="CV252" s="46">
        <f t="shared" si="2486"/>
        <v>0.16460550354849313</v>
      </c>
      <c r="CW252" s="46">
        <f t="shared" si="2486"/>
        <v>0.17066349650939783</v>
      </c>
      <c r="CX252" s="46">
        <f t="shared" si="2486"/>
        <v>0.16113235289221661</v>
      </c>
      <c r="CY252" s="46">
        <f t="shared" si="2486"/>
        <v>0.16482303189019942</v>
      </c>
      <c r="CZ252" s="46">
        <f t="shared" si="2486"/>
        <v>0.1972911939321606</v>
      </c>
      <c r="DA252" s="46">
        <f t="shared" si="2486"/>
        <v>0.20282629778945108</v>
      </c>
      <c r="DD252" s="124"/>
    </row>
    <row r="253" spans="1:108" s="63" customFormat="1" hidden="1" outlineLevel="1" x14ac:dyDescent="0.2">
      <c r="A253" s="63" t="s">
        <v>476</v>
      </c>
      <c r="B253" s="63">
        <f t="shared" ref="B253:Z253" si="2487">B60-B259</f>
        <v>-4.6812965389999954</v>
      </c>
      <c r="C253" s="63">
        <f t="shared" si="2487"/>
        <v>6.0145298780000145</v>
      </c>
      <c r="D253" s="63">
        <f t="shared" si="2487"/>
        <v>0</v>
      </c>
      <c r="E253" s="63">
        <f t="shared" si="2487"/>
        <v>0</v>
      </c>
      <c r="F253" s="63">
        <f t="shared" si="2487"/>
        <v>0</v>
      </c>
      <c r="G253" s="63">
        <f t="shared" si="2487"/>
        <v>0</v>
      </c>
      <c r="H253" s="63">
        <f t="shared" si="2487"/>
        <v>0</v>
      </c>
      <c r="I253" s="63">
        <f t="shared" si="2487"/>
        <v>0</v>
      </c>
      <c r="J253" s="63">
        <f t="shared" si="2487"/>
        <v>0</v>
      </c>
      <c r="K253" s="63">
        <f t="shared" si="2487"/>
        <v>0</v>
      </c>
      <c r="L253" s="63">
        <f t="shared" si="2487"/>
        <v>0</v>
      </c>
      <c r="M253" s="63">
        <f t="shared" si="2487"/>
        <v>0</v>
      </c>
      <c r="N253" s="63">
        <f t="shared" si="2487"/>
        <v>0</v>
      </c>
      <c r="O253" s="63">
        <f t="shared" si="2487"/>
        <v>0</v>
      </c>
      <c r="P253" s="63">
        <f t="shared" si="2487"/>
        <v>0</v>
      </c>
      <c r="Q253" s="63">
        <f t="shared" si="2487"/>
        <v>0</v>
      </c>
      <c r="R253" s="63">
        <f t="shared" si="2487"/>
        <v>0</v>
      </c>
      <c r="S253" s="63">
        <f t="shared" si="2487"/>
        <v>0</v>
      </c>
      <c r="T253" s="63">
        <f t="shared" si="2487"/>
        <v>0</v>
      </c>
      <c r="U253" s="63">
        <f t="shared" si="2487"/>
        <v>0</v>
      </c>
      <c r="V253" s="63">
        <f t="shared" si="2487"/>
        <v>0</v>
      </c>
      <c r="W253" s="63">
        <f t="shared" si="2487"/>
        <v>0</v>
      </c>
      <c r="X253" s="63">
        <f t="shared" si="2487"/>
        <v>0</v>
      </c>
      <c r="Y253" s="63">
        <f t="shared" si="2487"/>
        <v>21.639199999999978</v>
      </c>
      <c r="Z253" s="63">
        <f t="shared" si="2487"/>
        <v>-5.3821000000000145</v>
      </c>
      <c r="AA253" s="63">
        <f t="shared" ref="AA253" si="2488">AA60-AA259</f>
        <v>21.722500000000004</v>
      </c>
      <c r="AB253" s="29"/>
      <c r="AC253" s="29"/>
      <c r="AD253" s="29"/>
      <c r="AE253" s="29"/>
      <c r="AI253" s="63">
        <f t="shared" ref="AI253:BN253" si="2489">AI60-AI259</f>
        <v>4.4649999999999936</v>
      </c>
      <c r="AJ253" s="63">
        <f t="shared" si="2489"/>
        <v>-3.7169999999999908</v>
      </c>
      <c r="AK253" s="63">
        <f t="shared" si="2489"/>
        <v>1.6950000000000043</v>
      </c>
      <c r="AL253" s="63">
        <f t="shared" si="2489"/>
        <v>-3.4370000000000163</v>
      </c>
      <c r="AM253" s="63">
        <f t="shared" si="2489"/>
        <v>-13.757999999999992</v>
      </c>
      <c r="AN253" s="63">
        <f t="shared" si="2489"/>
        <v>-18.507999999999992</v>
      </c>
      <c r="AO253" s="63">
        <f t="shared" si="2489"/>
        <v>11.531000000000011</v>
      </c>
      <c r="AP253" s="63">
        <f t="shared" si="2489"/>
        <v>-1.5760000000000192</v>
      </c>
      <c r="AQ253" s="63">
        <f t="shared" si="2489"/>
        <v>-2.636000000000001</v>
      </c>
      <c r="AR253" s="63">
        <f t="shared" si="2489"/>
        <v>0.87400000000000166</v>
      </c>
      <c r="AS253" s="63">
        <f t="shared" si="2489"/>
        <v>0.11899999999999938</v>
      </c>
      <c r="AT253" s="63">
        <f t="shared" si="2489"/>
        <v>5.5529999999999937</v>
      </c>
      <c r="AU253" s="63">
        <f t="shared" si="2489"/>
        <v>0.93599999999999972</v>
      </c>
      <c r="AV253" s="63">
        <f t="shared" si="2489"/>
        <v>-2.8020000000000009</v>
      </c>
      <c r="AW253" s="63">
        <f t="shared" si="2489"/>
        <v>4.2959999999999887</v>
      </c>
      <c r="AX253" s="63">
        <f t="shared" si="2489"/>
        <v>-3.6449999999999987</v>
      </c>
      <c r="AY253" s="63">
        <f t="shared" si="2489"/>
        <v>-8.3480000000000043</v>
      </c>
      <c r="AZ253" s="63">
        <f t="shared" si="2489"/>
        <v>2.1000000000006236E-2</v>
      </c>
      <c r="BA253" s="63">
        <f t="shared" si="2489"/>
        <v>9.5400000000000045</v>
      </c>
      <c r="BB253" s="63">
        <f t="shared" si="2489"/>
        <v>4.5799999999999939</v>
      </c>
      <c r="BC253" s="63">
        <f t="shared" si="2489"/>
        <v>0.19300000000000117</v>
      </c>
      <c r="BD253" s="63">
        <f t="shared" si="2489"/>
        <v>4.5229999999999997</v>
      </c>
      <c r="BE253" s="63">
        <f t="shared" si="2489"/>
        <v>3.0009999999999999</v>
      </c>
      <c r="BF253" s="63">
        <f t="shared" si="2489"/>
        <v>-0.99799999999999289</v>
      </c>
      <c r="BG253" s="63">
        <f t="shared" si="2489"/>
        <v>3.3380000000000001</v>
      </c>
      <c r="BH253" s="63">
        <f t="shared" si="2489"/>
        <v>10.432</v>
      </c>
      <c r="BI253" s="63">
        <f t="shared" si="2489"/>
        <v>15.84999999999998</v>
      </c>
      <c r="BJ253" s="63">
        <f t="shared" si="2489"/>
        <v>5.4789999999999939</v>
      </c>
      <c r="BK253" s="63">
        <f t="shared" si="2489"/>
        <v>3.7719999999999887</v>
      </c>
      <c r="BL253" s="63">
        <f t="shared" si="2489"/>
        <v>9.7959999999999923</v>
      </c>
      <c r="BM253" s="63">
        <f t="shared" si="2489"/>
        <v>5.6500000000000128</v>
      </c>
      <c r="BN253" s="63">
        <f t="shared" si="2489"/>
        <v>4.5259999999999989</v>
      </c>
      <c r="BO253" s="63">
        <f t="shared" ref="BO253:CT253" si="2490">BO60-BO259</f>
        <v>-10.097</v>
      </c>
      <c r="BP253" s="63">
        <f t="shared" si="2490"/>
        <v>-11.356999999999998</v>
      </c>
      <c r="BQ253" s="63">
        <f t="shared" si="2490"/>
        <v>1.3540000000000054</v>
      </c>
      <c r="BR253" s="63">
        <f t="shared" si="2490"/>
        <v>-8.960000000000008</v>
      </c>
      <c r="BS253" s="63">
        <f t="shared" si="2490"/>
        <v>-1.046999999999993</v>
      </c>
      <c r="BT253" s="63">
        <f t="shared" si="2490"/>
        <v>2.1990000000000025</v>
      </c>
      <c r="BU253" s="63">
        <f t="shared" si="2490"/>
        <v>5.9429999999999961</v>
      </c>
      <c r="BV253" s="63">
        <f t="shared" si="2490"/>
        <v>-2.4539999999999949</v>
      </c>
      <c r="BW253" s="63">
        <f t="shared" si="2490"/>
        <v>-5.3449999999999998</v>
      </c>
      <c r="BX253" s="63">
        <f t="shared" si="2490"/>
        <v>-2.9460000000000011</v>
      </c>
      <c r="BY253" s="63">
        <f t="shared" si="2490"/>
        <v>11.384000000000007</v>
      </c>
      <c r="BZ253" s="63">
        <f t="shared" si="2490"/>
        <v>9.7930000000000046</v>
      </c>
      <c r="CA253" s="63">
        <f t="shared" si="2490"/>
        <v>4.3369999999999926</v>
      </c>
      <c r="CB253" s="63">
        <f t="shared" si="2490"/>
        <v>6.9840000000000106</v>
      </c>
      <c r="CC253" s="63">
        <f t="shared" si="2490"/>
        <v>10.319000000000003</v>
      </c>
      <c r="CD253" s="63">
        <f t="shared" si="2490"/>
        <v>3.6189999999999811</v>
      </c>
      <c r="CE253" s="63">
        <f t="shared" si="2490"/>
        <v>-2.7000000000006564E-2</v>
      </c>
      <c r="CF253" s="63">
        <f t="shared" si="2490"/>
        <v>-7.4969999999999919</v>
      </c>
      <c r="CG253" s="63">
        <f t="shared" si="2490"/>
        <v>-1.474000000000004</v>
      </c>
      <c r="CH253" s="63">
        <f t="shared" si="2490"/>
        <v>-2.9140000000000001</v>
      </c>
      <c r="CI253" s="63">
        <f t="shared" si="2490"/>
        <v>1.7179999999999831</v>
      </c>
      <c r="CJ253" s="63">
        <f t="shared" si="2490"/>
        <v>8.9199999999999822</v>
      </c>
      <c r="CK253" s="63">
        <f t="shared" ref="CK253:CL253" si="2491">CK60-CK259</f>
        <v>2.4867000000000017</v>
      </c>
      <c r="CL253" s="63">
        <f t="shared" si="2491"/>
        <v>4.9690000000000065</v>
      </c>
      <c r="CM253" s="29">
        <f t="shared" si="2490"/>
        <v>-5.239078890217133</v>
      </c>
      <c r="CN253" s="29">
        <f t="shared" si="2490"/>
        <v>23.536449997345631</v>
      </c>
      <c r="CO253" s="29">
        <f t="shared" si="2490"/>
        <v>28.935634339604455</v>
      </c>
      <c r="CP253" s="29">
        <f t="shared" si="2490"/>
        <v>23.517765347354835</v>
      </c>
      <c r="CQ253" s="29">
        <f t="shared" si="2490"/>
        <v>26.015730036649511</v>
      </c>
      <c r="CR253" s="29">
        <f t="shared" si="2490"/>
        <v>61.623205550389102</v>
      </c>
      <c r="CS253" s="29">
        <f t="shared" si="2490"/>
        <v>67.335132339049494</v>
      </c>
      <c r="CT253" s="29">
        <f t="shared" si="2490"/>
        <v>60.154000275148846</v>
      </c>
      <c r="CU253" s="29">
        <f t="shared" ref="CU253:DA253" si="2492">CU60-CU259</f>
        <v>62.287651105603715</v>
      </c>
      <c r="CV253" s="29">
        <f t="shared" si="2492"/>
        <v>107.43472899353063</v>
      </c>
      <c r="CW253" s="29">
        <f t="shared" si="2492"/>
        <v>113.7566050016284</v>
      </c>
      <c r="CX253" s="29">
        <f t="shared" si="2492"/>
        <v>104.63726523352955</v>
      </c>
      <c r="CY253" s="29">
        <f t="shared" si="2492"/>
        <v>106.50769318267893</v>
      </c>
      <c r="CZ253" s="29">
        <f t="shared" si="2492"/>
        <v>163.91308904222737</v>
      </c>
      <c r="DA253" s="29">
        <f t="shared" si="2492"/>
        <v>171.16870548231995</v>
      </c>
      <c r="DD253" s="132"/>
    </row>
    <row r="254" spans="1:108" s="63" customFormat="1" hidden="1" outlineLevel="1" x14ac:dyDescent="0.2">
      <c r="AB254" s="29"/>
      <c r="AC254" s="29"/>
      <c r="AD254" s="29"/>
      <c r="AE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D254" s="132"/>
    </row>
    <row r="255" spans="1:108" s="63" customFormat="1" hidden="1" outlineLevel="1" x14ac:dyDescent="0.2">
      <c r="A255" s="64" t="s">
        <v>352</v>
      </c>
      <c r="AB255" s="29"/>
      <c r="AC255" s="29"/>
      <c r="AD255" s="29"/>
      <c r="AE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D255" s="132"/>
    </row>
    <row r="256" spans="1:108" s="63" customFormat="1" hidden="1" outlineLevel="1" x14ac:dyDescent="0.2">
      <c r="A256" s="63" t="s">
        <v>477</v>
      </c>
      <c r="AB256" s="29"/>
      <c r="AC256" s="29"/>
      <c r="AD256" s="29"/>
      <c r="AE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D256" s="132"/>
    </row>
    <row r="257" spans="1:108" s="63" customFormat="1" hidden="1" outlineLevel="1" x14ac:dyDescent="0.2">
      <c r="A257" s="63" t="s">
        <v>478</v>
      </c>
      <c r="AB257" s="29"/>
      <c r="AC257" s="29"/>
      <c r="AD257" s="29"/>
      <c r="AE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D257" s="132"/>
    </row>
    <row r="258" spans="1:108" s="88" customFormat="1" hidden="1" outlineLevel="1" x14ac:dyDescent="0.2">
      <c r="A258" s="85" t="s">
        <v>479</v>
      </c>
      <c r="B258" s="85" t="e">
        <f>+B257/B256</f>
        <v>#DIV/0!</v>
      </c>
      <c r="C258" s="85" t="e">
        <f t="shared" ref="C258:X258" si="2493">+C257/C256</f>
        <v>#DIV/0!</v>
      </c>
      <c r="D258" s="85" t="e">
        <f t="shared" si="2493"/>
        <v>#DIV/0!</v>
      </c>
      <c r="E258" s="85" t="e">
        <f t="shared" si="2493"/>
        <v>#DIV/0!</v>
      </c>
      <c r="F258" s="85" t="e">
        <f t="shared" si="2493"/>
        <v>#DIV/0!</v>
      </c>
      <c r="G258" s="85" t="e">
        <f t="shared" si="2493"/>
        <v>#DIV/0!</v>
      </c>
      <c r="H258" s="85" t="e">
        <f t="shared" si="2493"/>
        <v>#DIV/0!</v>
      </c>
      <c r="I258" s="85" t="e">
        <f t="shared" si="2493"/>
        <v>#DIV/0!</v>
      </c>
      <c r="J258" s="85" t="e">
        <f t="shared" si="2493"/>
        <v>#DIV/0!</v>
      </c>
      <c r="K258" s="85" t="e">
        <f t="shared" si="2493"/>
        <v>#DIV/0!</v>
      </c>
      <c r="L258" s="85" t="e">
        <f t="shared" si="2493"/>
        <v>#DIV/0!</v>
      </c>
      <c r="M258" s="85" t="e">
        <f t="shared" si="2493"/>
        <v>#DIV/0!</v>
      </c>
      <c r="N258" s="85" t="e">
        <f t="shared" si="2493"/>
        <v>#DIV/0!</v>
      </c>
      <c r="O258" s="85" t="e">
        <f t="shared" si="2493"/>
        <v>#DIV/0!</v>
      </c>
      <c r="P258" s="85" t="e">
        <f t="shared" si="2493"/>
        <v>#DIV/0!</v>
      </c>
      <c r="Q258" s="85" t="e">
        <f t="shared" si="2493"/>
        <v>#DIV/0!</v>
      </c>
      <c r="R258" s="85" t="e">
        <f t="shared" si="2493"/>
        <v>#DIV/0!</v>
      </c>
      <c r="S258" s="85" t="e">
        <f t="shared" si="2493"/>
        <v>#DIV/0!</v>
      </c>
      <c r="T258" s="85" t="e">
        <f t="shared" si="2493"/>
        <v>#DIV/0!</v>
      </c>
      <c r="U258" s="85" t="e">
        <f t="shared" si="2493"/>
        <v>#DIV/0!</v>
      </c>
      <c r="V258" s="85" t="e">
        <f t="shared" si="2493"/>
        <v>#DIV/0!</v>
      </c>
      <c r="W258" s="85" t="e">
        <f t="shared" si="2493"/>
        <v>#DIV/0!</v>
      </c>
      <c r="X258" s="85" t="e">
        <f t="shared" si="2493"/>
        <v>#DIV/0!</v>
      </c>
      <c r="Y258" s="85" t="e">
        <f t="shared" ref="Y258:Z258" si="2494">+Y257/Y256</f>
        <v>#DIV/0!</v>
      </c>
      <c r="Z258" s="85" t="e">
        <f t="shared" si="2494"/>
        <v>#DIV/0!</v>
      </c>
      <c r="AA258" s="85" t="e">
        <f t="shared" ref="AA258" si="2495">+AA257/AA256</f>
        <v>#DIV/0!</v>
      </c>
      <c r="AB258" s="86"/>
      <c r="AC258" s="86"/>
      <c r="AD258" s="86"/>
      <c r="AE258" s="86"/>
      <c r="AF258" s="85"/>
      <c r="AG258" s="85"/>
      <c r="AH258" s="85"/>
      <c r="AI258" s="85" t="e">
        <f t="shared" ref="AI258" si="2496">+AI257/AI256</f>
        <v>#DIV/0!</v>
      </c>
      <c r="AJ258" s="85" t="e">
        <f t="shared" ref="AJ258" si="2497">+AJ257/AJ256</f>
        <v>#DIV/0!</v>
      </c>
      <c r="AK258" s="85" t="e">
        <f t="shared" ref="AK258" si="2498">+AK257/AK256</f>
        <v>#DIV/0!</v>
      </c>
      <c r="AL258" s="85" t="e">
        <f t="shared" ref="AL258" si="2499">+AL257/AL256</f>
        <v>#DIV/0!</v>
      </c>
      <c r="AM258" s="85" t="e">
        <f t="shared" ref="AM258" si="2500">+AM257/AM256</f>
        <v>#DIV/0!</v>
      </c>
      <c r="AN258" s="85" t="e">
        <f t="shared" ref="AN258" si="2501">+AN257/AN256</f>
        <v>#DIV/0!</v>
      </c>
      <c r="AO258" s="85" t="e">
        <f t="shared" ref="AO258" si="2502">+AO257/AO256</f>
        <v>#DIV/0!</v>
      </c>
      <c r="AP258" s="85" t="e">
        <f t="shared" ref="AP258" si="2503">+AP257/AP256</f>
        <v>#DIV/0!</v>
      </c>
      <c r="AQ258" s="85" t="e">
        <f t="shared" ref="AQ258" si="2504">+AQ257/AQ256</f>
        <v>#DIV/0!</v>
      </c>
      <c r="AR258" s="85" t="e">
        <f t="shared" ref="AR258" si="2505">+AR257/AR256</f>
        <v>#DIV/0!</v>
      </c>
      <c r="AS258" s="85" t="e">
        <f t="shared" ref="AS258" si="2506">+AS257/AS256</f>
        <v>#DIV/0!</v>
      </c>
      <c r="AT258" s="85" t="e">
        <f t="shared" ref="AT258" si="2507">+AT257/AT256</f>
        <v>#DIV/0!</v>
      </c>
      <c r="AU258" s="85" t="e">
        <f t="shared" ref="AU258" si="2508">+AU257/AU256</f>
        <v>#DIV/0!</v>
      </c>
      <c r="AV258" s="85" t="e">
        <f t="shared" ref="AV258" si="2509">+AV257/AV256</f>
        <v>#DIV/0!</v>
      </c>
      <c r="AW258" s="85" t="e">
        <f t="shared" ref="AW258" si="2510">+AW257/AW256</f>
        <v>#DIV/0!</v>
      </c>
      <c r="AX258" s="85" t="e">
        <f t="shared" ref="AX258" si="2511">+AX257/AX256</f>
        <v>#DIV/0!</v>
      </c>
      <c r="AY258" s="85" t="e">
        <f t="shared" ref="AY258" si="2512">+AY257/AY256</f>
        <v>#DIV/0!</v>
      </c>
      <c r="AZ258" s="85" t="e">
        <f t="shared" ref="AZ258" si="2513">+AZ257/AZ256</f>
        <v>#DIV/0!</v>
      </c>
      <c r="BA258" s="85" t="e">
        <f t="shared" ref="BA258" si="2514">+BA257/BA256</f>
        <v>#DIV/0!</v>
      </c>
      <c r="BB258" s="85" t="e">
        <f t="shared" ref="BB258" si="2515">+BB257/BB256</f>
        <v>#DIV/0!</v>
      </c>
      <c r="BC258" s="85" t="e">
        <f t="shared" ref="BC258" si="2516">+BC257/BC256</f>
        <v>#DIV/0!</v>
      </c>
      <c r="BD258" s="85" t="e">
        <f t="shared" ref="BD258" si="2517">+BD257/BD256</f>
        <v>#DIV/0!</v>
      </c>
      <c r="BE258" s="85" t="e">
        <f t="shared" ref="BE258" si="2518">+BE257/BE256</f>
        <v>#DIV/0!</v>
      </c>
      <c r="BF258" s="85" t="e">
        <f t="shared" ref="BF258" si="2519">+BF257/BF256</f>
        <v>#DIV/0!</v>
      </c>
      <c r="BG258" s="85" t="e">
        <f t="shared" ref="BG258" si="2520">+BG257/BG256</f>
        <v>#DIV/0!</v>
      </c>
      <c r="BH258" s="85" t="e">
        <f t="shared" ref="BH258" si="2521">+BH257/BH256</f>
        <v>#DIV/0!</v>
      </c>
      <c r="BI258" s="85" t="e">
        <f t="shared" ref="BI258" si="2522">+BI257/BI256</f>
        <v>#DIV/0!</v>
      </c>
      <c r="BJ258" s="85" t="e">
        <f t="shared" ref="BJ258" si="2523">+BJ257/BJ256</f>
        <v>#DIV/0!</v>
      </c>
      <c r="BK258" s="85" t="e">
        <f t="shared" ref="BK258" si="2524">+BK257/BK256</f>
        <v>#DIV/0!</v>
      </c>
      <c r="BL258" s="85" t="e">
        <f t="shared" ref="BL258" si="2525">+BL257/BL256</f>
        <v>#DIV/0!</v>
      </c>
      <c r="BM258" s="85" t="e">
        <f t="shared" ref="BM258" si="2526">+BM257/BM256</f>
        <v>#DIV/0!</v>
      </c>
      <c r="BN258" s="85" t="e">
        <f t="shared" ref="BN258" si="2527">+BN257/BN256</f>
        <v>#DIV/0!</v>
      </c>
      <c r="BO258" s="85" t="e">
        <f t="shared" ref="BO258" si="2528">+BO257/BO256</f>
        <v>#DIV/0!</v>
      </c>
      <c r="BP258" s="85" t="e">
        <f t="shared" ref="BP258" si="2529">+BP257/BP256</f>
        <v>#DIV/0!</v>
      </c>
      <c r="BQ258" s="85" t="e">
        <f t="shared" ref="BQ258" si="2530">+BQ257/BQ256</f>
        <v>#DIV/0!</v>
      </c>
      <c r="BR258" s="85" t="e">
        <f t="shared" ref="BR258" si="2531">+BR257/BR256</f>
        <v>#DIV/0!</v>
      </c>
      <c r="BS258" s="85" t="e">
        <f t="shared" ref="BS258" si="2532">+BS257/BS256</f>
        <v>#DIV/0!</v>
      </c>
      <c r="BT258" s="85" t="e">
        <f t="shared" ref="BT258" si="2533">+BT257/BT256</f>
        <v>#DIV/0!</v>
      </c>
      <c r="BU258" s="85" t="e">
        <f t="shared" ref="BU258" si="2534">+BU257/BU256</f>
        <v>#DIV/0!</v>
      </c>
      <c r="BV258" s="85" t="e">
        <f t="shared" ref="BV258" si="2535">+BV257/BV256</f>
        <v>#DIV/0!</v>
      </c>
      <c r="BW258" s="85" t="e">
        <f t="shared" ref="BW258" si="2536">+BW257/BW256</f>
        <v>#DIV/0!</v>
      </c>
      <c r="BX258" s="85" t="e">
        <f t="shared" ref="BX258" si="2537">+BX257/BX256</f>
        <v>#DIV/0!</v>
      </c>
      <c r="BY258" s="85" t="e">
        <f t="shared" ref="BY258" si="2538">+BY257/BY256</f>
        <v>#DIV/0!</v>
      </c>
      <c r="BZ258" s="85" t="e">
        <f t="shared" ref="BZ258" si="2539">+BZ257/BZ256</f>
        <v>#DIV/0!</v>
      </c>
      <c r="CA258" s="85" t="e">
        <f t="shared" ref="CA258" si="2540">+CA257/CA256</f>
        <v>#DIV/0!</v>
      </c>
      <c r="CB258" s="85" t="e">
        <f t="shared" ref="CB258:CC258" si="2541">+CB257/CB256</f>
        <v>#DIV/0!</v>
      </c>
      <c r="CC258" s="85" t="e">
        <f t="shared" si="2541"/>
        <v>#DIV/0!</v>
      </c>
      <c r="CD258" s="85" t="e">
        <f t="shared" ref="CD258" si="2542">+CD257/CD256</f>
        <v>#DIV/0!</v>
      </c>
      <c r="CE258" s="85" t="e">
        <f t="shared" ref="CE258:CF258" si="2543">+CE257/CE256</f>
        <v>#DIV/0!</v>
      </c>
      <c r="CF258" s="85" t="e">
        <f t="shared" si="2543"/>
        <v>#DIV/0!</v>
      </c>
      <c r="CG258" s="85" t="e">
        <f t="shared" ref="CG258:CH258" si="2544">+CG257/CG256</f>
        <v>#DIV/0!</v>
      </c>
      <c r="CH258" s="85" t="e">
        <f t="shared" si="2544"/>
        <v>#DIV/0!</v>
      </c>
      <c r="CI258" s="85" t="e">
        <f t="shared" ref="CI258:CJ258" si="2545">+CI257/CI256</f>
        <v>#DIV/0!</v>
      </c>
      <c r="CJ258" s="85" t="e">
        <f t="shared" si="2545"/>
        <v>#DIV/0!</v>
      </c>
      <c r="CK258" s="85" t="e">
        <f t="shared" ref="CK258:CL258" si="2546">+CK257/CK256</f>
        <v>#DIV/0!</v>
      </c>
      <c r="CL258" s="85" t="e">
        <f t="shared" si="2546"/>
        <v>#DIV/0!</v>
      </c>
      <c r="CM258" s="46" t="e">
        <f t="shared" ref="CM258:DA258" si="2547">+CM257/CM256</f>
        <v>#DIV/0!</v>
      </c>
      <c r="CN258" s="46" t="e">
        <f t="shared" si="2547"/>
        <v>#DIV/0!</v>
      </c>
      <c r="CO258" s="46" t="e">
        <f t="shared" si="2547"/>
        <v>#DIV/0!</v>
      </c>
      <c r="CP258" s="46" t="e">
        <f t="shared" si="2547"/>
        <v>#DIV/0!</v>
      </c>
      <c r="CQ258" s="46" t="e">
        <f t="shared" si="2547"/>
        <v>#DIV/0!</v>
      </c>
      <c r="CR258" s="46" t="e">
        <f t="shared" si="2547"/>
        <v>#DIV/0!</v>
      </c>
      <c r="CS258" s="46" t="e">
        <f t="shared" si="2547"/>
        <v>#DIV/0!</v>
      </c>
      <c r="CT258" s="46" t="e">
        <f t="shared" si="2547"/>
        <v>#DIV/0!</v>
      </c>
      <c r="CU258" s="46" t="e">
        <f t="shared" si="2547"/>
        <v>#DIV/0!</v>
      </c>
      <c r="CV258" s="46" t="e">
        <f t="shared" si="2547"/>
        <v>#DIV/0!</v>
      </c>
      <c r="CW258" s="46" t="e">
        <f t="shared" si="2547"/>
        <v>#DIV/0!</v>
      </c>
      <c r="CX258" s="46" t="e">
        <f t="shared" si="2547"/>
        <v>#DIV/0!</v>
      </c>
      <c r="CY258" s="46" t="e">
        <f t="shared" si="2547"/>
        <v>#DIV/0!</v>
      </c>
      <c r="CZ258" s="46" t="e">
        <f t="shared" si="2547"/>
        <v>#DIV/0!</v>
      </c>
      <c r="DA258" s="46" t="e">
        <f t="shared" si="2547"/>
        <v>#DIV/0!</v>
      </c>
      <c r="DD258" s="124"/>
    </row>
    <row r="259" spans="1:108" s="63" customFormat="1" hidden="1" outlineLevel="1" x14ac:dyDescent="0.2">
      <c r="A259" s="63" t="s">
        <v>480</v>
      </c>
      <c r="AB259" s="29"/>
      <c r="AC259" s="29"/>
      <c r="AD259" s="29"/>
      <c r="AE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D259" s="132"/>
    </row>
    <row r="260" spans="1:108" s="61" customFormat="1" hidden="1" outlineLevel="1" x14ac:dyDescent="0.2">
      <c r="AB260" s="62"/>
      <c r="AC260" s="62"/>
      <c r="AD260" s="62"/>
      <c r="AE260" s="62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D260" s="132"/>
    </row>
    <row r="261" spans="1:108" s="11" customFormat="1" collapsed="1" x14ac:dyDescent="0.2">
      <c r="AB261" s="62"/>
      <c r="AC261" s="62"/>
      <c r="AD261" s="62"/>
      <c r="AE261" s="62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D261" s="132"/>
    </row>
    <row r="262" spans="1:108" s="61" customFormat="1" x14ac:dyDescent="0.2">
      <c r="A262" s="146" t="s">
        <v>497</v>
      </c>
      <c r="G262" s="170"/>
      <c r="H262" s="170"/>
      <c r="I262" s="170"/>
      <c r="J262" s="170"/>
      <c r="K262" s="170"/>
      <c r="L262" s="170"/>
      <c r="M262" s="170"/>
      <c r="N262" s="170"/>
      <c r="O262" s="170"/>
      <c r="P262" s="170"/>
      <c r="Q262" s="170"/>
      <c r="R262" s="170"/>
      <c r="S262" s="170"/>
      <c r="T262" s="170"/>
      <c r="U262" s="170"/>
      <c r="V262" s="170"/>
      <c r="W262" s="170"/>
      <c r="X262" s="170"/>
      <c r="Y262" s="170"/>
      <c r="Z262" s="170"/>
      <c r="AA262" s="170"/>
      <c r="AB262" s="62"/>
      <c r="AC262" s="62"/>
      <c r="AD262" s="62"/>
      <c r="AE262" s="62"/>
      <c r="AL262" s="170"/>
      <c r="CF262" s="170"/>
      <c r="CG262" s="170"/>
      <c r="CH262" s="170"/>
      <c r="CI262" s="170"/>
      <c r="CJ262" s="170"/>
      <c r="CK262" s="170"/>
      <c r="CL262" s="170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D262" s="132"/>
    </row>
    <row r="263" spans="1:108" s="83" customFormat="1" x14ac:dyDescent="0.2">
      <c r="A263" s="83" t="s">
        <v>512</v>
      </c>
      <c r="B263" s="83">
        <f>B27/B184</f>
        <v>1.2297463211867845</v>
      </c>
      <c r="C263" s="83">
        <f>C27/C184</f>
        <v>1.5222152891786644</v>
      </c>
      <c r="D263" s="83" t="e">
        <f>D27/D184</f>
        <v>#DIV/0!</v>
      </c>
      <c r="E263" s="83" t="e">
        <f t="shared" ref="E263:AE263" si="2548">E29/(E180+E167+E157)</f>
        <v>#DIV/0!</v>
      </c>
      <c r="F263" s="83" t="e">
        <f t="shared" si="2548"/>
        <v>#DIV/0!</v>
      </c>
      <c r="G263" s="83" t="e">
        <f t="shared" si="2548"/>
        <v>#DIV/0!</v>
      </c>
      <c r="H263" s="83" t="e">
        <f t="shared" si="2548"/>
        <v>#DIV/0!</v>
      </c>
      <c r="I263" s="83" t="e">
        <f t="shared" si="2548"/>
        <v>#DIV/0!</v>
      </c>
      <c r="J263" s="83" t="e">
        <f t="shared" si="2548"/>
        <v>#DIV/0!</v>
      </c>
      <c r="K263" s="83" t="e">
        <f t="shared" si="2548"/>
        <v>#DIV/0!</v>
      </c>
      <c r="L263" s="83" t="e">
        <f t="shared" si="2548"/>
        <v>#DIV/0!</v>
      </c>
      <c r="M263" s="83" t="e">
        <f t="shared" si="2548"/>
        <v>#DIV/0!</v>
      </c>
      <c r="N263" s="83" t="e">
        <f t="shared" si="2548"/>
        <v>#DIV/0!</v>
      </c>
      <c r="O263" s="83" t="e">
        <f t="shared" si="2548"/>
        <v>#DIV/0!</v>
      </c>
      <c r="P263" s="83" t="e">
        <f t="shared" si="2548"/>
        <v>#DIV/0!</v>
      </c>
      <c r="Q263" s="83" t="e">
        <f t="shared" si="2548"/>
        <v>#DIV/0!</v>
      </c>
      <c r="R263" s="83" t="e">
        <f t="shared" si="2548"/>
        <v>#DIV/0!</v>
      </c>
      <c r="S263" s="83" t="e">
        <f t="shared" si="2548"/>
        <v>#DIV/0!</v>
      </c>
      <c r="T263" s="83" t="e">
        <f t="shared" si="2548"/>
        <v>#DIV/0!</v>
      </c>
      <c r="U263" s="83" t="e">
        <f t="shared" si="2548"/>
        <v>#DIV/0!</v>
      </c>
      <c r="V263" s="83" t="e">
        <f t="shared" si="2548"/>
        <v>#DIV/0!</v>
      </c>
      <c r="W263" s="83" t="e">
        <f t="shared" si="2548"/>
        <v>#DIV/0!</v>
      </c>
      <c r="X263" s="83" t="e">
        <f t="shared" si="2548"/>
        <v>#DIV/0!</v>
      </c>
      <c r="Y263" s="83">
        <f t="shared" si="2548"/>
        <v>0.80540528197279215</v>
      </c>
      <c r="Z263" s="83">
        <f t="shared" si="2548"/>
        <v>0.67649064236034362</v>
      </c>
      <c r="AA263" s="83">
        <f t="shared" ref="AA263" si="2549">AA29/(AA180+AA167+AA157)</f>
        <v>0.52500451090552702</v>
      </c>
      <c r="AB263" s="49">
        <f t="shared" si="2548"/>
        <v>1.2604552730645131</v>
      </c>
      <c r="AC263" s="49">
        <f t="shared" si="2548"/>
        <v>1.234001246021156</v>
      </c>
      <c r="AD263" s="49">
        <f t="shared" si="2548"/>
        <v>1.1609356696535305</v>
      </c>
      <c r="AE263" s="49">
        <f t="shared" si="2548"/>
        <v>1.0601919473898784</v>
      </c>
      <c r="AL263" s="83">
        <f t="shared" ref="AL263:BQ263" si="2550">SUM(AI29:AL29)/(AL180+AL167+AL157)</f>
        <v>-154.22694210066845</v>
      </c>
      <c r="AM263" s="83" t="e">
        <f t="shared" si="2550"/>
        <v>#DIV/0!</v>
      </c>
      <c r="AN263" s="83">
        <f t="shared" si="2550"/>
        <v>-29.754808731359425</v>
      </c>
      <c r="AO263" s="83" t="e">
        <f t="shared" si="2550"/>
        <v>#DIV/0!</v>
      </c>
      <c r="AP263" s="83">
        <f t="shared" si="2550"/>
        <v>-272.80774111674793</v>
      </c>
      <c r="AQ263" s="83" t="e">
        <f t="shared" si="2550"/>
        <v>#DIV/0!</v>
      </c>
      <c r="AR263" s="83">
        <f t="shared" si="2550"/>
        <v>73.927673701683631</v>
      </c>
      <c r="AS263" s="83" t="e">
        <f t="shared" si="2550"/>
        <v>#DIV/0!</v>
      </c>
      <c r="AT263" s="83">
        <f t="shared" si="2550"/>
        <v>28.210160771704206</v>
      </c>
      <c r="AU263" s="83" t="e">
        <f t="shared" si="2550"/>
        <v>#DIV/0!</v>
      </c>
      <c r="AV263" s="83">
        <f t="shared" si="2550"/>
        <v>-74.891862955032082</v>
      </c>
      <c r="AW263" s="83" t="e">
        <f t="shared" si="2550"/>
        <v>#DIV/0!</v>
      </c>
      <c r="AX263" s="83">
        <f t="shared" si="2550"/>
        <v>19.206096876753314</v>
      </c>
      <c r="AY263" s="83" t="e">
        <f t="shared" si="2550"/>
        <v>#DIV/0!</v>
      </c>
      <c r="AZ263" s="83">
        <f t="shared" si="2550"/>
        <v>8172.0476190452355</v>
      </c>
      <c r="BA263" s="83" t="e">
        <f t="shared" si="2550"/>
        <v>#DIV/0!</v>
      </c>
      <c r="BB263" s="83">
        <f t="shared" si="2550"/>
        <v>33.5823144104804</v>
      </c>
      <c r="BC263" s="83" t="e">
        <f t="shared" si="2550"/>
        <v>#DIV/0!</v>
      </c>
      <c r="BD263" s="83">
        <f t="shared" si="2550"/>
        <v>45.147247402166705</v>
      </c>
      <c r="BE263" s="83" t="e">
        <f t="shared" si="2550"/>
        <v>#DIV/0!</v>
      </c>
      <c r="BF263" s="83">
        <f t="shared" si="2550"/>
        <v>-305.9579158316655</v>
      </c>
      <c r="BG263" s="83" t="e">
        <f t="shared" si="2550"/>
        <v>#DIV/0!</v>
      </c>
      <c r="BH263" s="83">
        <f t="shared" si="2550"/>
        <v>31.490414110429445</v>
      </c>
      <c r="BI263" s="83" t="e">
        <f t="shared" si="2550"/>
        <v>#DIV/0!</v>
      </c>
      <c r="BJ263" s="83">
        <f t="shared" si="2550"/>
        <v>90.571089614893324</v>
      </c>
      <c r="BK263" s="83" t="e">
        <f t="shared" si="2550"/>
        <v>#DIV/0!</v>
      </c>
      <c r="BL263" s="83">
        <f t="shared" si="2550"/>
        <v>56.750408329930629</v>
      </c>
      <c r="BM263" s="83" t="e">
        <f t="shared" si="2550"/>
        <v>#DIV/0!</v>
      </c>
      <c r="BN263" s="83">
        <f t="shared" si="2550"/>
        <v>82.019001325673912</v>
      </c>
      <c r="BO263" s="83" t="e">
        <f t="shared" si="2550"/>
        <v>#DIV/0!</v>
      </c>
      <c r="BP263" s="83">
        <f t="shared" si="2550"/>
        <v>-18.212732235625609</v>
      </c>
      <c r="BQ263" s="83" t="e">
        <f t="shared" si="2550"/>
        <v>#DIV/0!</v>
      </c>
      <c r="BR263" s="83">
        <f t="shared" ref="BR263:CW263" si="2551">SUM(BO29:BR29)/(BR180+BR167+BR157)</f>
        <v>-22.104799107142842</v>
      </c>
      <c r="BS263" s="83" t="e">
        <f t="shared" si="2551"/>
        <v>#DIV/0!</v>
      </c>
      <c r="BT263" s="83">
        <f t="shared" si="2551"/>
        <v>162.01364256480201</v>
      </c>
      <c r="BU263" s="83" t="e">
        <f t="shared" si="2551"/>
        <v>#DIV/0!</v>
      </c>
      <c r="BV263" s="83">
        <f t="shared" si="2551"/>
        <v>-155.9837000814999</v>
      </c>
      <c r="BW263" s="83" t="e">
        <f t="shared" si="2551"/>
        <v>#DIV/0!</v>
      </c>
      <c r="BX263" s="83">
        <f t="shared" si="2551"/>
        <v>-92.841819416157463</v>
      </c>
      <c r="BY263" s="83" t="e">
        <f t="shared" si="2551"/>
        <v>#DIV/0!</v>
      </c>
      <c r="BZ263" s="83">
        <f t="shared" si="2551"/>
        <v>49.392627386908991</v>
      </c>
      <c r="CA263" s="83" t="e">
        <f t="shared" si="2551"/>
        <v>#DIV/0!</v>
      </c>
      <c r="CB263" s="83">
        <f t="shared" si="2551"/>
        <v>116.87900916380279</v>
      </c>
      <c r="CC263" s="83">
        <f t="shared" si="2551"/>
        <v>1.0381139940193915</v>
      </c>
      <c r="CD263" s="83">
        <f t="shared" si="2551"/>
        <v>1.1675261898745877</v>
      </c>
      <c r="CE263" s="83">
        <f t="shared" si="2551"/>
        <v>1.1371565862321111</v>
      </c>
      <c r="CF263" s="83">
        <f t="shared" si="2551"/>
        <v>1.0214370851078496</v>
      </c>
      <c r="CG263" s="83">
        <f t="shared" si="2551"/>
        <v>0.6764923826366368</v>
      </c>
      <c r="CH263" s="83">
        <f t="shared" si="2551"/>
        <v>0.53258314145538177</v>
      </c>
      <c r="CI263" s="83">
        <f t="shared" si="2551"/>
        <v>0.80195926547087748</v>
      </c>
      <c r="CJ263" s="83">
        <f t="shared" si="2551"/>
        <v>0.79419992762131197</v>
      </c>
      <c r="CK263" s="83">
        <f t="shared" si="2551"/>
        <v>0.92260482228770191</v>
      </c>
      <c r="CL263" s="83">
        <f t="shared" si="2551"/>
        <v>0.98639426745646064</v>
      </c>
      <c r="CM263" s="49">
        <f t="shared" si="2551"/>
        <v>1.1706736481881665</v>
      </c>
      <c r="CN263" s="49">
        <f t="shared" si="2551"/>
        <v>1.1227677392968343</v>
      </c>
      <c r="CO263" s="49">
        <f t="shared" si="2551"/>
        <v>1.2604552730645131</v>
      </c>
      <c r="CP263" s="49">
        <f t="shared" si="2551"/>
        <v>1.3562548929823646</v>
      </c>
      <c r="CQ263" s="49">
        <f t="shared" si="2551"/>
        <v>1.4533644884632122</v>
      </c>
      <c r="CR263" s="49">
        <f t="shared" si="2551"/>
        <v>1.1929731965714865</v>
      </c>
      <c r="CS263" s="49">
        <f t="shared" si="2551"/>
        <v>1.234001246021156</v>
      </c>
      <c r="CT263" s="49">
        <f t="shared" si="2551"/>
        <v>1.320640416726987</v>
      </c>
      <c r="CU263" s="49">
        <f t="shared" si="2551"/>
        <v>1.3713876027882428</v>
      </c>
      <c r="CV263" s="49">
        <f t="shared" si="2551"/>
        <v>1.1440905512112982</v>
      </c>
      <c r="CW263" s="49">
        <f t="shared" si="2551"/>
        <v>1.1609356696535305</v>
      </c>
      <c r="CX263" s="49">
        <f t="shared" ref="CX263:DA263" si="2552">SUM(CU29:CX29)/(CX180+CX167+CX157)</f>
        <v>1.2152015026791685</v>
      </c>
      <c r="CY263" s="49">
        <f t="shared" si="2552"/>
        <v>1.2420997832204119</v>
      </c>
      <c r="CZ263" s="49">
        <f t="shared" si="2552"/>
        <v>1.0548284161052333</v>
      </c>
      <c r="DA263" s="49">
        <f t="shared" si="2552"/>
        <v>1.0601919473898784</v>
      </c>
      <c r="DD263" s="131">
        <v>1.412385025450392</v>
      </c>
    </row>
    <row r="264" spans="1:108" s="83" customFormat="1" x14ac:dyDescent="0.2">
      <c r="A264" s="83" t="s">
        <v>513</v>
      </c>
      <c r="E264" s="171" t="e">
        <f>+E61</f>
        <v>#DIV/0!</v>
      </c>
      <c r="F264" s="171" t="e">
        <f t="shared" ref="F264:AE264" si="2553">+F61</f>
        <v>#DIV/0!</v>
      </c>
      <c r="G264" s="171" t="e">
        <f t="shared" si="2553"/>
        <v>#DIV/0!</v>
      </c>
      <c r="H264" s="171" t="e">
        <f t="shared" si="2553"/>
        <v>#DIV/0!</v>
      </c>
      <c r="I264" s="171" t="e">
        <f t="shared" si="2553"/>
        <v>#DIV/0!</v>
      </c>
      <c r="J264" s="171" t="e">
        <f t="shared" si="2553"/>
        <v>#DIV/0!</v>
      </c>
      <c r="K264" s="171" t="e">
        <f t="shared" si="2553"/>
        <v>#DIV/0!</v>
      </c>
      <c r="L264" s="171" t="e">
        <f t="shared" si="2553"/>
        <v>#DIV/0!</v>
      </c>
      <c r="M264" s="171" t="e">
        <f t="shared" si="2553"/>
        <v>#DIV/0!</v>
      </c>
      <c r="N264" s="171" t="e">
        <f t="shared" si="2553"/>
        <v>#DIV/0!</v>
      </c>
      <c r="O264" s="171" t="e">
        <f t="shared" si="2553"/>
        <v>#DIV/0!</v>
      </c>
      <c r="P264" s="171" t="e">
        <f t="shared" si="2553"/>
        <v>#DIV/0!</v>
      </c>
      <c r="Q264" s="171" t="e">
        <f t="shared" si="2553"/>
        <v>#DIV/0!</v>
      </c>
      <c r="R264" s="171" t="e">
        <f t="shared" si="2553"/>
        <v>#DIV/0!</v>
      </c>
      <c r="S264" s="171" t="e">
        <f t="shared" si="2553"/>
        <v>#DIV/0!</v>
      </c>
      <c r="T264" s="171" t="e">
        <f t="shared" si="2553"/>
        <v>#DIV/0!</v>
      </c>
      <c r="U264" s="171" t="e">
        <f t="shared" si="2553"/>
        <v>#DIV/0!</v>
      </c>
      <c r="V264" s="171" t="e">
        <f t="shared" si="2553"/>
        <v>#DIV/0!</v>
      </c>
      <c r="W264" s="171" t="e">
        <f t="shared" si="2553"/>
        <v>#DIV/0!</v>
      </c>
      <c r="X264" s="171" t="e">
        <f t="shared" si="2553"/>
        <v>#DIV/0!</v>
      </c>
      <c r="Y264" s="171">
        <f t="shared" si="2553"/>
        <v>3.2461349839029825E-2</v>
      </c>
      <c r="Z264" s="171">
        <f t="shared" si="2553"/>
        <v>-1.384548499457205E-2</v>
      </c>
      <c r="AA264" s="171">
        <f t="shared" ref="AA264" si="2554">+AA61</f>
        <v>6.0746129417989306E-2</v>
      </c>
      <c r="AB264" s="172">
        <f t="shared" si="2553"/>
        <v>3.3195920884454708E-2</v>
      </c>
      <c r="AC264" s="172">
        <f t="shared" si="2553"/>
        <v>7.9809896797486235E-2</v>
      </c>
      <c r="AD264" s="172">
        <f t="shared" si="2553"/>
        <v>0.11561553511610505</v>
      </c>
      <c r="AE264" s="172">
        <f t="shared" si="2553"/>
        <v>0.14510137627797667</v>
      </c>
      <c r="AL264" s="171">
        <f t="shared" ref="AL264:CW264" si="2555">+AL61</f>
        <v>-2.5948239415353149E-2</v>
      </c>
      <c r="AM264" s="171">
        <f t="shared" si="2555"/>
        <v>-0.13516726433167944</v>
      </c>
      <c r="AN264" s="171">
        <f t="shared" si="2555"/>
        <v>-0.1516937275119048</v>
      </c>
      <c r="AO264" s="171">
        <f t="shared" si="2555"/>
        <v>9.124214657614467E-2</v>
      </c>
      <c r="AP264" s="171">
        <f t="shared" si="2555"/>
        <v>-1.9756057814047604E-2</v>
      </c>
      <c r="AQ264" s="171">
        <f t="shared" si="2555"/>
        <v>-5.0585300326232992E-2</v>
      </c>
      <c r="AR264" s="171">
        <f t="shared" si="2555"/>
        <v>1.6338891796904242E-2</v>
      </c>
      <c r="AS264" s="171">
        <f t="shared" si="2555"/>
        <v>2.1777322304369993E-3</v>
      </c>
      <c r="AT264" s="171">
        <f t="shared" si="2555"/>
        <v>9.3978472786352463E-2</v>
      </c>
      <c r="AU264" s="171">
        <f t="shared" si="2555"/>
        <v>1.7701458100875613E-2</v>
      </c>
      <c r="AV264" s="171">
        <f t="shared" si="2555"/>
        <v>-6.4804107498034155E-2</v>
      </c>
      <c r="AW264" s="171">
        <f t="shared" si="2555"/>
        <v>9.3184677454340142E-2</v>
      </c>
      <c r="AX264" s="171">
        <f t="shared" si="2555"/>
        <v>-5.7698700394155707E-2</v>
      </c>
      <c r="AY264" s="171">
        <f t="shared" si="2555"/>
        <v>-0.32828660191120396</v>
      </c>
      <c r="AZ264" s="171">
        <f t="shared" si="2555"/>
        <v>5.6896691863789954E-4</v>
      </c>
      <c r="BA264" s="171">
        <f t="shared" si="2555"/>
        <v>0.19174337741689118</v>
      </c>
      <c r="BB264" s="171">
        <f t="shared" si="2555"/>
        <v>0.10979264053697697</v>
      </c>
      <c r="BC264" s="171">
        <f t="shared" si="2555"/>
        <v>3.6513612198952111E-3</v>
      </c>
      <c r="BD264" s="171">
        <f t="shared" si="2555"/>
        <v>7.5540709812108559E-2</v>
      </c>
      <c r="BE264" s="171">
        <f t="shared" si="2555"/>
        <v>2.5681400025672839E-2</v>
      </c>
      <c r="BF264" s="171">
        <f t="shared" si="2555"/>
        <v>-1.3173352340975896E-2</v>
      </c>
      <c r="BG264" s="171">
        <f t="shared" si="2555"/>
        <v>5.8952350676415528E-2</v>
      </c>
      <c r="BH264" s="171">
        <f t="shared" si="2555"/>
        <v>0.131597537592088</v>
      </c>
      <c r="BI264" s="171">
        <f t="shared" si="2555"/>
        <v>6.6814487572926767E-2</v>
      </c>
      <c r="BJ264" s="171">
        <f t="shared" si="2555"/>
        <v>4.4500938101542334E-2</v>
      </c>
      <c r="BK264" s="171">
        <f t="shared" si="2555"/>
        <v>3.4986179902424447E-2</v>
      </c>
      <c r="BL264" s="171">
        <f t="shared" si="2555"/>
        <v>0.11161243277732194</v>
      </c>
      <c r="BM264" s="171">
        <f t="shared" si="2555"/>
        <v>4.9738980394918815E-2</v>
      </c>
      <c r="BN264" s="171">
        <f t="shared" si="2555"/>
        <v>7.2949406057089425E-2</v>
      </c>
      <c r="BO264" s="171">
        <f t="shared" si="2555"/>
        <v>-0.7329945553539019</v>
      </c>
      <c r="BP264" s="171">
        <f t="shared" si="2555"/>
        <v>-0.65154035913028496</v>
      </c>
      <c r="BQ264" s="171">
        <f t="shared" si="2555"/>
        <v>1.2891677536680397E-2</v>
      </c>
      <c r="BR264" s="171">
        <f t="shared" si="2555"/>
        <v>-0.1449275362318842</v>
      </c>
      <c r="BS264" s="171">
        <f t="shared" si="2555"/>
        <v>-1.0760423839426039E-2</v>
      </c>
      <c r="BT264" s="171">
        <f t="shared" si="2555"/>
        <v>2.3872592656925141E-2</v>
      </c>
      <c r="BU264" s="171">
        <f t="shared" si="2555"/>
        <v>4.5676384010575562E-2</v>
      </c>
      <c r="BV264" s="171">
        <f t="shared" si="2555"/>
        <v>-3.8793512283031309E-2</v>
      </c>
      <c r="BW264" s="171">
        <f t="shared" si="2555"/>
        <v>-0.14273125400555436</v>
      </c>
      <c r="BX264" s="171">
        <f t="shared" si="2555"/>
        <v>-6.9001053987586394E-2</v>
      </c>
      <c r="BY264" s="171">
        <f t="shared" si="2555"/>
        <v>5.3961557604341986E-2</v>
      </c>
      <c r="BZ264" s="171">
        <f t="shared" si="2555"/>
        <v>5.0847897649978741E-2</v>
      </c>
      <c r="CA264" s="171">
        <f t="shared" si="2555"/>
        <v>1.9610236932537495E-2</v>
      </c>
      <c r="CB264" s="171">
        <f t="shared" si="2555"/>
        <v>3.6457789563801191E-2</v>
      </c>
      <c r="CC264" s="171">
        <f t="shared" si="2555"/>
        <v>4.0641504826646406E-2</v>
      </c>
      <c r="CD264" s="171">
        <f t="shared" si="2555"/>
        <v>2.4608333786650581E-2</v>
      </c>
      <c r="CE264" s="171">
        <f t="shared" si="2555"/>
        <v>-2.8942939530702627E-4</v>
      </c>
      <c r="CF264" s="171">
        <f t="shared" si="2555"/>
        <v>-9.8596735799676358E-2</v>
      </c>
      <c r="CG264" s="171">
        <f t="shared" si="2555"/>
        <v>-2.037628388559427E-2</v>
      </c>
      <c r="CH264" s="171">
        <f t="shared" si="2555"/>
        <v>-1.3191489361702127E-2</v>
      </c>
      <c r="CI264" s="171">
        <f t="shared" si="2555"/>
        <v>2.0921113519569195E-2</v>
      </c>
      <c r="CJ264" s="171">
        <f t="shared" si="2555"/>
        <v>9.1973933844757716E-2</v>
      </c>
      <c r="CK264" s="171">
        <f t="shared" ref="CK264:CL264" si="2556">+CK61</f>
        <v>1.08869585470746E-2</v>
      </c>
      <c r="CL264" s="171">
        <f t="shared" si="2556"/>
        <v>1.4423090877953793E-2</v>
      </c>
      <c r="CM264" s="172">
        <f t="shared" si="2555"/>
        <v>-1.7639996263357351E-2</v>
      </c>
      <c r="CN264" s="172">
        <f t="shared" si="2555"/>
        <v>5.1550583694385595E-2</v>
      </c>
      <c r="CO264" s="172">
        <f t="shared" si="2555"/>
        <v>6.0987000363870489E-2</v>
      </c>
      <c r="CP264" s="172">
        <f t="shared" si="2555"/>
        <v>5.0831029840471414E-2</v>
      </c>
      <c r="CQ264" s="172">
        <f t="shared" si="2555"/>
        <v>5.5824676257563099E-2</v>
      </c>
      <c r="CR264" s="172">
        <f t="shared" si="2555"/>
        <v>9.5149912237661685E-2</v>
      </c>
      <c r="CS264" s="172">
        <f t="shared" si="2555"/>
        <v>0.10200315891019661</v>
      </c>
      <c r="CT264" s="172">
        <f t="shared" si="2555"/>
        <v>9.4313452592874519E-2</v>
      </c>
      <c r="CU264" s="172">
        <f t="shared" si="2555"/>
        <v>9.818255614520173E-2</v>
      </c>
      <c r="CV264" s="172">
        <f t="shared" si="2555"/>
        <v>0.12705419535526677</v>
      </c>
      <c r="CW264" s="172">
        <f t="shared" si="2555"/>
        <v>0.13314107779090875</v>
      </c>
      <c r="CX264" s="172">
        <f t="shared" ref="CX264:DA264" si="2557">+CX61</f>
        <v>0.12729262099218053</v>
      </c>
      <c r="CY264" s="172">
        <f t="shared" si="2557"/>
        <v>0.13103163699420117</v>
      </c>
      <c r="CZ264" s="172">
        <f t="shared" si="2557"/>
        <v>0.15440042264244536</v>
      </c>
      <c r="DA264" s="172">
        <f t="shared" si="2557"/>
        <v>0.1602736531264515</v>
      </c>
      <c r="DD264" s="131">
        <v>-1.8468396172871885E-2</v>
      </c>
    </row>
    <row r="265" spans="1:108" s="83" customFormat="1" x14ac:dyDescent="0.2">
      <c r="A265" s="83" t="s">
        <v>514</v>
      </c>
      <c r="E265" s="83" t="e">
        <f>(E180+E167+E157+E159)/E139</f>
        <v>#DIV/0!</v>
      </c>
      <c r="F265" s="83" t="e">
        <f t="shared" ref="F265:AE265" si="2558">(F180+F167+F157+F159)/F139</f>
        <v>#DIV/0!</v>
      </c>
      <c r="G265" s="83" t="e">
        <f t="shared" si="2558"/>
        <v>#DIV/0!</v>
      </c>
      <c r="H265" s="83" t="e">
        <f t="shared" si="2558"/>
        <v>#DIV/0!</v>
      </c>
      <c r="I265" s="83" t="e">
        <f t="shared" si="2558"/>
        <v>#DIV/0!</v>
      </c>
      <c r="J265" s="83" t="e">
        <f t="shared" si="2558"/>
        <v>#DIV/0!</v>
      </c>
      <c r="K265" s="83" t="e">
        <f t="shared" si="2558"/>
        <v>#DIV/0!</v>
      </c>
      <c r="L265" s="83" t="e">
        <f t="shared" si="2558"/>
        <v>#DIV/0!</v>
      </c>
      <c r="M265" s="83" t="e">
        <f t="shared" si="2558"/>
        <v>#DIV/0!</v>
      </c>
      <c r="N265" s="83" t="e">
        <f t="shared" si="2558"/>
        <v>#DIV/0!</v>
      </c>
      <c r="O265" s="83" t="e">
        <f t="shared" si="2558"/>
        <v>#DIV/0!</v>
      </c>
      <c r="P265" s="83" t="e">
        <f t="shared" si="2558"/>
        <v>#DIV/0!</v>
      </c>
      <c r="Q265" s="83" t="e">
        <f t="shared" si="2558"/>
        <v>#DIV/0!</v>
      </c>
      <c r="R265" s="83" t="e">
        <f t="shared" si="2558"/>
        <v>#DIV/0!</v>
      </c>
      <c r="S265" s="83" t="e">
        <f t="shared" si="2558"/>
        <v>#DIV/0!</v>
      </c>
      <c r="T265" s="83" t="e">
        <f t="shared" si="2558"/>
        <v>#DIV/0!</v>
      </c>
      <c r="U265" s="83" t="e">
        <f t="shared" si="2558"/>
        <v>#DIV/0!</v>
      </c>
      <c r="V265" s="83" t="e">
        <f t="shared" si="2558"/>
        <v>#DIV/0!</v>
      </c>
      <c r="W265" s="83" t="e">
        <f t="shared" si="2558"/>
        <v>#DIV/0!</v>
      </c>
      <c r="X265" s="83" t="e">
        <f t="shared" si="2558"/>
        <v>#DIV/0!</v>
      </c>
      <c r="Y265" s="83">
        <f t="shared" si="2558"/>
        <v>3.915357291024594</v>
      </c>
      <c r="Z265" s="83">
        <f t="shared" si="2558"/>
        <v>2.8566569410052218</v>
      </c>
      <c r="AA265" s="83">
        <f t="shared" ref="AA265" si="2559">(AA180+AA167+AA157+AA159)/AA139</f>
        <v>3.2412444436830605</v>
      </c>
      <c r="AB265" s="49">
        <f t="shared" si="2558"/>
        <v>4.712579989014289</v>
      </c>
      <c r="AC265" s="49">
        <f t="shared" si="2558"/>
        <v>4.0889990799560891</v>
      </c>
      <c r="AD265" s="49">
        <f t="shared" si="2558"/>
        <v>3.2536547634614124</v>
      </c>
      <c r="AE265" s="49">
        <f t="shared" si="2558"/>
        <v>2.66353005248699</v>
      </c>
      <c r="AL265" s="83">
        <f t="shared" ref="AL265:CW265" si="2560">(AL180+AL167+AL157+AL159)/AL139</f>
        <v>1</v>
      </c>
      <c r="AM265" s="83" t="e">
        <f t="shared" si="2560"/>
        <v>#DIV/0!</v>
      </c>
      <c r="AN265" s="83">
        <f t="shared" si="2560"/>
        <v>1</v>
      </c>
      <c r="AO265" s="83" t="e">
        <f t="shared" si="2560"/>
        <v>#DIV/0!</v>
      </c>
      <c r="AP265" s="83">
        <f t="shared" si="2560"/>
        <v>1</v>
      </c>
      <c r="AQ265" s="83" t="e">
        <f t="shared" si="2560"/>
        <v>#DIV/0!</v>
      </c>
      <c r="AR265" s="83">
        <f t="shared" si="2560"/>
        <v>1</v>
      </c>
      <c r="AS265" s="83" t="e">
        <f t="shared" si="2560"/>
        <v>#DIV/0!</v>
      </c>
      <c r="AT265" s="83">
        <f t="shared" si="2560"/>
        <v>1</v>
      </c>
      <c r="AU265" s="83" t="e">
        <f t="shared" si="2560"/>
        <v>#DIV/0!</v>
      </c>
      <c r="AV265" s="83">
        <f t="shared" si="2560"/>
        <v>1</v>
      </c>
      <c r="AW265" s="83" t="e">
        <f t="shared" si="2560"/>
        <v>#DIV/0!</v>
      </c>
      <c r="AX265" s="83">
        <f t="shared" si="2560"/>
        <v>1</v>
      </c>
      <c r="AY265" s="83" t="e">
        <f t="shared" si="2560"/>
        <v>#DIV/0!</v>
      </c>
      <c r="AZ265" s="83">
        <f t="shared" si="2560"/>
        <v>0.99999999999999467</v>
      </c>
      <c r="BA265" s="83" t="e">
        <f t="shared" si="2560"/>
        <v>#DIV/0!</v>
      </c>
      <c r="BB265" s="83">
        <f t="shared" si="2560"/>
        <v>1</v>
      </c>
      <c r="BC265" s="83" t="e">
        <f t="shared" si="2560"/>
        <v>#DIV/0!</v>
      </c>
      <c r="BD265" s="83">
        <f t="shared" si="2560"/>
        <v>1</v>
      </c>
      <c r="BE265" s="83" t="e">
        <f t="shared" si="2560"/>
        <v>#DIV/0!</v>
      </c>
      <c r="BF265" s="83">
        <f t="shared" si="2560"/>
        <v>1</v>
      </c>
      <c r="BG265" s="83" t="e">
        <f t="shared" si="2560"/>
        <v>#DIV/0!</v>
      </c>
      <c r="BH265" s="83">
        <f t="shared" si="2560"/>
        <v>1</v>
      </c>
      <c r="BI265" s="83" t="e">
        <f t="shared" si="2560"/>
        <v>#DIV/0!</v>
      </c>
      <c r="BJ265" s="83">
        <f t="shared" si="2560"/>
        <v>1</v>
      </c>
      <c r="BK265" s="83" t="e">
        <f t="shared" si="2560"/>
        <v>#DIV/0!</v>
      </c>
      <c r="BL265" s="83">
        <f t="shared" si="2560"/>
        <v>1</v>
      </c>
      <c r="BM265" s="83" t="e">
        <f t="shared" si="2560"/>
        <v>#DIV/0!</v>
      </c>
      <c r="BN265" s="83">
        <f t="shared" si="2560"/>
        <v>1</v>
      </c>
      <c r="BO265" s="83" t="e">
        <f t="shared" si="2560"/>
        <v>#DIV/0!</v>
      </c>
      <c r="BP265" s="83">
        <f t="shared" si="2560"/>
        <v>1</v>
      </c>
      <c r="BQ265" s="83" t="e">
        <f t="shared" si="2560"/>
        <v>#DIV/0!</v>
      </c>
      <c r="BR265" s="83">
        <f t="shared" si="2560"/>
        <v>1</v>
      </c>
      <c r="BS265" s="83" t="e">
        <f t="shared" si="2560"/>
        <v>#DIV/0!</v>
      </c>
      <c r="BT265" s="83">
        <f t="shared" si="2560"/>
        <v>1</v>
      </c>
      <c r="BU265" s="83" t="e">
        <f t="shared" si="2560"/>
        <v>#DIV/0!</v>
      </c>
      <c r="BV265" s="83">
        <f t="shared" si="2560"/>
        <v>1</v>
      </c>
      <c r="BW265" s="83" t="e">
        <f t="shared" si="2560"/>
        <v>#DIV/0!</v>
      </c>
      <c r="BX265" s="83">
        <f t="shared" si="2560"/>
        <v>1</v>
      </c>
      <c r="BY265" s="83" t="e">
        <f t="shared" si="2560"/>
        <v>#DIV/0!</v>
      </c>
      <c r="BZ265" s="83">
        <f t="shared" si="2560"/>
        <v>1</v>
      </c>
      <c r="CA265" s="83" t="e">
        <f t="shared" si="2560"/>
        <v>#DIV/0!</v>
      </c>
      <c r="CB265" s="83">
        <f t="shared" si="2560"/>
        <v>1</v>
      </c>
      <c r="CC265" s="83">
        <f t="shared" si="2560"/>
        <v>3.9153563048743569</v>
      </c>
      <c r="CD265" s="83">
        <f t="shared" si="2560"/>
        <v>3.2413968216547584</v>
      </c>
      <c r="CE265" s="83">
        <f t="shared" si="2560"/>
        <v>2.8488783497168129</v>
      </c>
      <c r="CF265" s="83">
        <f t="shared" si="2560"/>
        <v>2.7341929456018153</v>
      </c>
      <c r="CG265" s="83">
        <f t="shared" si="2560"/>
        <v>2.8566569410052218</v>
      </c>
      <c r="CH265" s="83">
        <f t="shared" si="2560"/>
        <v>4.3812418323674756</v>
      </c>
      <c r="CI265" s="83">
        <f t="shared" si="2560"/>
        <v>2.8009598246246368</v>
      </c>
      <c r="CJ265" s="83">
        <f t="shared" si="2560"/>
        <v>2.8335413603468416</v>
      </c>
      <c r="CK265" s="83">
        <f t="shared" ref="CK265:CL265" si="2561">(CK180+CK167+CK157+CK159)/CK139</f>
        <v>3.2412488579259935</v>
      </c>
      <c r="CL265" s="83">
        <f t="shared" si="2561"/>
        <v>3.5052203426899111</v>
      </c>
      <c r="CM265" s="49">
        <f t="shared" si="2560"/>
        <v>3.8910856281869366</v>
      </c>
      <c r="CN265" s="49">
        <f t="shared" si="2560"/>
        <v>5.0103547155633272</v>
      </c>
      <c r="CO265" s="49">
        <f t="shared" si="2560"/>
        <v>4.712579989014289</v>
      </c>
      <c r="CP265" s="49">
        <f t="shared" si="2560"/>
        <v>4.324590498488095</v>
      </c>
      <c r="CQ265" s="49">
        <f t="shared" si="2560"/>
        <v>4.0716205871364579</v>
      </c>
      <c r="CR265" s="49">
        <f t="shared" si="2560"/>
        <v>4.5732437554752856</v>
      </c>
      <c r="CS265" s="49">
        <f t="shared" si="2560"/>
        <v>4.0889990799560891</v>
      </c>
      <c r="CT265" s="49">
        <f t="shared" si="2560"/>
        <v>3.6276262794536431</v>
      </c>
      <c r="CU265" s="49">
        <f t="shared" si="2560"/>
        <v>3.3257761788030544</v>
      </c>
      <c r="CV265" s="49">
        <f t="shared" si="2560"/>
        <v>3.6072530993941156</v>
      </c>
      <c r="CW265" s="49">
        <f t="shared" si="2560"/>
        <v>3.2536547634614124</v>
      </c>
      <c r="CX265" s="49">
        <f t="shared" ref="CX265:DA265" si="2562">(CX180+CX167+CX157+CX159)/CX139</f>
        <v>2.9135642445463241</v>
      </c>
      <c r="CY265" s="49">
        <f t="shared" si="2562"/>
        <v>2.6902077082413065</v>
      </c>
      <c r="CZ265" s="49">
        <f t="shared" si="2562"/>
        <v>2.8971925538294192</v>
      </c>
      <c r="DA265" s="49">
        <f t="shared" si="2562"/>
        <v>2.66353005248699</v>
      </c>
      <c r="DD265" s="131">
        <v>3.2412488579259935</v>
      </c>
    </row>
    <row r="266" spans="1:108" s="83" customFormat="1" x14ac:dyDescent="0.2">
      <c r="A266" s="146" t="s">
        <v>498</v>
      </c>
      <c r="AB266" s="49"/>
      <c r="AC266" s="49"/>
      <c r="AD266" s="49"/>
      <c r="AE266" s="49"/>
      <c r="CM266" s="49"/>
      <c r="CN266" s="49"/>
      <c r="CO266" s="49"/>
      <c r="CP266" s="49"/>
      <c r="CQ266" s="49"/>
      <c r="CR266" s="49"/>
      <c r="CS266" s="49"/>
      <c r="CT266" s="49"/>
      <c r="CU266" s="49"/>
      <c r="CV266" s="49"/>
      <c r="CW266" s="49"/>
      <c r="CX266" s="49"/>
      <c r="CY266" s="49"/>
      <c r="CZ266" s="49"/>
      <c r="DA266" s="49"/>
      <c r="DD266" s="131"/>
    </row>
    <row r="267" spans="1:108" s="87" customFormat="1" x14ac:dyDescent="0.2">
      <c r="A267" s="87" t="s">
        <v>102</v>
      </c>
      <c r="B267" s="87">
        <f t="shared" ref="B267:AE267" si="2563">B180/B139</f>
        <v>2.9489543576304515E-2</v>
      </c>
      <c r="C267" s="87">
        <f t="shared" si="2563"/>
        <v>0.13810966913255093</v>
      </c>
      <c r="D267" s="87" t="e">
        <f t="shared" si="2563"/>
        <v>#DIV/0!</v>
      </c>
      <c r="F267" s="87" t="e">
        <f t="shared" si="2563"/>
        <v>#DIV/0!</v>
      </c>
      <c r="G267" s="87" t="e">
        <f t="shared" si="2563"/>
        <v>#DIV/0!</v>
      </c>
      <c r="H267" s="87" t="e">
        <f t="shared" si="2563"/>
        <v>#DIV/0!</v>
      </c>
      <c r="I267" s="87" t="e">
        <f t="shared" si="2563"/>
        <v>#DIV/0!</v>
      </c>
      <c r="J267" s="87" t="e">
        <f t="shared" si="2563"/>
        <v>#DIV/0!</v>
      </c>
      <c r="K267" s="87" t="e">
        <f t="shared" si="2563"/>
        <v>#DIV/0!</v>
      </c>
      <c r="L267" s="87" t="e">
        <f t="shared" si="2563"/>
        <v>#DIV/0!</v>
      </c>
      <c r="M267" s="87" t="e">
        <f t="shared" si="2563"/>
        <v>#DIV/0!</v>
      </c>
      <c r="N267" s="87" t="e">
        <f t="shared" si="2563"/>
        <v>#DIV/0!</v>
      </c>
      <c r="O267" s="87" t="e">
        <f t="shared" si="2563"/>
        <v>#DIV/0!</v>
      </c>
      <c r="P267" s="87" t="e">
        <f t="shared" si="2563"/>
        <v>#DIV/0!</v>
      </c>
      <c r="Q267" s="87" t="e">
        <f t="shared" si="2563"/>
        <v>#DIV/0!</v>
      </c>
      <c r="R267" s="87" t="e">
        <f t="shared" si="2563"/>
        <v>#DIV/0!</v>
      </c>
      <c r="S267" s="87" t="e">
        <f t="shared" si="2563"/>
        <v>#DIV/0!</v>
      </c>
      <c r="T267" s="87" t="e">
        <f t="shared" si="2563"/>
        <v>#DIV/0!</v>
      </c>
      <c r="U267" s="87" t="e">
        <f t="shared" si="2563"/>
        <v>#DIV/0!</v>
      </c>
      <c r="V267" s="87" t="e">
        <f t="shared" si="2563"/>
        <v>#DIV/0!</v>
      </c>
      <c r="W267" s="87" t="e">
        <f t="shared" si="2563"/>
        <v>#DIV/0!</v>
      </c>
      <c r="X267" s="87" t="e">
        <f t="shared" si="2563"/>
        <v>#DIV/0!</v>
      </c>
      <c r="Y267" s="87">
        <f t="shared" si="2563"/>
        <v>0.61716733974448434</v>
      </c>
      <c r="Z267" s="87">
        <f t="shared" si="2563"/>
        <v>0.31084052483772195</v>
      </c>
      <c r="AA267" s="87">
        <f t="shared" ref="AA267" si="2564">AA180/AA139</f>
        <v>1.0778472064591991</v>
      </c>
      <c r="AB267" s="41">
        <f t="shared" si="2563"/>
        <v>1.3570150514618344</v>
      </c>
      <c r="AC267" s="41">
        <f t="shared" si="2563"/>
        <v>1.3463088904763214</v>
      </c>
      <c r="AD267" s="41">
        <f t="shared" si="2563"/>
        <v>1.273500365103561</v>
      </c>
      <c r="AE267" s="41">
        <f t="shared" si="2563"/>
        <v>1.2123251543532234</v>
      </c>
      <c r="AL267" s="87">
        <f t="shared" ref="AL267:CW267" si="2565">AL180/AL139</f>
        <v>1</v>
      </c>
      <c r="AM267" s="87" t="e">
        <f t="shared" si="2565"/>
        <v>#DIV/0!</v>
      </c>
      <c r="AN267" s="87">
        <f t="shared" si="2565"/>
        <v>1</v>
      </c>
      <c r="AO267" s="87" t="e">
        <f t="shared" si="2565"/>
        <v>#DIV/0!</v>
      </c>
      <c r="AP267" s="87">
        <f t="shared" si="2565"/>
        <v>1</v>
      </c>
      <c r="AQ267" s="87" t="e">
        <f t="shared" si="2565"/>
        <v>#DIV/0!</v>
      </c>
      <c r="AR267" s="87">
        <f t="shared" si="2565"/>
        <v>1</v>
      </c>
      <c r="AS267" s="87" t="e">
        <f t="shared" si="2565"/>
        <v>#DIV/0!</v>
      </c>
      <c r="AT267" s="87">
        <f t="shared" si="2565"/>
        <v>1</v>
      </c>
      <c r="AU267" s="87" t="e">
        <f t="shared" si="2565"/>
        <v>#DIV/0!</v>
      </c>
      <c r="AV267" s="87">
        <f t="shared" si="2565"/>
        <v>1</v>
      </c>
      <c r="AW267" s="87" t="e">
        <f t="shared" si="2565"/>
        <v>#DIV/0!</v>
      </c>
      <c r="AX267" s="87">
        <f t="shared" si="2565"/>
        <v>1</v>
      </c>
      <c r="AY267" s="87" t="e">
        <f t="shared" si="2565"/>
        <v>#DIV/0!</v>
      </c>
      <c r="AZ267" s="87">
        <f t="shared" si="2565"/>
        <v>0.99999999999999467</v>
      </c>
      <c r="BA267" s="87" t="e">
        <f t="shared" si="2565"/>
        <v>#DIV/0!</v>
      </c>
      <c r="BB267" s="87">
        <f t="shared" si="2565"/>
        <v>1</v>
      </c>
      <c r="BC267" s="87" t="e">
        <f t="shared" si="2565"/>
        <v>#DIV/0!</v>
      </c>
      <c r="BD267" s="87">
        <f t="shared" si="2565"/>
        <v>1</v>
      </c>
      <c r="BE267" s="87" t="e">
        <f t="shared" si="2565"/>
        <v>#DIV/0!</v>
      </c>
      <c r="BF267" s="87">
        <f t="shared" si="2565"/>
        <v>1</v>
      </c>
      <c r="BG267" s="87" t="e">
        <f t="shared" si="2565"/>
        <v>#DIV/0!</v>
      </c>
      <c r="BH267" s="87">
        <f t="shared" si="2565"/>
        <v>1</v>
      </c>
      <c r="BI267" s="87" t="e">
        <f t="shared" si="2565"/>
        <v>#DIV/0!</v>
      </c>
      <c r="BJ267" s="87">
        <f t="shared" si="2565"/>
        <v>1</v>
      </c>
      <c r="BK267" s="87" t="e">
        <f t="shared" si="2565"/>
        <v>#DIV/0!</v>
      </c>
      <c r="BL267" s="87">
        <f t="shared" si="2565"/>
        <v>1</v>
      </c>
      <c r="BM267" s="87" t="e">
        <f t="shared" si="2565"/>
        <v>#DIV/0!</v>
      </c>
      <c r="BN267" s="87">
        <f t="shared" si="2565"/>
        <v>1</v>
      </c>
      <c r="BO267" s="87" t="e">
        <f t="shared" si="2565"/>
        <v>#DIV/0!</v>
      </c>
      <c r="BP267" s="87">
        <f t="shared" si="2565"/>
        <v>1</v>
      </c>
      <c r="BQ267" s="87" t="e">
        <f t="shared" si="2565"/>
        <v>#DIV/0!</v>
      </c>
      <c r="BR267" s="87">
        <f t="shared" si="2565"/>
        <v>1</v>
      </c>
      <c r="BS267" s="87" t="e">
        <f t="shared" si="2565"/>
        <v>#DIV/0!</v>
      </c>
      <c r="BT267" s="87">
        <f t="shared" si="2565"/>
        <v>1</v>
      </c>
      <c r="BU267" s="87" t="e">
        <f t="shared" si="2565"/>
        <v>#DIV/0!</v>
      </c>
      <c r="BV267" s="87">
        <f t="shared" si="2565"/>
        <v>1</v>
      </c>
      <c r="BW267" s="87" t="e">
        <f t="shared" si="2565"/>
        <v>#DIV/0!</v>
      </c>
      <c r="BX267" s="87">
        <f t="shared" si="2565"/>
        <v>1</v>
      </c>
      <c r="BY267" s="87" t="e">
        <f t="shared" si="2565"/>
        <v>#DIV/0!</v>
      </c>
      <c r="BZ267" s="87">
        <f t="shared" si="2565"/>
        <v>1</v>
      </c>
      <c r="CA267" s="87" t="e">
        <f t="shared" si="2565"/>
        <v>#DIV/0!</v>
      </c>
      <c r="CB267" s="87">
        <f t="shared" si="2565"/>
        <v>1</v>
      </c>
      <c r="CC267" s="87">
        <f t="shared" si="2565"/>
        <v>0.61717094308204667</v>
      </c>
      <c r="CD267" s="87">
        <f t="shared" si="2565"/>
        <v>0.4455291804964035</v>
      </c>
      <c r="CE267" s="87">
        <f t="shared" si="2565"/>
        <v>0.36602313684180698</v>
      </c>
      <c r="CF267" s="87">
        <f t="shared" si="2565"/>
        <v>0.40509620642759187</v>
      </c>
      <c r="CG267" s="87">
        <f t="shared" si="2565"/>
        <v>0.31084052483772195</v>
      </c>
      <c r="CH267" s="87">
        <f t="shared" si="2565"/>
        <v>-0.44451393215065732</v>
      </c>
      <c r="CI267" s="87">
        <f t="shared" si="2565"/>
        <v>0.61114759278551578</v>
      </c>
      <c r="CJ267" s="87">
        <f t="shared" si="2565"/>
        <v>0.51900268010046491</v>
      </c>
      <c r="CK267" s="87">
        <f t="shared" ref="CK267:CL267" si="2566">CK180/CK139</f>
        <v>1.0778466194609411</v>
      </c>
      <c r="CL267" s="87">
        <f t="shared" si="2566"/>
        <v>0.86014222371572169</v>
      </c>
      <c r="CM267" s="41">
        <f t="shared" si="2565"/>
        <v>1.1797104819279107</v>
      </c>
      <c r="CN267" s="41">
        <f t="shared" si="2565"/>
        <v>1.3767307979426497</v>
      </c>
      <c r="CO267" s="41">
        <f t="shared" si="2565"/>
        <v>1.3570150514618344</v>
      </c>
      <c r="CP267" s="41">
        <f t="shared" si="2565"/>
        <v>1.3148948851850748</v>
      </c>
      <c r="CQ267" s="41">
        <f t="shared" si="2565"/>
        <v>1.2922237880078566</v>
      </c>
      <c r="CR267" s="41">
        <f t="shared" si="2565"/>
        <v>1.3977940813137573</v>
      </c>
      <c r="CS267" s="41">
        <f t="shared" si="2565"/>
        <v>1.3463088904763214</v>
      </c>
      <c r="CT267" s="41">
        <f t="shared" si="2565"/>
        <v>1.2908414979538418</v>
      </c>
      <c r="CU267" s="41">
        <f t="shared" si="2565"/>
        <v>1.2569052817311701</v>
      </c>
      <c r="CV267" s="41">
        <f t="shared" si="2565"/>
        <v>1.3155581020518838</v>
      </c>
      <c r="CW267" s="41">
        <f t="shared" si="2565"/>
        <v>1.273500365103561</v>
      </c>
      <c r="CX267" s="41">
        <f t="shared" ref="CX267:DA267" si="2567">CX180/CX139</f>
        <v>1.2298598912354137</v>
      </c>
      <c r="CY267" s="41">
        <f t="shared" si="2567"/>
        <v>1.2024067002754806</v>
      </c>
      <c r="CZ267" s="41">
        <f t="shared" si="2567"/>
        <v>1.2418631333968875</v>
      </c>
      <c r="DA267" s="41">
        <f t="shared" si="2567"/>
        <v>1.2123251543532234</v>
      </c>
      <c r="DD267" s="121">
        <v>1.0778466194609411</v>
      </c>
    </row>
    <row r="268" spans="1:108" s="88" customFormat="1" x14ac:dyDescent="0.2">
      <c r="A268" s="88" t="s">
        <v>103</v>
      </c>
      <c r="C268" s="88">
        <f t="shared" ref="C268:AE268" si="2568">C147/B147-1</f>
        <v>7.3668946896406462E-2</v>
      </c>
      <c r="D268" s="88">
        <f t="shared" si="2568"/>
        <v>-1</v>
      </c>
      <c r="F268" s="88" t="e">
        <f t="shared" si="2568"/>
        <v>#DIV/0!</v>
      </c>
      <c r="G268" s="88" t="e">
        <f t="shared" si="2568"/>
        <v>#DIV/0!</v>
      </c>
      <c r="H268" s="88" t="e">
        <f t="shared" si="2568"/>
        <v>#DIV/0!</v>
      </c>
      <c r="I268" s="88" t="e">
        <f t="shared" si="2568"/>
        <v>#DIV/0!</v>
      </c>
      <c r="J268" s="88" t="e">
        <f t="shared" si="2568"/>
        <v>#DIV/0!</v>
      </c>
      <c r="K268" s="88" t="e">
        <f>K147/J147-1</f>
        <v>#DIV/0!</v>
      </c>
      <c r="L268" s="88" t="e">
        <f t="shared" si="2568"/>
        <v>#DIV/0!</v>
      </c>
      <c r="M268" s="88" t="e">
        <f t="shared" si="2568"/>
        <v>#DIV/0!</v>
      </c>
      <c r="N268" s="88" t="e">
        <f t="shared" si="2568"/>
        <v>#DIV/0!</v>
      </c>
      <c r="O268" s="88" t="e">
        <f t="shared" si="2568"/>
        <v>#DIV/0!</v>
      </c>
      <c r="P268" s="88" t="e">
        <f t="shared" si="2568"/>
        <v>#DIV/0!</v>
      </c>
      <c r="Q268" s="88" t="e">
        <f t="shared" si="2568"/>
        <v>#DIV/0!</v>
      </c>
      <c r="R268" s="88" t="e">
        <f t="shared" si="2568"/>
        <v>#DIV/0!</v>
      </c>
      <c r="S268" s="88" t="e">
        <f t="shared" si="2568"/>
        <v>#DIV/0!</v>
      </c>
      <c r="T268" s="88" t="e">
        <f t="shared" si="2568"/>
        <v>#DIV/0!</v>
      </c>
      <c r="U268" s="88" t="e">
        <f t="shared" si="2568"/>
        <v>#DIV/0!</v>
      </c>
      <c r="V268" s="88" t="e">
        <f t="shared" si="2568"/>
        <v>#DIV/0!</v>
      </c>
      <c r="W268" s="88" t="e">
        <f t="shared" si="2568"/>
        <v>#DIV/0!</v>
      </c>
      <c r="X268" s="88" t="e">
        <f t="shared" si="2568"/>
        <v>#DIV/0!</v>
      </c>
      <c r="Y268" s="88" t="e">
        <f t="shared" si="2568"/>
        <v>#DIV/0!</v>
      </c>
      <c r="Z268" s="88" t="e">
        <f t="shared" si="2568"/>
        <v>#DIV/0!</v>
      </c>
      <c r="AA268" s="88" t="e">
        <f t="shared" si="2568"/>
        <v>#DIV/0!</v>
      </c>
      <c r="AB268" s="46" t="e">
        <f t="shared" si="2568"/>
        <v>#DIV/0!</v>
      </c>
      <c r="AC268" s="46" t="e">
        <f t="shared" si="2568"/>
        <v>#DIV/0!</v>
      </c>
      <c r="AD268" s="46" t="e">
        <f t="shared" si="2568"/>
        <v>#DIV/0!</v>
      </c>
      <c r="AE268" s="46" t="e">
        <f t="shared" si="2568"/>
        <v>#DIV/0!</v>
      </c>
      <c r="AL268" s="88" t="e">
        <f t="shared" ref="AL268:CW268" si="2569">AL147/AK147-1</f>
        <v>#DIV/0!</v>
      </c>
      <c r="AM268" s="88" t="e">
        <f t="shared" si="2569"/>
        <v>#DIV/0!</v>
      </c>
      <c r="AN268" s="88" t="e">
        <f t="shared" si="2569"/>
        <v>#DIV/0!</v>
      </c>
      <c r="AO268" s="88" t="e">
        <f t="shared" si="2569"/>
        <v>#DIV/0!</v>
      </c>
      <c r="AP268" s="88" t="e">
        <f t="shared" si="2569"/>
        <v>#DIV/0!</v>
      </c>
      <c r="AQ268" s="88" t="e">
        <f t="shared" si="2569"/>
        <v>#DIV/0!</v>
      </c>
      <c r="AR268" s="88" t="e">
        <f t="shared" si="2569"/>
        <v>#DIV/0!</v>
      </c>
      <c r="AS268" s="88" t="e">
        <f t="shared" si="2569"/>
        <v>#DIV/0!</v>
      </c>
      <c r="AT268" s="88" t="e">
        <f t="shared" si="2569"/>
        <v>#DIV/0!</v>
      </c>
      <c r="AU268" s="88" t="e">
        <f t="shared" si="2569"/>
        <v>#DIV/0!</v>
      </c>
      <c r="AV268" s="88" t="e">
        <f t="shared" si="2569"/>
        <v>#DIV/0!</v>
      </c>
      <c r="AW268" s="88" t="e">
        <f t="shared" si="2569"/>
        <v>#DIV/0!</v>
      </c>
      <c r="AX268" s="88" t="e">
        <f t="shared" si="2569"/>
        <v>#DIV/0!</v>
      </c>
      <c r="AY268" s="88" t="e">
        <f t="shared" si="2569"/>
        <v>#DIV/0!</v>
      </c>
      <c r="AZ268" s="88" t="e">
        <f t="shared" si="2569"/>
        <v>#DIV/0!</v>
      </c>
      <c r="BA268" s="88" t="e">
        <f t="shared" si="2569"/>
        <v>#DIV/0!</v>
      </c>
      <c r="BB268" s="88" t="e">
        <f t="shared" si="2569"/>
        <v>#DIV/0!</v>
      </c>
      <c r="BC268" s="88" t="e">
        <f t="shared" si="2569"/>
        <v>#DIV/0!</v>
      </c>
      <c r="BD268" s="88" t="e">
        <f t="shared" si="2569"/>
        <v>#DIV/0!</v>
      </c>
      <c r="BE268" s="88" t="e">
        <f t="shared" si="2569"/>
        <v>#DIV/0!</v>
      </c>
      <c r="BF268" s="88" t="e">
        <f t="shared" si="2569"/>
        <v>#DIV/0!</v>
      </c>
      <c r="BG268" s="88" t="e">
        <f t="shared" si="2569"/>
        <v>#DIV/0!</v>
      </c>
      <c r="BH268" s="88" t="e">
        <f t="shared" si="2569"/>
        <v>#DIV/0!</v>
      </c>
      <c r="BI268" s="88" t="e">
        <f t="shared" si="2569"/>
        <v>#DIV/0!</v>
      </c>
      <c r="BJ268" s="88" t="e">
        <f t="shared" si="2569"/>
        <v>#DIV/0!</v>
      </c>
      <c r="BK268" s="88" t="e">
        <f t="shared" si="2569"/>
        <v>#DIV/0!</v>
      </c>
      <c r="BL268" s="88" t="e">
        <f t="shared" si="2569"/>
        <v>#DIV/0!</v>
      </c>
      <c r="BM268" s="88" t="e">
        <f t="shared" si="2569"/>
        <v>#DIV/0!</v>
      </c>
      <c r="BN268" s="88" t="e">
        <f t="shared" si="2569"/>
        <v>#DIV/0!</v>
      </c>
      <c r="BO268" s="88" t="e">
        <f t="shared" si="2569"/>
        <v>#DIV/0!</v>
      </c>
      <c r="BP268" s="88" t="e">
        <f t="shared" si="2569"/>
        <v>#DIV/0!</v>
      </c>
      <c r="BQ268" s="88" t="e">
        <f t="shared" si="2569"/>
        <v>#DIV/0!</v>
      </c>
      <c r="BR268" s="88" t="e">
        <f t="shared" si="2569"/>
        <v>#DIV/0!</v>
      </c>
      <c r="BS268" s="88" t="e">
        <f t="shared" si="2569"/>
        <v>#DIV/0!</v>
      </c>
      <c r="BT268" s="88" t="e">
        <f t="shared" si="2569"/>
        <v>#DIV/0!</v>
      </c>
      <c r="BU268" s="88" t="e">
        <f t="shared" si="2569"/>
        <v>#DIV/0!</v>
      </c>
      <c r="BV268" s="88" t="e">
        <f t="shared" si="2569"/>
        <v>#DIV/0!</v>
      </c>
      <c r="BW268" s="88" t="e">
        <f t="shared" si="2569"/>
        <v>#DIV/0!</v>
      </c>
      <c r="BX268" s="88" t="e">
        <f t="shared" si="2569"/>
        <v>#DIV/0!</v>
      </c>
      <c r="BY268" s="88" t="e">
        <f t="shared" si="2569"/>
        <v>#DIV/0!</v>
      </c>
      <c r="BZ268" s="88" t="e">
        <f t="shared" si="2569"/>
        <v>#DIV/0!</v>
      </c>
      <c r="CA268" s="88" t="e">
        <f t="shared" si="2569"/>
        <v>#DIV/0!</v>
      </c>
      <c r="CB268" s="88" t="e">
        <f t="shared" si="2569"/>
        <v>#DIV/0!</v>
      </c>
      <c r="CC268" s="88" t="e">
        <f t="shared" si="2569"/>
        <v>#DIV/0!</v>
      </c>
      <c r="CD268" s="88" t="e">
        <f t="shared" si="2569"/>
        <v>#DIV/0!</v>
      </c>
      <c r="CE268" s="88" t="e">
        <f t="shared" si="2569"/>
        <v>#DIV/0!</v>
      </c>
      <c r="CF268" s="88" t="e">
        <f t="shared" si="2569"/>
        <v>#DIV/0!</v>
      </c>
      <c r="CG268" s="88" t="e">
        <f t="shared" si="2569"/>
        <v>#DIV/0!</v>
      </c>
      <c r="CH268" s="88" t="e">
        <f t="shared" si="2569"/>
        <v>#DIV/0!</v>
      </c>
      <c r="CI268" s="88" t="e">
        <f t="shared" si="2569"/>
        <v>#DIV/0!</v>
      </c>
      <c r="CJ268" s="88" t="e">
        <f t="shared" si="2569"/>
        <v>#DIV/0!</v>
      </c>
      <c r="CK268" s="88" t="e">
        <f t="shared" si="2569"/>
        <v>#DIV/0!</v>
      </c>
      <c r="CL268" s="88" t="e">
        <f t="shared" si="2569"/>
        <v>#DIV/0!</v>
      </c>
      <c r="CM268" s="46" t="e">
        <f t="shared" si="2569"/>
        <v>#DIV/0!</v>
      </c>
      <c r="CN268" s="46" t="e">
        <f t="shared" si="2569"/>
        <v>#DIV/0!</v>
      </c>
      <c r="CO268" s="46" t="e">
        <f t="shared" si="2569"/>
        <v>#DIV/0!</v>
      </c>
      <c r="CP268" s="46" t="e">
        <f t="shared" si="2569"/>
        <v>#DIV/0!</v>
      </c>
      <c r="CQ268" s="46" t="e">
        <f t="shared" si="2569"/>
        <v>#DIV/0!</v>
      </c>
      <c r="CR268" s="46" t="e">
        <f t="shared" si="2569"/>
        <v>#DIV/0!</v>
      </c>
      <c r="CS268" s="46" t="e">
        <f t="shared" si="2569"/>
        <v>#DIV/0!</v>
      </c>
      <c r="CT268" s="46" t="e">
        <f t="shared" si="2569"/>
        <v>#DIV/0!</v>
      </c>
      <c r="CU268" s="46" t="e">
        <f t="shared" si="2569"/>
        <v>#DIV/0!</v>
      </c>
      <c r="CV268" s="46" t="e">
        <f t="shared" si="2569"/>
        <v>#DIV/0!</v>
      </c>
      <c r="CW268" s="46" t="e">
        <f t="shared" si="2569"/>
        <v>#DIV/0!</v>
      </c>
      <c r="CX268" s="46" t="e">
        <f t="shared" ref="CX268:DA268" si="2570">CX147/CW147-1</f>
        <v>#DIV/0!</v>
      </c>
      <c r="CY268" s="46" t="e">
        <f t="shared" si="2570"/>
        <v>#DIV/0!</v>
      </c>
      <c r="CZ268" s="46" t="e">
        <f t="shared" si="2570"/>
        <v>#DIV/0!</v>
      </c>
      <c r="DA268" s="46" t="e">
        <f t="shared" si="2570"/>
        <v>#DIV/0!</v>
      </c>
      <c r="DD268" s="124"/>
    </row>
    <row r="269" spans="1:108" s="88" customFormat="1" x14ac:dyDescent="0.2">
      <c r="A269" s="88" t="s">
        <v>104</v>
      </c>
      <c r="C269" s="88">
        <f>C47/B47-1</f>
        <v>-5.4310799272345527</v>
      </c>
      <c r="D269" s="88">
        <f>D47/C47-1</f>
        <v>-1</v>
      </c>
      <c r="F269" s="88" t="e">
        <f t="shared" ref="F269:AE269" si="2571">F47/E47-1</f>
        <v>#DIV/0!</v>
      </c>
      <c r="G269" s="88" t="e">
        <f t="shared" si="2571"/>
        <v>#DIV/0!</v>
      </c>
      <c r="H269" s="88" t="e">
        <f t="shared" si="2571"/>
        <v>#DIV/0!</v>
      </c>
      <c r="I269" s="88" t="e">
        <f t="shared" si="2571"/>
        <v>#DIV/0!</v>
      </c>
      <c r="J269" s="88" t="e">
        <f t="shared" si="2571"/>
        <v>#DIV/0!</v>
      </c>
      <c r="K269" s="88" t="e">
        <f t="shared" si="2571"/>
        <v>#DIV/0!</v>
      </c>
      <c r="L269" s="88" t="e">
        <f t="shared" si="2571"/>
        <v>#DIV/0!</v>
      </c>
      <c r="M269" s="88" t="e">
        <f t="shared" si="2571"/>
        <v>#DIV/0!</v>
      </c>
      <c r="N269" s="88" t="e">
        <f t="shared" si="2571"/>
        <v>#DIV/0!</v>
      </c>
      <c r="O269" s="88" t="e">
        <f t="shared" si="2571"/>
        <v>#DIV/0!</v>
      </c>
      <c r="P269" s="88" t="e">
        <f t="shared" si="2571"/>
        <v>#DIV/0!</v>
      </c>
      <c r="Q269" s="88" t="e">
        <f t="shared" si="2571"/>
        <v>#DIV/0!</v>
      </c>
      <c r="R269" s="88" t="e">
        <f t="shared" si="2571"/>
        <v>#DIV/0!</v>
      </c>
      <c r="S269" s="88" t="e">
        <f t="shared" si="2571"/>
        <v>#DIV/0!</v>
      </c>
      <c r="T269" s="88" t="e">
        <f t="shared" si="2571"/>
        <v>#DIV/0!</v>
      </c>
      <c r="U269" s="88" t="e">
        <f t="shared" si="2571"/>
        <v>#DIV/0!</v>
      </c>
      <c r="V269" s="88" t="e">
        <f t="shared" si="2571"/>
        <v>#DIV/0!</v>
      </c>
      <c r="W269" s="88" t="e">
        <f t="shared" si="2571"/>
        <v>#DIV/0!</v>
      </c>
      <c r="X269" s="88" t="e">
        <f t="shared" si="2571"/>
        <v>#DIV/0!</v>
      </c>
      <c r="Y269" s="88" t="e">
        <f t="shared" si="2571"/>
        <v>#DIV/0!</v>
      </c>
      <c r="Z269" s="88">
        <f t="shared" si="2571"/>
        <v>-1.1493643441411261</v>
      </c>
      <c r="AA269" s="88">
        <f t="shared" si="2571"/>
        <v>-6.9224597519134106</v>
      </c>
      <c r="AB269" s="46">
        <f t="shared" si="2571"/>
        <v>2.1130220528988573</v>
      </c>
      <c r="AC269" s="46">
        <f t="shared" si="2571"/>
        <v>2.3478243004856756</v>
      </c>
      <c r="AD269" s="46">
        <f t="shared" si="2571"/>
        <v>0.88974542402881496</v>
      </c>
      <c r="AE269" s="46">
        <f t="shared" si="2571"/>
        <v>0.56688881030568328</v>
      </c>
      <c r="AL269" s="88">
        <f t="shared" ref="AL269:CW269" si="2572">AL47/AK47-1</f>
        <v>-3.2550281576830273</v>
      </c>
      <c r="AM269" s="88">
        <f t="shared" si="2572"/>
        <v>2.2156617909382703</v>
      </c>
      <c r="AN269" s="88">
        <f t="shared" si="2572"/>
        <v>-0.30659566206246203</v>
      </c>
      <c r="AO269" s="88">
        <f t="shared" si="2572"/>
        <v>-1.9784000000000015</v>
      </c>
      <c r="AP269" s="88">
        <f t="shared" si="2572"/>
        <v>-1.6691741618969755</v>
      </c>
      <c r="AQ269" s="88">
        <f t="shared" si="2572"/>
        <v>-0.48203812316715655</v>
      </c>
      <c r="AR269" s="88">
        <f t="shared" si="2572"/>
        <v>4.246284501060904E-3</v>
      </c>
      <c r="AS269" s="88">
        <f t="shared" si="2572"/>
        <v>-0.28141883955837388</v>
      </c>
      <c r="AT269" s="88">
        <f t="shared" si="2572"/>
        <v>-2.0205949656750546</v>
      </c>
      <c r="AU269" s="88">
        <f t="shared" si="2572"/>
        <v>-0.6630365150544516</v>
      </c>
      <c r="AV269" s="88">
        <f t="shared" si="2572"/>
        <v>-2.9543726235741463</v>
      </c>
      <c r="AW269" s="88">
        <f t="shared" si="2572"/>
        <v>-4.0345330739299552</v>
      </c>
      <c r="AX269" s="88">
        <f t="shared" si="2572"/>
        <v>-1.1485815034460654</v>
      </c>
      <c r="AY269" s="88">
        <f t="shared" si="2572"/>
        <v>9.5264293419633326</v>
      </c>
      <c r="AZ269" s="88">
        <f t="shared" si="2572"/>
        <v>-1.0050215208034441</v>
      </c>
      <c r="BA269" s="88">
        <f t="shared" si="2572"/>
        <v>175.75510204079265</v>
      </c>
      <c r="BB269" s="88">
        <f t="shared" si="2572"/>
        <v>-0.88511719201016126</v>
      </c>
      <c r="BC269" s="88">
        <f t="shared" si="2572"/>
        <v>-1.9517587939698542</v>
      </c>
      <c r="BD269" s="88">
        <f t="shared" si="2572"/>
        <v>-4.0485744456177439</v>
      </c>
      <c r="BE269" s="88">
        <f t="shared" si="2572"/>
        <v>0.92622099064773078</v>
      </c>
      <c r="BF269" s="88">
        <f t="shared" si="2572"/>
        <v>-1.6633698975004483</v>
      </c>
      <c r="BG269" s="88">
        <f t="shared" si="2572"/>
        <v>-1.4909189482242513E-2</v>
      </c>
      <c r="BH269" s="88">
        <f t="shared" si="2572"/>
        <v>-3.050357732526142</v>
      </c>
      <c r="BI269" s="88">
        <f t="shared" si="2572"/>
        <v>2.2124547040665652</v>
      </c>
      <c r="BJ269" s="88">
        <f t="shared" si="2572"/>
        <v>-0.83940508021390381</v>
      </c>
      <c r="BK269" s="88">
        <f t="shared" si="2572"/>
        <v>0.2180020811654515</v>
      </c>
      <c r="BL269" s="88">
        <f t="shared" si="2572"/>
        <v>1.2817172148654463</v>
      </c>
      <c r="BM269" s="88">
        <f t="shared" si="2572"/>
        <v>-0.48085743704951633</v>
      </c>
      <c r="BN269" s="88">
        <f t="shared" si="2572"/>
        <v>-0.78002163721601225</v>
      </c>
      <c r="BO269" s="88">
        <f t="shared" si="2572"/>
        <v>-10.136885245901647</v>
      </c>
      <c r="BP269" s="88">
        <f t="shared" si="2572"/>
        <v>-0.11464968152866251</v>
      </c>
      <c r="BQ269" s="88">
        <f t="shared" si="2572"/>
        <v>-1.1412503799777085</v>
      </c>
      <c r="BR269" s="88">
        <f t="shared" si="2572"/>
        <v>-6.4985652797704274</v>
      </c>
      <c r="BS269" s="88">
        <f t="shared" si="2572"/>
        <v>-0.89680365296803743</v>
      </c>
      <c r="BT269" s="88">
        <f t="shared" si="2572"/>
        <v>-6.0670037926675562</v>
      </c>
      <c r="BU269" s="88">
        <f t="shared" si="2572"/>
        <v>0.50049900199600583</v>
      </c>
      <c r="BV269" s="88">
        <f t="shared" si="2572"/>
        <v>-0.95726637845028184</v>
      </c>
      <c r="BW269" s="88">
        <f t="shared" si="2572"/>
        <v>-28.735408560310745</v>
      </c>
      <c r="BX269" s="88">
        <f t="shared" si="2572"/>
        <v>-0.36279461279461256</v>
      </c>
      <c r="BY269" s="88">
        <f t="shared" si="2572"/>
        <v>-2.6862615587846772</v>
      </c>
      <c r="BZ269" s="88">
        <f t="shared" si="2572"/>
        <v>0.3913043478260867</v>
      </c>
      <c r="CA269" s="88">
        <f t="shared" si="2572"/>
        <v>-0.32591966966967068</v>
      </c>
      <c r="CB269" s="88">
        <f t="shared" si="2572"/>
        <v>-0.14283725462898278</v>
      </c>
      <c r="CC269" s="88">
        <f t="shared" si="2572"/>
        <v>1.0661036218937765</v>
      </c>
      <c r="CD269" s="88">
        <f t="shared" si="2572"/>
        <v>-0.6259728008804355</v>
      </c>
      <c r="CE269" s="88">
        <f t="shared" si="2572"/>
        <v>-0.87831021437578904</v>
      </c>
      <c r="CF269" s="88">
        <f t="shared" si="2572"/>
        <v>-15.929188255613278</v>
      </c>
      <c r="CG269" s="88">
        <f t="shared" si="2572"/>
        <v>-0.94447015270707957</v>
      </c>
      <c r="CH269" s="88">
        <f t="shared" si="2572"/>
        <v>2.1062499999999735</v>
      </c>
      <c r="CI269" s="88">
        <f t="shared" si="2572"/>
        <v>-2.295103957075777</v>
      </c>
      <c r="CJ269" s="88">
        <f t="shared" si="2572"/>
        <v>4.8612118073537456</v>
      </c>
      <c r="CK269" s="88">
        <f t="shared" si="2572"/>
        <v>-2.736905813748014</v>
      </c>
      <c r="CL269" s="88">
        <f t="shared" si="2572"/>
        <v>-1.2498690120712375</v>
      </c>
      <c r="CM269" s="46">
        <f t="shared" si="2572"/>
        <v>-2.1479511604448982</v>
      </c>
      <c r="CN269" s="46">
        <f t="shared" si="2572"/>
        <v>-6.6883745558226737</v>
      </c>
      <c r="CO269" s="46">
        <f t="shared" si="2572"/>
        <v>0.20056239830032241</v>
      </c>
      <c r="CP269" s="46">
        <f t="shared" si="2572"/>
        <v>-0.19686637383135908</v>
      </c>
      <c r="CQ269" s="46">
        <f t="shared" si="2572"/>
        <v>0.10109539467727879</v>
      </c>
      <c r="CR269" s="46">
        <f t="shared" si="2572"/>
        <v>1.38595384289424</v>
      </c>
      <c r="CS269" s="46">
        <f t="shared" si="2572"/>
        <v>7.8581639296774863E-2</v>
      </c>
      <c r="CT269" s="46">
        <f t="shared" si="2572"/>
        <v>-0.11765151148364539</v>
      </c>
      <c r="CU269" s="46">
        <f t="shared" si="2572"/>
        <v>2.9710283406500171E-2</v>
      </c>
      <c r="CV269" s="46">
        <f t="shared" si="2572"/>
        <v>0.7480841284822346</v>
      </c>
      <c r="CW269" s="46">
        <f t="shared" si="2572"/>
        <v>4.7623324145755763E-2</v>
      </c>
      <c r="CX269" s="46">
        <f t="shared" ref="CX269:DA269" si="2573">CX47/CW47-1</f>
        <v>-9.1634340673209524E-2</v>
      </c>
      <c r="CY269" s="46">
        <f t="shared" si="2573"/>
        <v>1.1478858834158334E-2</v>
      </c>
      <c r="CZ269" s="46">
        <f t="shared" si="2573"/>
        <v>0.56332812342931837</v>
      </c>
      <c r="DA269" s="46">
        <f t="shared" si="2573"/>
        <v>3.4221692277474069E-2</v>
      </c>
      <c r="DD269" s="124">
        <v>9.2020058062812939</v>
      </c>
    </row>
    <row r="270" spans="1:108" s="102" customFormat="1" x14ac:dyDescent="0.2">
      <c r="A270" s="140" t="s">
        <v>105</v>
      </c>
      <c r="C270" s="102" t="str">
        <f>IF(C268&gt;C269,"RF",0)</f>
        <v>RF</v>
      </c>
      <c r="D270" s="102">
        <f t="shared" ref="D270:U270" si="2574">IF(D268&gt;D269,"RF",0)</f>
        <v>0</v>
      </c>
      <c r="F270" s="102" t="e">
        <f t="shared" si="2574"/>
        <v>#DIV/0!</v>
      </c>
      <c r="G270" s="102" t="e">
        <f t="shared" si="2574"/>
        <v>#DIV/0!</v>
      </c>
      <c r="H270" s="102" t="e">
        <f t="shared" si="2574"/>
        <v>#DIV/0!</v>
      </c>
      <c r="I270" s="102" t="e">
        <f t="shared" si="2574"/>
        <v>#DIV/0!</v>
      </c>
      <c r="J270" s="102" t="e">
        <f t="shared" si="2574"/>
        <v>#DIV/0!</v>
      </c>
      <c r="K270" s="102" t="e">
        <f t="shared" si="2574"/>
        <v>#DIV/0!</v>
      </c>
      <c r="L270" s="102" t="e">
        <f t="shared" si="2574"/>
        <v>#DIV/0!</v>
      </c>
      <c r="M270" s="102" t="e">
        <f t="shared" si="2574"/>
        <v>#DIV/0!</v>
      </c>
      <c r="N270" s="102" t="e">
        <f t="shared" si="2574"/>
        <v>#DIV/0!</v>
      </c>
      <c r="O270" s="102" t="e">
        <f t="shared" si="2574"/>
        <v>#DIV/0!</v>
      </c>
      <c r="P270" s="102" t="e">
        <f t="shared" si="2574"/>
        <v>#DIV/0!</v>
      </c>
      <c r="Q270" s="102" t="e">
        <f t="shared" si="2574"/>
        <v>#DIV/0!</v>
      </c>
      <c r="R270" s="102" t="e">
        <f t="shared" si="2574"/>
        <v>#DIV/0!</v>
      </c>
      <c r="S270" s="102" t="e">
        <f t="shared" si="2574"/>
        <v>#DIV/0!</v>
      </c>
      <c r="T270" s="102" t="e">
        <f t="shared" si="2574"/>
        <v>#DIV/0!</v>
      </c>
      <c r="U270" s="102" t="e">
        <f t="shared" si="2574"/>
        <v>#DIV/0!</v>
      </c>
      <c r="V270" s="102" t="e">
        <f>IF(V268&gt;V269,"RF",0)</f>
        <v>#DIV/0!</v>
      </c>
      <c r="W270" s="102" t="e">
        <f t="shared" ref="W270:AE270" si="2575">IF(W268&gt;W269,"RF",0)</f>
        <v>#DIV/0!</v>
      </c>
      <c r="X270" s="102" t="e">
        <f t="shared" si="2575"/>
        <v>#DIV/0!</v>
      </c>
      <c r="Y270" s="102" t="e">
        <f t="shared" si="2575"/>
        <v>#DIV/0!</v>
      </c>
      <c r="Z270" s="102" t="e">
        <f t="shared" si="2575"/>
        <v>#DIV/0!</v>
      </c>
      <c r="AA270" s="102" t="e">
        <f t="shared" ref="AA270" si="2576">IF(AA268&gt;AA269,"RF",0)</f>
        <v>#DIV/0!</v>
      </c>
      <c r="AB270" s="72" t="e">
        <f t="shared" si="2575"/>
        <v>#DIV/0!</v>
      </c>
      <c r="AC270" s="72" t="e">
        <f t="shared" si="2575"/>
        <v>#DIV/0!</v>
      </c>
      <c r="AD270" s="72" t="e">
        <f t="shared" si="2575"/>
        <v>#DIV/0!</v>
      </c>
      <c r="AE270" s="72" t="e">
        <f t="shared" si="2575"/>
        <v>#DIV/0!</v>
      </c>
      <c r="AL270" s="102" t="e">
        <f t="shared" ref="AL270:CW270" si="2577">IF(AL268&gt;AL269,"RF",0)</f>
        <v>#DIV/0!</v>
      </c>
      <c r="AM270" s="102" t="e">
        <f t="shared" si="2577"/>
        <v>#DIV/0!</v>
      </c>
      <c r="AN270" s="102" t="e">
        <f t="shared" si="2577"/>
        <v>#DIV/0!</v>
      </c>
      <c r="AO270" s="102" t="e">
        <f t="shared" si="2577"/>
        <v>#DIV/0!</v>
      </c>
      <c r="AP270" s="102" t="e">
        <f t="shared" si="2577"/>
        <v>#DIV/0!</v>
      </c>
      <c r="AQ270" s="102" t="e">
        <f t="shared" si="2577"/>
        <v>#DIV/0!</v>
      </c>
      <c r="AR270" s="102" t="e">
        <f t="shared" si="2577"/>
        <v>#DIV/0!</v>
      </c>
      <c r="AS270" s="102" t="e">
        <f t="shared" si="2577"/>
        <v>#DIV/0!</v>
      </c>
      <c r="AT270" s="102" t="e">
        <f t="shared" si="2577"/>
        <v>#DIV/0!</v>
      </c>
      <c r="AU270" s="102" t="e">
        <f t="shared" si="2577"/>
        <v>#DIV/0!</v>
      </c>
      <c r="AV270" s="102" t="e">
        <f t="shared" si="2577"/>
        <v>#DIV/0!</v>
      </c>
      <c r="AW270" s="102" t="e">
        <f t="shared" si="2577"/>
        <v>#DIV/0!</v>
      </c>
      <c r="AX270" s="102" t="e">
        <f t="shared" si="2577"/>
        <v>#DIV/0!</v>
      </c>
      <c r="AY270" s="102" t="e">
        <f t="shared" si="2577"/>
        <v>#DIV/0!</v>
      </c>
      <c r="AZ270" s="102" t="e">
        <f t="shared" si="2577"/>
        <v>#DIV/0!</v>
      </c>
      <c r="BA270" s="102" t="e">
        <f t="shared" si="2577"/>
        <v>#DIV/0!</v>
      </c>
      <c r="BB270" s="102" t="e">
        <f t="shared" si="2577"/>
        <v>#DIV/0!</v>
      </c>
      <c r="BC270" s="102" t="e">
        <f t="shared" si="2577"/>
        <v>#DIV/0!</v>
      </c>
      <c r="BD270" s="102" t="e">
        <f t="shared" si="2577"/>
        <v>#DIV/0!</v>
      </c>
      <c r="BE270" s="102" t="e">
        <f t="shared" si="2577"/>
        <v>#DIV/0!</v>
      </c>
      <c r="BF270" s="102" t="e">
        <f t="shared" si="2577"/>
        <v>#DIV/0!</v>
      </c>
      <c r="BG270" s="102" t="e">
        <f t="shared" si="2577"/>
        <v>#DIV/0!</v>
      </c>
      <c r="BH270" s="102" t="e">
        <f t="shared" si="2577"/>
        <v>#DIV/0!</v>
      </c>
      <c r="BI270" s="102" t="e">
        <f t="shared" si="2577"/>
        <v>#DIV/0!</v>
      </c>
      <c r="BJ270" s="102" t="e">
        <f t="shared" si="2577"/>
        <v>#DIV/0!</v>
      </c>
      <c r="BK270" s="102" t="e">
        <f t="shared" si="2577"/>
        <v>#DIV/0!</v>
      </c>
      <c r="BL270" s="102" t="e">
        <f t="shared" si="2577"/>
        <v>#DIV/0!</v>
      </c>
      <c r="BM270" s="102" t="e">
        <f t="shared" si="2577"/>
        <v>#DIV/0!</v>
      </c>
      <c r="BN270" s="102" t="e">
        <f t="shared" si="2577"/>
        <v>#DIV/0!</v>
      </c>
      <c r="BO270" s="102" t="e">
        <f t="shared" si="2577"/>
        <v>#DIV/0!</v>
      </c>
      <c r="BP270" s="102" t="e">
        <f t="shared" si="2577"/>
        <v>#DIV/0!</v>
      </c>
      <c r="BQ270" s="102" t="e">
        <f t="shared" si="2577"/>
        <v>#DIV/0!</v>
      </c>
      <c r="BR270" s="102" t="e">
        <f t="shared" si="2577"/>
        <v>#DIV/0!</v>
      </c>
      <c r="BS270" s="102" t="e">
        <f t="shared" si="2577"/>
        <v>#DIV/0!</v>
      </c>
      <c r="BT270" s="102" t="e">
        <f t="shared" si="2577"/>
        <v>#DIV/0!</v>
      </c>
      <c r="BU270" s="102" t="e">
        <f t="shared" si="2577"/>
        <v>#DIV/0!</v>
      </c>
      <c r="BV270" s="102" t="e">
        <f t="shared" si="2577"/>
        <v>#DIV/0!</v>
      </c>
      <c r="BW270" s="102" t="e">
        <f t="shared" si="2577"/>
        <v>#DIV/0!</v>
      </c>
      <c r="BX270" s="102" t="e">
        <f t="shared" si="2577"/>
        <v>#DIV/0!</v>
      </c>
      <c r="BY270" s="102" t="e">
        <f t="shared" si="2577"/>
        <v>#DIV/0!</v>
      </c>
      <c r="BZ270" s="102" t="e">
        <f t="shared" si="2577"/>
        <v>#DIV/0!</v>
      </c>
      <c r="CA270" s="102" t="e">
        <f t="shared" si="2577"/>
        <v>#DIV/0!</v>
      </c>
      <c r="CB270" s="102" t="e">
        <f t="shared" si="2577"/>
        <v>#DIV/0!</v>
      </c>
      <c r="CC270" s="102" t="e">
        <f t="shared" si="2577"/>
        <v>#DIV/0!</v>
      </c>
      <c r="CD270" s="102" t="e">
        <f t="shared" si="2577"/>
        <v>#DIV/0!</v>
      </c>
      <c r="CE270" s="102" t="e">
        <f t="shared" si="2577"/>
        <v>#DIV/0!</v>
      </c>
      <c r="CF270" s="102" t="e">
        <f t="shared" si="2577"/>
        <v>#DIV/0!</v>
      </c>
      <c r="CG270" s="102" t="e">
        <f t="shared" si="2577"/>
        <v>#DIV/0!</v>
      </c>
      <c r="CH270" s="102" t="e">
        <f t="shared" si="2577"/>
        <v>#DIV/0!</v>
      </c>
      <c r="CI270" s="102" t="e">
        <f t="shared" si="2577"/>
        <v>#DIV/0!</v>
      </c>
      <c r="CJ270" s="102" t="e">
        <f t="shared" si="2577"/>
        <v>#DIV/0!</v>
      </c>
      <c r="CK270" s="102" t="e">
        <f t="shared" ref="CK270:CL270" si="2578">IF(CK268&gt;CK269,"RF",0)</f>
        <v>#DIV/0!</v>
      </c>
      <c r="CL270" s="102" t="e">
        <f t="shared" si="2578"/>
        <v>#DIV/0!</v>
      </c>
      <c r="CM270" s="72" t="e">
        <f t="shared" si="2577"/>
        <v>#DIV/0!</v>
      </c>
      <c r="CN270" s="72" t="e">
        <f t="shared" si="2577"/>
        <v>#DIV/0!</v>
      </c>
      <c r="CO270" s="72" t="e">
        <f t="shared" si="2577"/>
        <v>#DIV/0!</v>
      </c>
      <c r="CP270" s="72" t="e">
        <f t="shared" si="2577"/>
        <v>#DIV/0!</v>
      </c>
      <c r="CQ270" s="72" t="e">
        <f t="shared" si="2577"/>
        <v>#DIV/0!</v>
      </c>
      <c r="CR270" s="72" t="e">
        <f t="shared" si="2577"/>
        <v>#DIV/0!</v>
      </c>
      <c r="CS270" s="72" t="e">
        <f t="shared" si="2577"/>
        <v>#DIV/0!</v>
      </c>
      <c r="CT270" s="72" t="e">
        <f t="shared" si="2577"/>
        <v>#DIV/0!</v>
      </c>
      <c r="CU270" s="72" t="e">
        <f t="shared" si="2577"/>
        <v>#DIV/0!</v>
      </c>
      <c r="CV270" s="72" t="e">
        <f t="shared" si="2577"/>
        <v>#DIV/0!</v>
      </c>
      <c r="CW270" s="72" t="e">
        <f t="shared" si="2577"/>
        <v>#DIV/0!</v>
      </c>
      <c r="CX270" s="72" t="e">
        <f t="shared" ref="CX270:DA270" si="2579">IF(CX268&gt;CX269,"RF",0)</f>
        <v>#DIV/0!</v>
      </c>
      <c r="CY270" s="72" t="e">
        <f t="shared" si="2579"/>
        <v>#DIV/0!</v>
      </c>
      <c r="CZ270" s="72" t="e">
        <f t="shared" si="2579"/>
        <v>#DIV/0!</v>
      </c>
      <c r="DA270" s="72" t="e">
        <f t="shared" si="2579"/>
        <v>#DIV/0!</v>
      </c>
      <c r="DD270" s="135"/>
    </row>
    <row r="271" spans="1:108" s="85" customFormat="1" x14ac:dyDescent="0.2">
      <c r="A271" s="85" t="s">
        <v>432</v>
      </c>
      <c r="B271" s="85">
        <f>B55/B27</f>
        <v>5.295863659548284E-2</v>
      </c>
      <c r="C271" s="85">
        <f>C55/C27</f>
        <v>5.036396631887656E-2</v>
      </c>
      <c r="D271" s="85" t="e">
        <f>D55/D27</f>
        <v>#DIV/0!</v>
      </c>
      <c r="F271" s="85" t="e">
        <f t="shared" ref="F271:AE271" si="2580">F55/F27</f>
        <v>#DIV/0!</v>
      </c>
      <c r="G271" s="85" t="e">
        <f t="shared" si="2580"/>
        <v>#DIV/0!</v>
      </c>
      <c r="H271" s="85" t="e">
        <f t="shared" si="2580"/>
        <v>#DIV/0!</v>
      </c>
      <c r="I271" s="85" t="e">
        <f t="shared" si="2580"/>
        <v>#DIV/0!</v>
      </c>
      <c r="J271" s="85" t="e">
        <f t="shared" si="2580"/>
        <v>#DIV/0!</v>
      </c>
      <c r="K271" s="85" t="e">
        <f t="shared" si="2580"/>
        <v>#DIV/0!</v>
      </c>
      <c r="L271" s="85" t="e">
        <f t="shared" si="2580"/>
        <v>#DIV/0!</v>
      </c>
      <c r="M271" s="85" t="e">
        <f t="shared" si="2580"/>
        <v>#DIV/0!</v>
      </c>
      <c r="N271" s="85" t="e">
        <f t="shared" si="2580"/>
        <v>#DIV/0!</v>
      </c>
      <c r="O271" s="85" t="e">
        <f t="shared" si="2580"/>
        <v>#DIV/0!</v>
      </c>
      <c r="P271" s="85" t="e">
        <f t="shared" si="2580"/>
        <v>#DIV/0!</v>
      </c>
      <c r="Q271" s="85" t="e">
        <f t="shared" si="2580"/>
        <v>#DIV/0!</v>
      </c>
      <c r="R271" s="85" t="e">
        <f t="shared" si="2580"/>
        <v>#DIV/0!</v>
      </c>
      <c r="S271" s="85" t="e">
        <f t="shared" si="2580"/>
        <v>#DIV/0!</v>
      </c>
      <c r="T271" s="85" t="e">
        <f t="shared" si="2580"/>
        <v>#DIV/0!</v>
      </c>
      <c r="U271" s="85" t="e">
        <f t="shared" si="2580"/>
        <v>#DIV/0!</v>
      </c>
      <c r="V271" s="85" t="e">
        <f t="shared" si="2580"/>
        <v>#DIV/0!</v>
      </c>
      <c r="W271" s="85" t="e">
        <f t="shared" si="2580"/>
        <v>#DIV/0!</v>
      </c>
      <c r="X271" s="85" t="e">
        <f t="shared" si="2580"/>
        <v>#DIV/0!</v>
      </c>
      <c r="Y271" s="85">
        <f t="shared" si="2580"/>
        <v>3.4954245655996279E-3</v>
      </c>
      <c r="Z271" s="85">
        <f t="shared" si="2580"/>
        <v>5.8732886403276346E-3</v>
      </c>
      <c r="AA271" s="85">
        <f t="shared" ref="AA271" si="2581">AA55/AA27</f>
        <v>8.481107667113727E-3</v>
      </c>
      <c r="AB271" s="86">
        <f t="shared" si="2580"/>
        <v>-5.24312049798502E-4</v>
      </c>
      <c r="AC271" s="86">
        <f t="shared" si="2580"/>
        <v>-7.7035469030054121E-3</v>
      </c>
      <c r="AD271" s="86">
        <f t="shared" si="2580"/>
        <v>-9.8692884140943113E-3</v>
      </c>
      <c r="AE271" s="86">
        <f t="shared" si="2580"/>
        <v>-1.299554005056531E-2</v>
      </c>
      <c r="AL271" s="85">
        <f t="shared" ref="AL271:BQ271" si="2582">AL55/AL27</f>
        <v>8.168605940535506E-3</v>
      </c>
      <c r="AM271" s="85">
        <f t="shared" si="2582"/>
        <v>1.9128555288107287E-2</v>
      </c>
      <c r="AN271" s="85">
        <f t="shared" si="2582"/>
        <v>1.447434205673352E-2</v>
      </c>
      <c r="AO271" s="85">
        <f t="shared" si="2582"/>
        <v>1.299276772856035E-2</v>
      </c>
      <c r="AP271" s="85">
        <f t="shared" si="2582"/>
        <v>1.45368601677081E-2</v>
      </c>
      <c r="AQ271" s="85">
        <f t="shared" si="2582"/>
        <v>2.4390711955478792E-2</v>
      </c>
      <c r="AR271" s="85">
        <f t="shared" si="2582"/>
        <v>1.8357885291258508E-2</v>
      </c>
      <c r="AS271" s="85">
        <f t="shared" si="2582"/>
        <v>2.1063611741453776E-2</v>
      </c>
      <c r="AT271" s="85">
        <f t="shared" si="2582"/>
        <v>1.507920389926889E-2</v>
      </c>
      <c r="AU271" s="85">
        <f t="shared" si="2582"/>
        <v>1.4089301586701214E-2</v>
      </c>
      <c r="AV271" s="85">
        <f t="shared" si="2582"/>
        <v>1.4128623792069311E-2</v>
      </c>
      <c r="AW271" s="85">
        <f t="shared" si="2582"/>
        <v>1.3621968678148454E-2</v>
      </c>
      <c r="AX271" s="85">
        <f t="shared" si="2582"/>
        <v>5.7060671908953052E-3</v>
      </c>
      <c r="AY271" s="85">
        <f t="shared" si="2582"/>
        <v>1.1199818381323546E-2</v>
      </c>
      <c r="AZ271" s="85">
        <f t="shared" si="2582"/>
        <v>1.0294463459880334E-2</v>
      </c>
      <c r="BA271" s="85">
        <f t="shared" si="2582"/>
        <v>3.489238248323989E-3</v>
      </c>
      <c r="BB271" s="85">
        <f t="shared" si="2582"/>
        <v>3.8999334157709506E-3</v>
      </c>
      <c r="BC271" s="85">
        <f t="shared" si="2582"/>
        <v>6.6013705019194197E-3</v>
      </c>
      <c r="BD271" s="85">
        <f t="shared" si="2582"/>
        <v>4.5929018789144056E-3</v>
      </c>
      <c r="BE271" s="85">
        <f t="shared" si="2582"/>
        <v>2.1479611484318171E-3</v>
      </c>
      <c r="BF271" s="85">
        <f t="shared" si="2582"/>
        <v>2.1119602951464512E-4</v>
      </c>
      <c r="BG271" s="85">
        <f t="shared" si="2582"/>
        <v>9.925470665112502E-3</v>
      </c>
      <c r="BH271" s="85">
        <f t="shared" si="2582"/>
        <v>-5.424361691391663E-4</v>
      </c>
      <c r="BI271" s="85">
        <f t="shared" si="2582"/>
        <v>-4.6411830168954235E-3</v>
      </c>
      <c r="BJ271" s="85">
        <f t="shared" si="2582"/>
        <v>5.5067778851698741E-3</v>
      </c>
      <c r="BK271" s="85">
        <f t="shared" si="2582"/>
        <v>5.4445619307325575E-3</v>
      </c>
      <c r="BL271" s="85">
        <f t="shared" si="2582"/>
        <v>6.5969373803664204E-3</v>
      </c>
      <c r="BM271" s="85">
        <f t="shared" si="2582"/>
        <v>1.1417957092426469E-2</v>
      </c>
      <c r="BN271" s="85">
        <f t="shared" si="2582"/>
        <v>1.0057540737875344E-2</v>
      </c>
      <c r="BO271" s="85">
        <f t="shared" si="2582"/>
        <v>5.8584392014519059E-2</v>
      </c>
      <c r="BP271" s="85">
        <f t="shared" si="2582"/>
        <v>3.3044575755837295E-2</v>
      </c>
      <c r="BQ271" s="85">
        <f t="shared" si="2582"/>
        <v>-6.9790248407582672E-3</v>
      </c>
      <c r="BR271" s="85">
        <f t="shared" ref="BR271:DA271" si="2583">BR55/BR27</f>
        <v>1.7954192546583852E-3</v>
      </c>
      <c r="BS271" s="85">
        <f t="shared" si="2583"/>
        <v>3.7204139731349109E-3</v>
      </c>
      <c r="BT271" s="85">
        <f t="shared" si="2583"/>
        <v>1.1344638165751134E-2</v>
      </c>
      <c r="BU271" s="85">
        <f t="shared" si="2583"/>
        <v>2.3364665554795523E-3</v>
      </c>
      <c r="BV271" s="85">
        <f t="shared" si="2583"/>
        <v>8.1222928325271102E-2</v>
      </c>
      <c r="BW271" s="85">
        <f t="shared" si="2583"/>
        <v>3.0415509506515701E-2</v>
      </c>
      <c r="BX271" s="85">
        <f t="shared" si="2583"/>
        <v>2.1431080922824686E-2</v>
      </c>
      <c r="BY271" s="85">
        <f t="shared" si="2583"/>
        <v>2.0382527907472802E-4</v>
      </c>
      <c r="BZ271" s="85">
        <f t="shared" si="2583"/>
        <v>-8.6191677830046629E-4</v>
      </c>
      <c r="CA271" s="85">
        <f t="shared" si="2583"/>
        <v>3.3459938506058963E-3</v>
      </c>
      <c r="CB271" s="85">
        <f t="shared" si="2583"/>
        <v>2.5004698168758221E-3</v>
      </c>
      <c r="CC271" s="85">
        <f t="shared" si="2583"/>
        <v>4.3756867780215276E-3</v>
      </c>
      <c r="CD271" s="85">
        <f t="shared" si="2583"/>
        <v>3.1210901376271557E-3</v>
      </c>
      <c r="CE271" s="85">
        <f t="shared" si="2583"/>
        <v>5.6813918338032097E-3</v>
      </c>
      <c r="CF271" s="85">
        <f t="shared" si="2583"/>
        <v>6.0102318608046077E-3</v>
      </c>
      <c r="CG271" s="85">
        <f t="shared" si="2583"/>
        <v>1.1570522124994816E-2</v>
      </c>
      <c r="CH271" s="85">
        <f t="shared" si="2583"/>
        <v>1.9678587596197377E-2</v>
      </c>
      <c r="CI271" s="85">
        <f t="shared" si="2583"/>
        <v>7.9276163569497564E-3</v>
      </c>
      <c r="CJ271" s="85">
        <f t="shared" si="2583"/>
        <v>2.9695619896065329E-3</v>
      </c>
      <c r="CK271" s="85">
        <f t="shared" ref="CK271:CL271" si="2584">CK55/CK27</f>
        <v>2.4780778850746615E-2</v>
      </c>
      <c r="CL271" s="85">
        <f t="shared" si="2584"/>
        <v>2.0431502654440853E-2</v>
      </c>
      <c r="CM271" s="86">
        <f t="shared" si="2583"/>
        <v>-6.499318450558368E-3</v>
      </c>
      <c r="CN271" s="86">
        <f t="shared" si="2583"/>
        <v>-5.6589140130892182E-3</v>
      </c>
      <c r="CO271" s="86">
        <f t="shared" si="2583"/>
        <v>-7.0596994937837075E-3</v>
      </c>
      <c r="CP271" s="86">
        <f t="shared" si="2583"/>
        <v>-8.0115872532838354E-3</v>
      </c>
      <c r="CQ271" s="86">
        <f t="shared" si="2583"/>
        <v>-8.3915849657641272E-3</v>
      </c>
      <c r="CR271" s="86">
        <f t="shared" si="2583"/>
        <v>-6.4698109559021702E-3</v>
      </c>
      <c r="CS271" s="86">
        <f t="shared" si="2583"/>
        <v>-8.2123237930467781E-3</v>
      </c>
      <c r="CT271" s="86">
        <f t="shared" si="2583"/>
        <v>-9.6531173899288194E-3</v>
      </c>
      <c r="CU271" s="86">
        <f t="shared" si="2583"/>
        <v>-1.0567915252280822E-2</v>
      </c>
      <c r="CV271" s="86">
        <f t="shared" si="2583"/>
        <v>-8.6755279506025209E-3</v>
      </c>
      <c r="CW271" s="86">
        <f t="shared" si="2583"/>
        <v>-1.0693351349773096E-2</v>
      </c>
      <c r="CX271" s="86">
        <f t="shared" si="2583"/>
        <v>-1.2577655727862947E-2</v>
      </c>
      <c r="CY271" s="86">
        <f t="shared" si="2583"/>
        <v>-1.391736352938726E-2</v>
      </c>
      <c r="CZ271" s="86">
        <f t="shared" si="2583"/>
        <v>-1.1662856156993383E-2</v>
      </c>
      <c r="DA271" s="86">
        <f t="shared" si="2583"/>
        <v>-1.3940322184571819E-2</v>
      </c>
      <c r="DD271" s="134">
        <v>2.1453896212164366E-2</v>
      </c>
    </row>
    <row r="272" spans="1:108" s="85" customFormat="1" x14ac:dyDescent="0.2">
      <c r="A272" s="85" t="s">
        <v>433</v>
      </c>
      <c r="B272" s="85">
        <f>B51/B27</f>
        <v>3.3614680021704396E-2</v>
      </c>
      <c r="C272" s="85">
        <f>C51/C27</f>
        <v>2.0530639996925625E-2</v>
      </c>
      <c r="D272" s="85" t="e">
        <f>D51/D27</f>
        <v>#DIV/0!</v>
      </c>
      <c r="F272" s="85" t="e">
        <f t="shared" ref="F272:AE272" si="2585">F51/F27</f>
        <v>#DIV/0!</v>
      </c>
      <c r="G272" s="85" t="e">
        <f t="shared" si="2585"/>
        <v>#DIV/0!</v>
      </c>
      <c r="H272" s="85" t="e">
        <f t="shared" si="2585"/>
        <v>#DIV/0!</v>
      </c>
      <c r="I272" s="85" t="e">
        <f t="shared" si="2585"/>
        <v>#DIV/0!</v>
      </c>
      <c r="J272" s="85" t="e">
        <f t="shared" si="2585"/>
        <v>#DIV/0!</v>
      </c>
      <c r="K272" s="85" t="e">
        <f t="shared" si="2585"/>
        <v>#DIV/0!</v>
      </c>
      <c r="L272" s="85" t="e">
        <f t="shared" si="2585"/>
        <v>#DIV/0!</v>
      </c>
      <c r="M272" s="85" t="e">
        <f t="shared" si="2585"/>
        <v>#DIV/0!</v>
      </c>
      <c r="N272" s="85" t="e">
        <f t="shared" si="2585"/>
        <v>#DIV/0!</v>
      </c>
      <c r="O272" s="85" t="e">
        <f t="shared" si="2585"/>
        <v>#DIV/0!</v>
      </c>
      <c r="P272" s="85" t="e">
        <f t="shared" si="2585"/>
        <v>#DIV/0!</v>
      </c>
      <c r="Q272" s="85" t="e">
        <f t="shared" si="2585"/>
        <v>#DIV/0!</v>
      </c>
      <c r="R272" s="85" t="e">
        <f t="shared" si="2585"/>
        <v>#DIV/0!</v>
      </c>
      <c r="S272" s="85" t="e">
        <f t="shared" si="2585"/>
        <v>#DIV/0!</v>
      </c>
      <c r="T272" s="85" t="e">
        <f t="shared" si="2585"/>
        <v>#DIV/0!</v>
      </c>
      <c r="U272" s="85" t="e">
        <f t="shared" si="2585"/>
        <v>#DIV/0!</v>
      </c>
      <c r="V272" s="85" t="e">
        <f t="shared" si="2585"/>
        <v>#DIV/0!</v>
      </c>
      <c r="W272" s="85" t="e">
        <f t="shared" si="2585"/>
        <v>#DIV/0!</v>
      </c>
      <c r="X272" s="85" t="e">
        <f t="shared" si="2585"/>
        <v>#DIV/0!</v>
      </c>
      <c r="Y272" s="85">
        <f t="shared" si="2585"/>
        <v>5.7775538268530994E-3</v>
      </c>
      <c r="Z272" s="85">
        <f t="shared" si="2585"/>
        <v>1.536172008046799E-2</v>
      </c>
      <c r="AA272" s="85">
        <f t="shared" ref="AA272" si="2586">AA51/AA27</f>
        <v>1.7200194186268926E-2</v>
      </c>
      <c r="AB272" s="86">
        <f t="shared" si="2585"/>
        <v>8.3355443383768251E-3</v>
      </c>
      <c r="AC272" s="86">
        <f t="shared" si="2585"/>
        <v>5.8610419761826755E-3</v>
      </c>
      <c r="AD272" s="86">
        <f t="shared" si="2585"/>
        <v>4.410194884650144E-3</v>
      </c>
      <c r="AE272" s="86">
        <f t="shared" si="2585"/>
        <v>3.4820499545506704E-3</v>
      </c>
      <c r="AL272" s="85">
        <f t="shared" ref="AL272:BQ272" si="2587">AL51/AL27</f>
        <v>9.7210106894155563E-3</v>
      </c>
      <c r="AM272" s="85">
        <f t="shared" si="2587"/>
        <v>2.0445055754777227E-2</v>
      </c>
      <c r="AN272" s="85">
        <f t="shared" si="2587"/>
        <v>1.7506905228302831E-2</v>
      </c>
      <c r="AO272" s="85">
        <f t="shared" si="2587"/>
        <v>1.771669119625251E-2</v>
      </c>
      <c r="AP272" s="85">
        <f t="shared" si="2587"/>
        <v>2.07746516873334E-2</v>
      </c>
      <c r="AQ272" s="85">
        <f t="shared" si="2587"/>
        <v>5.7263481097677989E-2</v>
      </c>
      <c r="AR272" s="85">
        <f t="shared" si="2587"/>
        <v>2.2059373364241384E-3</v>
      </c>
      <c r="AS272" s="85">
        <f t="shared" si="2587"/>
        <v>2.7541907620232779E-2</v>
      </c>
      <c r="AT272" s="85">
        <f t="shared" si="2587"/>
        <v>3.2070809639859199E-2</v>
      </c>
      <c r="AU272" s="85">
        <f t="shared" si="2587"/>
        <v>2.6646746222365115E-2</v>
      </c>
      <c r="AV272" s="85">
        <f t="shared" si="2587"/>
        <v>3.0967455292680215E-2</v>
      </c>
      <c r="AW272" s="85">
        <f t="shared" si="2587"/>
        <v>3.2102728731942219E-2</v>
      </c>
      <c r="AX272" s="85">
        <f t="shared" si="2587"/>
        <v>2.3590288742632918E-2</v>
      </c>
      <c r="AY272" s="85">
        <f t="shared" si="2587"/>
        <v>5.0134322146127362E-2</v>
      </c>
      <c r="AZ272" s="85">
        <f t="shared" si="2587"/>
        <v>3.5481932432785517E-2</v>
      </c>
      <c r="BA272" s="85">
        <f t="shared" si="2587"/>
        <v>2.6345709021053043E-2</v>
      </c>
      <c r="BB272" s="85">
        <f t="shared" si="2587"/>
        <v>2.756111481023495E-2</v>
      </c>
      <c r="BC272" s="85">
        <f t="shared" si="2587"/>
        <v>2.2763965127542779E-2</v>
      </c>
      <c r="BD272" s="85">
        <f t="shared" si="2587"/>
        <v>2.2112734864300626E-2</v>
      </c>
      <c r="BE272" s="85">
        <f t="shared" si="2587"/>
        <v>1.1877968422403833E-2</v>
      </c>
      <c r="BF272" s="85">
        <f t="shared" si="2587"/>
        <v>2.563391808234005E-2</v>
      </c>
      <c r="BG272" s="85">
        <f t="shared" si="2587"/>
        <v>2.530818409805376E-2</v>
      </c>
      <c r="BH272" s="85">
        <f t="shared" si="2587"/>
        <v>1.864466646482995E-2</v>
      </c>
      <c r="BI272" s="85">
        <f t="shared" si="2587"/>
        <v>6.1503051967760434E-3</v>
      </c>
      <c r="BJ272" s="85">
        <f t="shared" si="2587"/>
        <v>1.1411538242866774E-2</v>
      </c>
      <c r="BK272" s="85">
        <f t="shared" si="2587"/>
        <v>1.3439813011297236E-2</v>
      </c>
      <c r="BL272" s="85">
        <f t="shared" si="2587"/>
        <v>1.6372709871479357E-2</v>
      </c>
      <c r="BM272" s="85">
        <f t="shared" si="2587"/>
        <v>1.2412736700324842E-2</v>
      </c>
      <c r="BN272" s="85">
        <f t="shared" si="2587"/>
        <v>2.2113695340328483E-2</v>
      </c>
      <c r="BO272" s="85">
        <f t="shared" si="2587"/>
        <v>9.4156079854809435E-2</v>
      </c>
      <c r="BP272" s="85">
        <f t="shared" si="2587"/>
        <v>7.2858700017210717E-2</v>
      </c>
      <c r="BQ272" s="85">
        <f t="shared" si="2587"/>
        <v>1.1987165449542507E-2</v>
      </c>
      <c r="BR272" s="85">
        <f t="shared" ref="BR272:DA272" si="2588">BR51/BR27</f>
        <v>1.952316252587992E-2</v>
      </c>
      <c r="BS272" s="85">
        <f t="shared" si="2588"/>
        <v>1.2281477066011655E-2</v>
      </c>
      <c r="BT272" s="85">
        <f t="shared" si="2588"/>
        <v>1.2973055127342207E-2</v>
      </c>
      <c r="BU272" s="85">
        <f t="shared" si="2588"/>
        <v>8.7771210735448964E-3</v>
      </c>
      <c r="BV272" s="85">
        <f t="shared" si="2588"/>
        <v>1.786335325176262E-2</v>
      </c>
      <c r="BW272" s="85">
        <f t="shared" si="2588"/>
        <v>2.9641102328562274E-2</v>
      </c>
      <c r="BX272" s="85">
        <f t="shared" si="2588"/>
        <v>2.6443377444665652E-2</v>
      </c>
      <c r="BY272" s="85">
        <f t="shared" si="2588"/>
        <v>5.3705590974806247E-3</v>
      </c>
      <c r="BZ272" s="85">
        <f t="shared" si="2588"/>
        <v>9.2162788041164311E-3</v>
      </c>
      <c r="CA272" s="85">
        <f t="shared" si="2588"/>
        <v>6.0589618375836499E-3</v>
      </c>
      <c r="CB272" s="85">
        <f t="shared" si="2588"/>
        <v>6.5200141989100258E-3</v>
      </c>
      <c r="CC272" s="85">
        <f t="shared" si="2588"/>
        <v>4.9704020826851205E-3</v>
      </c>
      <c r="CD272" s="85">
        <f t="shared" si="2588"/>
        <v>9.0708807049991857E-3</v>
      </c>
      <c r="CE272" s="85">
        <f t="shared" si="2588"/>
        <v>1.6636830426533172E-2</v>
      </c>
      <c r="CF272" s="85">
        <f t="shared" si="2588"/>
        <v>1.9319541802017438E-2</v>
      </c>
      <c r="CG272" s="85">
        <f t="shared" si="2588"/>
        <v>2.2339263744314962E-2</v>
      </c>
      <c r="CH272" s="85">
        <f t="shared" si="2588"/>
        <v>1.121321865097329E-2</v>
      </c>
      <c r="CI272" s="85">
        <f t="shared" si="2588"/>
        <v>1.8680435470907721E-2</v>
      </c>
      <c r="CJ272" s="85">
        <f t="shared" si="2588"/>
        <v>1.5982017652396274E-2</v>
      </c>
      <c r="CK272" s="85">
        <f t="shared" ref="CK272:CL272" si="2589">CK51/CK27</f>
        <v>1.5695835881737695E-2</v>
      </c>
      <c r="CL272" s="85">
        <f t="shared" si="2589"/>
        <v>9.511867338912159E-3</v>
      </c>
      <c r="CM272" s="86">
        <f t="shared" si="2588"/>
        <v>1.1033670033670033E-2</v>
      </c>
      <c r="CN272" s="86">
        <f t="shared" si="2588"/>
        <v>7.1774317191230256E-3</v>
      </c>
      <c r="CO272" s="86">
        <f t="shared" si="2588"/>
        <v>6.9068608569904794E-3</v>
      </c>
      <c r="CP272" s="86">
        <f t="shared" si="2588"/>
        <v>7.0828704312231854E-3</v>
      </c>
      <c r="CQ272" s="86">
        <f t="shared" si="2588"/>
        <v>7.0318020612268866E-3</v>
      </c>
      <c r="CR272" s="86">
        <f t="shared" si="2588"/>
        <v>5.0598838476173446E-3</v>
      </c>
      <c r="CS272" s="86">
        <f t="shared" si="2588"/>
        <v>4.964189422924252E-3</v>
      </c>
      <c r="CT272" s="86">
        <f t="shared" si="2588"/>
        <v>5.1378991045177838E-3</v>
      </c>
      <c r="CU272" s="86">
        <f t="shared" si="2588"/>
        <v>5.1654578520280766E-3</v>
      </c>
      <c r="CV272" s="86">
        <f t="shared" si="2588"/>
        <v>3.8754376920733039E-3</v>
      </c>
      <c r="CW272" s="86">
        <f t="shared" si="2588"/>
        <v>3.835410804625915E-3</v>
      </c>
      <c r="CX272" s="86">
        <f t="shared" si="2588"/>
        <v>3.9865139638388556E-3</v>
      </c>
      <c r="CY272" s="86">
        <f t="shared" si="2588"/>
        <v>4.0315460939851422E-3</v>
      </c>
      <c r="CZ272" s="86">
        <f t="shared" si="2588"/>
        <v>3.0868198992268707E-3</v>
      </c>
      <c r="DA272" s="86">
        <f t="shared" si="2588"/>
        <v>3.0684158054208764E-3</v>
      </c>
      <c r="DD272" s="134">
        <v>1.1518410704848691E-2</v>
      </c>
    </row>
    <row r="273" spans="28:108" s="84" customFormat="1" x14ac:dyDescent="0.2">
      <c r="AB273" s="57"/>
      <c r="AC273" s="57"/>
      <c r="AD273" s="57"/>
      <c r="AE273" s="57"/>
      <c r="CM273" s="71"/>
      <c r="CN273" s="71"/>
      <c r="CO273" s="71"/>
      <c r="CP273" s="71"/>
      <c r="CQ273" s="71"/>
      <c r="CR273" s="71"/>
      <c r="CS273" s="71"/>
      <c r="CT273" s="71"/>
      <c r="CU273" s="71"/>
      <c r="CV273" s="71"/>
      <c r="CW273" s="71"/>
      <c r="CX273" s="71"/>
      <c r="CY273" s="71"/>
      <c r="CZ273" s="71"/>
      <c r="DA273" s="71"/>
      <c r="DD273" s="13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57241-A23D-4AF6-B0B0-43EB6250CEF2}">
  <dimension ref="A2:P29"/>
  <sheetViews>
    <sheetView workbookViewId="0">
      <selection activeCell="J25" sqref="J25:K29"/>
    </sheetView>
  </sheetViews>
  <sheetFormatPr defaultRowHeight="15" x14ac:dyDescent="0.25"/>
  <cols>
    <col min="1" max="1" width="18.85546875" customWidth="1"/>
    <col min="10" max="10" width="13.7109375" bestFit="1" customWidth="1"/>
    <col min="11" max="11" width="33" bestFit="1" customWidth="1"/>
    <col min="15" max="15" width="11.5703125" bestFit="1" customWidth="1"/>
  </cols>
  <sheetData>
    <row r="2" spans="1:16" x14ac:dyDescent="0.25">
      <c r="C2" t="s">
        <v>543</v>
      </c>
    </row>
    <row r="3" spans="1:16" x14ac:dyDescent="0.25">
      <c r="A3" t="s">
        <v>541</v>
      </c>
      <c r="B3" t="s">
        <v>542</v>
      </c>
      <c r="C3">
        <f>3*105</f>
        <v>315</v>
      </c>
      <c r="D3" t="s">
        <v>544</v>
      </c>
    </row>
    <row r="7" spans="1:16" x14ac:dyDescent="0.25">
      <c r="I7">
        <v>58028</v>
      </c>
      <c r="J7" t="s">
        <v>545</v>
      </c>
    </row>
    <row r="8" spans="1:16" x14ac:dyDescent="0.25">
      <c r="I8">
        <v>35185</v>
      </c>
      <c r="J8" t="s">
        <v>546</v>
      </c>
      <c r="K8" t="s">
        <v>547</v>
      </c>
      <c r="O8">
        <f>+I8*10</f>
        <v>351850</v>
      </c>
    </row>
    <row r="9" spans="1:16" x14ac:dyDescent="0.25">
      <c r="I9" s="99">
        <f>+I7*I8/10^7</f>
        <v>204.17151799999999</v>
      </c>
      <c r="O9">
        <f>+O8/10^7</f>
        <v>3.5185000000000001E-2</v>
      </c>
    </row>
    <row r="10" spans="1:16" x14ac:dyDescent="0.25">
      <c r="O10">
        <f>+O9*10</f>
        <v>0.35185</v>
      </c>
    </row>
    <row r="13" spans="1:16" x14ac:dyDescent="0.25">
      <c r="H13">
        <f>+J13/K13</f>
        <v>0.49367268590928481</v>
      </c>
      <c r="I13" t="s">
        <v>548</v>
      </c>
      <c r="J13" s="99">
        <v>0.34720000000000001</v>
      </c>
      <c r="K13" s="183">
        <v>0.70330000000000004</v>
      </c>
      <c r="M13" s="99">
        <v>0.38240000000000002</v>
      </c>
      <c r="N13" s="183">
        <v>0.72299999999999998</v>
      </c>
      <c r="P13">
        <f>+M13/N13</f>
        <v>0.52890733056708161</v>
      </c>
    </row>
    <row r="14" spans="1:16" x14ac:dyDescent="0.25">
      <c r="M14" s="184">
        <f>+M13-J13</f>
        <v>3.5200000000000009E-2</v>
      </c>
      <c r="O14" s="185">
        <f>+M14*10^7</f>
        <v>352000.00000000012</v>
      </c>
    </row>
    <row r="15" spans="1:16" x14ac:dyDescent="0.25">
      <c r="B15" t="s">
        <v>556</v>
      </c>
      <c r="M15" s="184">
        <f>200/M14</f>
        <v>5681.8181818181802</v>
      </c>
      <c r="O15" s="184"/>
    </row>
    <row r="16" spans="1:16" x14ac:dyDescent="0.25">
      <c r="A16" t="s">
        <v>553</v>
      </c>
      <c r="B16">
        <v>2025</v>
      </c>
    </row>
    <row r="17" spans="1:13" x14ac:dyDescent="0.25">
      <c r="A17" t="s">
        <v>554</v>
      </c>
      <c r="B17">
        <f>3.44*106</f>
        <v>364.64</v>
      </c>
      <c r="M17">
        <f>7.3*100</f>
        <v>730</v>
      </c>
    </row>
    <row r="18" spans="1:13" x14ac:dyDescent="0.25">
      <c r="A18" t="s">
        <v>22</v>
      </c>
      <c r="B18">
        <f>-0.47*105</f>
        <v>-49.349999999999994</v>
      </c>
    </row>
    <row r="19" spans="1:13" x14ac:dyDescent="0.25">
      <c r="A19" t="s">
        <v>555</v>
      </c>
      <c r="B19">
        <f>2.1*105</f>
        <v>220.5</v>
      </c>
    </row>
    <row r="22" spans="1:13" x14ac:dyDescent="0.25">
      <c r="A22" t="s">
        <v>557</v>
      </c>
      <c r="B22">
        <v>2025</v>
      </c>
    </row>
    <row r="23" spans="1:13" x14ac:dyDescent="0.25">
      <c r="A23" t="s">
        <v>554</v>
      </c>
      <c r="B23">
        <f>2.4*90</f>
        <v>216</v>
      </c>
    </row>
    <row r="24" spans="1:13" x14ac:dyDescent="0.25">
      <c r="A24" t="s">
        <v>22</v>
      </c>
      <c r="B24">
        <f>0.09*90</f>
        <v>8.1</v>
      </c>
    </row>
    <row r="25" spans="1:13" x14ac:dyDescent="0.25">
      <c r="A25" t="s">
        <v>555</v>
      </c>
      <c r="B25">
        <f>-0.46*90</f>
        <v>-41.4</v>
      </c>
      <c r="J25" s="180">
        <f>J27*500</f>
        <v>3750000</v>
      </c>
      <c r="K25" s="179"/>
    </row>
    <row r="26" spans="1:13" x14ac:dyDescent="0.25">
      <c r="J26" s="180">
        <v>30000</v>
      </c>
      <c r="K26" s="180">
        <f>J26*20%</f>
        <v>6000</v>
      </c>
    </row>
    <row r="27" spans="1:13" x14ac:dyDescent="0.25">
      <c r="J27" s="180">
        <v>7500</v>
      </c>
      <c r="K27" s="180">
        <v>7500</v>
      </c>
    </row>
    <row r="28" spans="1:13" x14ac:dyDescent="0.25">
      <c r="J28" s="180">
        <f>J26*J27</f>
        <v>225000000</v>
      </c>
      <c r="K28" s="188">
        <f>K26*K27</f>
        <v>45000000</v>
      </c>
    </row>
    <row r="29" spans="1:13" x14ac:dyDescent="0.25">
      <c r="J29" s="180">
        <f>J28/10^7</f>
        <v>22.5</v>
      </c>
      <c r="K29" s="180">
        <f>K28/10^7</f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A776E-4E40-417C-AB7C-CF5BE7EA3878}">
  <dimension ref="A2:C5"/>
  <sheetViews>
    <sheetView workbookViewId="0">
      <selection activeCell="B7" sqref="B7"/>
    </sheetView>
  </sheetViews>
  <sheetFormatPr defaultRowHeight="15" x14ac:dyDescent="0.25"/>
  <cols>
    <col min="1" max="2" width="10.42578125" bestFit="1" customWidth="1"/>
    <col min="3" max="3" width="13.140625" bestFit="1" customWidth="1"/>
  </cols>
  <sheetData>
    <row r="2" spans="1:3" x14ac:dyDescent="0.25">
      <c r="A2" t="s">
        <v>538</v>
      </c>
      <c r="B2" t="s">
        <v>539</v>
      </c>
      <c r="C2" t="s">
        <v>540</v>
      </c>
    </row>
    <row r="3" spans="1:3" x14ac:dyDescent="0.25">
      <c r="A3" s="186">
        <v>46127</v>
      </c>
      <c r="B3">
        <v>300</v>
      </c>
      <c r="C3" t="s">
        <v>552</v>
      </c>
    </row>
    <row r="4" spans="1:3" x14ac:dyDescent="0.25">
      <c r="A4" s="186">
        <v>46157</v>
      </c>
      <c r="B4">
        <v>470</v>
      </c>
      <c r="C4" t="s">
        <v>551</v>
      </c>
    </row>
    <row r="5" spans="1:3" x14ac:dyDescent="0.25">
      <c r="A5" s="186">
        <v>46175</v>
      </c>
      <c r="B5">
        <v>1300</v>
      </c>
      <c r="C5" t="s">
        <v>550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AZ6" activePane="bottomRight" state="frozen"/>
      <selection activeCell="A2" sqref="A2"/>
      <selection pane="topRight" activeCell="A2" sqref="A2"/>
      <selection pane="bottomLeft" activeCell="A2" sqref="A2"/>
      <selection pane="bottomRight" activeCell="BF6" sqref="BF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100147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John Cockerill India Ltd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92.427999999999997</v>
      </c>
      <c r="D6">
        <f>_xll.EQNXTDZ($A$1,$B6,D$1,$B$1)</f>
        <v>110.081</v>
      </c>
      <c r="E6">
        <f>_xll.EQNXTDZ($A$1,$B6,E$1,$B$1)</f>
        <v>194.16499999999999</v>
      </c>
      <c r="F6">
        <f>_xll.EQNXTDZ($A$1,$B6,F$1,$B$1)</f>
        <v>133.297</v>
      </c>
      <c r="G6">
        <f>_xll.EQNXTDZ($A$1,$B6,G$1,$B$1)</f>
        <v>101.48099999999999</v>
      </c>
      <c r="H6">
        <f>_xll.EQNXTDZ($A$1,$B6,H$1,$B$1)</f>
        <v>121.6</v>
      </c>
      <c r="I6">
        <f>_xll.EQNXTDZ($A$1,$B6,I$1,$B$1)</f>
        <v>125.846</v>
      </c>
      <c r="J6">
        <f>_xll.EQNXTDZ($A$1,$B6,J$1,$B$1)</f>
        <v>92.322999999999993</v>
      </c>
      <c r="K6">
        <f>_xll.EQNXTDZ($A$1,$B6,K$1,$B$1)</f>
        <v>51.451999999999998</v>
      </c>
      <c r="L6">
        <f>_xll.EQNXTDZ($A$1,$B6,L$1,$B$1)</f>
        <v>52.665999999999997</v>
      </c>
      <c r="M6">
        <f>_xll.EQNXTDZ($A$1,$B6,M$1,$B$1)</f>
        <v>53.820999999999998</v>
      </c>
      <c r="N6">
        <f>_xll.EQNXTDZ($A$1,$B6,N$1,$B$1)</f>
        <v>58.116999999999997</v>
      </c>
      <c r="O6">
        <f>_xll.EQNXTDZ($A$1,$B6,O$1,$B$1)</f>
        <v>52.137999999999998</v>
      </c>
      <c r="P6">
        <f>_xll.EQNXTDZ($A$1,$B6,P$1,$B$1)</f>
        <v>44.225000000000001</v>
      </c>
      <c r="Q6">
        <f>_xll.EQNXTDZ($A$1,$B6,Q$1,$B$1)</f>
        <v>45.366</v>
      </c>
      <c r="R6">
        <f>_xll.EQNXTDZ($A$1,$B6,R$1,$B$1)</f>
        <v>63.966999999999999</v>
      </c>
      <c r="S6">
        <f>_xll.EQNXTDZ($A$1,$B6,S$1,$B$1)</f>
        <v>26.428999999999998</v>
      </c>
      <c r="T6">
        <f>_xll.EQNXTDZ($A$1,$B6,T$1,$B$1)</f>
        <v>38.273000000000003</v>
      </c>
      <c r="U6">
        <f>_xll.EQNXTDZ($A$1,$B6,U$1,$B$1)</f>
        <v>51.014000000000003</v>
      </c>
      <c r="V6">
        <f>_xll.EQNXTDZ($A$1,$B6,V$1,$B$1)</f>
        <v>42.052</v>
      </c>
      <c r="W6">
        <f>_xll.EQNXTDZ($A$1,$B6,W$1,$B$1)</f>
        <v>55.746000000000002</v>
      </c>
      <c r="X6">
        <f>_xll.EQNXTDZ($A$1,$B6,X$1,$B$1)</f>
        <v>59.875</v>
      </c>
      <c r="Y6">
        <f>_xll.EQNXTDZ($A$1,$B6,Y$1,$B$1)</f>
        <v>116.855</v>
      </c>
      <c r="Z6">
        <f>_xll.EQNXTDZ($A$1,$B6,Z$1,$B$1)</f>
        <v>75.759</v>
      </c>
      <c r="AA6">
        <f>_xll.EQNXTDZ($A$1,$B6,AA$1,$B$1)</f>
        <v>56.622</v>
      </c>
      <c r="AB6">
        <f>_xll.EQNXTDZ($A$1,$B6,AB$1,$B$1)</f>
        <v>79.272000000000006</v>
      </c>
      <c r="AC6">
        <f>_xll.EQNXTDZ($A$1,$B6,AC$1,$B$1)</f>
        <v>237.22399999999999</v>
      </c>
      <c r="AD6">
        <f>_xll.EQNXTDZ($A$1,$B6,AD$1,$B$1)</f>
        <v>123.121</v>
      </c>
      <c r="AE6">
        <f>_xll.EQNXTDZ($A$1,$B6,AE$1,$B$1)</f>
        <v>107.81399999999999</v>
      </c>
      <c r="AF6">
        <f>_xll.EQNXTDZ($A$1,$B6,AF$1,$B$1)</f>
        <v>87.768000000000001</v>
      </c>
      <c r="AG6">
        <f>_xll.EQNXTDZ($A$1,$B6,AG$1,$B$1)</f>
        <v>113.593</v>
      </c>
      <c r="AH6">
        <f>_xll.EQNXTDZ($A$1,$B6,AH$1,$B$1)</f>
        <v>62.042999999999999</v>
      </c>
      <c r="AI6">
        <f>_xll.EQNXTDZ($A$1,$B6,AI$1,$B$1)</f>
        <v>13.775</v>
      </c>
      <c r="AJ6">
        <f>_xll.EQNXTDZ($A$1,$B6,AJ$1,$B$1)</f>
        <v>17.431000000000001</v>
      </c>
      <c r="AK6">
        <f>_xll.EQNXTDZ($A$1,$B6,AK$1,$B$1)</f>
        <v>105.029</v>
      </c>
      <c r="AL6">
        <f>_xll.EQNXTDZ($A$1,$B6,AL$1,$B$1)</f>
        <v>61.823999999999998</v>
      </c>
      <c r="AM6">
        <f>_xll.EQNXTDZ($A$1,$B6,AM$1,$B$1)</f>
        <v>97.301000000000002</v>
      </c>
      <c r="AN6">
        <f>_xll.EQNXTDZ($A$1,$B6,AN$1,$B$1)</f>
        <v>92.114000000000004</v>
      </c>
      <c r="AO6">
        <f>_xll.EQNXTDZ($A$1,$B6,AO$1,$B$1)</f>
        <v>130.11099999999999</v>
      </c>
      <c r="AP6">
        <f>_xll.EQNXTDZ($A$1,$B6,AP$1,$B$1)</f>
        <v>63.258000000000003</v>
      </c>
      <c r="AQ6">
        <f>_xll.EQNXTDZ($A$1,$B6,AQ$1,$B$1)</f>
        <v>37.448</v>
      </c>
      <c r="AR6">
        <f>_xll.EQNXTDZ($A$1,$B6,AR$1,$B$1)</f>
        <v>42.695</v>
      </c>
      <c r="AS6">
        <f>_xll.EQNXTDZ($A$1,$B6,AS$1,$B$1)</f>
        <v>210.965</v>
      </c>
      <c r="AT6">
        <f>_xll.EQNXTDZ($A$1,$B6,AT$1,$B$1)</f>
        <v>192.59399999999999</v>
      </c>
      <c r="AU6">
        <f>_xll.EQNXTDZ($A$1,$B6,AU$1,$B$1)</f>
        <v>221.16</v>
      </c>
      <c r="AV6">
        <f>_xll.EQNXTDZ($A$1,$B6,AV$1,$B$1)</f>
        <v>191.56399999999999</v>
      </c>
      <c r="AW6">
        <f>_xll.EQNXTDZ($A$1,$B6,AW$1,$B$1)</f>
        <v>253.90299999999999</v>
      </c>
      <c r="AX6">
        <f>_xll.EQNXTDZ($A$1,$B6,AX$1,$B$1)</f>
        <v>147.06399999999999</v>
      </c>
      <c r="AY6">
        <f>_xll.EQNXTDZ($A$1,$B6,AY$1,$B$1)</f>
        <v>93.287000000000006</v>
      </c>
      <c r="AZ6">
        <f>_xll.EQNXTDZ($A$1,$B6,AZ$1,$B$1)</f>
        <v>76.037000000000006</v>
      </c>
      <c r="BA6">
        <f>_xll.EQNXTDZ($A$1,$B6,BA$1,$B$1)</f>
        <v>72.338999999999999</v>
      </c>
      <c r="BB6">
        <f>_xll.EQNXTDZ($A$1,$B6,BB$1,$B$1)</f>
        <v>220.9</v>
      </c>
      <c r="BC6">
        <f>_xll.EQNXTDZ($A$1,$B6,BC$1,$B$1)</f>
        <v>82.117999999999995</v>
      </c>
      <c r="BD6">
        <f>_xll.EQNXTDZ($A$1,$B6,BD$1,$B$1)</f>
        <v>96.983999999999995</v>
      </c>
      <c r="BE6">
        <f>_xll.EQNXTDZ($A$1,$B6,BE$1,$B$1)</f>
        <v>102.069</v>
      </c>
      <c r="BF6">
        <f>_xll.EQNXTDZ($A$1,$B6,BF$1,$B$1)</f>
        <v>344.517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1.7769999999999999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0.28199999999999997</v>
      </c>
      <c r="D8">
        <f>_xll.EQNXTDZ($A$1,$B8,D$1,$B$1)</f>
        <v>0.379</v>
      </c>
      <c r="E8">
        <f>_xll.EQNXTDZ($A$1,$B8,E$1,$B$1)</f>
        <v>0.28699999999999998</v>
      </c>
      <c r="F8">
        <f>_xll.EQNXTDZ($A$1,$B8,F$1,$B$1)</f>
        <v>1.9770000000000001</v>
      </c>
      <c r="G8">
        <f>_xll.EQNXTDZ($A$1,$B8,G$1,$B$1)</f>
        <v>0.30399999999999999</v>
      </c>
      <c r="H8">
        <f>_xll.EQNXTDZ($A$1,$B8,H$1,$B$1)</f>
        <v>0.40899999999999997</v>
      </c>
      <c r="I8">
        <f>_xll.EQNXTDZ($A$1,$B8,I$1,$B$1)</f>
        <v>0.53200000000000003</v>
      </c>
      <c r="J8">
        <f>_xll.EQNXTDZ($A$1,$B8,J$1,$B$1)</f>
        <v>0.33800000000000002</v>
      </c>
      <c r="K8">
        <f>_xll.EQNXTDZ($A$1,$B8,K$1,$B$1)</f>
        <v>0.65800000000000003</v>
      </c>
      <c r="L8">
        <f>_xll.EQNXTDZ($A$1,$B8,L$1,$B$1)</f>
        <v>0.82599999999999996</v>
      </c>
      <c r="M8">
        <f>_xll.EQNXTDZ($A$1,$B8,M$1,$B$1)</f>
        <v>0.82299999999999995</v>
      </c>
      <c r="N8">
        <f>_xll.EQNXTDZ($A$1,$B8,N$1,$B$1)</f>
        <v>0.97099999999999997</v>
      </c>
      <c r="O8">
        <f>_xll.EQNXTDZ($A$1,$B8,O$1,$B$1)</f>
        <v>0.73899999999999999</v>
      </c>
      <c r="P8">
        <f>_xll.EQNXTDZ($A$1,$B8,P$1,$B$1)</f>
        <v>0.79</v>
      </c>
      <c r="Q8">
        <f>_xll.EQNXTDZ($A$1,$B8,Q$1,$B$1)</f>
        <v>0.73599999999999999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92.709000000000003</v>
      </c>
      <c r="D9">
        <f>_xll.EQNXTDZ($A$1,$B9,D$1,$B$1)</f>
        <v>110.46</v>
      </c>
      <c r="E9">
        <f>_xll.EQNXTDZ($A$1,$B9,E$1,$B$1)</f>
        <v>194.452</v>
      </c>
      <c r="F9">
        <f>_xll.EQNXTDZ($A$1,$B9,F$1,$B$1)</f>
        <v>135.274</v>
      </c>
      <c r="G9">
        <f>_xll.EQNXTDZ($A$1,$B9,G$1,$B$1)</f>
        <v>101.785</v>
      </c>
      <c r="H9">
        <f>_xll.EQNXTDZ($A$1,$B9,H$1,$B$1)</f>
        <v>122.009</v>
      </c>
      <c r="I9">
        <f>_xll.EQNXTDZ($A$1,$B9,I$1,$B$1)</f>
        <v>126.378</v>
      </c>
      <c r="J9">
        <f>_xll.EQNXTDZ($A$1,$B9,J$1,$B$1)</f>
        <v>92.661000000000001</v>
      </c>
      <c r="K9">
        <f>_xll.EQNXTDZ($A$1,$B9,K$1,$B$1)</f>
        <v>52.11</v>
      </c>
      <c r="L9">
        <f>_xll.EQNXTDZ($A$1,$B9,L$1,$B$1)</f>
        <v>53.491999999999997</v>
      </c>
      <c r="M9">
        <f>_xll.EQNXTDZ($A$1,$B9,M$1,$B$1)</f>
        <v>54.643000000000001</v>
      </c>
      <c r="N9">
        <f>_xll.EQNXTDZ($A$1,$B9,N$1,$B$1)</f>
        <v>59.088999999999999</v>
      </c>
      <c r="O9">
        <f>_xll.EQNXTDZ($A$1,$B9,O$1,$B$1)</f>
        <v>52.877000000000002</v>
      </c>
      <c r="P9">
        <f>_xll.EQNXTDZ($A$1,$B9,P$1,$B$1)</f>
        <v>43.238</v>
      </c>
      <c r="Q9">
        <f>_xll.EQNXTDZ($A$1,$B9,Q$1,$B$1)</f>
        <v>46.101999999999997</v>
      </c>
      <c r="R9">
        <f>_xll.EQNXTDZ($A$1,$B9,R$1,$B$1)</f>
        <v>63.966999999999999</v>
      </c>
      <c r="S9">
        <f>_xll.EQNXTDZ($A$1,$B9,S$1,$B$1)</f>
        <v>26.428999999999998</v>
      </c>
      <c r="T9">
        <f>_xll.EQNXTDZ($A$1,$B9,T$1,$B$1)</f>
        <v>38.273000000000003</v>
      </c>
      <c r="U9">
        <f>_xll.EQNXTDZ($A$1,$B9,U$1,$B$1)</f>
        <v>51.014000000000003</v>
      </c>
      <c r="V9">
        <f>_xll.EQNXTDZ($A$1,$B9,V$1,$B$1)</f>
        <v>42.052</v>
      </c>
      <c r="W9">
        <f>_xll.EQNXTDZ($A$1,$B9,W$1,$B$1)</f>
        <v>55.746000000000002</v>
      </c>
      <c r="X9">
        <f>_xll.EQNXTDZ($A$1,$B9,X$1,$B$1)</f>
        <v>59.875</v>
      </c>
      <c r="Y9">
        <f>_xll.EQNXTDZ($A$1,$B9,Y$1,$B$1)</f>
        <v>116.855</v>
      </c>
      <c r="Z9">
        <f>_xll.EQNXTDZ($A$1,$B9,Z$1,$B$1)</f>
        <v>75.759</v>
      </c>
      <c r="AA9">
        <f>_xll.EQNXTDZ($A$1,$B9,AA$1,$B$1)</f>
        <v>56.622</v>
      </c>
      <c r="AB9">
        <f>_xll.EQNXTDZ($A$1,$B9,AB$1,$B$1)</f>
        <v>79.272000000000006</v>
      </c>
      <c r="AC9">
        <f>_xll.EQNXTDZ($A$1,$B9,AC$1,$B$1)</f>
        <v>237.22399999999999</v>
      </c>
      <c r="AD9">
        <f>_xll.EQNXTDZ($A$1,$B9,AD$1,$B$1)</f>
        <v>123.121</v>
      </c>
      <c r="AE9">
        <f>_xll.EQNXTDZ($A$1,$B9,AE$1,$B$1)</f>
        <v>107.81399999999999</v>
      </c>
      <c r="AF9">
        <f>_xll.EQNXTDZ($A$1,$B9,AF$1,$B$1)</f>
        <v>87.768000000000001</v>
      </c>
      <c r="AG9">
        <f>_xll.EQNXTDZ($A$1,$B9,AG$1,$B$1)</f>
        <v>113.593</v>
      </c>
      <c r="AH9">
        <f>_xll.EQNXTDZ($A$1,$B9,AH$1,$B$1)</f>
        <v>62.042999999999999</v>
      </c>
      <c r="AI9">
        <f>_xll.EQNXTDZ($A$1,$B9,AI$1,$B$1)</f>
        <v>13.775</v>
      </c>
      <c r="AJ9">
        <f>_xll.EQNXTDZ($A$1,$B9,AJ$1,$B$1)</f>
        <v>17.431000000000001</v>
      </c>
      <c r="AK9">
        <f>_xll.EQNXTDZ($A$1,$B9,AK$1,$B$1)</f>
        <v>105.029</v>
      </c>
      <c r="AL9">
        <f>_xll.EQNXTDZ($A$1,$B9,AL$1,$B$1)</f>
        <v>61.823999999999998</v>
      </c>
      <c r="AM9">
        <f>_xll.EQNXTDZ($A$1,$B9,AM$1,$B$1)</f>
        <v>97.301000000000002</v>
      </c>
      <c r="AN9">
        <f>_xll.EQNXTDZ($A$1,$B9,AN$1,$B$1)</f>
        <v>92.114000000000004</v>
      </c>
      <c r="AO9">
        <f>_xll.EQNXTDZ($A$1,$B9,AO$1,$B$1)</f>
        <v>130.11099999999999</v>
      </c>
      <c r="AP9">
        <f>_xll.EQNXTDZ($A$1,$B9,AP$1,$B$1)</f>
        <v>63.258000000000003</v>
      </c>
      <c r="AQ9">
        <f>_xll.EQNXTDZ($A$1,$B9,AQ$1,$B$1)</f>
        <v>37.448</v>
      </c>
      <c r="AR9">
        <f>_xll.EQNXTDZ($A$1,$B9,AR$1,$B$1)</f>
        <v>42.695</v>
      </c>
      <c r="AS9">
        <f>_xll.EQNXTDZ($A$1,$B9,AS$1,$B$1)</f>
        <v>210.965</v>
      </c>
      <c r="AT9">
        <f>_xll.EQNXTDZ($A$1,$B9,AT$1,$B$1)</f>
        <v>192.59399999999999</v>
      </c>
      <c r="AU9">
        <f>_xll.EQNXTDZ($A$1,$B9,AU$1,$B$1)</f>
        <v>221.16</v>
      </c>
      <c r="AV9">
        <f>_xll.EQNXTDZ($A$1,$B9,AV$1,$B$1)</f>
        <v>191.56399999999999</v>
      </c>
      <c r="AW9">
        <f>_xll.EQNXTDZ($A$1,$B9,AW$1,$B$1)</f>
        <v>253.90299999999999</v>
      </c>
      <c r="AX9">
        <f>_xll.EQNXTDZ($A$1,$B9,AX$1,$B$1)</f>
        <v>147.06399999999999</v>
      </c>
      <c r="AY9">
        <f>_xll.EQNXTDZ($A$1,$B9,AY$1,$B$1)</f>
        <v>93.287000000000006</v>
      </c>
      <c r="AZ9">
        <f>_xll.EQNXTDZ($A$1,$B9,AZ$1,$B$1)</f>
        <v>76.037000000000006</v>
      </c>
      <c r="BA9">
        <f>_xll.EQNXTDZ($A$1,$B9,BA$1,$B$1)</f>
        <v>72.338999999999999</v>
      </c>
      <c r="BB9">
        <f>_xll.EQNXTDZ($A$1,$B9,BB$1,$B$1)</f>
        <v>220.9</v>
      </c>
      <c r="BC9">
        <f>_xll.EQNXTDZ($A$1,$B9,BC$1,$B$1)</f>
        <v>82.117999999999995</v>
      </c>
      <c r="BD9">
        <f>_xll.EQNXTDZ($A$1,$B9,BD$1,$B$1)</f>
        <v>96.983999999999995</v>
      </c>
      <c r="BE9">
        <f>_xll.EQNXTDZ($A$1,$B9,BE$1,$B$1)</f>
        <v>102.069</v>
      </c>
      <c r="BF9">
        <f>_xll.EQNXTDZ($A$1,$B9,BF$1,$B$1)</f>
        <v>344.517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-0.41599999999999998</v>
      </c>
      <c r="D10">
        <f>_xll.EQNXTDZ($A$1,$B10,D$1,$B$1)</f>
        <v>1.175</v>
      </c>
      <c r="E10">
        <f>_xll.EQNXTDZ($A$1,$B10,E$1,$B$1)</f>
        <v>-0.81</v>
      </c>
      <c r="F10">
        <f>_xll.EQNXTDZ($A$1,$B10,F$1,$B$1)</f>
        <v>-1.3380000000000001</v>
      </c>
      <c r="G10">
        <f>_xll.EQNXTDZ($A$1,$B10,G$1,$B$1)</f>
        <v>1.7010000000000001</v>
      </c>
      <c r="H10">
        <f>_xll.EQNXTDZ($A$1,$B10,H$1,$B$1)</f>
        <v>-5.2999999999999999E-2</v>
      </c>
      <c r="I10">
        <f>_xll.EQNXTDZ($A$1,$B10,I$1,$B$1)</f>
        <v>0.20499999999999999</v>
      </c>
      <c r="J10">
        <f>_xll.EQNXTDZ($A$1,$B10,J$1,$B$1)</f>
        <v>-1.5860000000000001</v>
      </c>
      <c r="K10">
        <f>_xll.EQNXTDZ($A$1,$B10,K$1,$B$1)</f>
        <v>0.64700000000000002</v>
      </c>
      <c r="L10">
        <f>_xll.EQNXTDZ($A$1,$B10,L$1,$B$1)</f>
        <v>0.49199999999999999</v>
      </c>
      <c r="M10">
        <f>_xll.EQNXTDZ($A$1,$B10,M$1,$B$1)</f>
        <v>-0.56499999999999995</v>
      </c>
      <c r="N10">
        <f>_xll.EQNXTDZ($A$1,$B10,N$1,$B$1)</f>
        <v>-1.153</v>
      </c>
      <c r="O10">
        <f>_xll.EQNXTDZ($A$1,$B10,O$1,$B$1)</f>
        <v>1.58</v>
      </c>
      <c r="P10">
        <f>_xll.EQNXTDZ($A$1,$B10,P$1,$B$1)</f>
        <v>0.65300000000000002</v>
      </c>
      <c r="Q10">
        <f>_xll.EQNXTDZ($A$1,$B10,Q$1,$B$1)</f>
        <v>-1.163</v>
      </c>
      <c r="R10">
        <f>_xll.EQNXTDZ($A$1,$B10,R$1,$B$1)</f>
        <v>0.34799999999999998</v>
      </c>
      <c r="S10">
        <f>_xll.EQNXTDZ($A$1,$B10,S$1,$B$1)</f>
        <v>-0.69099999999999995</v>
      </c>
      <c r="T10">
        <f>_xll.EQNXTDZ($A$1,$B10,T$1,$B$1)</f>
        <v>1.252</v>
      </c>
      <c r="U10">
        <f>_xll.EQNXTDZ($A$1,$B10,U$1,$B$1)</f>
        <v>-1.3109999999999999</v>
      </c>
      <c r="V10">
        <f>_xll.EQNXTDZ($A$1,$B10,V$1,$B$1)</f>
        <v>-5.2999999999999999E-2</v>
      </c>
      <c r="W10">
        <f>_xll.EQNXTDZ($A$1,$B10,W$1,$B$1)</f>
        <v>2.4359999999999999</v>
      </c>
      <c r="X10">
        <f>_xll.EQNXTDZ($A$1,$B10,X$1,$B$1)</f>
        <v>-0.61599999999999999</v>
      </c>
      <c r="Y10">
        <f>_xll.EQNXTDZ($A$1,$B10,Y$1,$B$1)</f>
        <v>-0.107</v>
      </c>
      <c r="Z10">
        <f>_xll.EQNXTDZ($A$1,$B10,Z$1,$B$1)</f>
        <v>0.106</v>
      </c>
      <c r="AA10">
        <f>_xll.EQNXTDZ($A$1,$B10,AA$1,$B$1)</f>
        <v>0.80900000000000005</v>
      </c>
      <c r="AB10">
        <f>_xll.EQNXTDZ($A$1,$B10,AB$1,$B$1)</f>
        <v>-0.27</v>
      </c>
      <c r="AC10">
        <f>_xll.EQNXTDZ($A$1,$B10,AC$1,$B$1)</f>
        <v>1.3</v>
      </c>
      <c r="AD10">
        <f>_xll.EQNXTDZ($A$1,$B10,AD$1,$B$1)</f>
        <v>-0.40500000000000003</v>
      </c>
      <c r="AE10">
        <f>_xll.EQNXTDZ($A$1,$B10,AE$1,$B$1)</f>
        <v>7.1999999999999995E-2</v>
      </c>
      <c r="AF10">
        <f>_xll.EQNXTDZ($A$1,$B10,AF$1,$B$1)</f>
        <v>-1.2010000000000001</v>
      </c>
      <c r="AG10">
        <f>_xll.EQNXTDZ($A$1,$B10,AG$1,$B$1)</f>
        <v>-0.11700000000000001</v>
      </c>
      <c r="AH10">
        <f>_xll.EQNXTDZ($A$1,$B10,AH$1,$B$1)</f>
        <v>-1E-3</v>
      </c>
      <c r="AI10">
        <f>_xll.EQNXTDZ($A$1,$B10,AI$1,$B$1)</f>
        <v>7.3999999999999996E-2</v>
      </c>
      <c r="AJ10">
        <f>_xll.EQNXTDZ($A$1,$B10,AJ$1,$B$1)</f>
        <v>-1.573</v>
      </c>
      <c r="AK10">
        <f>_xll.EQNXTDZ($A$1,$B10,AK$1,$B$1)</f>
        <v>-0.53700000000000003</v>
      </c>
      <c r="AL10">
        <f>_xll.EQNXTDZ($A$1,$B10,AL$1,$B$1)</f>
        <v>0.52100000000000002</v>
      </c>
      <c r="AM10">
        <f>_xll.EQNXTDZ($A$1,$B10,AM$1,$B$1)</f>
        <v>1.8480000000000001</v>
      </c>
      <c r="AN10">
        <f>_xll.EQNXTDZ($A$1,$B10,AN$1,$B$1)</f>
        <v>0.56299999999999994</v>
      </c>
      <c r="AO10">
        <f>_xll.EQNXTDZ($A$1,$B10,AO$1,$B$1)</f>
        <v>-2.875</v>
      </c>
      <c r="AP10">
        <f>_xll.EQNXTDZ($A$1,$B10,AP$1,$B$1)</f>
        <v>2.5129999999999999</v>
      </c>
      <c r="AQ10">
        <f>_xll.EQNXTDZ($A$1,$B10,AQ$1,$B$1)</f>
        <v>-0.67200000000000004</v>
      </c>
      <c r="AR10">
        <f>_xll.EQNXTDZ($A$1,$B10,AR$1,$B$1)</f>
        <v>-0.65</v>
      </c>
      <c r="AS10">
        <f>_xll.EQNXTDZ($A$1,$B10,AS$1,$B$1)</f>
        <v>-3.7650000000000001</v>
      </c>
      <c r="AT10">
        <f>_xll.EQNXTDZ($A$1,$B10,AT$1,$B$1)</f>
        <v>0.56999999999999995</v>
      </c>
      <c r="AU10">
        <f>_xll.EQNXTDZ($A$1,$B10,AU$1,$B$1)</f>
        <v>1.095</v>
      </c>
      <c r="AV10">
        <f>_xll.EQNXTDZ($A$1,$B10,AV$1,$B$1)</f>
        <v>-4.2999999999999997E-2</v>
      </c>
      <c r="AW10">
        <f>_xll.EQNXTDZ($A$1,$B10,AW$1,$B$1)</f>
        <v>0.51100000000000001</v>
      </c>
      <c r="AX10">
        <f>_xll.EQNXTDZ($A$1,$B10,AX$1,$B$1)</f>
        <v>0.26400000000000001</v>
      </c>
      <c r="AY10">
        <f>_xll.EQNXTDZ($A$1,$B10,AY$1,$B$1)</f>
        <v>-1.6659999999999999</v>
      </c>
      <c r="AZ10">
        <f>_xll.EQNXTDZ($A$1,$B10,AZ$1,$B$1)</f>
        <v>1.669</v>
      </c>
      <c r="BA10">
        <f>_xll.EQNXTDZ($A$1,$B10,BA$1,$B$1)</f>
        <v>-1.734</v>
      </c>
      <c r="BB10">
        <f>_xll.EQNXTDZ($A$1,$B10,BB$1,$B$1)</f>
        <v>18.459</v>
      </c>
      <c r="BC10">
        <f>_xll.EQNXTDZ($A$1,$B10,BC$1,$B$1)</f>
        <v>0.17699999999999999</v>
      </c>
      <c r="BD10">
        <f>_xll.EQNXTDZ($A$1,$B10,BD$1,$B$1)</f>
        <v>-0.67800000000000005</v>
      </c>
      <c r="BE10">
        <f>_xll.EQNXTDZ($A$1,$B10,BE$1,$B$1)</f>
        <v>0.89</v>
      </c>
      <c r="BF10">
        <f>_xll.EQNXTDZ($A$1,$B10,BF$1,$B$1)</f>
        <v>-0.65900000000000003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35.854999999999997</v>
      </c>
      <c r="D11">
        <f>_xll.EQNXTDZ($A$1,$B11,D$1,$B$1)</f>
        <v>47.087000000000003</v>
      </c>
      <c r="E11">
        <f>_xll.EQNXTDZ($A$1,$B11,E$1,$B$1)</f>
        <v>78.064999999999998</v>
      </c>
      <c r="F11">
        <f>_xll.EQNXTDZ($A$1,$B11,F$1,$B$1)</f>
        <v>78.283000000000001</v>
      </c>
      <c r="G11">
        <f>_xll.EQNXTDZ($A$1,$B11,G$1,$B$1)</f>
        <v>44.369</v>
      </c>
      <c r="H11">
        <f>_xll.EQNXTDZ($A$1,$B11,H$1,$B$1)</f>
        <v>35.774999999999999</v>
      </c>
      <c r="I11">
        <f>_xll.EQNXTDZ($A$1,$B11,I$1,$B$1)</f>
        <v>36.872999999999998</v>
      </c>
      <c r="J11">
        <f>_xll.EQNXTDZ($A$1,$B11,J$1,$B$1)</f>
        <v>33.207000000000001</v>
      </c>
      <c r="K11">
        <f>_xll.EQNXTDZ($A$1,$B11,K$1,$B$1)</f>
        <v>14.32</v>
      </c>
      <c r="L11">
        <f>_xll.EQNXTDZ($A$1,$B11,L$1,$B$1)</f>
        <v>18.866</v>
      </c>
      <c r="M11">
        <f>_xll.EQNXTDZ($A$1,$B11,M$1,$B$1)</f>
        <v>9.1989999999999998</v>
      </c>
      <c r="N11">
        <f>_xll.EQNXTDZ($A$1,$B11,N$1,$B$1)</f>
        <v>15.305</v>
      </c>
      <c r="O11">
        <f>_xll.EQNXTDZ($A$1,$B11,O$1,$B$1)</f>
        <v>10.791</v>
      </c>
      <c r="P11">
        <f>_xll.EQNXTDZ($A$1,$B11,P$1,$B$1)</f>
        <v>7.9569999999999999</v>
      </c>
      <c r="Q11">
        <f>_xll.EQNXTDZ($A$1,$B11,Q$1,$B$1)</f>
        <v>12.632999999999999</v>
      </c>
      <c r="R11">
        <f>_xll.EQNXTDZ($A$1,$B11,R$1,$B$1)</f>
        <v>36.28</v>
      </c>
      <c r="S11">
        <f>_xll.EQNXTDZ($A$1,$B11,S$1,$B$1)</f>
        <v>13.598000000000001</v>
      </c>
      <c r="T11">
        <f>_xll.EQNXTDZ($A$1,$B11,T$1,$B$1)</f>
        <v>17.672999999999998</v>
      </c>
      <c r="U11">
        <f>_xll.EQNXTDZ($A$1,$B11,U$1,$B$1)</f>
        <v>19.434000000000001</v>
      </c>
      <c r="V11">
        <f>_xll.EQNXTDZ($A$1,$B11,V$1,$B$1)</f>
        <v>19.263000000000002</v>
      </c>
      <c r="W11">
        <f>_xll.EQNXTDZ($A$1,$B11,W$1,$B$1)</f>
        <v>31.521999999999998</v>
      </c>
      <c r="X11">
        <f>_xll.EQNXTDZ($A$1,$B11,X$1,$B$1)</f>
        <v>32.036000000000001</v>
      </c>
      <c r="Y11">
        <f>_xll.EQNXTDZ($A$1,$B11,Y$1,$B$1)</f>
        <v>87.209000000000003</v>
      </c>
      <c r="Z11">
        <f>_xll.EQNXTDZ($A$1,$B11,Z$1,$B$1)</f>
        <v>50.287999999999997</v>
      </c>
      <c r="AA11">
        <f>_xll.EQNXTDZ($A$1,$B11,AA$1,$B$1)</f>
        <v>30.899000000000001</v>
      </c>
      <c r="AB11">
        <f>_xll.EQNXTDZ($A$1,$B11,AB$1,$B$1)</f>
        <v>45.905999999999999</v>
      </c>
      <c r="AC11">
        <f>_xll.EQNXTDZ($A$1,$B11,AC$1,$B$1)</f>
        <v>175.512</v>
      </c>
      <c r="AD11">
        <f>_xll.EQNXTDZ($A$1,$B11,AD$1,$B$1)</f>
        <v>77.876000000000005</v>
      </c>
      <c r="AE11">
        <f>_xll.EQNXTDZ($A$1,$B11,AE$1,$B$1)</f>
        <v>61.552999999999997</v>
      </c>
      <c r="AF11">
        <f>_xll.EQNXTDZ($A$1,$B11,AF$1,$B$1)</f>
        <v>41.658999999999999</v>
      </c>
      <c r="AG11">
        <f>_xll.EQNXTDZ($A$1,$B11,AG$1,$B$1)</f>
        <v>71.88</v>
      </c>
      <c r="AH11">
        <f>_xll.EQNXTDZ($A$1,$B11,AH$1,$B$1)</f>
        <v>33.658999999999999</v>
      </c>
      <c r="AI11">
        <f>_xll.EQNXTDZ($A$1,$B11,AI$1,$B$1)</f>
        <v>4.407</v>
      </c>
      <c r="AJ11">
        <f>_xll.EQNXTDZ($A$1,$B11,AJ$1,$B$1)</f>
        <v>8.2370000000000001</v>
      </c>
      <c r="AK11">
        <f>_xll.EQNXTDZ($A$1,$B11,AK$1,$B$1)</f>
        <v>72.918999999999997</v>
      </c>
      <c r="AL11">
        <f>_xll.EQNXTDZ($A$1,$B11,AL$1,$B$1)</f>
        <v>46.1</v>
      </c>
      <c r="AM11">
        <f>_xll.EQNXTDZ($A$1,$B11,AM$1,$B$1)</f>
        <v>70.930999999999997</v>
      </c>
      <c r="AN11">
        <f>_xll.EQNXTDZ($A$1,$B11,AN$1,$B$1)</f>
        <v>62.183</v>
      </c>
      <c r="AO11">
        <f>_xll.EQNXTDZ($A$1,$B11,AO$1,$B$1)</f>
        <v>95.974999999999994</v>
      </c>
      <c r="AP11">
        <f>_xll.EQNXTDZ($A$1,$B11,AP$1,$B$1)</f>
        <v>36.274999999999999</v>
      </c>
      <c r="AQ11">
        <f>_xll.EQNXTDZ($A$1,$B11,AQ$1,$B$1)</f>
        <v>17.989999999999998</v>
      </c>
      <c r="AR11">
        <f>_xll.EQNXTDZ($A$1,$B11,AR$1,$B$1)</f>
        <v>0</v>
      </c>
      <c r="AS11">
        <f>_xll.EQNXTDZ($A$1,$B11,AS$1,$B$1)</f>
        <v>154.12799999999999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81.396000000000001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154.96899999999999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15.590999999999999</v>
      </c>
      <c r="D12">
        <f>_xll.EQNXTDZ($A$1,$B12,D$1,$B$1)</f>
        <v>32.845999999999997</v>
      </c>
      <c r="E12">
        <f>_xll.EQNXTDZ($A$1,$B12,E$1,$B$1)</f>
        <v>68.75</v>
      </c>
      <c r="F12">
        <f>_xll.EQNXTDZ($A$1,$B12,F$1,$B$1)</f>
        <v>24.29</v>
      </c>
      <c r="G12">
        <f>_xll.EQNXTDZ($A$1,$B12,G$1,$B$1)</f>
        <v>32.826000000000001</v>
      </c>
      <c r="H12">
        <f>_xll.EQNXTDZ($A$1,$B12,H$1,$B$1)</f>
        <v>55.692</v>
      </c>
      <c r="I12">
        <f>_xll.EQNXTDZ($A$1,$B12,I$1,$B$1)</f>
        <v>50.49</v>
      </c>
      <c r="J12">
        <f>_xll.EQNXTDZ($A$1,$B12,J$1,$B$1)</f>
        <v>26.933</v>
      </c>
      <c r="K12">
        <f>_xll.EQNXTDZ($A$1,$B12,K$1,$B$1)</f>
        <v>20.773</v>
      </c>
      <c r="L12">
        <f>_xll.EQNXTDZ($A$1,$B12,L$1,$B$1)</f>
        <v>17.806999999999999</v>
      </c>
      <c r="M12">
        <f>_xll.EQNXTDZ($A$1,$B12,M$1,$B$1)</f>
        <v>29.748000000000001</v>
      </c>
      <c r="N12">
        <f>_xll.EQNXTDZ($A$1,$B12,N$1,$B$1)</f>
        <v>20.606000000000002</v>
      </c>
      <c r="O12">
        <f>_xll.EQNXTDZ($A$1,$B12,O$1,$B$1)</f>
        <v>19.899000000000001</v>
      </c>
      <c r="P12">
        <f>_xll.EQNXTDZ($A$1,$B12,P$1,$B$1)</f>
        <v>12.093</v>
      </c>
      <c r="Q12">
        <f>_xll.EQNXTDZ($A$1,$B12,Q$1,$B$1)</f>
        <v>4.9329999999999998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0.79400000000000004</v>
      </c>
      <c r="S13">
        <f>_xll.EQNXTDZ($A$1,$B13,S$1,$B$1)</f>
        <v>1</v>
      </c>
      <c r="T13">
        <f>_xll.EQNXTDZ($A$1,$B13,T$1,$B$1)</f>
        <v>1.3640000000000001</v>
      </c>
      <c r="U13">
        <f>_xll.EQNXTDZ($A$1,$B13,U$1,$B$1)</f>
        <v>1.26</v>
      </c>
      <c r="V13">
        <f>_xll.EQNXTDZ($A$1,$B13,V$1,$B$1)</f>
        <v>0.33700000000000002</v>
      </c>
      <c r="W13">
        <f>_xll.EQNXTDZ($A$1,$B13,W$1,$B$1)</f>
        <v>2.8889999999999998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24.914000000000001</v>
      </c>
      <c r="D14">
        <f>_xll.EQNXTDZ($A$1,$B14,D$1,$B$1)</f>
        <v>22.731000000000002</v>
      </c>
      <c r="E14">
        <f>_xll.EQNXTDZ($A$1,$B14,E$1,$B$1)</f>
        <v>33.6</v>
      </c>
      <c r="F14">
        <f>_xll.EQNXTDZ($A$1,$B14,F$1,$B$1)</f>
        <v>27.844000000000001</v>
      </c>
      <c r="G14">
        <f>_xll.EQNXTDZ($A$1,$B14,G$1,$B$1)</f>
        <v>29.033000000000001</v>
      </c>
      <c r="H14">
        <f>_xll.EQNXTDZ($A$1,$B14,H$1,$B$1)</f>
        <v>31.506</v>
      </c>
      <c r="I14">
        <f>_xll.EQNXTDZ($A$1,$B14,I$1,$B$1)</f>
        <v>15.744999999999999</v>
      </c>
      <c r="J14">
        <f>_xll.EQNXTDZ($A$1,$B14,J$1,$B$1)</f>
        <v>20.861999999999998</v>
      </c>
      <c r="K14">
        <f>_xll.EQNXTDZ($A$1,$B14,K$1,$B$1)</f>
        <v>8.8160000000000007</v>
      </c>
      <c r="L14">
        <f>_xll.EQNXTDZ($A$1,$B14,L$1,$B$1)</f>
        <v>8.8789999999999996</v>
      </c>
      <c r="M14">
        <f>_xll.EQNXTDZ($A$1,$B14,M$1,$B$1)</f>
        <v>8.4220000000000006</v>
      </c>
      <c r="N14">
        <f>_xll.EQNXTDZ($A$1,$B14,N$1,$B$1)</f>
        <v>11.5</v>
      </c>
      <c r="O14">
        <f>_xll.EQNXTDZ($A$1,$B14,O$1,$B$1)</f>
        <v>7.2729999999999997</v>
      </c>
      <c r="P14">
        <f>_xll.EQNXTDZ($A$1,$B14,P$1,$B$1)</f>
        <v>12.663</v>
      </c>
      <c r="Q14">
        <f>_xll.EQNXTDZ($A$1,$B14,Q$1,$B$1)</f>
        <v>12.186</v>
      </c>
      <c r="R14">
        <f>_xll.EQNXTDZ($A$1,$B14,R$1,$B$1)</f>
        <v>18.786999999999999</v>
      </c>
      <c r="S14">
        <f>_xll.EQNXTDZ($A$1,$B14,S$1,$B$1)</f>
        <v>10.648</v>
      </c>
      <c r="T14">
        <f>_xll.EQNXTDZ($A$1,$B14,T$1,$B$1)</f>
        <v>6.5010000000000003</v>
      </c>
      <c r="U14">
        <f>_xll.EQNXTDZ($A$1,$B14,U$1,$B$1)</f>
        <v>9.3710000000000004</v>
      </c>
      <c r="V14">
        <f>_xll.EQNXTDZ($A$1,$B14,V$1,$B$1)</f>
        <v>10.627000000000001</v>
      </c>
      <c r="W14">
        <f>_xll.EQNXTDZ($A$1,$B14,W$1,$B$1)</f>
        <v>6.9009999999999998</v>
      </c>
      <c r="X14">
        <f>_xll.EQNXTDZ($A$1,$B14,X$1,$B$1)</f>
        <v>12.724</v>
      </c>
      <c r="Y14">
        <f>_xll.EQNXTDZ($A$1,$B14,Y$1,$B$1)</f>
        <v>11.567</v>
      </c>
      <c r="Z14">
        <f>_xll.EQNXTDZ($A$1,$B14,Z$1,$B$1)</f>
        <v>15.859</v>
      </c>
      <c r="AA14">
        <f>_xll.EQNXTDZ($A$1,$B14,AA$1,$B$1)</f>
        <v>14.412000000000001</v>
      </c>
      <c r="AB14">
        <f>_xll.EQNXTDZ($A$1,$B14,AB$1,$B$1)</f>
        <v>12.695</v>
      </c>
      <c r="AC14">
        <f>_xll.EQNXTDZ($A$1,$B14,AC$1,$B$1)</f>
        <v>23.405999999999999</v>
      </c>
      <c r="AD14">
        <f>_xll.EQNXTDZ($A$1,$B14,AD$1,$B$1)</f>
        <v>27.998999999999999</v>
      </c>
      <c r="AE14">
        <f>_xll.EQNXTDZ($A$1,$B14,AE$1,$B$1)</f>
        <v>26.527000000000001</v>
      </c>
      <c r="AF14">
        <f>_xll.EQNXTDZ($A$1,$B14,AF$1,$B$1)</f>
        <v>21.675000000000001</v>
      </c>
      <c r="AG14">
        <f>_xll.EQNXTDZ($A$1,$B14,AG$1,$B$1)</f>
        <v>21.282</v>
      </c>
      <c r="AH14">
        <f>_xll.EQNXTDZ($A$1,$B14,AH$1,$B$1)</f>
        <v>12.644</v>
      </c>
      <c r="AI14">
        <f>_xll.EQNXTDZ($A$1,$B14,AI$1,$B$1)</f>
        <v>7.601</v>
      </c>
      <c r="AJ14">
        <f>_xll.EQNXTDZ($A$1,$B14,AJ$1,$B$1)</f>
        <v>8.6259999999999994</v>
      </c>
      <c r="AK14">
        <f>_xll.EQNXTDZ($A$1,$B14,AK$1,$B$1)</f>
        <v>19.867000000000001</v>
      </c>
      <c r="AL14">
        <f>_xll.EQNXTDZ($A$1,$B14,AL$1,$B$1)</f>
        <v>11.505000000000001</v>
      </c>
      <c r="AM14">
        <f>_xll.EQNXTDZ($A$1,$B14,AM$1,$B$1)</f>
        <v>13.565</v>
      </c>
      <c r="AN14">
        <f>_xll.EQNXTDZ($A$1,$B14,AN$1,$B$1)</f>
        <v>11.686</v>
      </c>
      <c r="AO14">
        <f>_xll.EQNXTDZ($A$1,$B14,AO$1,$B$1)</f>
        <v>18.937000000000001</v>
      </c>
      <c r="AP14">
        <f>_xll.EQNXTDZ($A$1,$B14,AP$1,$B$1)</f>
        <v>11.936</v>
      </c>
      <c r="AQ14">
        <f>_xll.EQNXTDZ($A$1,$B14,AQ$1,$B$1)</f>
        <v>13.555999999999999</v>
      </c>
      <c r="AR14">
        <f>_xll.EQNXTDZ($A$1,$B14,AR$1,$B$1)</f>
        <v>33.719000000000001</v>
      </c>
      <c r="AS14">
        <f>_xll.EQNXTDZ($A$1,$B14,AS$1,$B$1)</f>
        <v>38.637999999999998</v>
      </c>
      <c r="AT14">
        <f>_xll.EQNXTDZ($A$1,$B14,AT$1,$B$1)</f>
        <v>167.01599999999999</v>
      </c>
      <c r="AU14">
        <f>_xll.EQNXTDZ($A$1,$B14,AU$1,$B$1)</f>
        <v>195.809</v>
      </c>
      <c r="AV14">
        <f>_xll.EQNXTDZ($A$1,$B14,AV$1,$B$1)</f>
        <v>168.423</v>
      </c>
      <c r="AW14">
        <f>_xll.EQNXTDZ($A$1,$B14,AW$1,$B$1)</f>
        <v>224.28</v>
      </c>
      <c r="AX14">
        <f>_xll.EQNXTDZ($A$1,$B14,AX$1,$B$1)</f>
        <v>124.381</v>
      </c>
      <c r="AY14">
        <f>_xll.EQNXTDZ($A$1,$B14,AY$1,$B$1)</f>
        <v>78.183000000000007</v>
      </c>
      <c r="AZ14">
        <f>_xll.EQNXTDZ($A$1,$B14,AZ$1,$B$1)</f>
        <v>66.257999999999996</v>
      </c>
      <c r="BA14">
        <f>_xll.EQNXTDZ($A$1,$B14,BA$1,$B$1)</f>
        <v>63.085000000000001</v>
      </c>
      <c r="BB14">
        <f>_xll.EQNXTDZ($A$1,$B14,BB$1,$B$1)</f>
        <v>61.695999999999998</v>
      </c>
      <c r="BC14">
        <f>_xll.EQNXTDZ($A$1,$B14,BC$1,$B$1)</f>
        <v>61.502000000000002</v>
      </c>
      <c r="BD14">
        <f>_xll.EQNXTDZ($A$1,$B14,BD$1,$B$1)</f>
        <v>74.052000000000007</v>
      </c>
      <c r="BE14">
        <f>_xll.EQNXTDZ($A$1,$B14,BE$1,$B$1)</f>
        <v>77.436999999999998</v>
      </c>
      <c r="BF14">
        <f>_xll.EQNXTDZ($A$1,$B14,BF$1,$B$1)</f>
        <v>113.71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9.9250000000000007</v>
      </c>
      <c r="D16">
        <f>_xll.EQNXTDZ($A$1,$B16,D$1,$B$1)</f>
        <v>12.134</v>
      </c>
      <c r="E16">
        <f>_xll.EQNXTDZ($A$1,$B16,E$1,$B$1)</f>
        <v>12.361000000000001</v>
      </c>
      <c r="F16">
        <f>_xll.EQNXTDZ($A$1,$B16,F$1,$B$1)</f>
        <v>8.9830000000000005</v>
      </c>
      <c r="G16">
        <f>_xll.EQNXTDZ($A$1,$B16,G$1,$B$1)</f>
        <v>11.882999999999999</v>
      </c>
      <c r="H16">
        <f>_xll.EQNXTDZ($A$1,$B16,H$1,$B$1)</f>
        <v>11.589</v>
      </c>
      <c r="I16">
        <f>_xll.EQNXTDZ($A$1,$B16,I$1,$B$1)</f>
        <v>10.835000000000001</v>
      </c>
      <c r="J16">
        <f>_xll.EQNXTDZ($A$1,$B16,J$1,$B$1)</f>
        <v>8.5410000000000004</v>
      </c>
      <c r="K16">
        <f>_xll.EQNXTDZ($A$1,$B16,K$1,$B$1)</f>
        <v>11.792999999999999</v>
      </c>
      <c r="L16">
        <f>_xll.EQNXTDZ($A$1,$B16,L$1,$B$1)</f>
        <v>11.705</v>
      </c>
      <c r="M16">
        <f>_xll.EQNXTDZ($A$1,$B16,M$1,$B$1)</f>
        <v>10.898999999999999</v>
      </c>
      <c r="N16">
        <f>_xll.EQNXTDZ($A$1,$B16,N$1,$B$1)</f>
        <v>9.7080000000000002</v>
      </c>
      <c r="O16">
        <f>_xll.EQNXTDZ($A$1,$B16,O$1,$B$1)</f>
        <v>12.282</v>
      </c>
      <c r="P16">
        <f>_xll.EQNXTDZ($A$1,$B16,P$1,$B$1)</f>
        <v>11.928000000000001</v>
      </c>
      <c r="Q16">
        <f>_xll.EQNXTDZ($A$1,$B16,Q$1,$B$1)</f>
        <v>11.273999999999999</v>
      </c>
      <c r="R16">
        <f>_xll.EQNXTDZ($A$1,$B16,R$1,$B$1)</f>
        <v>8.6850000000000005</v>
      </c>
      <c r="S16">
        <f>_xll.EQNXTDZ($A$1,$B16,S$1,$B$1)</f>
        <v>11.632</v>
      </c>
      <c r="T16">
        <f>_xll.EQNXTDZ($A$1,$B16,T$1,$B$1)</f>
        <v>11.433999999999999</v>
      </c>
      <c r="U16">
        <f>_xll.EQNXTDZ($A$1,$B16,U$1,$B$1)</f>
        <v>13.599</v>
      </c>
      <c r="V16">
        <f>_xll.EQNXTDZ($A$1,$B16,V$1,$B$1)</f>
        <v>10.882999999999999</v>
      </c>
      <c r="W16">
        <f>_xll.EQNXTDZ($A$1,$B16,W$1,$B$1)</f>
        <v>12.945</v>
      </c>
      <c r="X16">
        <f>_xll.EQNXTDZ($A$1,$B16,X$1,$B$1)</f>
        <v>12.843999999999999</v>
      </c>
      <c r="Y16">
        <f>_xll.EQNXTDZ($A$1,$B16,Y$1,$B$1)</f>
        <v>12.625</v>
      </c>
      <c r="Z16">
        <f>_xll.EQNXTDZ($A$1,$B16,Z$1,$B$1)</f>
        <v>13.195</v>
      </c>
      <c r="AA16">
        <f>_xll.EQNXTDZ($A$1,$B16,AA$1,$B$1)</f>
        <v>14.135999999999999</v>
      </c>
      <c r="AB16">
        <f>_xll.EQNXTDZ($A$1,$B16,AB$1,$B$1)</f>
        <v>13.49</v>
      </c>
      <c r="AC16">
        <f>_xll.EQNXTDZ($A$1,$B16,AC$1,$B$1)</f>
        <v>13.07</v>
      </c>
      <c r="AD16">
        <f>_xll.EQNXTDZ($A$1,$B16,AD$1,$B$1)</f>
        <v>13.807</v>
      </c>
      <c r="AE16">
        <f>_xll.EQNXTDZ($A$1,$B16,AE$1,$B$1)</f>
        <v>14.98</v>
      </c>
      <c r="AF16">
        <f>_xll.EQNXTDZ($A$1,$B16,AF$1,$B$1)</f>
        <v>14.952</v>
      </c>
      <c r="AG16">
        <f>_xll.EQNXTDZ($A$1,$B16,AG$1,$B$1)</f>
        <v>15.002000000000001</v>
      </c>
      <c r="AH16">
        <f>_xll.EQNXTDZ($A$1,$B16,AH$1,$B$1)</f>
        <v>14.521000000000001</v>
      </c>
      <c r="AI16">
        <f>_xll.EQNXTDZ($A$1,$B16,AI$1,$B$1)</f>
        <v>12.84</v>
      </c>
      <c r="AJ16">
        <f>_xll.EQNXTDZ($A$1,$B16,AJ$1,$B$1)</f>
        <v>12.01</v>
      </c>
      <c r="AK16">
        <f>_xll.EQNXTDZ($A$1,$B16,AK$1,$B$1)</f>
        <v>11.385999999999999</v>
      </c>
      <c r="AL16">
        <f>_xll.EQNXTDZ($A$1,$B16,AL$1,$B$1)</f>
        <v>11.363</v>
      </c>
      <c r="AM16">
        <f>_xll.EQNXTDZ($A$1,$B16,AM$1,$B$1)</f>
        <v>11.747999999999999</v>
      </c>
      <c r="AN16">
        <f>_xll.EQNXTDZ($A$1,$B16,AN$1,$B$1)</f>
        <v>13.673999999999999</v>
      </c>
      <c r="AO16">
        <f>_xll.EQNXTDZ($A$1,$B16,AO$1,$B$1)</f>
        <v>12.06</v>
      </c>
      <c r="AP16">
        <f>_xll.EQNXTDZ($A$1,$B16,AP$1,$B$1)</f>
        <v>12.276999999999999</v>
      </c>
      <c r="AQ16">
        <f>_xll.EQNXTDZ($A$1,$B16,AQ$1,$B$1)</f>
        <v>13.702</v>
      </c>
      <c r="AR16">
        <f>_xll.EQNXTDZ($A$1,$B16,AR$1,$B$1)</f>
        <v>14.167999999999999</v>
      </c>
      <c r="AS16">
        <f>_xll.EQNXTDZ($A$1,$B16,AS$1,$B$1)</f>
        <v>14.305</v>
      </c>
      <c r="AT16">
        <f>_xll.EQNXTDZ($A$1,$B16,AT$1,$B$1)</f>
        <v>14.352</v>
      </c>
      <c r="AU16">
        <f>_xll.EQNXTDZ($A$1,$B16,AU$1,$B$1)</f>
        <v>17.073</v>
      </c>
      <c r="AV16">
        <f>_xll.EQNXTDZ($A$1,$B16,AV$1,$B$1)</f>
        <v>17.027000000000001</v>
      </c>
      <c r="AW16">
        <f>_xll.EQNXTDZ($A$1,$B16,AW$1,$B$1)</f>
        <v>16.390999999999998</v>
      </c>
      <c r="AX16">
        <f>_xll.EQNXTDZ($A$1,$B16,AX$1,$B$1)</f>
        <v>17.661000000000001</v>
      </c>
      <c r="AY16">
        <f>_xll.EQNXTDZ($A$1,$B16,AY$1,$B$1)</f>
        <v>16.190999999999999</v>
      </c>
      <c r="AZ16">
        <f>_xll.EQNXTDZ($A$1,$B16,AZ$1,$B$1)</f>
        <v>16.754000000000001</v>
      </c>
      <c r="BA16">
        <f>_xll.EQNXTDZ($A$1,$B16,BA$1,$B$1)</f>
        <v>11.468</v>
      </c>
      <c r="BB16">
        <f>_xll.EQNXTDZ($A$1,$B16,BB$1,$B$1)</f>
        <v>60.84</v>
      </c>
      <c r="BC16">
        <f>_xll.EQNXTDZ($A$1,$B16,BC$1,$B$1)</f>
        <v>18.507999999999999</v>
      </c>
      <c r="BD16">
        <f>_xll.EQNXTDZ($A$1,$B16,BD$1,$B$1)</f>
        <v>12.292</v>
      </c>
      <c r="BE16">
        <f>_xll.EQNXTDZ($A$1,$B16,BE$1,$B$1)</f>
        <v>13.632999999999999</v>
      </c>
      <c r="BF16">
        <f>_xll.EQNXTDZ($A$1,$B16,BF$1,$B$1)</f>
        <v>71.584999999999994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2.8180000000000001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12.888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6.8420000000000103</v>
      </c>
      <c r="D22">
        <f>_xll.EQNXTDZ($A$1,$B22,D$1,$B$1)</f>
        <v>-5.5130000000000097</v>
      </c>
      <c r="E22">
        <f>_xll.EQNXTDZ($A$1,$B22,E$1,$B$1)</f>
        <v>2.48599999999999</v>
      </c>
      <c r="F22">
        <f>_xll.EQNXTDZ($A$1,$B22,F$1,$B$1)</f>
        <v>-5.6059999999999901</v>
      </c>
      <c r="G22">
        <f>_xll.EQNXTDZ($A$1,$B22,G$1,$B$1)</f>
        <v>-18.026</v>
      </c>
      <c r="H22">
        <f>_xll.EQNXTDZ($A$1,$B22,H$1,$B$1)</f>
        <v>-12.5</v>
      </c>
      <c r="I22">
        <f>_xll.EQNXTDZ($A$1,$B22,I$1,$B$1)</f>
        <v>12.23</v>
      </c>
      <c r="J22">
        <f>_xll.EQNXTDZ($A$1,$B22,J$1,$B$1)</f>
        <v>-8.1839999999999993</v>
      </c>
      <c r="K22">
        <f>_xll.EQNXTDZ($A$1,$B22,K$1,$B$1)</f>
        <v>-4.24</v>
      </c>
      <c r="L22">
        <f>_xll.EQNXTDZ($A$1,$B22,L$1,$B$1)</f>
        <v>-4.2570000000000103</v>
      </c>
      <c r="M22">
        <f>_xll.EQNXTDZ($A$1,$B22,M$1,$B$1)</f>
        <v>-3.06</v>
      </c>
      <c r="N22">
        <f>_xll.EQNXTDZ($A$1,$B22,N$1,$B$1)</f>
        <v>3.1230000000000002</v>
      </c>
      <c r="O22">
        <f>_xll.EQNXTDZ($A$1,$B22,O$1,$B$1)</f>
        <v>1.0529999999999999</v>
      </c>
      <c r="P22">
        <f>_xll.EQNXTDZ($A$1,$B22,P$1,$B$1)</f>
        <v>-2.0579999999999998</v>
      </c>
      <c r="Q22">
        <f>_xll.EQNXTDZ($A$1,$B22,Q$1,$B$1)</f>
        <v>6.2389999999999999</v>
      </c>
      <c r="R22">
        <f>_xll.EQNXTDZ($A$1,$B22,R$1,$B$1)</f>
        <v>-0.92700000000001004</v>
      </c>
      <c r="S22">
        <f>_xll.EQNXTDZ($A$1,$B22,S$1,$B$1)</f>
        <v>-9.7579999999999991</v>
      </c>
      <c r="T22">
        <f>_xll.EQNXTDZ($A$1,$B22,T$1,$B$1)</f>
        <v>4.9000000000000897E-2</v>
      </c>
      <c r="U22">
        <f>_xll.EQNXTDZ($A$1,$B22,U$1,$B$1)</f>
        <v>8.6609999999999996</v>
      </c>
      <c r="V22">
        <f>_xll.EQNXTDZ($A$1,$B22,V$1,$B$1)</f>
        <v>0.99399999999999999</v>
      </c>
      <c r="W22">
        <f>_xll.EQNXTDZ($A$1,$B22,W$1,$B$1)</f>
        <v>-0.94599999999999196</v>
      </c>
      <c r="X22">
        <f>_xll.EQNXTDZ($A$1,$B22,X$1,$B$1)</f>
        <v>2.887</v>
      </c>
      <c r="Y22">
        <f>_xll.EQNXTDZ($A$1,$B22,Y$1,$B$1)</f>
        <v>5.5609999999999902</v>
      </c>
      <c r="Z22">
        <f>_xll.EQNXTDZ($A$1,$B22,Z$1,$B$1)</f>
        <v>-3.69</v>
      </c>
      <c r="AA22">
        <f>_xll.EQNXTDZ($A$1,$B22,AA$1,$B$1)</f>
        <v>-3.6339999999999901</v>
      </c>
      <c r="AB22">
        <f>_xll.EQNXTDZ($A$1,$B22,AB$1,$B$1)</f>
        <v>7.4509999999999996</v>
      </c>
      <c r="AC22">
        <f>_xll.EQNXTDZ($A$1,$B22,AC$1,$B$1)</f>
        <v>23.936</v>
      </c>
      <c r="AD22">
        <f>_xll.EQNXTDZ($A$1,$B22,AD$1,$B$1)</f>
        <v>3.8440000000000101</v>
      </c>
      <c r="AE22">
        <f>_xll.EQNXTDZ($A$1,$B22,AE$1,$B$1)</f>
        <v>4.6820000000000199</v>
      </c>
      <c r="AF22">
        <f>_xll.EQNXTDZ($A$1,$B22,AF$1,$B$1)</f>
        <v>10.683</v>
      </c>
      <c r="AG22">
        <f>_xll.EQNXTDZ($A$1,$B22,AG$1,$B$1)</f>
        <v>5.5460000000000003</v>
      </c>
      <c r="AH22">
        <f>_xll.EQNXTDZ($A$1,$B22,AH$1,$B$1)</f>
        <v>1.21999999999999</v>
      </c>
      <c r="AI22">
        <f>_xll.EQNXTDZ($A$1,$B22,AI$1,$B$1)</f>
        <v>-11.147</v>
      </c>
      <c r="AJ22">
        <f>_xll.EQNXTDZ($A$1,$B22,AJ$1,$B$1)</f>
        <v>-9.8689999999999998</v>
      </c>
      <c r="AK22">
        <f>_xll.EQNXTDZ($A$1,$B22,AK$1,$B$1)</f>
        <v>1.3940000000000099</v>
      </c>
      <c r="AL22">
        <f>_xll.EQNXTDZ($A$1,$B22,AL$1,$B$1)</f>
        <v>-7.665</v>
      </c>
      <c r="AM22">
        <f>_xll.EQNXTDZ($A$1,$B22,AM$1,$B$1)</f>
        <v>-0.79099999999999704</v>
      </c>
      <c r="AN22">
        <f>_xll.EQNXTDZ($A$1,$B22,AN$1,$B$1)</f>
        <v>4.0079999999999902</v>
      </c>
      <c r="AO22">
        <f>_xll.EQNXTDZ($A$1,$B22,AO$1,$B$1)</f>
        <v>6.01400000000001</v>
      </c>
      <c r="AP22">
        <f>_xll.EQNXTDZ($A$1,$B22,AP$1,$B$1)</f>
        <v>0.257000000000005</v>
      </c>
      <c r="AQ22">
        <f>_xll.EQNXTDZ($A$1,$B22,AQ$1,$B$1)</f>
        <v>-7.1280000000000001</v>
      </c>
      <c r="AR22">
        <f>_xll.EQNXTDZ($A$1,$B22,AR$1,$B$1)</f>
        <v>-4.5419999999999998</v>
      </c>
      <c r="AS22">
        <f>_xll.EQNXTDZ($A$1,$B22,AS$1,$B$1)</f>
        <v>7.6590000000000398</v>
      </c>
      <c r="AT22">
        <f>_xll.EQNXTDZ($A$1,$B22,AT$1,$B$1)</f>
        <v>10.656000000000001</v>
      </c>
      <c r="AU22">
        <f>_xll.EQNXTDZ($A$1,$B22,AU$1,$B$1)</f>
        <v>7.1829999999999901</v>
      </c>
      <c r="AV22">
        <f>_xll.EQNXTDZ($A$1,$B22,AV$1,$B$1)</f>
        <v>6.1570000000000196</v>
      </c>
      <c r="AW22">
        <f>_xll.EQNXTDZ($A$1,$B22,AW$1,$B$1)</f>
        <v>12.721</v>
      </c>
      <c r="AX22">
        <f>_xll.EQNXTDZ($A$1,$B22,AX$1,$B$1)</f>
        <v>4.7580000000000204</v>
      </c>
      <c r="AY22">
        <f>_xll.EQNXTDZ($A$1,$B22,AY$1,$B$1)</f>
        <v>0.57899999999999596</v>
      </c>
      <c r="AZ22">
        <f>_xll.EQNXTDZ($A$1,$B22,AZ$1,$B$1)</f>
        <v>-8.6440000000000108</v>
      </c>
      <c r="BA22">
        <f>_xll.EQNXTDZ($A$1,$B22,BA$1,$B$1)</f>
        <v>-0.48000000000000698</v>
      </c>
      <c r="BB22">
        <f>_xll.EQNXTDZ($A$1,$B22,BB$1,$B$1)</f>
        <v>-1.4910000000000301</v>
      </c>
      <c r="BC22">
        <f>_xll.EQNXTDZ($A$1,$B22,BC$1,$B$1)</f>
        <v>1.9309999999999901</v>
      </c>
      <c r="BD22">
        <f>_xll.EQNXTDZ($A$1,$B22,BD$1,$B$1)</f>
        <v>11.318</v>
      </c>
      <c r="BE22">
        <f>_xll.EQNXTDZ($A$1,$B22,BE$1,$B$1)</f>
        <v>10.109</v>
      </c>
      <c r="BF22">
        <f>_xll.EQNXTDZ($A$1,$B22,BF$1,$B$1)</f>
        <v>4.9120000000000301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1.4019999999999999</v>
      </c>
      <c r="D23">
        <f>_xll.EQNXTDZ($A$1,$B23,D$1,$B$1)</f>
        <v>2.1110000000000002</v>
      </c>
      <c r="E23">
        <f>_xll.EQNXTDZ($A$1,$B23,E$1,$B$1)</f>
        <v>1.6359999999999999</v>
      </c>
      <c r="F23">
        <f>_xll.EQNXTDZ($A$1,$B23,F$1,$B$1)</f>
        <v>2.4689999999999999</v>
      </c>
      <c r="G23">
        <f>_xll.EQNXTDZ($A$1,$B23,G$1,$B$1)</f>
        <v>1.1639999999999999</v>
      </c>
      <c r="H23">
        <f>_xll.EQNXTDZ($A$1,$B23,H$1,$B$1)</f>
        <v>2.1589999999999998</v>
      </c>
      <c r="I23">
        <f>_xll.EQNXTDZ($A$1,$B23,I$1,$B$1)</f>
        <v>4.6059999999999999</v>
      </c>
      <c r="J23">
        <f>_xll.EQNXTDZ($A$1,$B23,J$1,$B$1)</f>
        <v>7.6020000000000003</v>
      </c>
      <c r="K23">
        <f>_xll.EQNXTDZ($A$1,$B23,K$1,$B$1)</f>
        <v>5.8579999999999997</v>
      </c>
      <c r="L23">
        <f>_xll.EQNXTDZ($A$1,$B23,L$1,$B$1)</f>
        <v>6.6459999999999999</v>
      </c>
      <c r="M23">
        <f>_xll.EQNXTDZ($A$1,$B23,M$1,$B$1)</f>
        <v>6.0090000000000003</v>
      </c>
      <c r="N23">
        <f>_xll.EQNXTDZ($A$1,$B23,N$1,$B$1)</f>
        <v>3.0830000000000002</v>
      </c>
      <c r="O23">
        <f>_xll.EQNXTDZ($A$1,$B23,O$1,$B$1)</f>
        <v>2.484</v>
      </c>
      <c r="P23">
        <f>_xll.EQNXTDZ($A$1,$B23,P$1,$B$1)</f>
        <v>1.256</v>
      </c>
      <c r="Q23">
        <f>_xll.EQNXTDZ($A$1,$B23,Q$1,$B$1)</f>
        <v>1.3149999999999999</v>
      </c>
      <c r="R23">
        <f>_xll.EQNXTDZ($A$1,$B23,R$1,$B$1)</f>
        <v>4.0570000000000004</v>
      </c>
      <c r="S23">
        <f>_xll.EQNXTDZ($A$1,$B23,S$1,$B$1)</f>
        <v>2.1549999999999998</v>
      </c>
      <c r="T23">
        <f>_xll.EQNXTDZ($A$1,$B23,T$1,$B$1)</f>
        <v>2.5179999999999998</v>
      </c>
      <c r="U23">
        <f>_xll.EQNXTDZ($A$1,$B23,U$1,$B$1)</f>
        <v>2.988</v>
      </c>
      <c r="V23">
        <f>_xll.EQNXTDZ($A$1,$B23,V$1,$B$1)</f>
        <v>6.4749999999999996</v>
      </c>
      <c r="W23">
        <f>_xll.EQNXTDZ($A$1,$B23,W$1,$B$1)</f>
        <v>4.0090000000000003</v>
      </c>
      <c r="X23">
        <f>_xll.EQNXTDZ($A$1,$B23,X$1,$B$1)</f>
        <v>5.992</v>
      </c>
      <c r="Y23">
        <f>_xll.EQNXTDZ($A$1,$B23,Y$1,$B$1)</f>
        <v>1.218</v>
      </c>
      <c r="Z23">
        <f>_xll.EQNXTDZ($A$1,$B23,Z$1,$B$1)</f>
        <v>5.0540000000000003</v>
      </c>
      <c r="AA23">
        <f>_xll.EQNXTDZ($A$1,$B23,AA$1,$B$1)</f>
        <v>10.538</v>
      </c>
      <c r="AB23">
        <f>_xll.EQNXTDZ($A$1,$B23,AB$1,$B$1)</f>
        <v>8.9640000000000004</v>
      </c>
      <c r="AC23">
        <f>_xll.EQNXTDZ($A$1,$B23,AC$1,$B$1)</f>
        <v>1.696</v>
      </c>
      <c r="AD23">
        <f>_xll.EQNXTDZ($A$1,$B23,AD$1,$B$1)</f>
        <v>0.112</v>
      </c>
      <c r="AE23">
        <f>_xll.EQNXTDZ($A$1,$B23,AE$1,$B$1)</f>
        <v>2.6179999999999999</v>
      </c>
      <c r="AF23">
        <f>_xll.EQNXTDZ($A$1,$B23,AF$1,$B$1)</f>
        <v>4.6879999999999997</v>
      </c>
      <c r="AG23">
        <f>_xll.EQNXTDZ($A$1,$B23,AG$1,$B$1)</f>
        <v>2.7639999999999998</v>
      </c>
      <c r="AH23">
        <f>_xll.EQNXTDZ($A$1,$B23,AH$1,$B$1)</f>
        <v>5.4669999999999996</v>
      </c>
      <c r="AI23">
        <f>_xll.EQNXTDZ($A$1,$B23,AI$1,$B$1)</f>
        <v>1.7769999999999999</v>
      </c>
      <c r="AJ23">
        <f>_xll.EQNXTDZ($A$1,$B23,AJ$1,$B$1)</f>
        <v>0.28799999999999998</v>
      </c>
      <c r="AK23">
        <f>_xll.EQNXTDZ($A$1,$B23,AK$1,$B$1)</f>
        <v>0.46500000000000002</v>
      </c>
      <c r="AL23">
        <f>_xll.EQNXTDZ($A$1,$B23,AL$1,$B$1)</f>
        <v>0.34399999999999997</v>
      </c>
      <c r="AM23">
        <f>_xll.EQNXTDZ($A$1,$B23,AM$1,$B$1)</f>
        <v>1.2050000000000001</v>
      </c>
      <c r="AN23">
        <f>_xll.EQNXTDZ($A$1,$B23,AN$1,$B$1)</f>
        <v>0.318</v>
      </c>
      <c r="AO23">
        <f>_xll.EQNXTDZ($A$1,$B23,AO$1,$B$1)</f>
        <v>1.3879999999999999</v>
      </c>
      <c r="AP23">
        <f>_xll.EQNXTDZ($A$1,$B23,AP$1,$B$1)</f>
        <v>3.5409999999999999</v>
      </c>
      <c r="AQ23">
        <f>_xll.EQNXTDZ($A$1,$B23,AQ$1,$B$1)</f>
        <v>4.0819999999999999</v>
      </c>
      <c r="AR23">
        <f>_xll.EQNXTDZ($A$1,$B23,AR$1,$B$1)</f>
        <v>3.645</v>
      </c>
      <c r="AS23">
        <f>_xll.EQNXTDZ($A$1,$B23,AS$1,$B$1)</f>
        <v>4.8049999999999997</v>
      </c>
      <c r="AT23">
        <f>_xll.EQNXTDZ($A$1,$B23,AT$1,$B$1)</f>
        <v>4.0789999999999997</v>
      </c>
      <c r="AU23">
        <f>_xll.EQNXTDZ($A$1,$B23,AU$1,$B$1)</f>
        <v>0.68500000000000005</v>
      </c>
      <c r="AV23">
        <f>_xll.EQNXTDZ($A$1,$B23,AV$1,$B$1)</f>
        <v>2.9540000000000002</v>
      </c>
      <c r="AW23">
        <f>_xll.EQNXTDZ($A$1,$B23,AW$1,$B$1)</f>
        <v>2.5510000000000002</v>
      </c>
      <c r="AX23">
        <f>_xll.EQNXTDZ($A$1,$B23,AX$1,$B$1)</f>
        <v>1.748</v>
      </c>
      <c r="AY23">
        <f>_xll.EQNXTDZ($A$1,$B23,AY$1,$B$1)</f>
        <v>1.488</v>
      </c>
      <c r="AZ23">
        <f>_xll.EQNXTDZ($A$1,$B23,AZ$1,$B$1)</f>
        <v>0.52300000000000002</v>
      </c>
      <c r="BA23">
        <f>_xll.EQNXTDZ($A$1,$B23,BA$1,$B$1)</f>
        <v>1.119</v>
      </c>
      <c r="BB23">
        <f>_xll.EQNXTDZ($A$1,$B23,BB$1,$B$1)</f>
        <v>6.13</v>
      </c>
      <c r="BC23">
        <f>_xll.EQNXTDZ($A$1,$B23,BC$1,$B$1)</f>
        <v>2.57</v>
      </c>
      <c r="BD23">
        <f>_xll.EQNXTDZ($A$1,$B23,BD$1,$B$1)</f>
        <v>2.4369999999999998</v>
      </c>
      <c r="BE23">
        <f>_xll.EQNXTDZ($A$1,$B23,BE$1,$B$1)</f>
        <v>2.6709999999999998</v>
      </c>
      <c r="BF23">
        <f>_xll.EQNXTDZ($A$1,$B23,BF$1,$B$1)</f>
        <v>9.3759999999999994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8.2439999999999998</v>
      </c>
      <c r="D24">
        <f>_xll.EQNXTDZ($A$1,$B24,D$1,$B$1)</f>
        <v>-3.4020000000000001</v>
      </c>
      <c r="E24">
        <f>_xll.EQNXTDZ($A$1,$B24,E$1,$B$1)</f>
        <v>4.1219999999999999</v>
      </c>
      <c r="F24">
        <f>_xll.EQNXTDZ($A$1,$B24,F$1,$B$1)</f>
        <v>-3.137</v>
      </c>
      <c r="G24">
        <f>_xll.EQNXTDZ($A$1,$B24,G$1,$B$1)</f>
        <v>-16.861999999999998</v>
      </c>
      <c r="H24">
        <f>_xll.EQNXTDZ($A$1,$B24,H$1,$B$1)</f>
        <v>-10.343</v>
      </c>
      <c r="I24">
        <f>_xll.EQNXTDZ($A$1,$B24,I$1,$B$1)</f>
        <v>16.835999999999999</v>
      </c>
      <c r="J24">
        <f>_xll.EQNXTDZ($A$1,$B24,J$1,$B$1)</f>
        <v>-0.58199999999999996</v>
      </c>
      <c r="K24">
        <f>_xll.EQNXTDZ($A$1,$B24,K$1,$B$1)</f>
        <v>1.6180000000000001</v>
      </c>
      <c r="L24">
        <f>_xll.EQNXTDZ($A$1,$B24,L$1,$B$1)</f>
        <v>2.3889999999999998</v>
      </c>
      <c r="M24">
        <f>_xll.EQNXTDZ($A$1,$B24,M$1,$B$1)</f>
        <v>2.95</v>
      </c>
      <c r="N24">
        <f>_xll.EQNXTDZ($A$1,$B24,N$1,$B$1)</f>
        <v>6.2060000000000004</v>
      </c>
      <c r="O24">
        <f>_xll.EQNXTDZ($A$1,$B24,O$1,$B$1)</f>
        <v>3.5369999999999999</v>
      </c>
      <c r="P24">
        <f>_xll.EQNXTDZ($A$1,$B24,P$1,$B$1)</f>
        <v>-0.80200000000000005</v>
      </c>
      <c r="Q24">
        <f>_xll.EQNXTDZ($A$1,$B24,Q$1,$B$1)</f>
        <v>7.5540000000000003</v>
      </c>
      <c r="R24">
        <f>_xll.EQNXTDZ($A$1,$B24,R$1,$B$1)</f>
        <v>3.13</v>
      </c>
      <c r="S24">
        <f>_xll.EQNXTDZ($A$1,$B24,S$1,$B$1)</f>
        <v>-7.6029999999999998</v>
      </c>
      <c r="T24">
        <f>_xll.EQNXTDZ($A$1,$B24,T$1,$B$1)</f>
        <v>2.5670000000000002</v>
      </c>
      <c r="U24">
        <f>_xll.EQNXTDZ($A$1,$B24,U$1,$B$1)</f>
        <v>11.648999999999999</v>
      </c>
      <c r="V24">
        <f>_xll.EQNXTDZ($A$1,$B24,V$1,$B$1)</f>
        <v>7.4690000000000003</v>
      </c>
      <c r="W24">
        <f>_xll.EQNXTDZ($A$1,$B24,W$1,$B$1)</f>
        <v>3.0630000000000002</v>
      </c>
      <c r="X24">
        <f>_xll.EQNXTDZ($A$1,$B24,X$1,$B$1)</f>
        <v>8.8789999999999996</v>
      </c>
      <c r="Y24">
        <f>_xll.EQNXTDZ($A$1,$B24,Y$1,$B$1)</f>
        <v>6.7789999999999999</v>
      </c>
      <c r="Z24">
        <f>_xll.EQNXTDZ($A$1,$B24,Z$1,$B$1)</f>
        <v>1.3640000000000001</v>
      </c>
      <c r="AA24">
        <f>_xll.EQNXTDZ($A$1,$B24,AA$1,$B$1)</f>
        <v>6.9039999999999999</v>
      </c>
      <c r="AB24">
        <f>_xll.EQNXTDZ($A$1,$B24,AB$1,$B$1)</f>
        <v>16.414999999999999</v>
      </c>
      <c r="AC24">
        <f>_xll.EQNXTDZ($A$1,$B24,AC$1,$B$1)</f>
        <v>25.632000000000001</v>
      </c>
      <c r="AD24">
        <f>_xll.EQNXTDZ($A$1,$B24,AD$1,$B$1)</f>
        <v>3.9559999999999902</v>
      </c>
      <c r="AE24">
        <f>_xll.EQNXTDZ($A$1,$B24,AE$1,$B$1)</f>
        <v>7.3</v>
      </c>
      <c r="AF24">
        <f>_xll.EQNXTDZ($A$1,$B24,AF$1,$B$1)</f>
        <v>15.371</v>
      </c>
      <c r="AG24">
        <f>_xll.EQNXTDZ($A$1,$B24,AG$1,$B$1)</f>
        <v>8.3099999999999898</v>
      </c>
      <c r="AH24">
        <f>_xll.EQNXTDZ($A$1,$B24,AH$1,$B$1)</f>
        <v>6.6859999999999999</v>
      </c>
      <c r="AI24">
        <f>_xll.EQNXTDZ($A$1,$B24,AI$1,$B$1)</f>
        <v>-9.3710000000000004</v>
      </c>
      <c r="AJ24">
        <f>_xll.EQNXTDZ($A$1,$B24,AJ$1,$B$1)</f>
        <v>-9.5809999999999995</v>
      </c>
      <c r="AK24">
        <f>_xll.EQNXTDZ($A$1,$B24,AK$1,$B$1)</f>
        <v>1.85900000000001</v>
      </c>
      <c r="AL24">
        <f>_xll.EQNXTDZ($A$1,$B24,AL$1,$B$1)</f>
        <v>-7.3209999999999997</v>
      </c>
      <c r="AM24">
        <f>_xll.EQNXTDZ($A$1,$B24,AM$1,$B$1)</f>
        <v>0.41399999999999898</v>
      </c>
      <c r="AN24">
        <f>_xll.EQNXTDZ($A$1,$B24,AN$1,$B$1)</f>
        <v>4.3259999999999996</v>
      </c>
      <c r="AO24">
        <f>_xll.EQNXTDZ($A$1,$B24,AO$1,$B$1)</f>
        <v>7.4020000000000197</v>
      </c>
      <c r="AP24">
        <f>_xll.EQNXTDZ($A$1,$B24,AP$1,$B$1)</f>
        <v>3.798</v>
      </c>
      <c r="AQ24">
        <f>_xll.EQNXTDZ($A$1,$B24,AQ$1,$B$1)</f>
        <v>-3.0470000000000002</v>
      </c>
      <c r="AR24">
        <f>_xll.EQNXTDZ($A$1,$B24,AR$1,$B$1)</f>
        <v>-0.89700000000000302</v>
      </c>
      <c r="AS24">
        <f>_xll.EQNXTDZ($A$1,$B24,AS$1,$B$1)</f>
        <v>12.464</v>
      </c>
      <c r="AT24">
        <f>_xll.EQNXTDZ($A$1,$B24,AT$1,$B$1)</f>
        <v>14.734999999999999</v>
      </c>
      <c r="AU24">
        <f>_xll.EQNXTDZ($A$1,$B24,AU$1,$B$1)</f>
        <v>7.8679999999999799</v>
      </c>
      <c r="AV24">
        <f>_xll.EQNXTDZ($A$1,$B24,AV$1,$B$1)</f>
        <v>9.1110000000000095</v>
      </c>
      <c r="AW24">
        <f>_xll.EQNXTDZ($A$1,$B24,AW$1,$B$1)</f>
        <v>15.272</v>
      </c>
      <c r="AX24">
        <f>_xll.EQNXTDZ($A$1,$B24,AX$1,$B$1)</f>
        <v>6.5049999999999999</v>
      </c>
      <c r="AY24">
        <f>_xll.EQNXTDZ($A$1,$B24,AY$1,$B$1)</f>
        <v>2.0670000000000002</v>
      </c>
      <c r="AZ24">
        <f>_xll.EQNXTDZ($A$1,$B24,AZ$1,$B$1)</f>
        <v>-8.1210000000000004</v>
      </c>
      <c r="BA24">
        <f>_xll.EQNXTDZ($A$1,$B24,BA$1,$B$1)</f>
        <v>0.63899999999999901</v>
      </c>
      <c r="BB24">
        <f>_xll.EQNXTDZ($A$1,$B24,BB$1,$B$1)</f>
        <v>4.6389999999999896</v>
      </c>
      <c r="BC24">
        <f>_xll.EQNXTDZ($A$1,$B24,BC$1,$B$1)</f>
        <v>4.5010000000000003</v>
      </c>
      <c r="BD24">
        <f>_xll.EQNXTDZ($A$1,$B24,BD$1,$B$1)</f>
        <v>13.754</v>
      </c>
      <c r="BE24">
        <f>_xll.EQNXTDZ($A$1,$B24,BE$1,$B$1)</f>
        <v>12.78</v>
      </c>
      <c r="BF24">
        <f>_xll.EQNXTDZ($A$1,$B24,BF$1,$B$1)</f>
        <v>14.289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0.57299999999999995</v>
      </c>
      <c r="D25">
        <f>_xll.EQNXTDZ($A$1,$B25,D$1,$B$1)</f>
        <v>1.0189999999999999</v>
      </c>
      <c r="E25">
        <f>_xll.EQNXTDZ($A$1,$B25,E$1,$B$1)</f>
        <v>0.45100000000000001</v>
      </c>
      <c r="F25">
        <f>_xll.EQNXTDZ($A$1,$B25,F$1,$B$1)</f>
        <v>1.105</v>
      </c>
      <c r="G25">
        <f>_xll.EQNXTDZ($A$1,$B25,G$1,$B$1)</f>
        <v>1.9470000000000001</v>
      </c>
      <c r="H25">
        <f>_xll.EQNXTDZ($A$1,$B25,H$1,$B$1)</f>
        <v>1.766</v>
      </c>
      <c r="I25">
        <f>_xll.EQNXTDZ($A$1,$B25,I$1,$B$1)</f>
        <v>1.6419999999999999</v>
      </c>
      <c r="J25">
        <f>_xll.EQNXTDZ($A$1,$B25,J$1,$B$1)</f>
        <v>1.347</v>
      </c>
      <c r="K25">
        <f>_xll.EQNXTDZ($A$1,$B25,K$1,$B$1)</f>
        <v>1.2709999999999999</v>
      </c>
      <c r="L25">
        <f>_xll.EQNXTDZ($A$1,$B25,L$1,$B$1)</f>
        <v>0.98199999999999998</v>
      </c>
      <c r="M25">
        <f>_xll.EQNXTDZ($A$1,$B25,M$1,$B$1)</f>
        <v>1.151</v>
      </c>
      <c r="N25">
        <f>_xll.EQNXTDZ($A$1,$B25,N$1,$B$1)</f>
        <v>0.89100000000000001</v>
      </c>
      <c r="O25">
        <f>_xll.EQNXTDZ($A$1,$B25,O$1,$B$1)</f>
        <v>0.745</v>
      </c>
      <c r="P25">
        <f>_xll.EQNXTDZ($A$1,$B25,P$1,$B$1)</f>
        <v>0.63600000000000001</v>
      </c>
      <c r="Q25">
        <f>_xll.EQNXTDZ($A$1,$B25,Q$1,$B$1)</f>
        <v>0.628</v>
      </c>
      <c r="R25">
        <f>_xll.EQNXTDZ($A$1,$B25,R$1,$B$1)</f>
        <v>0.36499999999999999</v>
      </c>
      <c r="S25">
        <f>_xll.EQNXTDZ($A$1,$B25,S$1,$B$1)</f>
        <v>0.29599999999999999</v>
      </c>
      <c r="T25">
        <f>_xll.EQNXTDZ($A$1,$B25,T$1,$B$1)</f>
        <v>0.39400000000000002</v>
      </c>
      <c r="U25">
        <f>_xll.EQNXTDZ($A$1,$B25,U$1,$B$1)</f>
        <v>0.17799999999999999</v>
      </c>
      <c r="V25">
        <f>_xll.EQNXTDZ($A$1,$B25,V$1,$B$1)</f>
        <v>0.16400000000000001</v>
      </c>
      <c r="W25">
        <f>_xll.EQNXTDZ($A$1,$B25,W$1,$B$1)</f>
        <v>0.36799999999999999</v>
      </c>
      <c r="X25">
        <f>_xll.EQNXTDZ($A$1,$B25,X$1,$B$1)</f>
        <v>0.27500000000000002</v>
      </c>
      <c r="Y25">
        <f>_xll.EQNXTDZ($A$1,$B25,Y$1,$B$1)</f>
        <v>0.251</v>
      </c>
      <c r="Z25">
        <f>_xll.EQNXTDZ($A$1,$B25,Z$1,$B$1)</f>
        <v>1.6E-2</v>
      </c>
      <c r="AA25">
        <f>_xll.EQNXTDZ($A$1,$B25,AA$1,$B$1)</f>
        <v>0.56200000000000006</v>
      </c>
      <c r="AB25">
        <f>_xll.EQNXTDZ($A$1,$B25,AB$1,$B$1)</f>
        <v>-4.2999999999999997E-2</v>
      </c>
      <c r="AC25">
        <f>_xll.EQNXTDZ($A$1,$B25,AC$1,$B$1)</f>
        <v>-1.101</v>
      </c>
      <c r="AD25">
        <f>_xll.EQNXTDZ($A$1,$B25,AD$1,$B$1)</f>
        <v>0.67800000000000005</v>
      </c>
      <c r="AE25">
        <f>_xll.EQNXTDZ($A$1,$B25,AE$1,$B$1)</f>
        <v>0.58699999999999997</v>
      </c>
      <c r="AF25">
        <f>_xll.EQNXTDZ($A$1,$B25,AF$1,$B$1)</f>
        <v>0.57899999999999996</v>
      </c>
      <c r="AG25">
        <f>_xll.EQNXTDZ($A$1,$B25,AG$1,$B$1)</f>
        <v>1.2969999999999999</v>
      </c>
      <c r="AH25">
        <f>_xll.EQNXTDZ($A$1,$B25,AH$1,$B$1)</f>
        <v>0.624</v>
      </c>
      <c r="AI25">
        <f>_xll.EQNXTDZ($A$1,$B25,AI$1,$B$1)</f>
        <v>0.80700000000000005</v>
      </c>
      <c r="AJ25">
        <f>_xll.EQNXTDZ($A$1,$B25,AJ$1,$B$1)</f>
        <v>0.57599999999999996</v>
      </c>
      <c r="AK25">
        <f>_xll.EQNXTDZ($A$1,$B25,AK$1,$B$1)</f>
        <v>-0.73299999999999998</v>
      </c>
      <c r="AL25">
        <f>_xll.EQNXTDZ($A$1,$B25,AL$1,$B$1)</f>
        <v>0.111</v>
      </c>
      <c r="AM25">
        <f>_xll.EQNXTDZ($A$1,$B25,AM$1,$B$1)</f>
        <v>0.36199999999999999</v>
      </c>
      <c r="AN25">
        <f>_xll.EQNXTDZ($A$1,$B25,AN$1,$B$1)</f>
        <v>1.0449999999999999</v>
      </c>
      <c r="AO25">
        <f>_xll.EQNXTDZ($A$1,$B25,AO$1,$B$1)</f>
        <v>0.30399999999999999</v>
      </c>
      <c r="AP25">
        <f>_xll.EQNXTDZ($A$1,$B25,AP$1,$B$1)</f>
        <v>5.1379999999999999</v>
      </c>
      <c r="AQ25">
        <f>_xll.EQNXTDZ($A$1,$B25,AQ$1,$B$1)</f>
        <v>1.139</v>
      </c>
      <c r="AR25">
        <f>_xll.EQNXTDZ($A$1,$B25,AR$1,$B$1)</f>
        <v>0.91500000000000004</v>
      </c>
      <c r="AS25">
        <f>_xll.EQNXTDZ($A$1,$B25,AS$1,$B$1)</f>
        <v>4.2999999999999997E-2</v>
      </c>
      <c r="AT25">
        <f>_xll.EQNXTDZ($A$1,$B25,AT$1,$B$1)</f>
        <v>-0.16600000000000001</v>
      </c>
      <c r="AU25">
        <f>_xll.EQNXTDZ($A$1,$B25,AU$1,$B$1)</f>
        <v>0.74</v>
      </c>
      <c r="AV25">
        <f>_xll.EQNXTDZ($A$1,$B25,AV$1,$B$1)</f>
        <v>0.47899999999999998</v>
      </c>
      <c r="AW25">
        <f>_xll.EQNXTDZ($A$1,$B25,AW$1,$B$1)</f>
        <v>1.111</v>
      </c>
      <c r="AX25">
        <f>_xll.EQNXTDZ($A$1,$B25,AX$1,$B$1)</f>
        <v>0.45900000000000002</v>
      </c>
      <c r="AY25">
        <f>_xll.EQNXTDZ($A$1,$B25,AY$1,$B$1)</f>
        <v>0.53</v>
      </c>
      <c r="AZ25">
        <f>_xll.EQNXTDZ($A$1,$B25,AZ$1,$B$1)</f>
        <v>0.45700000000000002</v>
      </c>
      <c r="BA25">
        <f>_xll.EQNXTDZ($A$1,$B25,BA$1,$B$1)</f>
        <v>0.83699999999999997</v>
      </c>
      <c r="BB25">
        <f>_xll.EQNXTDZ($A$1,$B25,BB$1,$B$1)</f>
        <v>4.3470000000000004</v>
      </c>
      <c r="BC25">
        <f>_xll.EQNXTDZ($A$1,$B25,BC$1,$B$1)</f>
        <v>0.65100000000000002</v>
      </c>
      <c r="BD25">
        <f>_xll.EQNXTDZ($A$1,$B25,BD$1,$B$1)</f>
        <v>0.28799999999999998</v>
      </c>
      <c r="BE25">
        <f>_xll.EQNXTDZ($A$1,$B25,BE$1,$B$1)</f>
        <v>1.6719999999999999</v>
      </c>
      <c r="BF25">
        <f>_xll.EQNXTDZ($A$1,$B25,BF$1,$B$1)</f>
        <v>7.0389999999999997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3.343</v>
      </c>
      <c r="M26">
        <f>_xll.EQNXTDZ($A$1,$B26,M$1,$B$1)</f>
        <v>0</v>
      </c>
      <c r="N26">
        <f>_xll.EQNXTDZ($A$1,$B26,N$1,$B$1)</f>
        <v>2.222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14.339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-11.409000000000001</v>
      </c>
      <c r="BF26">
        <f>_xll.EQNXTDZ($A$1,$B26,BF$1,$B$1)</f>
        <v>2.3919999999999999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7.6710000000000003</v>
      </c>
      <c r="D27">
        <f>_xll.EQNXTDZ($A$1,$B27,D$1,$B$1)</f>
        <v>-4.4210000000000003</v>
      </c>
      <c r="E27">
        <f>_xll.EQNXTDZ($A$1,$B27,E$1,$B$1)</f>
        <v>3.6709999999999998</v>
      </c>
      <c r="F27">
        <f>_xll.EQNXTDZ($A$1,$B27,F$1,$B$1)</f>
        <v>-4.242</v>
      </c>
      <c r="G27">
        <f>_xll.EQNXTDZ($A$1,$B27,G$1,$B$1)</f>
        <v>-18.809000000000001</v>
      </c>
      <c r="H27">
        <f>_xll.EQNXTDZ($A$1,$B27,H$1,$B$1)</f>
        <v>-12.109</v>
      </c>
      <c r="I27">
        <f>_xll.EQNXTDZ($A$1,$B27,I$1,$B$1)</f>
        <v>15.194000000000001</v>
      </c>
      <c r="J27">
        <f>_xll.EQNXTDZ($A$1,$B27,J$1,$B$1)</f>
        <v>-1.929</v>
      </c>
      <c r="K27">
        <f>_xll.EQNXTDZ($A$1,$B27,K$1,$B$1)</f>
        <v>0.34699999999999998</v>
      </c>
      <c r="L27">
        <f>_xll.EQNXTDZ($A$1,$B27,L$1,$B$1)</f>
        <v>4.75</v>
      </c>
      <c r="M27">
        <f>_xll.EQNXTDZ($A$1,$B27,M$1,$B$1)</f>
        <v>1.7989999999999999</v>
      </c>
      <c r="N27">
        <f>_xll.EQNXTDZ($A$1,$B27,N$1,$B$1)</f>
        <v>7.5369999999999999</v>
      </c>
      <c r="O27">
        <f>_xll.EQNXTDZ($A$1,$B27,O$1,$B$1)</f>
        <v>2.7919999999999998</v>
      </c>
      <c r="P27">
        <f>_xll.EQNXTDZ($A$1,$B27,P$1,$B$1)</f>
        <v>-1.4379999999999999</v>
      </c>
      <c r="Q27">
        <f>_xll.EQNXTDZ($A$1,$B27,Q$1,$B$1)</f>
        <v>6.9260000000000002</v>
      </c>
      <c r="R27">
        <f>_xll.EQNXTDZ($A$1,$B27,R$1,$B$1)</f>
        <v>17.103999999999999</v>
      </c>
      <c r="S27">
        <f>_xll.EQNXTDZ($A$1,$B27,S$1,$B$1)</f>
        <v>-7.899</v>
      </c>
      <c r="T27">
        <f>_xll.EQNXTDZ($A$1,$B27,T$1,$B$1)</f>
        <v>2.173</v>
      </c>
      <c r="U27">
        <f>_xll.EQNXTDZ($A$1,$B27,U$1,$B$1)</f>
        <v>11.471</v>
      </c>
      <c r="V27">
        <f>_xll.EQNXTDZ($A$1,$B27,V$1,$B$1)</f>
        <v>7.3049999999999997</v>
      </c>
      <c r="W27">
        <f>_xll.EQNXTDZ($A$1,$B27,W$1,$B$1)</f>
        <v>2.6949999999999998</v>
      </c>
      <c r="X27">
        <f>_xll.EQNXTDZ($A$1,$B27,X$1,$B$1)</f>
        <v>8.6039999999999992</v>
      </c>
      <c r="Y27">
        <f>_xll.EQNXTDZ($A$1,$B27,Y$1,$B$1)</f>
        <v>6.5279999999999996</v>
      </c>
      <c r="Z27">
        <f>_xll.EQNXTDZ($A$1,$B27,Z$1,$B$1)</f>
        <v>1.3480000000000001</v>
      </c>
      <c r="AA27">
        <f>_xll.EQNXTDZ($A$1,$B27,AA$1,$B$1)</f>
        <v>6.3419999999999996</v>
      </c>
      <c r="AB27">
        <f>_xll.EQNXTDZ($A$1,$B27,AB$1,$B$1)</f>
        <v>16.457999999999998</v>
      </c>
      <c r="AC27">
        <f>_xll.EQNXTDZ($A$1,$B27,AC$1,$B$1)</f>
        <v>26.733000000000001</v>
      </c>
      <c r="AD27">
        <f>_xll.EQNXTDZ($A$1,$B27,AD$1,$B$1)</f>
        <v>3.2779999999999898</v>
      </c>
      <c r="AE27">
        <f>_xll.EQNXTDZ($A$1,$B27,AE$1,$B$1)</f>
        <v>6.7130000000000001</v>
      </c>
      <c r="AF27">
        <f>_xll.EQNXTDZ($A$1,$B27,AF$1,$B$1)</f>
        <v>14.792</v>
      </c>
      <c r="AG27">
        <f>_xll.EQNXTDZ($A$1,$B27,AG$1,$B$1)</f>
        <v>7.0129999999999901</v>
      </c>
      <c r="AH27">
        <f>_xll.EQNXTDZ($A$1,$B27,AH$1,$B$1)</f>
        <v>6.0620000000000003</v>
      </c>
      <c r="AI27">
        <f>_xll.EQNXTDZ($A$1,$B27,AI$1,$B$1)</f>
        <v>-10.178000000000001</v>
      </c>
      <c r="AJ27">
        <f>_xll.EQNXTDZ($A$1,$B27,AJ$1,$B$1)</f>
        <v>-10.157</v>
      </c>
      <c r="AK27">
        <f>_xll.EQNXTDZ($A$1,$B27,AK$1,$B$1)</f>
        <v>2.5920000000000099</v>
      </c>
      <c r="AL27">
        <f>_xll.EQNXTDZ($A$1,$B27,AL$1,$B$1)</f>
        <v>-7.4320000000000004</v>
      </c>
      <c r="AM27">
        <f>_xll.EQNXTDZ($A$1,$B27,AM$1,$B$1)</f>
        <v>5.1999999999998603E-2</v>
      </c>
      <c r="AN27">
        <f>_xll.EQNXTDZ($A$1,$B27,AN$1,$B$1)</f>
        <v>3.2810000000000001</v>
      </c>
      <c r="AO27">
        <f>_xll.EQNXTDZ($A$1,$B27,AO$1,$B$1)</f>
        <v>7.0980000000000203</v>
      </c>
      <c r="AP27">
        <f>_xll.EQNXTDZ($A$1,$B27,AP$1,$B$1)</f>
        <v>-1.34</v>
      </c>
      <c r="AQ27">
        <f>_xll.EQNXTDZ($A$1,$B27,AQ$1,$B$1)</f>
        <v>-4.1859999999999999</v>
      </c>
      <c r="AR27">
        <f>_xll.EQNXTDZ($A$1,$B27,AR$1,$B$1)</f>
        <v>-1.8120000000000001</v>
      </c>
      <c r="AS27">
        <f>_xll.EQNXTDZ($A$1,$B27,AS$1,$B$1)</f>
        <v>12.420999999999999</v>
      </c>
      <c r="AT27">
        <f>_xll.EQNXTDZ($A$1,$B27,AT$1,$B$1)</f>
        <v>14.901</v>
      </c>
      <c r="AU27">
        <f>_xll.EQNXTDZ($A$1,$B27,AU$1,$B$1)</f>
        <v>7.1279999999999797</v>
      </c>
      <c r="AV27">
        <f>_xll.EQNXTDZ($A$1,$B27,AV$1,$B$1)</f>
        <v>8.6320000000000103</v>
      </c>
      <c r="AW27">
        <f>_xll.EQNXTDZ($A$1,$B27,AW$1,$B$1)</f>
        <v>14.161</v>
      </c>
      <c r="AX27">
        <f>_xll.EQNXTDZ($A$1,$B27,AX$1,$B$1)</f>
        <v>6.0460000000000003</v>
      </c>
      <c r="AY27">
        <f>_xll.EQNXTDZ($A$1,$B27,AY$1,$B$1)</f>
        <v>1.5369999999999999</v>
      </c>
      <c r="AZ27">
        <f>_xll.EQNXTDZ($A$1,$B27,AZ$1,$B$1)</f>
        <v>-8.5779999999999994</v>
      </c>
      <c r="BA27">
        <f>_xll.EQNXTDZ($A$1,$B27,BA$1,$B$1)</f>
        <v>-0.19800000000000101</v>
      </c>
      <c r="BB27">
        <f>_xll.EQNXTDZ($A$1,$B27,BB$1,$B$1)</f>
        <v>0.29199999999998699</v>
      </c>
      <c r="BC27">
        <f>_xll.EQNXTDZ($A$1,$B27,BC$1,$B$1)</f>
        <v>3.85</v>
      </c>
      <c r="BD27">
        <f>_xll.EQNXTDZ($A$1,$B27,BD$1,$B$1)</f>
        <v>13.465999999999999</v>
      </c>
      <c r="BE27">
        <f>_xll.EQNXTDZ($A$1,$B27,BE$1,$B$1)</f>
        <v>-0.300999999999993</v>
      </c>
      <c r="BF27">
        <f>_xll.EQNXTDZ($A$1,$B27,BF$1,$B$1)</f>
        <v>9.6420000000000297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1.03</v>
      </c>
      <c r="D28">
        <f>_xll.EQNXTDZ($A$1,$B28,D$1,$B$1)</f>
        <v>1.1020000000000001</v>
      </c>
      <c r="E28">
        <f>_xll.EQNXTDZ($A$1,$B28,E$1,$B$1)</f>
        <v>1.157</v>
      </c>
      <c r="F28">
        <f>_xll.EQNXTDZ($A$1,$B28,F$1,$B$1)</f>
        <v>1.3149999999999999</v>
      </c>
      <c r="G28">
        <f>_xll.EQNXTDZ($A$1,$B28,G$1,$B$1)</f>
        <v>2.081</v>
      </c>
      <c r="H28">
        <f>_xll.EQNXTDZ($A$1,$B28,H$1,$B$1)</f>
        <v>2.1360000000000001</v>
      </c>
      <c r="I28">
        <f>_xll.EQNXTDZ($A$1,$B28,I$1,$B$1)</f>
        <v>2.2389999999999999</v>
      </c>
      <c r="J28">
        <f>_xll.EQNXTDZ($A$1,$B28,J$1,$B$1)</f>
        <v>1.925</v>
      </c>
      <c r="K28">
        <f>_xll.EQNXTDZ($A$1,$B28,K$1,$B$1)</f>
        <v>2.984</v>
      </c>
      <c r="L28">
        <f>_xll.EQNXTDZ($A$1,$B28,L$1,$B$1)</f>
        <v>0.11799999999999999</v>
      </c>
      <c r="M28">
        <f>_xll.EQNXTDZ($A$1,$B28,M$1,$B$1)</f>
        <v>1.5049999999999999</v>
      </c>
      <c r="N28">
        <f>_xll.EQNXTDZ($A$1,$B28,N$1,$B$1)</f>
        <v>1.895</v>
      </c>
      <c r="O28">
        <f>_xll.EQNXTDZ($A$1,$B28,O$1,$B$1)</f>
        <v>1.409</v>
      </c>
      <c r="P28">
        <f>_xll.EQNXTDZ($A$1,$B28,P$1,$B$1)</f>
        <v>1.3939999999999999</v>
      </c>
      <c r="Q28">
        <f>_xll.EQNXTDZ($A$1,$B28,Q$1,$B$1)</f>
        <v>1.48</v>
      </c>
      <c r="R28">
        <f>_xll.EQNXTDZ($A$1,$B28,R$1,$B$1)</f>
        <v>1.5089999999999999</v>
      </c>
      <c r="S28">
        <f>_xll.EQNXTDZ($A$1,$B28,S$1,$B$1)</f>
        <v>1.325</v>
      </c>
      <c r="T28">
        <f>_xll.EQNXTDZ($A$1,$B28,T$1,$B$1)</f>
        <v>1.3580000000000001</v>
      </c>
      <c r="U28">
        <f>_xll.EQNXTDZ($A$1,$B28,U$1,$B$1)</f>
        <v>1.3440000000000001</v>
      </c>
      <c r="V28">
        <f>_xll.EQNXTDZ($A$1,$B28,V$1,$B$1)</f>
        <v>1.159</v>
      </c>
      <c r="W28">
        <f>_xll.EQNXTDZ($A$1,$B28,W$1,$B$1)</f>
        <v>1.2689999999999999</v>
      </c>
      <c r="X28">
        <f>_xll.EQNXTDZ($A$1,$B28,X$1,$B$1)</f>
        <v>1.3240000000000001</v>
      </c>
      <c r="Y28">
        <f>_xll.EQNXTDZ($A$1,$B28,Y$1,$B$1)</f>
        <v>1.3879999999999999</v>
      </c>
      <c r="Z28">
        <f>_xll.EQNXTDZ($A$1,$B28,Z$1,$B$1)</f>
        <v>1.9419999999999999</v>
      </c>
      <c r="AA28">
        <f>_xll.EQNXTDZ($A$1,$B28,AA$1,$B$1)</f>
        <v>1.4330000000000001</v>
      </c>
      <c r="AB28">
        <f>_xll.EQNXTDZ($A$1,$B28,AB$1,$B$1)</f>
        <v>1.478</v>
      </c>
      <c r="AC28">
        <f>_xll.EQNXTDZ($A$1,$B28,AC$1,$B$1)</f>
        <v>1.4590000000000001</v>
      </c>
      <c r="AD28">
        <f>_xll.EQNXTDZ($A$1,$B28,AD$1,$B$1)</f>
        <v>1.405</v>
      </c>
      <c r="AE28">
        <f>_xll.EQNXTDZ($A$1,$B28,AE$1,$B$1)</f>
        <v>1.4490000000000001</v>
      </c>
      <c r="AF28">
        <f>_xll.EQNXTDZ($A$1,$B28,AF$1,$B$1)</f>
        <v>1.4370000000000001</v>
      </c>
      <c r="AG28">
        <f>_xll.EQNXTDZ($A$1,$B28,AG$1,$B$1)</f>
        <v>1.41</v>
      </c>
      <c r="AH28">
        <f>_xll.EQNXTDZ($A$1,$B28,AH$1,$B$1)</f>
        <v>1.3720000000000001</v>
      </c>
      <c r="AI28">
        <f>_xll.EQNXTDZ($A$1,$B28,AI$1,$B$1)</f>
        <v>1.2969999999999999</v>
      </c>
      <c r="AJ28">
        <f>_xll.EQNXTDZ($A$1,$B28,AJ$1,$B$1)</f>
        <v>1.27</v>
      </c>
      <c r="AK28">
        <f>_xll.EQNXTDZ($A$1,$B28,AK$1,$B$1)</f>
        <v>1.2589999999999999</v>
      </c>
      <c r="AL28">
        <f>_xll.EQNXTDZ($A$1,$B28,AL$1,$B$1)</f>
        <v>1.2070000000000001</v>
      </c>
      <c r="AM28">
        <f>_xll.EQNXTDZ($A$1,$B28,AM$1,$B$1)</f>
        <v>1.1950000000000001</v>
      </c>
      <c r="AN28">
        <f>_xll.EQNXTDZ($A$1,$B28,AN$1,$B$1)</f>
        <v>1.1950000000000001</v>
      </c>
      <c r="AO28">
        <f>_xll.EQNXTDZ($A$1,$B28,AO$1,$B$1)</f>
        <v>1.1419999999999999</v>
      </c>
      <c r="AP28">
        <f>_xll.EQNXTDZ($A$1,$B28,AP$1,$B$1)</f>
        <v>1.1299999999999999</v>
      </c>
      <c r="AQ28">
        <f>_xll.EQNXTDZ($A$1,$B28,AQ$1,$B$1)</f>
        <v>1.1100000000000001</v>
      </c>
      <c r="AR28">
        <f>_xll.EQNXTDZ($A$1,$B28,AR$1,$B$1)</f>
        <v>1.129</v>
      </c>
      <c r="AS28">
        <f>_xll.EQNXTDZ($A$1,$B28,AS$1,$B$1)</f>
        <v>1.133</v>
      </c>
      <c r="AT28">
        <f>_xll.EQNXTDZ($A$1,$B28,AT$1,$B$1)</f>
        <v>1.7749999999999999</v>
      </c>
      <c r="AU28">
        <f>_xll.EQNXTDZ($A$1,$B28,AU$1,$B$1)</f>
        <v>1.34</v>
      </c>
      <c r="AV28">
        <f>_xll.EQNXTDZ($A$1,$B28,AV$1,$B$1)</f>
        <v>1.2490000000000001</v>
      </c>
      <c r="AW28">
        <f>_xll.EQNXTDZ($A$1,$B28,AW$1,$B$1)</f>
        <v>1.262</v>
      </c>
      <c r="AX28">
        <f>_xll.EQNXTDZ($A$1,$B28,AX$1,$B$1)</f>
        <v>1.3340000000000001</v>
      </c>
      <c r="AY28">
        <f>_xll.EQNXTDZ($A$1,$B28,AY$1,$B$1)</f>
        <v>1.552</v>
      </c>
      <c r="AZ28">
        <f>_xll.EQNXTDZ($A$1,$B28,AZ$1,$B$1)</f>
        <v>1.4690000000000001</v>
      </c>
      <c r="BA28">
        <f>_xll.EQNXTDZ($A$1,$B28,BA$1,$B$1)</f>
        <v>1.6160000000000001</v>
      </c>
      <c r="BB28">
        <f>_xll.EQNXTDZ($A$1,$B28,BB$1,$B$1)</f>
        <v>2.4769999999999999</v>
      </c>
      <c r="BC28">
        <f>_xll.EQNXTDZ($A$1,$B28,BC$1,$B$1)</f>
        <v>1.534</v>
      </c>
      <c r="BD28">
        <f>_xll.EQNXTDZ($A$1,$B28,BD$1,$B$1)</f>
        <v>1.55</v>
      </c>
      <c r="BE28">
        <f>_xll.EQNXTDZ($A$1,$B28,BE$1,$B$1)</f>
        <v>1.5580000000000001</v>
      </c>
      <c r="BF28">
        <f>_xll.EQNXTDZ($A$1,$B28,BF$1,$B$1)</f>
        <v>3.2770000000000001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2.1749999999999998</v>
      </c>
      <c r="D29">
        <f>_xll.EQNXTDZ($A$1,$B29,D$1,$B$1)</f>
        <v>-1.806</v>
      </c>
      <c r="E29">
        <f>_xll.EQNXTDZ($A$1,$B29,E$1,$B$1)</f>
        <v>0.81899999999999995</v>
      </c>
      <c r="F29">
        <f>_xll.EQNXTDZ($A$1,$B29,F$1,$B$1)</f>
        <v>-2.12</v>
      </c>
      <c r="G29">
        <f>_xll.EQNXTDZ($A$1,$B29,G$1,$B$1)</f>
        <v>-7.133</v>
      </c>
      <c r="H29">
        <f>_xll.EQNXTDZ($A$1,$B29,H$1,$B$1)</f>
        <v>4.2649999999999997</v>
      </c>
      <c r="I29">
        <f>_xll.EQNXTDZ($A$1,$B29,I$1,$B$1)</f>
        <v>1.4239999999999999</v>
      </c>
      <c r="J29">
        <f>_xll.EQNXTDZ($A$1,$B29,J$1,$B$1)</f>
        <v>-2.278</v>
      </c>
      <c r="K29">
        <f>_xll.EQNXTDZ($A$1,$B29,K$1,$B$1)</f>
        <v>0</v>
      </c>
      <c r="L29">
        <f>_xll.EQNXTDZ($A$1,$B29,L$1,$B$1)</f>
        <v>0.41499999999999998</v>
      </c>
      <c r="M29">
        <f>_xll.EQNXTDZ($A$1,$B29,M$1,$B$1)</f>
        <v>0.17499999999999999</v>
      </c>
      <c r="N29">
        <f>_xll.EQNXTDZ($A$1,$B29,N$1,$B$1)</f>
        <v>-2.1339999999999999</v>
      </c>
      <c r="O29">
        <f>_xll.EQNXTDZ($A$1,$B29,O$1,$B$1)</f>
        <v>0.44600000000000001</v>
      </c>
      <c r="P29">
        <f>_xll.EQNXTDZ($A$1,$B29,P$1,$B$1)</f>
        <v>-2.8000000000000001E-2</v>
      </c>
      <c r="Q29">
        <f>_xll.EQNXTDZ($A$1,$B29,Q$1,$B$1)</f>
        <v>1.1499999999999999</v>
      </c>
      <c r="R29">
        <f>_xll.EQNXTDZ($A$1,$B29,R$1,$B$1)</f>
        <v>4.9009999999999998</v>
      </c>
      <c r="S29">
        <f>_xll.EQNXTDZ($A$1,$B29,S$1,$B$1)</f>
        <v>-0.876</v>
      </c>
      <c r="T29">
        <f>_xll.EQNXTDZ($A$1,$B29,T$1,$B$1)</f>
        <v>0.79400000000000004</v>
      </c>
      <c r="U29">
        <f>_xll.EQNXTDZ($A$1,$B29,U$1,$B$1)</f>
        <v>0.58699999999999997</v>
      </c>
      <c r="V29">
        <f>_xll.EQNXTDZ($A$1,$B29,V$1,$B$1)</f>
        <v>1.5669999999999999</v>
      </c>
      <c r="W29">
        <f>_xll.EQNXTDZ($A$1,$B29,W$1,$B$1)</f>
        <v>1.232</v>
      </c>
      <c r="X29">
        <f>_xll.EQNXTDZ($A$1,$B29,X$1,$B$1)</f>
        <v>2.7570000000000001</v>
      </c>
      <c r="Y29">
        <f>_xll.EQNXTDZ($A$1,$B29,Y$1,$B$1)</f>
        <v>2.1389999999999998</v>
      </c>
      <c r="Z29">
        <f>_xll.EQNXTDZ($A$1,$B29,Z$1,$B$1)</f>
        <v>0.40500000000000003</v>
      </c>
      <c r="AA29">
        <f>_xll.EQNXTDZ($A$1,$B29,AA$1,$B$1)</f>
        <v>1.571</v>
      </c>
      <c r="AB29">
        <f>_xll.EQNXTDZ($A$1,$B29,AB$1,$B$1)</f>
        <v>4.548</v>
      </c>
      <c r="AC29">
        <f>_xll.EQNXTDZ($A$1,$B29,AC$1,$B$1)</f>
        <v>9.4239999999999995</v>
      </c>
      <c r="AD29">
        <f>_xll.EQNXTDZ($A$1,$B29,AD$1,$B$1)</f>
        <v>-3.6059999999999999</v>
      </c>
      <c r="AE29">
        <f>_xll.EQNXTDZ($A$1,$B29,AE$1,$B$1)</f>
        <v>1.492</v>
      </c>
      <c r="AF29">
        <f>_xll.EQNXTDZ($A$1,$B29,AF$1,$B$1)</f>
        <v>3.5590000000000002</v>
      </c>
      <c r="AG29">
        <f>_xll.EQNXTDZ($A$1,$B29,AG$1,$B$1)</f>
        <v>-4.7E-2</v>
      </c>
      <c r="AH29">
        <f>_xll.EQNXTDZ($A$1,$B29,AH$1,$B$1)</f>
        <v>0.16500000000000001</v>
      </c>
      <c r="AI29">
        <f>_xll.EQNXTDZ($A$1,$B29,AI$1,$B$1)</f>
        <v>-1.377</v>
      </c>
      <c r="AJ29">
        <f>_xll.EQNXTDZ($A$1,$B29,AJ$1,$B$1)</f>
        <v>-7.0000000000000007E-2</v>
      </c>
      <c r="AK29">
        <f>_xll.EQNXTDZ($A$1,$B29,AK$1,$B$1)</f>
        <v>-2.1000000000000001E-2</v>
      </c>
      <c r="AL29">
        <f>_xll.EQNXTDZ($A$1,$B29,AL$1,$B$1)</f>
        <v>0.32100000000000001</v>
      </c>
      <c r="AM29">
        <f>_xll.EQNXTDZ($A$1,$B29,AM$1,$B$1)</f>
        <v>-9.6000000000000002E-2</v>
      </c>
      <c r="AN29">
        <f>_xll.EQNXTDZ($A$1,$B29,AN$1,$B$1)</f>
        <v>-0.113</v>
      </c>
      <c r="AO29">
        <f>_xll.EQNXTDZ($A$1,$B29,AO$1,$B$1)</f>
        <v>1.2999999999999999E-2</v>
      </c>
      <c r="AP29">
        <f>_xll.EQNXTDZ($A$1,$B29,AP$1,$B$1)</f>
        <v>-1.6E-2</v>
      </c>
      <c r="AQ29">
        <f>_xll.EQNXTDZ($A$1,$B29,AQ$1,$B$1)</f>
        <v>0.05</v>
      </c>
      <c r="AR29">
        <f>_xll.EQNXTDZ($A$1,$B29,AR$1,$B$1)</f>
        <v>5.0000000000000001E-3</v>
      </c>
      <c r="AS29">
        <f>_xll.EQNXTDZ($A$1,$B29,AS$1,$B$1)</f>
        <v>-9.6000000000000002E-2</v>
      </c>
      <c r="AT29">
        <f>_xll.EQNXTDZ($A$1,$B29,AT$1,$B$1)</f>
        <v>3.3330000000000002</v>
      </c>
      <c r="AU29">
        <f>_xll.EQNXTDZ($A$1,$B29,AU$1,$B$1)</f>
        <v>1.4510000000000001</v>
      </c>
      <c r="AV29">
        <f>_xll.EQNXTDZ($A$1,$B29,AV$1,$B$1)</f>
        <v>0.39900000000000002</v>
      </c>
      <c r="AW29">
        <f>_xll.EQNXTDZ($A$1,$B29,AW$1,$B$1)</f>
        <v>2.58</v>
      </c>
      <c r="AX29">
        <f>_xll.EQNXTDZ($A$1,$B29,AX$1,$B$1)</f>
        <v>1.0940000000000001</v>
      </c>
      <c r="AY29">
        <f>_xll.EQNXTDZ($A$1,$B29,AY$1,$B$1)</f>
        <v>1.2E-2</v>
      </c>
      <c r="AZ29">
        <f>_xll.EQNXTDZ($A$1,$B29,AZ$1,$B$1)</f>
        <v>-2.5499999999999998</v>
      </c>
      <c r="BA29">
        <f>_xll.EQNXTDZ($A$1,$B29,BA$1,$B$1)</f>
        <v>-0.34</v>
      </c>
      <c r="BB29">
        <f>_xll.EQNXTDZ($A$1,$B29,BB$1,$B$1)</f>
        <v>0.72899999999999998</v>
      </c>
      <c r="BC29">
        <f>_xll.EQNXTDZ($A$1,$B29,BC$1,$B$1)</f>
        <v>0.59799999999999998</v>
      </c>
      <c r="BD29">
        <f>_xll.EQNXTDZ($A$1,$B29,BD$1,$B$1)</f>
        <v>2.9969999999999999</v>
      </c>
      <c r="BE29">
        <f>_xll.EQNXTDZ($A$1,$B29,BE$1,$B$1)</f>
        <v>-2.2799999999999998</v>
      </c>
      <c r="BF29">
        <f>_xll.EQNXTDZ($A$1,$B29,BF$1,$B$1)</f>
        <v>-0.997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4.4660000000000002</v>
      </c>
      <c r="D30">
        <f>_xll.EQNXTDZ($A$1,$B30,D$1,$B$1)</f>
        <v>-3.7170000000000001</v>
      </c>
      <c r="E30">
        <f>_xll.EQNXTDZ($A$1,$B30,E$1,$B$1)</f>
        <v>1.6950000000000001</v>
      </c>
      <c r="F30">
        <f>_xll.EQNXTDZ($A$1,$B30,F$1,$B$1)</f>
        <v>-3.4369999999999998</v>
      </c>
      <c r="G30">
        <f>_xll.EQNXTDZ($A$1,$B30,G$1,$B$1)</f>
        <v>-13.757999999999999</v>
      </c>
      <c r="H30">
        <f>_xll.EQNXTDZ($A$1,$B30,H$1,$B$1)</f>
        <v>-18.510000000000002</v>
      </c>
      <c r="I30">
        <f>_xll.EQNXTDZ($A$1,$B30,I$1,$B$1)</f>
        <v>11.531000000000001</v>
      </c>
      <c r="J30">
        <f>_xll.EQNXTDZ($A$1,$B30,J$1,$B$1)</f>
        <v>-1.5760000000000001</v>
      </c>
      <c r="K30">
        <f>_xll.EQNXTDZ($A$1,$B30,K$1,$B$1)</f>
        <v>-2.637</v>
      </c>
      <c r="L30">
        <f>_xll.EQNXTDZ($A$1,$B30,L$1,$B$1)</f>
        <v>4.2160000000000002</v>
      </c>
      <c r="M30">
        <f>_xll.EQNXTDZ($A$1,$B30,M$1,$B$1)</f>
        <v>0.11899999999999999</v>
      </c>
      <c r="N30">
        <f>_xll.EQNXTDZ($A$1,$B30,N$1,$B$1)</f>
        <v>7.7759999999999998</v>
      </c>
      <c r="O30">
        <f>_xll.EQNXTDZ($A$1,$B30,O$1,$B$1)</f>
        <v>0.93600000000000005</v>
      </c>
      <c r="P30">
        <f>_xll.EQNXTDZ($A$1,$B30,P$1,$B$1)</f>
        <v>-2.8039999999999998</v>
      </c>
      <c r="Q30">
        <f>_xll.EQNXTDZ($A$1,$B30,Q$1,$B$1)</f>
        <v>4.2960000000000003</v>
      </c>
      <c r="R30">
        <f>_xll.EQNXTDZ($A$1,$B30,R$1,$B$1)</f>
        <v>10.694000000000001</v>
      </c>
      <c r="S30">
        <f>_xll.EQNXTDZ($A$1,$B30,S$1,$B$1)</f>
        <v>-8.3480000000000008</v>
      </c>
      <c r="T30">
        <f>_xll.EQNXTDZ($A$1,$B30,T$1,$B$1)</f>
        <v>2.1000000000000001E-2</v>
      </c>
      <c r="U30">
        <f>_xll.EQNXTDZ($A$1,$B30,U$1,$B$1)</f>
        <v>9.5389999999999997</v>
      </c>
      <c r="V30">
        <f>_xll.EQNXTDZ($A$1,$B30,V$1,$B$1)</f>
        <v>4.5789999999999997</v>
      </c>
      <c r="W30">
        <f>_xll.EQNXTDZ($A$1,$B30,W$1,$B$1)</f>
        <v>0.19400000000000001</v>
      </c>
      <c r="X30">
        <f>_xll.EQNXTDZ($A$1,$B30,X$1,$B$1)</f>
        <v>4.5229999999999997</v>
      </c>
      <c r="Y30">
        <f>_xll.EQNXTDZ($A$1,$B30,Y$1,$B$1)</f>
        <v>3.0009999999999999</v>
      </c>
      <c r="Z30">
        <f>_xll.EQNXTDZ($A$1,$B30,Z$1,$B$1)</f>
        <v>-0.999</v>
      </c>
      <c r="AA30">
        <f>_xll.EQNXTDZ($A$1,$B30,AA$1,$B$1)</f>
        <v>3.3380000000000001</v>
      </c>
      <c r="AB30">
        <f>_xll.EQNXTDZ($A$1,$B30,AB$1,$B$1)</f>
        <v>10.432</v>
      </c>
      <c r="AC30">
        <f>_xll.EQNXTDZ($A$1,$B30,AC$1,$B$1)</f>
        <v>15.85</v>
      </c>
      <c r="AD30">
        <f>_xll.EQNXTDZ($A$1,$B30,AD$1,$B$1)</f>
        <v>5.4789999999999903</v>
      </c>
      <c r="AE30">
        <f>_xll.EQNXTDZ($A$1,$B30,AE$1,$B$1)</f>
        <v>3.7719999999999998</v>
      </c>
      <c r="AF30">
        <f>_xll.EQNXTDZ($A$1,$B30,AF$1,$B$1)</f>
        <v>9.7959999999999994</v>
      </c>
      <c r="AG30">
        <f>_xll.EQNXTDZ($A$1,$B30,AG$1,$B$1)</f>
        <v>5.6499999999999897</v>
      </c>
      <c r="AH30">
        <f>_xll.EQNXTDZ($A$1,$B30,AH$1,$B$1)</f>
        <v>4.5250000000000004</v>
      </c>
      <c r="AI30">
        <f>_xll.EQNXTDZ($A$1,$B30,AI$1,$B$1)</f>
        <v>-10.098000000000001</v>
      </c>
      <c r="AJ30">
        <f>_xll.EQNXTDZ($A$1,$B30,AJ$1,$B$1)</f>
        <v>-11.356999999999999</v>
      </c>
      <c r="AK30">
        <f>_xll.EQNXTDZ($A$1,$B30,AK$1,$B$1)</f>
        <v>1.3540000000000101</v>
      </c>
      <c r="AL30">
        <f>_xll.EQNXTDZ($A$1,$B30,AL$1,$B$1)</f>
        <v>-8.9600000000000009</v>
      </c>
      <c r="AM30">
        <f>_xll.EQNXTDZ($A$1,$B30,AM$1,$B$1)</f>
        <v>-1.0469999999999999</v>
      </c>
      <c r="AN30">
        <f>_xll.EQNXTDZ($A$1,$B30,AN$1,$B$1)</f>
        <v>2.1989999999999998</v>
      </c>
      <c r="AO30">
        <f>_xll.EQNXTDZ($A$1,$B30,AO$1,$B$1)</f>
        <v>5.94300000000002</v>
      </c>
      <c r="AP30">
        <f>_xll.EQNXTDZ($A$1,$B30,AP$1,$B$1)</f>
        <v>-2.4540000000000002</v>
      </c>
      <c r="AQ30">
        <f>_xll.EQNXTDZ($A$1,$B30,AQ$1,$B$1)</f>
        <v>-5.3460000000000001</v>
      </c>
      <c r="AR30">
        <f>_xll.EQNXTDZ($A$1,$B30,AR$1,$B$1)</f>
        <v>-2.9460000000000002</v>
      </c>
      <c r="AS30">
        <f>_xll.EQNXTDZ($A$1,$B30,AS$1,$B$1)</f>
        <v>11.384</v>
      </c>
      <c r="AT30">
        <f>_xll.EQNXTDZ($A$1,$B30,AT$1,$B$1)</f>
        <v>9.7929999999999904</v>
      </c>
      <c r="AU30">
        <f>_xll.EQNXTDZ($A$1,$B30,AU$1,$B$1)</f>
        <v>4.3369999999999802</v>
      </c>
      <c r="AV30">
        <f>_xll.EQNXTDZ($A$1,$B30,AV$1,$B$1)</f>
        <v>6.9840000000000098</v>
      </c>
      <c r="AW30">
        <f>_xll.EQNXTDZ($A$1,$B30,AW$1,$B$1)</f>
        <v>10.319000000000001</v>
      </c>
      <c r="AX30">
        <f>_xll.EQNXTDZ($A$1,$B30,AX$1,$B$1)</f>
        <v>3.6179999999999999</v>
      </c>
      <c r="AY30">
        <f>_xll.EQNXTDZ($A$1,$B30,AY$1,$B$1)</f>
        <v>-2.7000000000004101E-2</v>
      </c>
      <c r="AZ30">
        <f>_xll.EQNXTDZ($A$1,$B30,AZ$1,$B$1)</f>
        <v>-7.4969999999999999</v>
      </c>
      <c r="BA30">
        <f>_xll.EQNXTDZ($A$1,$B30,BA$1,$B$1)</f>
        <v>-1.474</v>
      </c>
      <c r="BB30">
        <f>_xll.EQNXTDZ($A$1,$B30,BB$1,$B$1)</f>
        <v>-2.9140000000000099</v>
      </c>
      <c r="BC30">
        <f>_xll.EQNXTDZ($A$1,$B30,BC$1,$B$1)</f>
        <v>1.718</v>
      </c>
      <c r="BD30">
        <f>_xll.EQNXTDZ($A$1,$B30,BD$1,$B$1)</f>
        <v>8.9190000000000094</v>
      </c>
      <c r="BE30">
        <f>_xll.EQNXTDZ($A$1,$B30,BE$1,$B$1)</f>
        <v>0.42100000000000698</v>
      </c>
      <c r="BF30">
        <f>_xll.EQNXTDZ($A$1,$B30,BF$1,$B$1)</f>
        <v>7.3620000000000303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4.4660000000000002</v>
      </c>
      <c r="D38">
        <f>_xll.EQNXTDZ($A$1,$B38,D$1,$B$1)</f>
        <v>-3.7170000000000001</v>
      </c>
      <c r="E38">
        <f>_xll.EQNXTDZ($A$1,$B38,E$1,$B$1)</f>
        <v>1.6950000000000001</v>
      </c>
      <c r="F38">
        <f>_xll.EQNXTDZ($A$1,$B38,F$1,$B$1)</f>
        <v>-3.4369999999999998</v>
      </c>
      <c r="G38">
        <f>_xll.EQNXTDZ($A$1,$B38,G$1,$B$1)</f>
        <v>-13.757999999999999</v>
      </c>
      <c r="H38">
        <f>_xll.EQNXTDZ($A$1,$B38,H$1,$B$1)</f>
        <v>-18.510000000000002</v>
      </c>
      <c r="I38">
        <f>_xll.EQNXTDZ($A$1,$B38,I$1,$B$1)</f>
        <v>11.531000000000001</v>
      </c>
      <c r="J38">
        <f>_xll.EQNXTDZ($A$1,$B38,J$1,$B$1)</f>
        <v>-1.5760000000000001</v>
      </c>
      <c r="K38">
        <f>_xll.EQNXTDZ($A$1,$B38,K$1,$B$1)</f>
        <v>-2.637</v>
      </c>
      <c r="L38">
        <f>_xll.EQNXTDZ($A$1,$B38,L$1,$B$1)</f>
        <v>4.2160000000000002</v>
      </c>
      <c r="M38">
        <f>_xll.EQNXTDZ($A$1,$B38,M$1,$B$1)</f>
        <v>0.11899999999999999</v>
      </c>
      <c r="N38">
        <f>_xll.EQNXTDZ($A$1,$B38,N$1,$B$1)</f>
        <v>7.7759999999999998</v>
      </c>
      <c r="O38">
        <f>_xll.EQNXTDZ($A$1,$B38,O$1,$B$1)</f>
        <v>0.93600000000000005</v>
      </c>
      <c r="P38">
        <f>_xll.EQNXTDZ($A$1,$B38,P$1,$B$1)</f>
        <v>-2.8039999999999998</v>
      </c>
      <c r="Q38">
        <f>_xll.EQNXTDZ($A$1,$B38,Q$1,$B$1)</f>
        <v>4.2960000000000003</v>
      </c>
      <c r="R38">
        <f>_xll.EQNXTDZ($A$1,$B38,R$1,$B$1)</f>
        <v>10.694000000000001</v>
      </c>
      <c r="S38">
        <f>_xll.EQNXTDZ($A$1,$B38,S$1,$B$1)</f>
        <v>-8.3480000000000008</v>
      </c>
      <c r="T38">
        <f>_xll.EQNXTDZ($A$1,$B38,T$1,$B$1)</f>
        <v>2.1000000000000001E-2</v>
      </c>
      <c r="U38">
        <f>_xll.EQNXTDZ($A$1,$B38,U$1,$B$1)</f>
        <v>9.5389999999999997</v>
      </c>
      <c r="V38">
        <f>_xll.EQNXTDZ($A$1,$B38,V$1,$B$1)</f>
        <v>4.5789999999999997</v>
      </c>
      <c r="W38">
        <f>_xll.EQNXTDZ($A$1,$B38,W$1,$B$1)</f>
        <v>0.19400000000000001</v>
      </c>
      <c r="X38">
        <f>_xll.EQNXTDZ($A$1,$B38,X$1,$B$1)</f>
        <v>4.5229999999999997</v>
      </c>
      <c r="Y38">
        <f>_xll.EQNXTDZ($A$1,$B38,Y$1,$B$1)</f>
        <v>3.0009999999999999</v>
      </c>
      <c r="Z38">
        <f>_xll.EQNXTDZ($A$1,$B38,Z$1,$B$1)</f>
        <v>-0.999</v>
      </c>
      <c r="AA38">
        <f>_xll.EQNXTDZ($A$1,$B38,AA$1,$B$1)</f>
        <v>3.3380000000000001</v>
      </c>
      <c r="AB38">
        <f>_xll.EQNXTDZ($A$1,$B38,AB$1,$B$1)</f>
        <v>10.432</v>
      </c>
      <c r="AC38">
        <f>_xll.EQNXTDZ($A$1,$B38,AC$1,$B$1)</f>
        <v>15.85</v>
      </c>
      <c r="AD38">
        <f>_xll.EQNXTDZ($A$1,$B38,AD$1,$B$1)</f>
        <v>5.4789999999999903</v>
      </c>
      <c r="AE38">
        <f>_xll.EQNXTDZ($A$1,$B38,AE$1,$B$1)</f>
        <v>3.7719999999999998</v>
      </c>
      <c r="AF38">
        <f>_xll.EQNXTDZ($A$1,$B38,AF$1,$B$1)</f>
        <v>9.7959999999999994</v>
      </c>
      <c r="AG38">
        <f>_xll.EQNXTDZ($A$1,$B38,AG$1,$B$1)</f>
        <v>5.6499999999999897</v>
      </c>
      <c r="AH38">
        <f>_xll.EQNXTDZ($A$1,$B38,AH$1,$B$1)</f>
        <v>4.5250000000000004</v>
      </c>
      <c r="AI38">
        <f>_xll.EQNXTDZ($A$1,$B38,AI$1,$B$1)</f>
        <v>-10.098000000000001</v>
      </c>
      <c r="AJ38">
        <f>_xll.EQNXTDZ($A$1,$B38,AJ$1,$B$1)</f>
        <v>-11.356999999999999</v>
      </c>
      <c r="AK38">
        <f>_xll.EQNXTDZ($A$1,$B38,AK$1,$B$1)</f>
        <v>1.3540000000000101</v>
      </c>
      <c r="AL38">
        <f>_xll.EQNXTDZ($A$1,$B38,AL$1,$B$1)</f>
        <v>-8.9600000000000009</v>
      </c>
      <c r="AM38">
        <f>_xll.EQNXTDZ($A$1,$B38,AM$1,$B$1)</f>
        <v>-1.0469999999999999</v>
      </c>
      <c r="AN38">
        <f>_xll.EQNXTDZ($A$1,$B38,AN$1,$B$1)</f>
        <v>2.1989999999999998</v>
      </c>
      <c r="AO38">
        <f>_xll.EQNXTDZ($A$1,$B38,AO$1,$B$1)</f>
        <v>5.94300000000002</v>
      </c>
      <c r="AP38">
        <f>_xll.EQNXTDZ($A$1,$B38,AP$1,$B$1)</f>
        <v>-2.4540000000000002</v>
      </c>
      <c r="AQ38">
        <f>_xll.EQNXTDZ($A$1,$B38,AQ$1,$B$1)</f>
        <v>-5.3460000000000001</v>
      </c>
      <c r="AR38">
        <f>_xll.EQNXTDZ($A$1,$B38,AR$1,$B$1)</f>
        <v>-2.9460000000000002</v>
      </c>
      <c r="AS38">
        <f>_xll.EQNXTDZ($A$1,$B38,AS$1,$B$1)</f>
        <v>11.384</v>
      </c>
      <c r="AT38">
        <f>_xll.EQNXTDZ($A$1,$B38,AT$1,$B$1)</f>
        <v>9.7929999999999904</v>
      </c>
      <c r="AU38">
        <f>_xll.EQNXTDZ($A$1,$B38,AU$1,$B$1)</f>
        <v>4.3369999999999802</v>
      </c>
      <c r="AV38">
        <f>_xll.EQNXTDZ($A$1,$B38,AV$1,$B$1)</f>
        <v>6.9840000000000098</v>
      </c>
      <c r="AW38">
        <f>_xll.EQNXTDZ($A$1,$B38,AW$1,$B$1)</f>
        <v>10.319000000000001</v>
      </c>
      <c r="AX38">
        <f>_xll.EQNXTDZ($A$1,$B38,AX$1,$B$1)</f>
        <v>3.6179999999999999</v>
      </c>
      <c r="AY38">
        <f>_xll.EQNXTDZ($A$1,$B38,AY$1,$B$1)</f>
        <v>-2.7000000000004101E-2</v>
      </c>
      <c r="AZ38">
        <f>_xll.EQNXTDZ($A$1,$B38,AZ$1,$B$1)</f>
        <v>-7.4969999999999999</v>
      </c>
      <c r="BA38">
        <f>_xll.EQNXTDZ($A$1,$B38,BA$1,$B$1)</f>
        <v>-1.474</v>
      </c>
      <c r="BB38">
        <f>_xll.EQNXTDZ($A$1,$B38,BB$1,$B$1)</f>
        <v>-2.9140000000000001</v>
      </c>
      <c r="BC38">
        <f>_xll.EQNXTDZ($A$1,$B38,BC$1,$B$1)</f>
        <v>1.718</v>
      </c>
      <c r="BD38">
        <f>_xll.EQNXTDZ($A$1,$B38,BD$1,$B$1)</f>
        <v>8.9190000000000094</v>
      </c>
      <c r="BE38">
        <f>_xll.EQNXTDZ($A$1,$B38,BE$1,$B$1)</f>
        <v>0.42100000000000698</v>
      </c>
      <c r="BF38">
        <f>_xll.EQNXTDZ($A$1,$B38,BF$1,$B$1)</f>
        <v>7.3609999999999998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3.4000000000000002E-2</v>
      </c>
      <c r="T40">
        <f>_xll.EQNXTDZ($A$1,$B40,T$1,$B$1)</f>
        <v>0.20799999999999999</v>
      </c>
      <c r="U40">
        <f>_xll.EQNXTDZ($A$1,$B40,U$1,$B$1)</f>
        <v>0.64500000000000002</v>
      </c>
      <c r="V40">
        <f>_xll.EQNXTDZ($A$1,$B40,V$1,$B$1)</f>
        <v>-1.1930000000000001</v>
      </c>
      <c r="W40">
        <f>_xll.EQNXTDZ($A$1,$B40,W$1,$B$1)</f>
        <v>-1.0189999999999999</v>
      </c>
      <c r="X40">
        <f>_xll.EQNXTDZ($A$1,$B40,X$1,$B$1)</f>
        <v>0.746</v>
      </c>
      <c r="Y40">
        <f>_xll.EQNXTDZ($A$1,$B40,Y$1,$B$1)</f>
        <v>-0.76400000000000001</v>
      </c>
      <c r="Z40">
        <f>_xll.EQNXTDZ($A$1,$B40,Z$1,$B$1)</f>
        <v>0.13700000000000001</v>
      </c>
      <c r="AA40">
        <f>_xll.EQNXTDZ($A$1,$B40,AA$1,$B$1)</f>
        <v>-2.0880000000000001</v>
      </c>
      <c r="AB40">
        <f>_xll.EQNXTDZ($A$1,$B40,AB$1,$B$1)</f>
        <v>-3.9140000000000001</v>
      </c>
      <c r="AC40">
        <f>_xll.EQNXTDZ($A$1,$B40,AC$1,$B$1)</f>
        <v>3.7690000000000001</v>
      </c>
      <c r="AD40">
        <f>_xll.EQNXTDZ($A$1,$B40,AD$1,$B$1)</f>
        <v>2.548</v>
      </c>
      <c r="AE40">
        <f>_xll.EQNXTDZ($A$1,$B40,AE$1,$B$1)</f>
        <v>-5.6000000000000001E-2</v>
      </c>
      <c r="AF40">
        <f>_xll.EQNXTDZ($A$1,$B40,AF$1,$B$1)</f>
        <v>-6.0000000000000001E-3</v>
      </c>
      <c r="AG40">
        <f>_xll.EQNXTDZ($A$1,$B40,AG$1,$B$1)</f>
        <v>-0.79900000000000004</v>
      </c>
      <c r="AH40">
        <f>_xll.EQNXTDZ($A$1,$B40,AH$1,$B$1)</f>
        <v>-0.503</v>
      </c>
      <c r="AI40">
        <f>_xll.EQNXTDZ($A$1,$B40,AI$1,$B$1)</f>
        <v>9.1999999999999998E-2</v>
      </c>
      <c r="AJ40">
        <f>_xll.EQNXTDZ($A$1,$B40,AJ$1,$B$1)</f>
        <v>0.20699999999999999</v>
      </c>
      <c r="AK40">
        <f>_xll.EQNXTDZ($A$1,$B40,AK$1,$B$1)</f>
        <v>6.3E-2</v>
      </c>
      <c r="AL40">
        <f>_xll.EQNXTDZ($A$1,$B40,AL$1,$B$1)</f>
        <v>-0.95399999999999996</v>
      </c>
      <c r="AM40">
        <f>_xll.EQNXTDZ($A$1,$B40,AM$1,$B$1)</f>
        <v>0.28399999999999997</v>
      </c>
      <c r="AN40">
        <f>_xll.EQNXTDZ($A$1,$B40,AN$1,$B$1)</f>
        <v>0.33600000000000002</v>
      </c>
      <c r="AO40">
        <f>_xll.EQNXTDZ($A$1,$B40,AO$1,$B$1)</f>
        <v>-0.27100000000000002</v>
      </c>
      <c r="AP40">
        <f>_xll.EQNXTDZ($A$1,$B40,AP$1,$B$1)</f>
        <v>4.8000000000000001E-2</v>
      </c>
      <c r="AQ40">
        <f>_xll.EQNXTDZ($A$1,$B40,AQ$1,$B$1)</f>
        <v>-0.14899999999999999</v>
      </c>
      <c r="AR40">
        <f>_xll.EQNXTDZ($A$1,$B40,AR$1,$B$1)</f>
        <v>-1.2999999999999999E-2</v>
      </c>
      <c r="AS40">
        <f>_xll.EQNXTDZ($A$1,$B40,AS$1,$B$1)</f>
        <v>0.28499999999999998</v>
      </c>
      <c r="AT40">
        <f>_xll.EQNXTDZ($A$1,$B40,AT$1,$B$1)</f>
        <v>3.6999999999999998E-2</v>
      </c>
      <c r="AU40">
        <f>_xll.EQNXTDZ($A$1,$B40,AU$1,$B$1)</f>
        <v>5.0000000000000001E-3</v>
      </c>
      <c r="AV40">
        <f>_xll.EQNXTDZ($A$1,$B40,AV$1,$B$1)</f>
        <v>0</v>
      </c>
      <c r="AW40">
        <f>_xll.EQNXTDZ($A$1,$B40,AW$1,$B$1)</f>
        <v>-0.13300000000000001</v>
      </c>
      <c r="AX40">
        <f>_xll.EQNXTDZ($A$1,$B40,AX$1,$B$1)</f>
        <v>0.17100000000000001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-1.573</v>
      </c>
      <c r="BB40">
        <f>_xll.EQNXTDZ($A$1,$B40,BB$1,$B$1)</f>
        <v>-1.84</v>
      </c>
      <c r="BC40">
        <f>_xll.EQNXTDZ($A$1,$B40,BC$1,$B$1)</f>
        <v>0.17899999999999999</v>
      </c>
      <c r="BD40">
        <f>_xll.EQNXTDZ($A$1,$B40,BD$1,$B$1)</f>
        <v>-1.89</v>
      </c>
      <c r="BE40">
        <f>_xll.EQNXTDZ($A$1,$B40,BE$1,$B$1)</f>
        <v>0.156</v>
      </c>
      <c r="BF40">
        <f>_xll.EQNXTDZ($A$1,$B40,BF$1,$B$1)</f>
        <v>-3.431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-2.8039999999999998</v>
      </c>
      <c r="Q41">
        <f>_xll.EQNXTDZ($A$1,$B41,Q$1,$B$1)</f>
        <v>4.2960000000000003</v>
      </c>
      <c r="R41">
        <f>_xll.EQNXTDZ($A$1,$B41,R$1,$B$1)</f>
        <v>10.694000000000001</v>
      </c>
      <c r="S41">
        <f>_xll.EQNXTDZ($A$1,$B41,S$1,$B$1)</f>
        <v>-8.3149999999999995</v>
      </c>
      <c r="T41">
        <f>_xll.EQNXTDZ($A$1,$B41,T$1,$B$1)</f>
        <v>0.22900000000000001</v>
      </c>
      <c r="U41">
        <f>_xll.EQNXTDZ($A$1,$B41,U$1,$B$1)</f>
        <v>10.183999999999999</v>
      </c>
      <c r="V41">
        <f>_xll.EQNXTDZ($A$1,$B41,V$1,$B$1)</f>
        <v>3.3860000000000001</v>
      </c>
      <c r="W41">
        <f>_xll.EQNXTDZ($A$1,$B41,W$1,$B$1)</f>
        <v>-0.82499999999999996</v>
      </c>
      <c r="X41">
        <f>_xll.EQNXTDZ($A$1,$B41,X$1,$B$1)</f>
        <v>5.2690000000000001</v>
      </c>
      <c r="Y41">
        <f>_xll.EQNXTDZ($A$1,$B41,Y$1,$B$1)</f>
        <v>2.2370000000000001</v>
      </c>
      <c r="Z41">
        <f>_xll.EQNXTDZ($A$1,$B41,Z$1,$B$1)</f>
        <v>-0.86199999999999999</v>
      </c>
      <c r="AA41">
        <f>_xll.EQNXTDZ($A$1,$B41,AA$1,$B$1)</f>
        <v>1.25</v>
      </c>
      <c r="AB41">
        <f>_xll.EQNXTDZ($A$1,$B41,AB$1,$B$1)</f>
        <v>6.5170000000000003</v>
      </c>
      <c r="AC41">
        <f>_xll.EQNXTDZ($A$1,$B41,AC$1,$B$1)</f>
        <v>19.617000000000001</v>
      </c>
      <c r="AD41">
        <f>_xll.EQNXTDZ($A$1,$B41,AD$1,$B$1)</f>
        <v>8.0269999999999992</v>
      </c>
      <c r="AE41">
        <f>_xll.EQNXTDZ($A$1,$B41,AE$1,$B$1)</f>
        <v>3.7160000000000002</v>
      </c>
      <c r="AF41">
        <f>_xll.EQNXTDZ($A$1,$B41,AF$1,$B$1)</f>
        <v>9.7910000000000004</v>
      </c>
      <c r="AG41">
        <f>_xll.EQNXTDZ($A$1,$B41,AG$1,$B$1)</f>
        <v>4.8520000000000003</v>
      </c>
      <c r="AH41">
        <f>_xll.EQNXTDZ($A$1,$B41,AH$1,$B$1)</f>
        <v>4.0229999999999997</v>
      </c>
      <c r="AI41">
        <f>_xll.EQNXTDZ($A$1,$B41,AI$1,$B$1)</f>
        <v>-10.006</v>
      </c>
      <c r="AJ41">
        <f>_xll.EQNXTDZ($A$1,$B41,AJ$1,$B$1)</f>
        <v>-11.15</v>
      </c>
      <c r="AK41">
        <f>_xll.EQNXTDZ($A$1,$B41,AK$1,$B$1)</f>
        <v>1.417</v>
      </c>
      <c r="AL41">
        <f>_xll.EQNXTDZ($A$1,$B41,AL$1,$B$1)</f>
        <v>-9.9139999999999997</v>
      </c>
      <c r="AM41">
        <f>_xll.EQNXTDZ($A$1,$B41,AM$1,$B$1)</f>
        <v>-0.76400000000000001</v>
      </c>
      <c r="AN41">
        <f>_xll.EQNXTDZ($A$1,$B41,AN$1,$B$1)</f>
        <v>2.5350000000000001</v>
      </c>
      <c r="AO41">
        <f>_xll.EQNXTDZ($A$1,$B41,AO$1,$B$1)</f>
        <v>5.6719999999999997</v>
      </c>
      <c r="AP41">
        <f>_xll.EQNXTDZ($A$1,$B41,AP$1,$B$1)</f>
        <v>-2.4060000000000001</v>
      </c>
      <c r="AQ41">
        <f>_xll.EQNXTDZ($A$1,$B41,AQ$1,$B$1)</f>
        <v>-5.4950000000000001</v>
      </c>
      <c r="AR41">
        <f>_xll.EQNXTDZ($A$1,$B41,AR$1,$B$1)</f>
        <v>-2.9590000000000001</v>
      </c>
      <c r="AS41">
        <f>_xll.EQNXTDZ($A$1,$B41,AS$1,$B$1)</f>
        <v>11.667999999999999</v>
      </c>
      <c r="AT41">
        <f>_xll.EQNXTDZ($A$1,$B41,AT$1,$B$1)</f>
        <v>9.8290000000000006</v>
      </c>
      <c r="AU41">
        <f>_xll.EQNXTDZ($A$1,$B41,AU$1,$B$1)</f>
        <v>4.3410000000000002</v>
      </c>
      <c r="AV41">
        <f>_xll.EQNXTDZ($A$1,$B41,AV$1,$B$1)</f>
        <v>6.984</v>
      </c>
      <c r="AW41">
        <f>_xll.EQNXTDZ($A$1,$B41,AW$1,$B$1)</f>
        <v>10.185</v>
      </c>
      <c r="AX41">
        <f>_xll.EQNXTDZ($A$1,$B41,AX$1,$B$1)</f>
        <v>3.7890000000000001</v>
      </c>
      <c r="AY41">
        <f>_xll.EQNXTDZ($A$1,$B41,AY$1,$B$1)</f>
        <v>-2.8000000000000001E-2</v>
      </c>
      <c r="AZ41">
        <f>_xll.EQNXTDZ($A$1,$B41,AZ$1,$B$1)</f>
        <v>-7.4969999999999999</v>
      </c>
      <c r="BA41">
        <f>_xll.EQNXTDZ($A$1,$B41,BA$1,$B$1)</f>
        <v>-3.048</v>
      </c>
      <c r="BB41">
        <f>_xll.EQNXTDZ($A$1,$B41,BB$1,$B$1)</f>
        <v>-4.7539999999999996</v>
      </c>
      <c r="BC41">
        <f>_xll.EQNXTDZ($A$1,$B41,BC$1,$B$1)</f>
        <v>1.8979999999999999</v>
      </c>
      <c r="BD41">
        <f>_xll.EQNXTDZ($A$1,$B41,BD$1,$B$1)</f>
        <v>7.03</v>
      </c>
      <c r="BE41">
        <f>_xll.EQNXTDZ($A$1,$B41,BE$1,$B$1)</f>
        <v>0.57699999999999996</v>
      </c>
      <c r="BF41">
        <f>_xll.EQNXTDZ($A$1,$B41,BF$1,$B$1)</f>
        <v>3.931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4.4660000000000002</v>
      </c>
      <c r="D42">
        <f>_xll.EQNXTDZ($A$1,$B42,D$1,$B$1)</f>
        <v>-3.7170000000000001</v>
      </c>
      <c r="E42">
        <f>_xll.EQNXTDZ($A$1,$B42,E$1,$B$1)</f>
        <v>1.6950000000000001</v>
      </c>
      <c r="F42">
        <f>_xll.EQNXTDZ($A$1,$B42,F$1,$B$1)</f>
        <v>-3.4369999999999998</v>
      </c>
      <c r="G42">
        <f>_xll.EQNXTDZ($A$1,$B42,G$1,$B$1)</f>
        <v>-13.757999999999999</v>
      </c>
      <c r="H42">
        <f>_xll.EQNXTDZ($A$1,$B42,H$1,$B$1)</f>
        <v>-18.510000000000002</v>
      </c>
      <c r="I42">
        <f>_xll.EQNXTDZ($A$1,$B42,I$1,$B$1)</f>
        <v>11.531000000000001</v>
      </c>
      <c r="J42">
        <f>_xll.EQNXTDZ($A$1,$B42,J$1,$B$1)</f>
        <v>-1.5760000000000001</v>
      </c>
      <c r="K42">
        <f>_xll.EQNXTDZ($A$1,$B42,K$1,$B$1)</f>
        <v>-2.637</v>
      </c>
      <c r="L42">
        <f>_xll.EQNXTDZ($A$1,$B42,L$1,$B$1)</f>
        <v>4.2160000000000002</v>
      </c>
      <c r="M42">
        <f>_xll.EQNXTDZ($A$1,$B42,M$1,$B$1)</f>
        <v>0.11899999999999999</v>
      </c>
      <c r="N42">
        <f>_xll.EQNXTDZ($A$1,$B42,N$1,$B$1)</f>
        <v>7.7759999999999998</v>
      </c>
      <c r="O42">
        <f>_xll.EQNXTDZ($A$1,$B42,O$1,$B$1)</f>
        <v>0.93600000000000005</v>
      </c>
      <c r="P42">
        <f>_xll.EQNXTDZ($A$1,$B42,P$1,$B$1)</f>
        <v>-2.8039999999999998</v>
      </c>
      <c r="Q42">
        <f>_xll.EQNXTDZ($A$1,$B42,Q$1,$B$1)</f>
        <v>4.2960000000000003</v>
      </c>
      <c r="R42">
        <f>_xll.EQNXTDZ($A$1,$B42,R$1,$B$1)</f>
        <v>10.694000000000001</v>
      </c>
      <c r="S42">
        <f>_xll.EQNXTDZ($A$1,$B42,S$1,$B$1)</f>
        <v>-8.3480000000000008</v>
      </c>
      <c r="T42">
        <f>_xll.EQNXTDZ($A$1,$B42,T$1,$B$1)</f>
        <v>2.1000000000000001E-2</v>
      </c>
      <c r="U42">
        <f>_xll.EQNXTDZ($A$1,$B42,U$1,$B$1)</f>
        <v>9.5389999999999997</v>
      </c>
      <c r="V42">
        <f>_xll.EQNXTDZ($A$1,$B42,V$1,$B$1)</f>
        <v>4.5789999999999997</v>
      </c>
      <c r="W42">
        <f>_xll.EQNXTDZ($A$1,$B42,W$1,$B$1)</f>
        <v>0.19400000000000001</v>
      </c>
      <c r="X42">
        <f>_xll.EQNXTDZ($A$1,$B42,X$1,$B$1)</f>
        <v>4.5229999999999997</v>
      </c>
      <c r="Y42">
        <f>_xll.EQNXTDZ($A$1,$B42,Y$1,$B$1)</f>
        <v>3.0009999999999999</v>
      </c>
      <c r="Z42">
        <f>_xll.EQNXTDZ($A$1,$B42,Z$1,$B$1)</f>
        <v>-0.999</v>
      </c>
      <c r="AA42">
        <f>_xll.EQNXTDZ($A$1,$B42,AA$1,$B$1)</f>
        <v>3.3380000000000001</v>
      </c>
      <c r="AB42">
        <f>_xll.EQNXTDZ($A$1,$B42,AB$1,$B$1)</f>
        <v>10.432</v>
      </c>
      <c r="AC42">
        <f>_xll.EQNXTDZ($A$1,$B42,AC$1,$B$1)</f>
        <v>15.85</v>
      </c>
      <c r="AD42">
        <f>_xll.EQNXTDZ($A$1,$B42,AD$1,$B$1)</f>
        <v>5.4789999999999903</v>
      </c>
      <c r="AE42">
        <f>_xll.EQNXTDZ($A$1,$B42,AE$1,$B$1)</f>
        <v>3.7719999999999998</v>
      </c>
      <c r="AF42">
        <f>_xll.EQNXTDZ($A$1,$B42,AF$1,$B$1)</f>
        <v>9.7959999999999994</v>
      </c>
      <c r="AG42">
        <f>_xll.EQNXTDZ($A$1,$B42,AG$1,$B$1)</f>
        <v>5.6499999999999897</v>
      </c>
      <c r="AH42">
        <f>_xll.EQNXTDZ($A$1,$B42,AH$1,$B$1)</f>
        <v>4.5250000000000004</v>
      </c>
      <c r="AI42">
        <f>_xll.EQNXTDZ($A$1,$B42,AI$1,$B$1)</f>
        <v>-10.098000000000001</v>
      </c>
      <c r="AJ42">
        <f>_xll.EQNXTDZ($A$1,$B42,AJ$1,$B$1)</f>
        <v>-11.356999999999999</v>
      </c>
      <c r="AK42">
        <f>_xll.EQNXTDZ($A$1,$B42,AK$1,$B$1)</f>
        <v>1.3540000000000101</v>
      </c>
      <c r="AL42">
        <f>_xll.EQNXTDZ($A$1,$B42,AL$1,$B$1)</f>
        <v>-8.9600000000000009</v>
      </c>
      <c r="AM42">
        <f>_xll.EQNXTDZ($A$1,$B42,AM$1,$B$1)</f>
        <v>-1.0469999999999999</v>
      </c>
      <c r="AN42">
        <f>_xll.EQNXTDZ($A$1,$B42,AN$1,$B$1)</f>
        <v>2.1989999999999998</v>
      </c>
      <c r="AO42">
        <f>_xll.EQNXTDZ($A$1,$B42,AO$1,$B$1)</f>
        <v>5.94300000000002</v>
      </c>
      <c r="AP42">
        <f>_xll.EQNXTDZ($A$1,$B42,AP$1,$B$1)</f>
        <v>-2.4540000000000002</v>
      </c>
      <c r="AQ42">
        <f>_xll.EQNXTDZ($A$1,$B42,AQ$1,$B$1)</f>
        <v>-5.3460000000000001</v>
      </c>
      <c r="AR42">
        <f>_xll.EQNXTDZ($A$1,$B42,AR$1,$B$1)</f>
        <v>-2.9460000000000002</v>
      </c>
      <c r="AS42">
        <f>_xll.EQNXTDZ($A$1,$B42,AS$1,$B$1)</f>
        <v>11.384</v>
      </c>
      <c r="AT42">
        <f>_xll.EQNXTDZ($A$1,$B42,AT$1,$B$1)</f>
        <v>9.7929999999999904</v>
      </c>
      <c r="AU42">
        <f>_xll.EQNXTDZ($A$1,$B42,AU$1,$B$1)</f>
        <v>4.3369999999999802</v>
      </c>
      <c r="AV42">
        <f>_xll.EQNXTDZ($A$1,$B42,AV$1,$B$1)</f>
        <v>6.9840000000000098</v>
      </c>
      <c r="AW42">
        <f>_xll.EQNXTDZ($A$1,$B42,AW$1,$B$1)</f>
        <v>10.319000000000001</v>
      </c>
      <c r="AX42">
        <f>_xll.EQNXTDZ($A$1,$B42,AX$1,$B$1)</f>
        <v>3.6179999999999999</v>
      </c>
      <c r="AY42">
        <f>_xll.EQNXTDZ($A$1,$B42,AY$1,$B$1)</f>
        <v>-2.7000000000004101E-2</v>
      </c>
      <c r="AZ42">
        <f>_xll.EQNXTDZ($A$1,$B42,AZ$1,$B$1)</f>
        <v>-7.4969999999999999</v>
      </c>
      <c r="BA42">
        <f>_xll.EQNXTDZ($A$1,$B42,BA$1,$B$1)</f>
        <v>-1.474</v>
      </c>
      <c r="BB42">
        <f>_xll.EQNXTDZ($A$1,$B42,BB$1,$B$1)</f>
        <v>-2.9140000000000001</v>
      </c>
      <c r="BC42">
        <f>_xll.EQNXTDZ($A$1,$B42,BC$1,$B$1)</f>
        <v>1.718</v>
      </c>
      <c r="BD42">
        <f>_xll.EQNXTDZ($A$1,$B42,BD$1,$B$1)</f>
        <v>8.9190000000000094</v>
      </c>
      <c r="BE42">
        <f>_xll.EQNXTDZ($A$1,$B42,BE$1,$B$1)</f>
        <v>0.42100000000000698</v>
      </c>
      <c r="BF42">
        <f>_xll.EQNXTDZ($A$1,$B42,BF$1,$B$1)</f>
        <v>7.3609999999999998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4.9379999999999997</v>
      </c>
      <c r="D45">
        <f>_xll.EQNXTDZ($A$1,$B45,D$1,$B$1)</f>
        <v>4.9379999999999997</v>
      </c>
      <c r="E45">
        <f>_xll.EQNXTDZ($A$1,$B45,E$1,$B$1)</f>
        <v>4.9379999999999997</v>
      </c>
      <c r="F45">
        <f>_xll.EQNXTDZ($A$1,$B45,F$1,$B$1)</f>
        <v>4.9379999999999997</v>
      </c>
      <c r="G45">
        <f>_xll.EQNXTDZ($A$1,$B45,G$1,$B$1)</f>
        <v>4.9379999999999997</v>
      </c>
      <c r="H45">
        <f>_xll.EQNXTDZ($A$1,$B45,H$1,$B$1)</f>
        <v>4.9379999999999997</v>
      </c>
      <c r="I45">
        <f>_xll.EQNXTDZ($A$1,$B45,I$1,$B$1)</f>
        <v>4.9379999999999997</v>
      </c>
      <c r="J45">
        <f>_xll.EQNXTDZ($A$1,$B45,J$1,$B$1)</f>
        <v>4.9379999999999997</v>
      </c>
      <c r="K45">
        <f>_xll.EQNXTDZ($A$1,$B45,K$1,$B$1)</f>
        <v>4.9379999999999997</v>
      </c>
      <c r="L45">
        <f>_xll.EQNXTDZ($A$1,$B45,L$1,$B$1)</f>
        <v>4.9379999999999997</v>
      </c>
      <c r="M45">
        <f>_xll.EQNXTDZ($A$1,$B45,M$1,$B$1)</f>
        <v>4.9379999999999997</v>
      </c>
      <c r="N45">
        <f>_xll.EQNXTDZ($A$1,$B45,N$1,$B$1)</f>
        <v>4.9379999999999997</v>
      </c>
      <c r="O45">
        <f>_xll.EQNXTDZ($A$1,$B45,O$1,$B$1)</f>
        <v>4.9379999999999997</v>
      </c>
      <c r="P45">
        <f>_xll.EQNXTDZ($A$1,$B45,P$1,$B$1)</f>
        <v>4.9379999999999997</v>
      </c>
      <c r="Q45">
        <f>_xll.EQNXTDZ($A$1,$B45,Q$1,$B$1)</f>
        <v>4.9379999999999997</v>
      </c>
      <c r="R45">
        <f>_xll.EQNXTDZ($A$1,$B45,R$1,$B$1)</f>
        <v>4.9379999999999997</v>
      </c>
      <c r="S45">
        <f>_xll.EQNXTDZ($A$1,$B45,S$1,$B$1)</f>
        <v>4.9379999999999997</v>
      </c>
      <c r="T45">
        <f>_xll.EQNXTDZ($A$1,$B45,T$1,$B$1)</f>
        <v>4.9379999999999997</v>
      </c>
      <c r="U45">
        <f>_xll.EQNXTDZ($A$1,$B45,U$1,$B$1)</f>
        <v>4.9379999999999997</v>
      </c>
      <c r="V45">
        <f>_xll.EQNXTDZ($A$1,$B45,V$1,$B$1)</f>
        <v>4.9379999999999997</v>
      </c>
      <c r="W45">
        <f>_xll.EQNXTDZ($A$1,$B45,W$1,$B$1)</f>
        <v>4.9379999999999997</v>
      </c>
      <c r="X45">
        <f>_xll.EQNXTDZ($A$1,$B45,X$1,$B$1)</f>
        <v>4.9379999999999997</v>
      </c>
      <c r="Y45">
        <f>_xll.EQNXTDZ($A$1,$B45,Y$1,$B$1)</f>
        <v>4.9379999999999997</v>
      </c>
      <c r="Z45">
        <f>_xll.EQNXTDZ($A$1,$B45,Z$1,$B$1)</f>
        <v>4.9379999999999997</v>
      </c>
      <c r="AA45">
        <f>_xll.EQNXTDZ($A$1,$B45,AA$1,$B$1)</f>
        <v>4.9379999999999997</v>
      </c>
      <c r="AB45">
        <f>_xll.EQNXTDZ($A$1,$B45,AB$1,$B$1)</f>
        <v>4.9379999999999997</v>
      </c>
      <c r="AC45">
        <f>_xll.EQNXTDZ($A$1,$B45,AC$1,$B$1)</f>
        <v>4.9379999999999997</v>
      </c>
      <c r="AD45">
        <f>_xll.EQNXTDZ($A$1,$B45,AD$1,$B$1)</f>
        <v>4.9379999999999997</v>
      </c>
      <c r="AE45">
        <f>_xll.EQNXTDZ($A$1,$B45,AE$1,$B$1)</f>
        <v>4.9379999999999997</v>
      </c>
      <c r="AF45">
        <f>_xll.EQNXTDZ($A$1,$B45,AF$1,$B$1)</f>
        <v>4.9379999999999997</v>
      </c>
      <c r="AG45">
        <f>_xll.EQNXTDZ($A$1,$B45,AG$1,$B$1)</f>
        <v>4.9379999999999997</v>
      </c>
      <c r="AH45">
        <f>_xll.EQNXTDZ($A$1,$B45,AH$1,$B$1)</f>
        <v>4.9379999999999997</v>
      </c>
      <c r="AI45">
        <f>_xll.EQNXTDZ($A$1,$B45,AI$1,$B$1)</f>
        <v>4.9379999999999997</v>
      </c>
      <c r="AJ45">
        <f>_xll.EQNXTDZ($A$1,$B45,AJ$1,$B$1)</f>
        <v>4.9379999999999997</v>
      </c>
      <c r="AK45">
        <f>_xll.EQNXTDZ($A$1,$B45,AK$1,$B$1)</f>
        <v>4.9379999999999997</v>
      </c>
      <c r="AL45">
        <f>_xll.EQNXTDZ($A$1,$B45,AL$1,$B$1)</f>
        <v>4.9379999999999997</v>
      </c>
      <c r="AM45">
        <f>_xll.EQNXTDZ($A$1,$B45,AM$1,$B$1)</f>
        <v>4.9379999999999997</v>
      </c>
      <c r="AN45">
        <f>_xll.EQNXTDZ($A$1,$B45,AN$1,$B$1)</f>
        <v>4.9379999999999997</v>
      </c>
      <c r="AO45">
        <f>_xll.EQNXTDZ($A$1,$B45,AO$1,$B$1)</f>
        <v>4.9379999999999997</v>
      </c>
      <c r="AP45">
        <f>_xll.EQNXTDZ($A$1,$B45,AP$1,$B$1)</f>
        <v>4.9379999999999997</v>
      </c>
      <c r="AQ45">
        <f>_xll.EQNXTDZ($A$1,$B45,AQ$1,$B$1)</f>
        <v>4.9379999999999997</v>
      </c>
      <c r="AR45">
        <f>_xll.EQNXTDZ($A$1,$B45,AR$1,$B$1)</f>
        <v>4.9379999999999997</v>
      </c>
      <c r="AS45">
        <f>_xll.EQNXTDZ($A$1,$B45,AS$1,$B$1)</f>
        <v>4.9379999999999997</v>
      </c>
      <c r="AT45">
        <f>_xll.EQNXTDZ($A$1,$B45,AT$1,$B$1)</f>
        <v>4.9379999999999997</v>
      </c>
      <c r="AU45">
        <f>_xll.EQNXTDZ($A$1,$B45,AU$1,$B$1)</f>
        <v>4.9379999999999997</v>
      </c>
      <c r="AV45">
        <f>_xll.EQNXTDZ($A$1,$B45,AV$1,$B$1)</f>
        <v>4.9379999999999997</v>
      </c>
      <c r="AW45">
        <f>_xll.EQNXTDZ($A$1,$B45,AW$1,$B$1)</f>
        <v>4.9379999999999997</v>
      </c>
      <c r="AX45">
        <f>_xll.EQNXTDZ($A$1,$B45,AX$1,$B$1)</f>
        <v>4.9379999999999997</v>
      </c>
      <c r="AY45">
        <f>_xll.EQNXTDZ($A$1,$B45,AY$1,$B$1)</f>
        <v>4.9379999999999997</v>
      </c>
      <c r="AZ45">
        <f>_xll.EQNXTDZ($A$1,$B45,AZ$1,$B$1)</f>
        <v>4.9379999999999997</v>
      </c>
      <c r="BA45">
        <f>_xll.EQNXTDZ($A$1,$B45,BA$1,$B$1)</f>
        <v>4.9379999999999997</v>
      </c>
      <c r="BB45">
        <f>_xll.EQNXTDZ($A$1,$B45,BB$1,$B$1)</f>
        <v>4.9379999999999997</v>
      </c>
      <c r="BC45">
        <f>_xll.EQNXTDZ($A$1,$B45,BC$1,$B$1)</f>
        <v>4.9379999999999997</v>
      </c>
      <c r="BD45">
        <f>_xll.EQNXTDZ($A$1,$B45,BD$1,$B$1)</f>
        <v>4.9379999999999997</v>
      </c>
      <c r="BE45">
        <f>_xll.EQNXTDZ($A$1,$B45,BE$1,$B$1)</f>
        <v>4.9379999999999997</v>
      </c>
      <c r="BF45">
        <f>_xll.EQNXTDZ($A$1,$B45,BF$1,$B$1)</f>
        <v>4.9379999999999997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763.65</v>
      </c>
      <c r="D48" s="54">
        <f>_xll.EQNXTDZ($A$1,$B48,D$5)</f>
        <v>705.5</v>
      </c>
      <c r="E48" s="54">
        <f>_xll.EQNXTDZ($A$1,$B48,E$5)</f>
        <v>660</v>
      </c>
      <c r="F48" s="54">
        <f>_xll.EQNXTDZ($A$1,$B48,F$5)</f>
        <v>372.95</v>
      </c>
      <c r="G48" s="54">
        <f>_xll.EQNXTDZ($A$1,$B48,G$5)</f>
        <v>330</v>
      </c>
      <c r="H48" s="54">
        <f>_xll.EQNXTDZ($A$1,$B48,H$5)</f>
        <v>263</v>
      </c>
      <c r="I48" s="54">
        <f>_xll.EQNXTDZ($A$1,$B48,I$5)</f>
        <v>314.39999999999998</v>
      </c>
      <c r="J48" s="54">
        <f>_xll.EQNXTDZ($A$1,$B48,J$5)</f>
        <v>445</v>
      </c>
      <c r="K48" s="54">
        <f>_xll.EQNXTDZ($A$1,$B48,K$5)</f>
        <v>512.6</v>
      </c>
      <c r="L48" s="54">
        <f>_xll.EQNXTDZ($A$1,$B48,L$5)</f>
        <v>461</v>
      </c>
      <c r="M48" s="54">
        <f>_xll.EQNXTDZ($A$1,$B48,M$5)</f>
        <v>505</v>
      </c>
      <c r="N48" s="54">
        <f>_xll.EQNXTDZ($A$1,$B48,N$5)</f>
        <v>398</v>
      </c>
      <c r="O48" s="54">
        <f>_xll.EQNXTDZ($A$1,$B48,O$5)</f>
        <v>380</v>
      </c>
      <c r="P48" s="54">
        <f>_xll.EQNXTDZ($A$1,$B48,P$5)</f>
        <v>407.2</v>
      </c>
      <c r="Q48" s="54">
        <f>_xll.EQNXTDZ($A$1,$B48,Q$5)</f>
        <v>387.5</v>
      </c>
      <c r="R48" s="54">
        <f>_xll.EQNXTDZ($A$1,$B48,R$5)</f>
        <v>408.1</v>
      </c>
      <c r="S48" s="54">
        <f>_xll.EQNXTDZ($A$1,$B48,S$5)</f>
        <v>400</v>
      </c>
      <c r="T48" s="54">
        <f>_xll.EQNXTDZ($A$1,$B48,T$5)</f>
        <v>376</v>
      </c>
      <c r="U48" s="54">
        <f>_xll.EQNXTDZ($A$1,$B48,U$5)</f>
        <v>434.05</v>
      </c>
      <c r="V48" s="54">
        <f>_xll.EQNXTDZ($A$1,$B48,V$5)</f>
        <v>585.29999999999995</v>
      </c>
      <c r="W48" s="54">
        <f>_xll.EQNXTDZ($A$1,$B48,W$5)</f>
        <v>498</v>
      </c>
      <c r="X48" s="54">
        <f>_xll.EQNXTDZ($A$1,$B48,X$5)</f>
        <v>899.85</v>
      </c>
      <c r="Y48" s="54">
        <f>_xll.EQNXTDZ($A$1,$B48,Y$5)</f>
        <v>1274.0999999999999</v>
      </c>
      <c r="Z48" s="54">
        <f>_xll.EQNXTDZ($A$1,$B48,Z$5)</f>
        <v>872.55</v>
      </c>
      <c r="AA48" s="54">
        <f>_xll.EQNXTDZ($A$1,$B48,AA$5)</f>
        <v>777.15</v>
      </c>
      <c r="AB48" s="54">
        <f>_xll.EQNXTDZ($A$1,$B48,AB$5)</f>
        <v>670</v>
      </c>
      <c r="AC48" s="54">
        <f>_xll.EQNXTDZ($A$1,$B48,AC$5)</f>
        <v>987.65</v>
      </c>
      <c r="AD48" s="54">
        <f>_xll.EQNXTDZ($A$1,$B48,AD$5)</f>
        <v>1338.8</v>
      </c>
      <c r="AE48" s="54">
        <f>_xll.EQNXTDZ($A$1,$B48,AE$5)</f>
        <v>1099.6500000000001</v>
      </c>
      <c r="AF48" s="54">
        <f>_xll.EQNXTDZ($A$1,$B48,AF$5)</f>
        <v>939.95</v>
      </c>
      <c r="AG48" s="54">
        <f>_xll.EQNXTDZ($A$1,$B48,AG$5)</f>
        <v>938.35</v>
      </c>
      <c r="AH48" s="54">
        <f>_xll.EQNXTDZ($A$1,$B48,AH$5)</f>
        <v>417.25</v>
      </c>
      <c r="AI48" s="54">
        <f>_xll.EQNXTDZ($A$1,$B48,AI$5)</f>
        <v>481.15</v>
      </c>
      <c r="AJ48" s="54">
        <f>_xll.EQNXTDZ($A$1,$B48,AJ$5)</f>
        <v>798.05</v>
      </c>
      <c r="AK48" s="54">
        <f>_xll.EQNXTDZ($A$1,$B48,AK$5)</f>
        <v>787.5</v>
      </c>
      <c r="AL48" s="54">
        <f>_xll.EQNXTDZ($A$1,$B48,AL$5)</f>
        <v>833.1</v>
      </c>
      <c r="AM48" s="54">
        <f>_xll.EQNXTDZ($A$1,$B48,AM$5)</f>
        <v>925.05</v>
      </c>
      <c r="AN48" s="54">
        <f>_xll.EQNXTDZ($A$1,$B48,AN$5)</f>
        <v>926.9</v>
      </c>
      <c r="AO48" s="54">
        <f>_xll.EQNXTDZ($A$1,$B48,AO$5)</f>
        <v>1029.75</v>
      </c>
      <c r="AP48" s="54">
        <f>_xll.EQNXTDZ($A$1,$B48,AP$5)</f>
        <v>1556.9</v>
      </c>
      <c r="AQ48" s="54">
        <f>_xll.EQNXTDZ($A$1,$B48,AQ$5)</f>
        <v>1158.95</v>
      </c>
      <c r="AR48" s="54">
        <f>_xll.EQNXTDZ($A$1,$B48,AR$5)</f>
        <v>1260.05</v>
      </c>
      <c r="AS48" s="54">
        <f>_xll.EQNXTDZ($A$1,$B48,AS$5)</f>
        <v>1309.1500000000001</v>
      </c>
      <c r="AT48" s="54">
        <f>_xll.EQNXTDZ($A$1,$B48,AT$5)</f>
        <v>1451.95</v>
      </c>
      <c r="AU48" s="54">
        <f>_xll.EQNXTDZ($A$1,$B48,AU$5)</f>
        <v>2947.45</v>
      </c>
      <c r="AV48" s="54">
        <f>_xll.EQNXTDZ($A$1,$B48,AV$5)</f>
        <v>2879</v>
      </c>
      <c r="AW48" s="54">
        <f>_xll.EQNXTDZ($A$1,$B48,AW$5)</f>
        <v>3066.75</v>
      </c>
      <c r="AX48" s="54">
        <f>_xll.EQNXTDZ($A$1,$B48,AX$5)</f>
        <v>3296.45</v>
      </c>
      <c r="AY48" s="54">
        <f>_xll.EQNXTDZ($A$1,$B48,AY$5)</f>
        <v>5998.15</v>
      </c>
      <c r="AZ48" s="54">
        <f>_xll.EQNXTDZ($A$1,$B48,AZ$5)</f>
        <v>5744.6</v>
      </c>
      <c r="BA48" s="54">
        <f>_xll.EQNXTDZ($A$1,$B48,BA$5)</f>
        <v>4184.5</v>
      </c>
      <c r="BB48" s="54">
        <f>_xll.EQNXTDZ($A$1,$B48,BB$5)</f>
        <v>2876</v>
      </c>
      <c r="BC48" s="54">
        <f>_xll.EQNXTDZ($A$1,$B48,BC$5)</f>
        <v>3432.1</v>
      </c>
      <c r="BD48" s="54">
        <f>_xll.EQNXTDZ($A$1,$B48,BD$5)</f>
        <v>5927.35</v>
      </c>
      <c r="BE48" s="54">
        <f>_xll.EQNXTDZ($A$1,$B48,BE$5)</f>
        <v>5268.95</v>
      </c>
      <c r="BF48" s="54">
        <f>_xll.EQNXTDZ($A$1,$B48,BF$5)</f>
        <v>4082.2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75</v>
      </c>
      <c r="D49" s="54">
        <f>_xll.EQNXTDZ($A$1,$B49,D$5)</f>
        <v>75</v>
      </c>
      <c r="E49" s="54">
        <f>_xll.EQNXTDZ($A$1,$B49,E$5)</f>
        <v>75</v>
      </c>
      <c r="F49" s="54">
        <f>_xll.EQNXTDZ($A$1,$B49,F$5)</f>
        <v>75</v>
      </c>
      <c r="G49" s="54">
        <f>_xll.EQNXTDZ($A$1,$B49,G$5)</f>
        <v>75</v>
      </c>
      <c r="H49" s="54">
        <f>_xll.EQNXTDZ($A$1,$B49,H$5)</f>
        <v>75</v>
      </c>
      <c r="I49" s="54">
        <f>_xll.EQNXTDZ($A$1,$B49,I$5)</f>
        <v>75</v>
      </c>
      <c r="J49" s="54">
        <f>_xll.EQNXTDZ($A$1,$B49,J$5)</f>
        <v>75</v>
      </c>
      <c r="K49" s="54">
        <f>_xll.EQNXTDZ($A$1,$B49,K$5)</f>
        <v>75</v>
      </c>
      <c r="L49" s="54">
        <f>_xll.EQNXTDZ($A$1,$B49,L$5)</f>
        <v>75</v>
      </c>
      <c r="M49" s="54">
        <f>_xll.EQNXTDZ($A$1,$B49,M$5)</f>
        <v>75</v>
      </c>
      <c r="N49" s="54">
        <f>_xll.EQNXTDZ($A$1,$B49,N$5)</f>
        <v>75</v>
      </c>
      <c r="O49" s="54">
        <f>_xll.EQNXTDZ($A$1,$B49,O$5)</f>
        <v>75</v>
      </c>
      <c r="P49" s="54">
        <f>_xll.EQNXTDZ($A$1,$B49,P$5)</f>
        <v>75</v>
      </c>
      <c r="Q49" s="54">
        <f>_xll.EQNXTDZ($A$1,$B49,Q$5)</f>
        <v>75</v>
      </c>
      <c r="R49" s="54">
        <f>_xll.EQNXTDZ($A$1,$B49,R$5)</f>
        <v>75</v>
      </c>
      <c r="S49" s="54">
        <f>_xll.EQNXTDZ($A$1,$B49,S$5)</f>
        <v>75</v>
      </c>
      <c r="T49" s="54">
        <f>_xll.EQNXTDZ($A$1,$B49,T$5)</f>
        <v>75</v>
      </c>
      <c r="U49" s="54">
        <f>_xll.EQNXTDZ($A$1,$B49,U$5)</f>
        <v>75</v>
      </c>
      <c r="V49" s="54">
        <f>_xll.EQNXTDZ($A$1,$B49,V$5)</f>
        <v>75</v>
      </c>
      <c r="W49" s="54">
        <f>_xll.EQNXTDZ($A$1,$B49,W$5)</f>
        <v>75</v>
      </c>
      <c r="X49" s="54">
        <f>_xll.EQNXTDZ($A$1,$B49,X$5)</f>
        <v>75</v>
      </c>
      <c r="Y49" s="54">
        <f>_xll.EQNXTDZ($A$1,$B49,Y$5)</f>
        <v>75</v>
      </c>
      <c r="Z49" s="54">
        <f>_xll.EQNXTDZ($A$1,$B49,Z$5)</f>
        <v>75</v>
      </c>
      <c r="AA49" s="54">
        <f>_xll.EQNXTDZ($A$1,$B49,AA$5)</f>
        <v>75</v>
      </c>
      <c r="AB49" s="54">
        <f>_xll.EQNXTDZ($A$1,$B49,AB$5)</f>
        <v>75</v>
      </c>
      <c r="AC49" s="54">
        <f>_xll.EQNXTDZ($A$1,$B49,AC$5)</f>
        <v>75</v>
      </c>
      <c r="AD49" s="54">
        <f>_xll.EQNXTDZ($A$1,$B49,AD$5)</f>
        <v>75</v>
      </c>
      <c r="AE49" s="54">
        <f>_xll.EQNXTDZ($A$1,$B49,AE$5)</f>
        <v>75</v>
      </c>
      <c r="AF49" s="54">
        <f>_xll.EQNXTDZ($A$1,$B49,AF$5)</f>
        <v>75</v>
      </c>
      <c r="AG49" s="54">
        <f>_xll.EQNXTDZ($A$1,$B49,AG$5)</f>
        <v>75</v>
      </c>
      <c r="AH49" s="54">
        <f>_xll.EQNXTDZ($A$1,$B49,AH$5)</f>
        <v>75</v>
      </c>
      <c r="AI49" s="54">
        <f>_xll.EQNXTDZ($A$1,$B49,AI$5)</f>
        <v>75</v>
      </c>
      <c r="AJ49" s="54">
        <f>_xll.EQNXTDZ($A$1,$B49,AJ$5)</f>
        <v>75</v>
      </c>
      <c r="AK49" s="54">
        <f>_xll.EQNXTDZ($A$1,$B49,AK$5)</f>
        <v>75</v>
      </c>
      <c r="AL49" s="54">
        <f>_xll.EQNXTDZ($A$1,$B49,AL$5)</f>
        <v>75</v>
      </c>
      <c r="AM49" s="54">
        <f>_xll.EQNXTDZ($A$1,$B49,AM$5)</f>
        <v>75</v>
      </c>
      <c r="AN49" s="54">
        <f>_xll.EQNXTDZ($A$1,$B49,AN$5)</f>
        <v>75</v>
      </c>
      <c r="AO49" s="54">
        <f>_xll.EQNXTDZ($A$1,$B49,AO$5)</f>
        <v>75</v>
      </c>
      <c r="AP49" s="54">
        <f>_xll.EQNXTDZ($A$1,$B49,AP$5)</f>
        <v>75</v>
      </c>
      <c r="AQ49" s="54">
        <f>_xll.EQNXTDZ($A$1,$B49,AQ$5)</f>
        <v>75</v>
      </c>
      <c r="AR49" s="54">
        <f>_xll.EQNXTDZ($A$1,$B49,AR$5)</f>
        <v>75</v>
      </c>
      <c r="AS49" s="54">
        <f>_xll.EQNXTDZ($A$1,$B49,AS$5)</f>
        <v>75</v>
      </c>
      <c r="AT49" s="54">
        <f>_xll.EQNXTDZ($A$1,$B49,AT$5)</f>
        <v>75</v>
      </c>
      <c r="AU49" s="54">
        <f>_xll.EQNXTDZ($A$1,$B49,AU$5)</f>
        <v>75</v>
      </c>
      <c r="AV49" s="54">
        <f>_xll.EQNXTDZ($A$1,$B49,AV$5)</f>
        <v>75</v>
      </c>
      <c r="AW49" s="54">
        <f>_xll.EQNXTDZ($A$1,$B49,AW$5)</f>
        <v>75</v>
      </c>
      <c r="AX49" s="54">
        <f>_xll.EQNXTDZ($A$1,$B49,AX$5)</f>
        <v>75</v>
      </c>
      <c r="AY49" s="54">
        <f>_xll.EQNXTDZ($A$1,$B49,AY$5)</f>
        <v>75</v>
      </c>
      <c r="AZ49" s="54">
        <f>_xll.EQNXTDZ($A$1,$B49,AZ$5)</f>
        <v>75</v>
      </c>
      <c r="BA49" s="54">
        <f>_xll.EQNXTDZ($A$1,$B49,BA$5)</f>
        <v>75</v>
      </c>
      <c r="BB49" s="54">
        <f>_xll.EQNXTDZ($A$1,$B49,BB$5)</f>
        <v>75</v>
      </c>
      <c r="BC49" s="54">
        <f>_xll.EQNXTDZ($A$1,$B49,BC$5)</f>
        <v>75</v>
      </c>
      <c r="BD49" s="54">
        <f>_xll.EQNXTDZ($A$1,$B49,BD$5)</f>
        <v>75</v>
      </c>
      <c r="BE49" s="54">
        <f>_xll.EQNXTDZ($A$1,$B49,BE$5)</f>
        <v>70.44</v>
      </c>
      <c r="BF49" s="54">
        <f>_xll.EQNXTDZ($A$1,$B49,BF$5)</f>
        <v>70.44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0</v>
      </c>
      <c r="D50" s="54">
        <f>_xll.EQNXTDZ($A$1,$B50,D$5)</f>
        <v>0</v>
      </c>
      <c r="E50" s="54">
        <f>_xll.EQNXTDZ($A$1,$B50,E$5)</f>
        <v>0</v>
      </c>
      <c r="F50" s="54">
        <f>_xll.EQNXTDZ($A$1,$B50,F$5)</f>
        <v>0</v>
      </c>
      <c r="G50" s="54">
        <f>_xll.EQNXTDZ($A$1,$B50,G$5)</f>
        <v>0</v>
      </c>
      <c r="H50" s="54">
        <f>_xll.EQNXTDZ($A$1,$B50,H$5)</f>
        <v>0</v>
      </c>
      <c r="I50" s="54">
        <f>_xll.EQNXTDZ($A$1,$B50,I$5)</f>
        <v>0</v>
      </c>
      <c r="J50" s="54">
        <f>_xll.EQNXTDZ($A$1,$B50,J$5)</f>
        <v>0</v>
      </c>
      <c r="K50" s="54">
        <f>_xll.EQNXTDZ($A$1,$B50,K$5)</f>
        <v>0</v>
      </c>
      <c r="L50" s="54">
        <f>_xll.EQNXTDZ($A$1,$B50,L$5)</f>
        <v>0</v>
      </c>
      <c r="M50" s="54">
        <f>_xll.EQNXTDZ($A$1,$B50,M$5)</f>
        <v>0</v>
      </c>
      <c r="N50" s="54">
        <f>_xll.EQNXTDZ($A$1,$B50,N$5)</f>
        <v>0</v>
      </c>
      <c r="O50" s="54">
        <f>_xll.EQNXTDZ($A$1,$B50,O$5)</f>
        <v>0</v>
      </c>
      <c r="P50" s="54">
        <f>_xll.EQNXTDZ($A$1,$B50,P$5)</f>
        <v>0</v>
      </c>
      <c r="Q50" s="54">
        <f>_xll.EQNXTDZ($A$1,$B50,Q$5)</f>
        <v>0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0</v>
      </c>
      <c r="D55" s="55">
        <f>_xll.EQNXTDZ($A$1,$B55,D$5,$B$1)</f>
        <v>201209</v>
      </c>
      <c r="E55" s="55">
        <f>_xll.EQNXTDZ($A$1,$B55,E$5,$B$1)</f>
        <v>0</v>
      </c>
      <c r="F55" s="55">
        <f>_xll.EQNXTDZ($A$1,$B55,F$5,$B$1)</f>
        <v>201303</v>
      </c>
      <c r="G55" s="55">
        <f>_xll.EQNXTDZ($A$1,$B55,G$5,$B$1)</f>
        <v>0</v>
      </c>
      <c r="H55" s="55">
        <f>_xll.EQNXTDZ($A$1,$B55,H$5,$B$1)</f>
        <v>201309</v>
      </c>
      <c r="I55" s="55">
        <f>_xll.EQNXTDZ($A$1,$B55,I$5,$B$1)</f>
        <v>0</v>
      </c>
      <c r="J55" s="55">
        <f>_xll.EQNXTDZ($A$1,$B55,J$5,$B$1)</f>
        <v>201403</v>
      </c>
      <c r="K55" s="55">
        <f>_xll.EQNXTDZ($A$1,$B55,K$5,$B$1)</f>
        <v>0</v>
      </c>
      <c r="L55" s="55">
        <f>_xll.EQNXTDZ($A$1,$B55,L$5,$B$1)</f>
        <v>201409</v>
      </c>
      <c r="M55" s="55">
        <f>_xll.EQNXTDZ($A$1,$B55,M$5,$B$1)</f>
        <v>0</v>
      </c>
      <c r="N55" s="55">
        <f>_xll.EQNXTDZ($A$1,$B55,N$5,$B$1)</f>
        <v>201503</v>
      </c>
      <c r="O55" s="55">
        <f>_xll.EQNXTDZ($A$1,$B55,O$5,$B$1)</f>
        <v>0</v>
      </c>
      <c r="P55" s="55">
        <f>_xll.EQNXTDZ($A$1,$B55,P$5,$B$1)</f>
        <v>201509</v>
      </c>
      <c r="Q55" s="55">
        <f>_xll.EQNXTDZ($A$1,$B55,Q$5,$B$1)</f>
        <v>0</v>
      </c>
      <c r="R55" s="55">
        <f>_xll.EQNXTDZ($A$1,$B55,R$5,$B$1)</f>
        <v>201603</v>
      </c>
      <c r="S55" s="55">
        <f>_xll.EQNXTDZ($A$1,$B55,S$5,$B$1)</f>
        <v>0</v>
      </c>
      <c r="T55" s="55">
        <f>_xll.EQNXTDZ($A$1,$B55,T$5,$B$1)</f>
        <v>201609</v>
      </c>
      <c r="U55" s="55">
        <f>_xll.EQNXTDZ($A$1,$B55,U$5,$B$1)</f>
        <v>0</v>
      </c>
      <c r="V55" s="55">
        <f>_xll.EQNXTDZ($A$1,$B55,V$5,$B$1)</f>
        <v>201703</v>
      </c>
      <c r="W55" s="55">
        <f>_xll.EQNXTDZ($A$1,$B55,W$5,$B$1)</f>
        <v>0</v>
      </c>
      <c r="X55" s="55">
        <f>_xll.EQNXTDZ($A$1,$B55,X$5,$B$1)</f>
        <v>201709</v>
      </c>
      <c r="Y55" s="55">
        <f>_xll.EQNXTDZ($A$1,$B55,Y$5,$B$1)</f>
        <v>0</v>
      </c>
      <c r="Z55" s="55">
        <f>_xll.EQNXTDZ($A$1,$B55,Z$5,$B$1)</f>
        <v>201803</v>
      </c>
      <c r="AA55" s="55">
        <f>_xll.EQNXTDZ($A$1,$B55,AA$5,$B$1)</f>
        <v>0</v>
      </c>
      <c r="AB55" s="55">
        <f>_xll.EQNXTDZ($A$1,$B55,AB$5,$B$1)</f>
        <v>201809</v>
      </c>
      <c r="AC55" s="55">
        <f>_xll.EQNXTDZ($A$1,$B55,AC$5,$B$1)</f>
        <v>0</v>
      </c>
      <c r="AD55" s="55">
        <f>_xll.EQNXTDZ($A$1,$B55,AD$5,$B$1)</f>
        <v>201903</v>
      </c>
      <c r="AE55" s="55">
        <f>_xll.EQNXTDZ($A$1,$B55,AE$5,$B$1)</f>
        <v>0</v>
      </c>
      <c r="AF55" s="55">
        <f>_xll.EQNXTDZ($A$1,$B55,AF$5,$B$1)</f>
        <v>201909</v>
      </c>
      <c r="AG55" s="55">
        <f>_xll.EQNXTDZ($A$1,$B55,AG$5,$B$1)</f>
        <v>0</v>
      </c>
      <c r="AH55" s="55">
        <f>_xll.EQNXTDZ($A$1,$B55,AH$5,$B$1)</f>
        <v>202003</v>
      </c>
      <c r="AI55" s="55">
        <f>_xll.EQNXTDZ($A$1,$B55,AI$5,$B$1)</f>
        <v>0</v>
      </c>
      <c r="AJ55" s="55">
        <f>_xll.EQNXTDZ($A$1,$B55,AJ$5,$B$1)</f>
        <v>202009</v>
      </c>
      <c r="AK55" s="55">
        <f>_xll.EQNXTDZ($A$1,$B55,AK$5,$B$1)</f>
        <v>0</v>
      </c>
      <c r="AL55" s="55">
        <f>_xll.EQNXTDZ($A$1,$B55,AL$5,$B$1)</f>
        <v>202103</v>
      </c>
      <c r="AM55" s="55">
        <f>_xll.EQNXTDZ($A$1,$B55,AM$5,$B$1)</f>
        <v>0</v>
      </c>
      <c r="AN55" s="55">
        <f>_xll.EQNXTDZ($A$1,$B55,AN$5,$B$1)</f>
        <v>202109</v>
      </c>
      <c r="AO55" s="55">
        <f>_xll.EQNXTDZ($A$1,$B55,AO$5,$B$1)</f>
        <v>0</v>
      </c>
      <c r="AP55" s="55">
        <f>_xll.EQNXTDZ($A$1,$B55,AP$5,$B$1)</f>
        <v>202203</v>
      </c>
      <c r="AQ55" s="55">
        <f>_xll.EQNXTDZ($A$1,$B55,AQ$5,$B$1)</f>
        <v>0</v>
      </c>
      <c r="AR55" s="55">
        <f>_xll.EQNXTDZ($A$1,$B55,AR$5,$B$1)</f>
        <v>202209</v>
      </c>
      <c r="AS55" s="55">
        <f>_xll.EQNXTDZ($A$1,$B55,AS$5,$B$1)</f>
        <v>0</v>
      </c>
      <c r="AT55" s="55">
        <f>_xll.EQNXTDZ($A$1,$B55,AT$5,$B$1)</f>
        <v>202303</v>
      </c>
      <c r="AU55" s="55">
        <f>_xll.EQNXTDZ($A$1,$B55,AU$5,$B$1)</f>
        <v>0</v>
      </c>
      <c r="AV55" s="55">
        <f>_xll.EQNXTDZ($A$1,$B55,AV$5,$B$1)</f>
        <v>202309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0</v>
      </c>
      <c r="D56" s="54">
        <f>_xll.EQNXTDZ($A$1,$B56,D$5,$B$1)</f>
        <v>4.9379999999999997</v>
      </c>
      <c r="E56" s="54">
        <f>_xll.EQNXTDZ($A$1,$B56,E$5,$B$1)</f>
        <v>0</v>
      </c>
      <c r="F56" s="54">
        <f>_xll.EQNXTDZ($A$1,$B56,F$5,$B$1)</f>
        <v>4.9379999999999997</v>
      </c>
      <c r="G56" s="54">
        <f>_xll.EQNXTDZ($A$1,$B56,G$5,$B$1)</f>
        <v>0</v>
      </c>
      <c r="H56" s="54">
        <f>_xll.EQNXTDZ($A$1,$B56,H$5,$B$1)</f>
        <v>4.9379999999999997</v>
      </c>
      <c r="I56" s="54">
        <f>_xll.EQNXTDZ($A$1,$B56,I$5,$B$1)</f>
        <v>0</v>
      </c>
      <c r="J56" s="54">
        <f>_xll.EQNXTDZ($A$1,$B56,J$5,$B$1)</f>
        <v>4.9379999999999997</v>
      </c>
      <c r="K56" s="54">
        <f>_xll.EQNXTDZ($A$1,$B56,K$5,$B$1)</f>
        <v>0</v>
      </c>
      <c r="L56" s="54">
        <f>_xll.EQNXTDZ($A$1,$B56,L$5,$B$1)</f>
        <v>4.9379999999999997</v>
      </c>
      <c r="M56" s="54">
        <f>_xll.EQNXTDZ($A$1,$B56,M$5,$B$1)</f>
        <v>0</v>
      </c>
      <c r="N56" s="54">
        <f>_xll.EQNXTDZ($A$1,$B56,N$5,$B$1)</f>
        <v>4.9379999999999997</v>
      </c>
      <c r="O56" s="54">
        <f>_xll.EQNXTDZ($A$1,$B56,O$5,$B$1)</f>
        <v>0</v>
      </c>
      <c r="P56" s="54">
        <f>_xll.EQNXTDZ($A$1,$B56,P$5,$B$1)</f>
        <v>4.9379999999999997</v>
      </c>
      <c r="Q56" s="54">
        <f>_xll.EQNXTDZ($A$1,$B56,Q$5,$B$1)</f>
        <v>0</v>
      </c>
      <c r="R56" s="54">
        <f>_xll.EQNXTDZ($A$1,$B56,R$5,$B$1)</f>
        <v>4.9379999999999997</v>
      </c>
      <c r="S56" s="54">
        <f>_xll.EQNXTDZ($A$1,$B56,S$5,$B$1)</f>
        <v>0</v>
      </c>
      <c r="T56" s="54">
        <f>_xll.EQNXTDZ($A$1,$B56,T$5,$B$1)</f>
        <v>4.9379999999999997</v>
      </c>
      <c r="U56" s="54">
        <f>_xll.EQNXTDZ($A$1,$B56,U$5,$B$1)</f>
        <v>0</v>
      </c>
      <c r="V56" s="54">
        <f>_xll.EQNXTDZ($A$1,$B56,V$5,$B$1)</f>
        <v>4.9379999999999997</v>
      </c>
      <c r="W56" s="54">
        <f>_xll.EQNXTDZ($A$1,$B56,W$5,$B$1)</f>
        <v>0</v>
      </c>
      <c r="X56" s="54">
        <f>_xll.EQNXTDZ($A$1,$B56,X$5,$B$1)</f>
        <v>4.9379999999999997</v>
      </c>
      <c r="Y56" s="54">
        <f>_xll.EQNXTDZ($A$1,$B56,Y$5,$B$1)</f>
        <v>0</v>
      </c>
      <c r="Z56" s="54">
        <f>_xll.EQNXTDZ($A$1,$B56,Z$5,$B$1)</f>
        <v>4.9379999999999997</v>
      </c>
      <c r="AA56" s="54">
        <f>_xll.EQNXTDZ($A$1,$B56,AA$5,$B$1)</f>
        <v>0</v>
      </c>
      <c r="AB56" s="54">
        <f>_xll.EQNXTDZ($A$1,$B56,AB$5,$B$1)</f>
        <v>4.9379999999999997</v>
      </c>
      <c r="AC56" s="54">
        <f>_xll.EQNXTDZ($A$1,$B56,AC$5,$B$1)</f>
        <v>0</v>
      </c>
      <c r="AD56" s="54">
        <f>_xll.EQNXTDZ($A$1,$B56,AD$5,$B$1)</f>
        <v>4.9379999999999997</v>
      </c>
      <c r="AE56" s="54">
        <f>_xll.EQNXTDZ($A$1,$B56,AE$5,$B$1)</f>
        <v>0</v>
      </c>
      <c r="AF56" s="54">
        <f>_xll.EQNXTDZ($A$1,$B56,AF$5,$B$1)</f>
        <v>4.9379999999999997</v>
      </c>
      <c r="AG56" s="54">
        <f>_xll.EQNXTDZ($A$1,$B56,AG$5,$B$1)</f>
        <v>0</v>
      </c>
      <c r="AH56" s="54">
        <f>_xll.EQNXTDZ($A$1,$B56,AH$5,$B$1)</f>
        <v>4.9379999999999997</v>
      </c>
      <c r="AI56" s="54">
        <f>_xll.EQNXTDZ($A$1,$B56,AI$5,$B$1)</f>
        <v>0</v>
      </c>
      <c r="AJ56" s="54">
        <f>_xll.EQNXTDZ($A$1,$B56,AJ$5,$B$1)</f>
        <v>4.9379999999999997</v>
      </c>
      <c r="AK56" s="54">
        <f>_xll.EQNXTDZ($A$1,$B56,AK$5,$B$1)</f>
        <v>0</v>
      </c>
      <c r="AL56" s="54">
        <f>_xll.EQNXTDZ($A$1,$B56,AL$5,$B$1)</f>
        <v>4.9379999999999997</v>
      </c>
      <c r="AM56" s="54">
        <f>_xll.EQNXTDZ($A$1,$B56,AM$5,$B$1)</f>
        <v>0</v>
      </c>
      <c r="AN56" s="54">
        <f>_xll.EQNXTDZ($A$1,$B56,AN$5,$B$1)</f>
        <v>4.9379999999999997</v>
      </c>
      <c r="AO56" s="54">
        <f>_xll.EQNXTDZ($A$1,$B56,AO$5,$B$1)</f>
        <v>0</v>
      </c>
      <c r="AP56" s="54">
        <f>_xll.EQNXTDZ($A$1,$B56,AP$5,$B$1)</f>
        <v>4.9379999999999997</v>
      </c>
      <c r="AQ56" s="54">
        <f>_xll.EQNXTDZ($A$1,$B56,AQ$5,$B$1)</f>
        <v>0</v>
      </c>
      <c r="AR56" s="54">
        <f>_xll.EQNXTDZ($A$1,$B56,AR$5,$B$1)</f>
        <v>4.9379999999999997</v>
      </c>
      <c r="AS56" s="54">
        <f>_xll.EQNXTDZ($A$1,$B56,AS$5,$B$1)</f>
        <v>0</v>
      </c>
      <c r="AT56" s="54">
        <f>_xll.EQNXTDZ($A$1,$B56,AT$5,$B$1)</f>
        <v>4.9379999999999997</v>
      </c>
      <c r="AU56" s="54">
        <f>_xll.EQNXTDZ($A$1,$B56,AU$5,$B$1)</f>
        <v>0</v>
      </c>
      <c r="AV56" s="54">
        <f>_xll.EQNXTDZ($A$1,$B56,AV$5,$B$1)</f>
        <v>4.9379999999999997</v>
      </c>
      <c r="AW56" s="54">
        <f>_xll.EQNXTDZ($A$1,$B56,AW$5,$B$1)</f>
        <v>4.9379999999999997</v>
      </c>
      <c r="AX56" s="54">
        <f>_xll.EQNXTDZ($A$1,$B56,AX$5,$B$1)</f>
        <v>0</v>
      </c>
      <c r="AY56" s="54">
        <f>_xll.EQNXTDZ($A$1,$B56,AY$5,$B$1)</f>
        <v>4.9379999999999997</v>
      </c>
      <c r="AZ56" s="54">
        <f>_xll.EQNXTDZ($A$1,$B56,AZ$5,$B$1)</f>
        <v>0</v>
      </c>
      <c r="BA56" s="54">
        <f>_xll.EQNXTDZ($A$1,$B56,BA$5,$B$1)</f>
        <v>4.9379999999999997</v>
      </c>
      <c r="BB56" s="54">
        <f>_xll.EQNXTDZ($A$1,$B56,BB$5,$B$1)</f>
        <v>0</v>
      </c>
      <c r="BC56" s="54">
        <f>_xll.EQNXTDZ($A$1,$B56,BC$5,$B$1)</f>
        <v>4.9379999999999997</v>
      </c>
      <c r="BD56" s="54">
        <f>_xll.EQNXTDZ($A$1,$B56,BD$5,$B$1)</f>
        <v>0</v>
      </c>
      <c r="BE56" s="54">
        <f>_xll.EQNXTDZ($A$1,$B56,BE$5,$B$1)</f>
        <v>4.9379999999999997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0</v>
      </c>
      <c r="D58" s="54">
        <f>_xll.EQNXTDZ($A$1,$B58,D$5,$B$1)</f>
        <v>147.41200000000001</v>
      </c>
      <c r="E58" s="54">
        <f>_xll.EQNXTDZ($A$1,$B58,E$5,$B$1)</f>
        <v>0</v>
      </c>
      <c r="F58" s="54">
        <f>_xll.EQNXTDZ($A$1,$B58,F$5,$B$1)</f>
        <v>145.66900000000001</v>
      </c>
      <c r="G58" s="54">
        <f>_xll.EQNXTDZ($A$1,$B58,G$5,$B$1)</f>
        <v>0</v>
      </c>
      <c r="H58" s="54">
        <f>_xll.EQNXTDZ($A$1,$B58,H$5,$B$1)</f>
        <v>113.402</v>
      </c>
      <c r="I58" s="54">
        <f>_xll.EQNXTDZ($A$1,$B58,I$5,$B$1)</f>
        <v>0</v>
      </c>
      <c r="J58" s="54">
        <f>_xll.EQNXTDZ($A$1,$B58,J$5,$B$1)</f>
        <v>123.357</v>
      </c>
      <c r="K58" s="54">
        <f>_xll.EQNXTDZ($A$1,$B58,K$5,$B$1)</f>
        <v>0</v>
      </c>
      <c r="L58" s="54">
        <f>_xll.EQNXTDZ($A$1,$B58,L$5,$B$1)</f>
        <v>124.959</v>
      </c>
      <c r="M58" s="54">
        <f>_xll.EQNXTDZ($A$1,$B58,M$5,$B$1)</f>
        <v>0</v>
      </c>
      <c r="N58" s="54">
        <f>_xll.EQNXTDZ($A$1,$B58,N$5,$B$1)</f>
        <v>133.56700000000001</v>
      </c>
      <c r="O58" s="54">
        <f>_xll.EQNXTDZ($A$1,$B58,O$5,$B$1)</f>
        <v>0</v>
      </c>
      <c r="P58" s="54">
        <f>_xll.EQNXTDZ($A$1,$B58,P$5,$B$1)</f>
        <v>130.892</v>
      </c>
      <c r="Q58" s="54">
        <f>_xll.EQNXTDZ($A$1,$B58,Q$5,$B$1)</f>
        <v>0</v>
      </c>
      <c r="R58" s="54">
        <f>_xll.EQNXTDZ($A$1,$B58,R$5,$B$1)</f>
        <v>145.762</v>
      </c>
      <c r="S58" s="54">
        <f>_xll.EQNXTDZ($A$1,$B58,S$5,$B$1)</f>
        <v>0</v>
      </c>
      <c r="T58" s="54">
        <f>_xll.EQNXTDZ($A$1,$B58,T$5,$B$1)</f>
        <v>137.84299999999999</v>
      </c>
      <c r="U58" s="54">
        <f>_xll.EQNXTDZ($A$1,$B58,U$5,$B$1)</f>
        <v>0</v>
      </c>
      <c r="V58" s="54">
        <f>_xll.EQNXTDZ($A$1,$B58,V$5,$B$1)</f>
        <v>147.011</v>
      </c>
      <c r="W58" s="54">
        <f>_xll.EQNXTDZ($A$1,$B58,W$5,$B$1)</f>
        <v>0</v>
      </c>
      <c r="X58" s="54">
        <f>_xll.EQNXTDZ($A$1,$B58,X$5,$B$1)</f>
        <v>151.45500000000001</v>
      </c>
      <c r="Y58" s="54">
        <f>_xll.EQNXTDZ($A$1,$B58,Y$5,$B$1)</f>
        <v>0</v>
      </c>
      <c r="Z58" s="54">
        <f>_xll.EQNXTDZ($A$1,$B58,Z$5,$B$1)</f>
        <v>152.83000000000001</v>
      </c>
      <c r="AA58" s="54">
        <f>_xll.EQNXTDZ($A$1,$B58,AA$5,$B$1)</f>
        <v>0</v>
      </c>
      <c r="AB58" s="54">
        <f>_xll.EQNXTDZ($A$1,$B58,AB$5,$B$1)</f>
        <v>158.369</v>
      </c>
      <c r="AC58" s="54">
        <f>_xll.EQNXTDZ($A$1,$B58,AC$5,$B$1)</f>
        <v>0</v>
      </c>
      <c r="AD58" s="54">
        <f>_xll.EQNXTDZ($A$1,$B58,AD$5,$B$1)</f>
        <v>186.01300000000001</v>
      </c>
      <c r="AE58" s="54">
        <f>_xll.EQNXTDZ($A$1,$B58,AE$5,$B$1)</f>
        <v>0</v>
      </c>
      <c r="AF58" s="54">
        <f>_xll.EQNXTDZ($A$1,$B58,AF$5,$B$1)</f>
        <v>193.56700000000001</v>
      </c>
      <c r="AG58" s="54">
        <f>_xll.EQNXTDZ($A$1,$B58,AG$5,$B$1)</f>
        <v>0</v>
      </c>
      <c r="AH58" s="54">
        <f>_xll.EQNXTDZ($A$1,$B58,AH$5,$B$1)</f>
        <v>202.44200000000001</v>
      </c>
      <c r="AI58" s="54">
        <f>_xll.EQNXTDZ($A$1,$B58,AI$5,$B$1)</f>
        <v>0</v>
      </c>
      <c r="AJ58" s="54">
        <f>_xll.EQNXTDZ($A$1,$B58,AJ$5,$B$1)</f>
        <v>178.816</v>
      </c>
      <c r="AK58" s="54">
        <f>_xll.EQNXTDZ($A$1,$B58,AK$5,$B$1)</f>
        <v>0</v>
      </c>
      <c r="AL58" s="54">
        <f>_xll.EQNXTDZ($A$1,$B58,AL$5,$B$1)</f>
        <v>170.31899999999999</v>
      </c>
      <c r="AM58" s="54">
        <f>_xll.EQNXTDZ($A$1,$B58,AM$5,$B$1)</f>
        <v>0</v>
      </c>
      <c r="AN58" s="54">
        <f>_xll.EQNXTDZ($A$1,$B58,AN$5,$B$1)</f>
        <v>172.09</v>
      </c>
      <c r="AO58" s="54">
        <f>_xll.EQNXTDZ($A$1,$B58,AO$5,$B$1)</f>
        <v>0</v>
      </c>
      <c r="AP58" s="54">
        <f>_xll.EQNXTDZ($A$1,$B58,AP$5,$B$1)</f>
        <v>175.35599999999999</v>
      </c>
      <c r="AQ58" s="54">
        <f>_xll.EQNXTDZ($A$1,$B58,AQ$5,$B$1)</f>
        <v>0</v>
      </c>
      <c r="AR58" s="54">
        <f>_xll.EQNXTDZ($A$1,$B58,AR$5,$B$1)</f>
        <v>165.91499999999999</v>
      </c>
      <c r="AS58" s="54">
        <f>_xll.EQNXTDZ($A$1,$B58,AS$5,$B$1)</f>
        <v>0</v>
      </c>
      <c r="AT58" s="54">
        <f>_xll.EQNXTDZ($A$1,$B58,AT$5,$B$1)</f>
        <v>187.41200000000001</v>
      </c>
      <c r="AU58" s="54">
        <f>_xll.EQNXTDZ($A$1,$B58,AU$5,$B$1)</f>
        <v>0</v>
      </c>
      <c r="AV58" s="54">
        <f>_xll.EQNXTDZ($A$1,$B58,AV$5,$B$1)</f>
        <v>196.26900000000001</v>
      </c>
      <c r="AW58" s="54">
        <f>_xll.EQNXTDZ($A$1,$B58,AW$5,$B$1)</f>
        <v>206.45400000000001</v>
      </c>
      <c r="AX58" s="54">
        <f>_xll.EQNXTDZ($A$1,$B58,AX$5,$B$1)</f>
        <v>0</v>
      </c>
      <c r="AY58" s="54">
        <f>_xll.EQNXTDZ($A$1,$B58,AY$5,$B$1)</f>
        <v>206.75899999999999</v>
      </c>
      <c r="AZ58" s="54">
        <f>_xll.EQNXTDZ($A$1,$B58,AZ$5,$B$1)</f>
        <v>0</v>
      </c>
      <c r="BA58" s="54">
        <f>_xll.EQNXTDZ($A$1,$B58,BA$5,$B$1)</f>
        <v>196.214</v>
      </c>
      <c r="BB58" s="54">
        <f>_xll.EQNXTDZ($A$1,$B58,BB$5,$B$1)</f>
        <v>0</v>
      </c>
      <c r="BC58" s="54">
        <f>_xll.EQNXTDZ($A$1,$B58,BC$5,$B$1)</f>
        <v>197.59899999999999</v>
      </c>
      <c r="BD58" s="54">
        <f>_xll.EQNXTDZ($A$1,$B58,BD$5,$B$1)</f>
        <v>0</v>
      </c>
      <c r="BE58" s="54">
        <f>_xll.EQNXTDZ($A$1,$B58,BE$5,$B$1)</f>
        <v>205.20599999999999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0</v>
      </c>
      <c r="D59" s="54">
        <f>_xll.EQNXTDZ($A$1,$B59,D$5,$B$1)</f>
        <v>152.35</v>
      </c>
      <c r="E59" s="54">
        <f>_xll.EQNXTDZ($A$1,$B59,E$5,$B$1)</f>
        <v>0</v>
      </c>
      <c r="F59" s="54">
        <f>_xll.EQNXTDZ($A$1,$B59,F$5,$B$1)</f>
        <v>150.607</v>
      </c>
      <c r="G59" s="54">
        <f>_xll.EQNXTDZ($A$1,$B59,G$5,$B$1)</f>
        <v>0</v>
      </c>
      <c r="H59" s="54">
        <f>_xll.EQNXTDZ($A$1,$B59,H$5,$B$1)</f>
        <v>118.34</v>
      </c>
      <c r="I59" s="54">
        <f>_xll.EQNXTDZ($A$1,$B59,I$5,$B$1)</f>
        <v>0</v>
      </c>
      <c r="J59" s="54">
        <f>_xll.EQNXTDZ($A$1,$B59,J$5,$B$1)</f>
        <v>128.29499999999999</v>
      </c>
      <c r="K59" s="54">
        <f>_xll.EQNXTDZ($A$1,$B59,K$5,$B$1)</f>
        <v>0</v>
      </c>
      <c r="L59" s="54">
        <f>_xll.EQNXTDZ($A$1,$B59,L$5,$B$1)</f>
        <v>129.89699999999999</v>
      </c>
      <c r="M59" s="54">
        <f>_xll.EQNXTDZ($A$1,$B59,M$5,$B$1)</f>
        <v>0</v>
      </c>
      <c r="N59" s="54">
        <f>_xll.EQNXTDZ($A$1,$B59,N$5,$B$1)</f>
        <v>138.505</v>
      </c>
      <c r="O59" s="54">
        <f>_xll.EQNXTDZ($A$1,$B59,O$5,$B$1)</f>
        <v>0</v>
      </c>
      <c r="P59" s="54">
        <f>_xll.EQNXTDZ($A$1,$B59,P$5,$B$1)</f>
        <v>135.83000000000001</v>
      </c>
      <c r="Q59" s="54">
        <f>_xll.EQNXTDZ($A$1,$B59,Q$5,$B$1)</f>
        <v>0</v>
      </c>
      <c r="R59" s="54">
        <f>_xll.EQNXTDZ($A$1,$B59,R$5,$B$1)</f>
        <v>150.69999999999999</v>
      </c>
      <c r="S59" s="54">
        <f>_xll.EQNXTDZ($A$1,$B59,S$5,$B$1)</f>
        <v>0</v>
      </c>
      <c r="T59" s="54">
        <f>_xll.EQNXTDZ($A$1,$B59,T$5,$B$1)</f>
        <v>142.78100000000001</v>
      </c>
      <c r="U59" s="54">
        <f>_xll.EQNXTDZ($A$1,$B59,U$5,$B$1)</f>
        <v>0</v>
      </c>
      <c r="V59" s="54">
        <f>_xll.EQNXTDZ($A$1,$B59,V$5,$B$1)</f>
        <v>151.94900000000001</v>
      </c>
      <c r="W59" s="54">
        <f>_xll.EQNXTDZ($A$1,$B59,W$5,$B$1)</f>
        <v>0</v>
      </c>
      <c r="X59" s="54">
        <f>_xll.EQNXTDZ($A$1,$B59,X$5,$B$1)</f>
        <v>156.393</v>
      </c>
      <c r="Y59" s="54">
        <f>_xll.EQNXTDZ($A$1,$B59,Y$5,$B$1)</f>
        <v>0</v>
      </c>
      <c r="Z59" s="54">
        <f>_xll.EQNXTDZ($A$1,$B59,Z$5,$B$1)</f>
        <v>157.768</v>
      </c>
      <c r="AA59" s="54">
        <f>_xll.EQNXTDZ($A$1,$B59,AA$5,$B$1)</f>
        <v>0</v>
      </c>
      <c r="AB59" s="54">
        <f>_xll.EQNXTDZ($A$1,$B59,AB$5,$B$1)</f>
        <v>163.30699999999999</v>
      </c>
      <c r="AC59" s="54">
        <f>_xll.EQNXTDZ($A$1,$B59,AC$5,$B$1)</f>
        <v>0</v>
      </c>
      <c r="AD59" s="54">
        <f>_xll.EQNXTDZ($A$1,$B59,AD$5,$B$1)</f>
        <v>190.95099999999999</v>
      </c>
      <c r="AE59" s="54">
        <f>_xll.EQNXTDZ($A$1,$B59,AE$5,$B$1)</f>
        <v>0</v>
      </c>
      <c r="AF59" s="54">
        <f>_xll.EQNXTDZ($A$1,$B59,AF$5,$B$1)</f>
        <v>198.505</v>
      </c>
      <c r="AG59" s="54">
        <f>_xll.EQNXTDZ($A$1,$B59,AG$5,$B$1)</f>
        <v>0</v>
      </c>
      <c r="AH59" s="54">
        <f>_xll.EQNXTDZ($A$1,$B59,AH$5,$B$1)</f>
        <v>207.38</v>
      </c>
      <c r="AI59" s="54">
        <f>_xll.EQNXTDZ($A$1,$B59,AI$5,$B$1)</f>
        <v>0</v>
      </c>
      <c r="AJ59" s="54">
        <f>_xll.EQNXTDZ($A$1,$B59,AJ$5,$B$1)</f>
        <v>183.75399999999999</v>
      </c>
      <c r="AK59" s="54">
        <f>_xll.EQNXTDZ($A$1,$B59,AK$5,$B$1)</f>
        <v>0</v>
      </c>
      <c r="AL59" s="54">
        <f>_xll.EQNXTDZ($A$1,$B59,AL$5,$B$1)</f>
        <v>175.25700000000001</v>
      </c>
      <c r="AM59" s="54">
        <f>_xll.EQNXTDZ($A$1,$B59,AM$5,$B$1)</f>
        <v>0</v>
      </c>
      <c r="AN59" s="54">
        <f>_xll.EQNXTDZ($A$1,$B59,AN$5,$B$1)</f>
        <v>177.02799999999999</v>
      </c>
      <c r="AO59" s="54">
        <f>_xll.EQNXTDZ($A$1,$B59,AO$5,$B$1)</f>
        <v>0</v>
      </c>
      <c r="AP59" s="54">
        <f>_xll.EQNXTDZ($A$1,$B59,AP$5,$B$1)</f>
        <v>180.29400000000001</v>
      </c>
      <c r="AQ59" s="54">
        <f>_xll.EQNXTDZ($A$1,$B59,AQ$5,$B$1)</f>
        <v>0</v>
      </c>
      <c r="AR59" s="54">
        <f>_xll.EQNXTDZ($A$1,$B59,AR$5,$B$1)</f>
        <v>170.85300000000001</v>
      </c>
      <c r="AS59" s="54">
        <f>_xll.EQNXTDZ($A$1,$B59,AS$5,$B$1)</f>
        <v>0</v>
      </c>
      <c r="AT59" s="54">
        <f>_xll.EQNXTDZ($A$1,$B59,AT$5,$B$1)</f>
        <v>192.35</v>
      </c>
      <c r="AU59" s="54">
        <f>_xll.EQNXTDZ($A$1,$B59,AU$5,$B$1)</f>
        <v>0</v>
      </c>
      <c r="AV59" s="54">
        <f>_xll.EQNXTDZ($A$1,$B59,AV$5,$B$1)</f>
        <v>201.20699999999999</v>
      </c>
      <c r="AW59" s="54">
        <f>_xll.EQNXTDZ($A$1,$B59,AW$5,$B$1)</f>
        <v>211.392</v>
      </c>
      <c r="AX59" s="54">
        <f>_xll.EQNXTDZ($A$1,$B59,AX$5,$B$1)</f>
        <v>0</v>
      </c>
      <c r="AY59" s="54">
        <f>_xll.EQNXTDZ($A$1,$B59,AY$5,$B$1)</f>
        <v>211.697</v>
      </c>
      <c r="AZ59" s="54">
        <f>_xll.EQNXTDZ($A$1,$B59,AZ$5,$B$1)</f>
        <v>0</v>
      </c>
      <c r="BA59" s="54">
        <f>_xll.EQNXTDZ($A$1,$B59,BA$5,$B$1)</f>
        <v>201.15199999999999</v>
      </c>
      <c r="BB59" s="54">
        <f>_xll.EQNXTDZ($A$1,$B59,BB$5,$B$1)</f>
        <v>0</v>
      </c>
      <c r="BC59" s="54">
        <f>_xll.EQNXTDZ($A$1,$B59,BC$5,$B$1)</f>
        <v>202.53700000000001</v>
      </c>
      <c r="BD59" s="54">
        <f>_xll.EQNXTDZ($A$1,$B59,BD$5,$B$1)</f>
        <v>0</v>
      </c>
      <c r="BE59" s="54">
        <f>_xll.EQNXTDZ($A$1,$B59,BE$5,$B$1)</f>
        <v>210.14400000000001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0</v>
      </c>
      <c r="D60" s="54">
        <f>_xll.EQNXTDZ($A$1,$B60,D$5,$B$1)</f>
        <v>0</v>
      </c>
      <c r="E60" s="54">
        <f>_xll.EQNXTDZ($A$1,$B60,E$5,$B$1)</f>
        <v>0</v>
      </c>
      <c r="F60" s="54">
        <f>_xll.EQNXTDZ($A$1,$B60,F$5,$B$1)</f>
        <v>0</v>
      </c>
      <c r="G60" s="54">
        <f>_xll.EQNXTDZ($A$1,$B60,G$5,$B$1)</f>
        <v>0</v>
      </c>
      <c r="H60" s="54">
        <f>_xll.EQNXTDZ($A$1,$B60,H$5,$B$1)</f>
        <v>0</v>
      </c>
      <c r="I60" s="54">
        <f>_xll.EQNXTDZ($A$1,$B60,I$5,$B$1)</f>
        <v>0</v>
      </c>
      <c r="J60" s="54">
        <f>_xll.EQNXTDZ($A$1,$B60,J$5,$B$1)</f>
        <v>0</v>
      </c>
      <c r="K60" s="54">
        <f>_xll.EQNXTDZ($A$1,$B60,K$5,$B$1)</f>
        <v>0</v>
      </c>
      <c r="L60" s="54">
        <f>_xll.EQNXTDZ($A$1,$B60,L$5,$B$1)</f>
        <v>0</v>
      </c>
      <c r="M60" s="54">
        <f>_xll.EQNXTDZ($A$1,$B60,M$5,$B$1)</f>
        <v>0</v>
      </c>
      <c r="N60" s="54">
        <f>_xll.EQNXTDZ($A$1,$B60,N$5,$B$1)</f>
        <v>0</v>
      </c>
      <c r="O60" s="54">
        <f>_xll.EQNXTDZ($A$1,$B60,O$5,$B$1)</f>
        <v>0</v>
      </c>
      <c r="P60" s="54">
        <f>_xll.EQNXTDZ($A$1,$B60,P$5,$B$1)</f>
        <v>0</v>
      </c>
      <c r="Q60" s="54">
        <f>_xll.EQNXTDZ($A$1,$B60,Q$5,$B$1)</f>
        <v>0</v>
      </c>
      <c r="R60" s="54">
        <f>_xll.EQNXTDZ($A$1,$B60,R$5,$B$1)</f>
        <v>0</v>
      </c>
      <c r="S60" s="54">
        <f>_xll.EQNXTDZ($A$1,$B60,S$5,$B$1)</f>
        <v>0</v>
      </c>
      <c r="T60" s="54">
        <f>_xll.EQNXTDZ($A$1,$B60,T$5,$B$1)</f>
        <v>0</v>
      </c>
      <c r="U60" s="54">
        <f>_xll.EQNXTDZ($A$1,$B60,U$5,$B$1)</f>
        <v>0</v>
      </c>
      <c r="V60" s="54">
        <f>_xll.EQNXTDZ($A$1,$B60,V$5,$B$1)</f>
        <v>0</v>
      </c>
      <c r="W60" s="54">
        <f>_xll.EQNXTDZ($A$1,$B60,W$5,$B$1)</f>
        <v>0</v>
      </c>
      <c r="X60" s="54">
        <f>_xll.EQNXTDZ($A$1,$B60,X$5,$B$1)</f>
        <v>0</v>
      </c>
      <c r="Y60" s="54">
        <f>_xll.EQNXTDZ($A$1,$B60,Y$5,$B$1)</f>
        <v>0</v>
      </c>
      <c r="Z60" s="54">
        <f>_xll.EQNXTDZ($A$1,$B60,Z$5,$B$1)</f>
        <v>0</v>
      </c>
      <c r="AA60" s="54">
        <f>_xll.EQNXTDZ($A$1,$B60,AA$5,$B$1)</f>
        <v>0</v>
      </c>
      <c r="AB60" s="54">
        <f>_xll.EQNXTDZ($A$1,$B60,AB$5,$B$1)</f>
        <v>0</v>
      </c>
      <c r="AC60" s="54">
        <f>_xll.EQNXTDZ($A$1,$B60,AC$5,$B$1)</f>
        <v>0</v>
      </c>
      <c r="AD60" s="54">
        <f>_xll.EQNXTDZ($A$1,$B60,AD$5,$B$1)</f>
        <v>0</v>
      </c>
      <c r="AE60" s="54">
        <f>_xll.EQNXTDZ($A$1,$B60,AE$5,$B$1)</f>
        <v>0</v>
      </c>
      <c r="AF60" s="54">
        <f>_xll.EQNXTDZ($A$1,$B60,AF$5,$B$1)</f>
        <v>0</v>
      </c>
      <c r="AG60" s="54">
        <f>_xll.EQNXTDZ($A$1,$B60,AG$5,$B$1)</f>
        <v>0</v>
      </c>
      <c r="AH60" s="54">
        <f>_xll.EQNXTDZ($A$1,$B60,AH$5,$B$1)</f>
        <v>0</v>
      </c>
      <c r="AI60" s="54">
        <f>_xll.EQNXTDZ($A$1,$B60,AI$5,$B$1)</f>
        <v>0</v>
      </c>
      <c r="AJ60" s="54">
        <f>_xll.EQNXTDZ($A$1,$B60,AJ$5,$B$1)</f>
        <v>0</v>
      </c>
      <c r="AK60" s="54">
        <f>_xll.EQNXTDZ($A$1,$B60,AK$5,$B$1)</f>
        <v>0</v>
      </c>
      <c r="AL60" s="54">
        <f>_xll.EQNXTDZ($A$1,$B60,AL$5,$B$1)</f>
        <v>0</v>
      </c>
      <c r="AM60" s="54">
        <f>_xll.EQNXTDZ($A$1,$B60,AM$5,$B$1)</f>
        <v>0</v>
      </c>
      <c r="AN60" s="54">
        <f>_xll.EQNXTDZ($A$1,$B60,AN$5,$B$1)</f>
        <v>0</v>
      </c>
      <c r="AO60" s="54">
        <f>_xll.EQNXTDZ($A$1,$B60,AO$5,$B$1)</f>
        <v>0</v>
      </c>
      <c r="AP60" s="54">
        <f>_xll.EQNXTDZ($A$1,$B60,AP$5,$B$1)</f>
        <v>0</v>
      </c>
      <c r="AQ60" s="54">
        <f>_xll.EQNXTDZ($A$1,$B60,AQ$5,$B$1)</f>
        <v>0</v>
      </c>
      <c r="AR60" s="54">
        <f>_xll.EQNXTDZ($A$1,$B60,AR$5,$B$1)</f>
        <v>0</v>
      </c>
      <c r="AS60" s="54">
        <f>_xll.EQNXTDZ($A$1,$B60,AS$5,$B$1)</f>
        <v>0</v>
      </c>
      <c r="AT60" s="54">
        <f>_xll.EQNXTDZ($A$1,$B60,AT$5,$B$1)</f>
        <v>0</v>
      </c>
      <c r="AU60" s="54">
        <f>_xll.EQNXTDZ($A$1,$B60,AU$5,$B$1)</f>
        <v>0</v>
      </c>
      <c r="AV60" s="54">
        <f>_xll.EQNXTDZ($A$1,$B60,AV$5,$B$1)</f>
        <v>0</v>
      </c>
      <c r="AW60" s="54">
        <f>_xll.EQNXTDZ($A$1,$B60,AW$5,$B$1)</f>
        <v>0</v>
      </c>
      <c r="AX60" s="54">
        <f>_xll.EQNXTDZ($A$1,$B60,AX$5,$B$1)</f>
        <v>0</v>
      </c>
      <c r="AY60" s="54">
        <f>_xll.EQNXTDZ($A$1,$B60,AY$5,$B$1)</f>
        <v>0</v>
      </c>
      <c r="AZ60" s="54">
        <f>_xll.EQNXTDZ($A$1,$B60,AZ$5,$B$1)</f>
        <v>0</v>
      </c>
      <c r="BA60" s="54">
        <f>_xll.EQNXTDZ($A$1,$B60,BA$5,$B$1)</f>
        <v>0</v>
      </c>
      <c r="BB60" s="54">
        <f>_xll.EQNXTDZ($A$1,$B60,BB$5,$B$1)</f>
        <v>0</v>
      </c>
      <c r="BC60" s="54">
        <f>_xll.EQNXTDZ($A$1,$B60,BC$5,$B$1)</f>
        <v>0</v>
      </c>
      <c r="BD60" s="54">
        <f>_xll.EQNXTDZ($A$1,$B60,BD$5,$B$1)</f>
        <v>0</v>
      </c>
      <c r="BE60" s="54">
        <f>_xll.EQNXTDZ($A$1,$B60,BE$5,$B$1)</f>
        <v>0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0</v>
      </c>
      <c r="D61" s="54">
        <f>_xll.EQNXTDZ($A$1,$B61,D$5,$B$1)</f>
        <v>15.686</v>
      </c>
      <c r="E61" s="54">
        <f>_xll.EQNXTDZ($A$1,$B61,E$5,$B$1)</f>
        <v>0</v>
      </c>
      <c r="F61" s="54">
        <f>_xll.EQNXTDZ($A$1,$B61,F$5,$B$1)</f>
        <v>23.085999999999999</v>
      </c>
      <c r="G61" s="54">
        <f>_xll.EQNXTDZ($A$1,$B61,G$5,$B$1)</f>
        <v>0</v>
      </c>
      <c r="H61" s="54">
        <f>_xll.EQNXTDZ($A$1,$B61,H$5,$B$1)</f>
        <v>20.2</v>
      </c>
      <c r="I61" s="54">
        <f>_xll.EQNXTDZ($A$1,$B61,I$5,$B$1)</f>
        <v>0</v>
      </c>
      <c r="J61" s="54">
        <f>_xll.EQNXTDZ($A$1,$B61,J$5,$B$1)</f>
        <v>17.314</v>
      </c>
      <c r="K61" s="54">
        <f>_xll.EQNXTDZ($A$1,$B61,K$5,$B$1)</f>
        <v>0</v>
      </c>
      <c r="L61" s="54">
        <f>_xll.EQNXTDZ($A$1,$B61,L$5,$B$1)</f>
        <v>14.429</v>
      </c>
      <c r="M61" s="54">
        <f>_xll.EQNXTDZ($A$1,$B61,M$5,$B$1)</f>
        <v>0</v>
      </c>
      <c r="N61" s="54">
        <f>_xll.EQNXTDZ($A$1,$B61,N$5,$B$1)</f>
        <v>11.542999999999999</v>
      </c>
      <c r="O61" s="54">
        <f>_xll.EQNXTDZ($A$1,$B61,O$5,$B$1)</f>
        <v>0</v>
      </c>
      <c r="P61" s="54">
        <f>_xll.EQNXTDZ($A$1,$B61,P$5,$B$1)</f>
        <v>0</v>
      </c>
      <c r="Q61" s="54">
        <f>_xll.EQNXTDZ($A$1,$B61,Q$5,$B$1)</f>
        <v>0</v>
      </c>
      <c r="R61" s="54">
        <f>_xll.EQNXTDZ($A$1,$B61,R$5,$B$1)</f>
        <v>0</v>
      </c>
      <c r="S61" s="54">
        <f>_xll.EQNXTDZ($A$1,$B61,S$5,$B$1)</f>
        <v>0</v>
      </c>
      <c r="T61" s="54">
        <f>_xll.EQNXTDZ($A$1,$B61,T$5,$B$1)</f>
        <v>0</v>
      </c>
      <c r="U61" s="54">
        <f>_xll.EQNXTDZ($A$1,$B61,U$5,$B$1)</f>
        <v>0</v>
      </c>
      <c r="V61" s="54">
        <f>_xll.EQNXTDZ($A$1,$B61,V$5,$B$1)</f>
        <v>0</v>
      </c>
      <c r="W61" s="54">
        <f>_xll.EQNXTDZ($A$1,$B61,W$5,$B$1)</f>
        <v>0</v>
      </c>
      <c r="X61" s="54">
        <f>_xll.EQNXTDZ($A$1,$B61,X$5,$B$1)</f>
        <v>0</v>
      </c>
      <c r="Y61" s="54">
        <f>_xll.EQNXTDZ($A$1,$B61,Y$5,$B$1)</f>
        <v>0</v>
      </c>
      <c r="Z61" s="54">
        <f>_xll.EQNXTDZ($A$1,$B61,Z$5,$B$1)</f>
        <v>0</v>
      </c>
      <c r="AA61" s="54">
        <f>_xll.EQNXTDZ($A$1,$B61,AA$5,$B$1)</f>
        <v>0</v>
      </c>
      <c r="AB61" s="54">
        <f>_xll.EQNXTDZ($A$1,$B61,AB$5,$B$1)</f>
        <v>0</v>
      </c>
      <c r="AC61" s="54">
        <f>_xll.EQNXTDZ($A$1,$B61,AC$5,$B$1)</f>
        <v>0</v>
      </c>
      <c r="AD61" s="54">
        <f>_xll.EQNXTDZ($A$1,$B61,AD$5,$B$1)</f>
        <v>0</v>
      </c>
      <c r="AE61" s="54">
        <f>_xll.EQNXTDZ($A$1,$B61,AE$5,$B$1)</f>
        <v>0</v>
      </c>
      <c r="AF61" s="54">
        <f>_xll.EQNXTDZ($A$1,$B61,AF$5,$B$1)</f>
        <v>0</v>
      </c>
      <c r="AG61" s="54">
        <f>_xll.EQNXTDZ($A$1,$B61,AG$5,$B$1)</f>
        <v>0</v>
      </c>
      <c r="AH61" s="54">
        <f>_xll.EQNXTDZ($A$1,$B61,AH$5,$B$1)</f>
        <v>0</v>
      </c>
      <c r="AI61" s="54">
        <f>_xll.EQNXTDZ($A$1,$B61,AI$5,$B$1)</f>
        <v>0</v>
      </c>
      <c r="AJ61" s="54">
        <f>_xll.EQNXTDZ($A$1,$B61,AJ$5,$B$1)</f>
        <v>0</v>
      </c>
      <c r="AK61" s="54">
        <f>_xll.EQNXTDZ($A$1,$B61,AK$5,$B$1)</f>
        <v>0</v>
      </c>
      <c r="AL61" s="54">
        <f>_xll.EQNXTDZ($A$1,$B61,AL$5,$B$1)</f>
        <v>0</v>
      </c>
      <c r="AM61" s="54">
        <f>_xll.EQNXTDZ($A$1,$B61,AM$5,$B$1)</f>
        <v>0</v>
      </c>
      <c r="AN61" s="54">
        <f>_xll.EQNXTDZ($A$1,$B61,AN$5,$B$1)</f>
        <v>0</v>
      </c>
      <c r="AO61" s="54">
        <f>_xll.EQNXTDZ($A$1,$B61,AO$5,$B$1)</f>
        <v>0</v>
      </c>
      <c r="AP61" s="54">
        <f>_xll.EQNXTDZ($A$1,$B61,AP$5,$B$1)</f>
        <v>0</v>
      </c>
      <c r="AQ61" s="54">
        <f>_xll.EQNXTDZ($A$1,$B61,AQ$5,$B$1)</f>
        <v>0</v>
      </c>
      <c r="AR61" s="54">
        <f>_xll.EQNXTDZ($A$1,$B61,AR$5,$B$1)</f>
        <v>0</v>
      </c>
      <c r="AS61" s="54">
        <f>_xll.EQNXTDZ($A$1,$B61,AS$5,$B$1)</f>
        <v>0</v>
      </c>
      <c r="AT61" s="54">
        <f>_xll.EQNXTDZ($A$1,$B61,AT$5,$B$1)</f>
        <v>0</v>
      </c>
      <c r="AU61" s="54">
        <f>_xll.EQNXTDZ($A$1,$B61,AU$5,$B$1)</f>
        <v>0</v>
      </c>
      <c r="AV61" s="54">
        <f>_xll.EQNXTDZ($A$1,$B61,AV$5,$B$1)</f>
        <v>0</v>
      </c>
      <c r="AW61" s="54">
        <f>_xll.EQNXTDZ($A$1,$B61,AW$5,$B$1)</f>
        <v>0</v>
      </c>
      <c r="AX61" s="54">
        <f>_xll.EQNXTDZ($A$1,$B61,AX$5,$B$1)</f>
        <v>0</v>
      </c>
      <c r="AY61" s="54">
        <f>_xll.EQNXTDZ($A$1,$B61,AY$5,$B$1)</f>
        <v>0</v>
      </c>
      <c r="AZ61" s="54">
        <f>_xll.EQNXTDZ($A$1,$B61,AZ$5,$B$1)</f>
        <v>0</v>
      </c>
      <c r="BA61" s="54">
        <f>_xll.EQNXTDZ($A$1,$B61,BA$5,$B$1)</f>
        <v>0</v>
      </c>
      <c r="BB61" s="54">
        <f>_xll.EQNXTDZ($A$1,$B61,BB$5,$B$1)</f>
        <v>0</v>
      </c>
      <c r="BC61" s="54">
        <f>_xll.EQNXTDZ($A$1,$B61,BC$5,$B$1)</f>
        <v>0</v>
      </c>
      <c r="BD61" s="54">
        <f>_xll.EQNXTDZ($A$1,$B61,BD$5,$B$1)</f>
        <v>0</v>
      </c>
      <c r="BE61" s="54">
        <f>_xll.EQNXTDZ($A$1,$B61,BE$5,$B$1)</f>
        <v>0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0</v>
      </c>
      <c r="D63" s="54">
        <f>_xll.EQNXTDZ($A$1,$B63,D$5,$B$1)</f>
        <v>15.686</v>
      </c>
      <c r="E63" s="54">
        <f>_xll.EQNXTDZ($A$1,$B63,E$5,$B$1)</f>
        <v>0</v>
      </c>
      <c r="F63" s="54">
        <f>_xll.EQNXTDZ($A$1,$B63,F$5,$B$1)</f>
        <v>23.085999999999999</v>
      </c>
      <c r="G63" s="54">
        <f>_xll.EQNXTDZ($A$1,$B63,G$5,$B$1)</f>
        <v>0</v>
      </c>
      <c r="H63" s="54">
        <f>_xll.EQNXTDZ($A$1,$B63,H$5,$B$1)</f>
        <v>20.2</v>
      </c>
      <c r="I63" s="54">
        <f>_xll.EQNXTDZ($A$1,$B63,I$5,$B$1)</f>
        <v>0</v>
      </c>
      <c r="J63" s="54">
        <f>_xll.EQNXTDZ($A$1,$B63,J$5,$B$1)</f>
        <v>17.314</v>
      </c>
      <c r="K63" s="54">
        <f>_xll.EQNXTDZ($A$1,$B63,K$5,$B$1)</f>
        <v>0</v>
      </c>
      <c r="L63" s="54">
        <f>_xll.EQNXTDZ($A$1,$B63,L$5,$B$1)</f>
        <v>14.429</v>
      </c>
      <c r="M63" s="54">
        <f>_xll.EQNXTDZ($A$1,$B63,M$5,$B$1)</f>
        <v>0</v>
      </c>
      <c r="N63" s="54">
        <f>_xll.EQNXTDZ($A$1,$B63,N$5,$B$1)</f>
        <v>11.542999999999999</v>
      </c>
      <c r="O63" s="54">
        <f>_xll.EQNXTDZ($A$1,$B63,O$5,$B$1)</f>
        <v>0</v>
      </c>
      <c r="P63" s="54">
        <f>_xll.EQNXTDZ($A$1,$B63,P$5,$B$1)</f>
        <v>0</v>
      </c>
      <c r="Q63" s="54">
        <f>_xll.EQNXTDZ($A$1,$B63,Q$5,$B$1)</f>
        <v>0</v>
      </c>
      <c r="R63" s="54">
        <f>_xll.EQNXTDZ($A$1,$B63,R$5,$B$1)</f>
        <v>0</v>
      </c>
      <c r="S63" s="54">
        <f>_xll.EQNXTDZ($A$1,$B63,S$5,$B$1)</f>
        <v>0</v>
      </c>
      <c r="T63" s="54">
        <f>_xll.EQNXTDZ($A$1,$B63,T$5,$B$1)</f>
        <v>0</v>
      </c>
      <c r="U63" s="54">
        <f>_xll.EQNXTDZ($A$1,$B63,U$5,$B$1)</f>
        <v>0</v>
      </c>
      <c r="V63" s="54">
        <f>_xll.EQNXTDZ($A$1,$B63,V$5,$B$1)</f>
        <v>0</v>
      </c>
      <c r="W63" s="54">
        <f>_xll.EQNXTDZ($A$1,$B63,W$5,$B$1)</f>
        <v>0</v>
      </c>
      <c r="X63" s="54">
        <f>_xll.EQNXTDZ($A$1,$B63,X$5,$B$1)</f>
        <v>0</v>
      </c>
      <c r="Y63" s="54">
        <f>_xll.EQNXTDZ($A$1,$B63,Y$5,$B$1)</f>
        <v>0</v>
      </c>
      <c r="Z63" s="54">
        <f>_xll.EQNXTDZ($A$1,$B63,Z$5,$B$1)</f>
        <v>0</v>
      </c>
      <c r="AA63" s="54">
        <f>_xll.EQNXTDZ($A$1,$B63,AA$5,$B$1)</f>
        <v>0</v>
      </c>
      <c r="AB63" s="54">
        <f>_xll.EQNXTDZ($A$1,$B63,AB$5,$B$1)</f>
        <v>0</v>
      </c>
      <c r="AC63" s="54">
        <f>_xll.EQNXTDZ($A$1,$B63,AC$5,$B$1)</f>
        <v>0</v>
      </c>
      <c r="AD63" s="54">
        <f>_xll.EQNXTDZ($A$1,$B63,AD$5,$B$1)</f>
        <v>0</v>
      </c>
      <c r="AE63" s="54">
        <f>_xll.EQNXTDZ($A$1,$B63,AE$5,$B$1)</f>
        <v>0</v>
      </c>
      <c r="AF63" s="54">
        <f>_xll.EQNXTDZ($A$1,$B63,AF$5,$B$1)</f>
        <v>0</v>
      </c>
      <c r="AG63" s="54">
        <f>_xll.EQNXTDZ($A$1,$B63,AG$5,$B$1)</f>
        <v>0</v>
      </c>
      <c r="AH63" s="54">
        <f>_xll.EQNXTDZ($A$1,$B63,AH$5,$B$1)</f>
        <v>0</v>
      </c>
      <c r="AI63" s="54">
        <f>_xll.EQNXTDZ($A$1,$B63,AI$5,$B$1)</f>
        <v>0</v>
      </c>
      <c r="AJ63" s="54">
        <f>_xll.EQNXTDZ($A$1,$B63,AJ$5,$B$1)</f>
        <v>0</v>
      </c>
      <c r="AK63" s="54">
        <f>_xll.EQNXTDZ($A$1,$B63,AK$5,$B$1)</f>
        <v>0</v>
      </c>
      <c r="AL63" s="54">
        <f>_xll.EQNXTDZ($A$1,$B63,AL$5,$B$1)</f>
        <v>0</v>
      </c>
      <c r="AM63" s="54">
        <f>_xll.EQNXTDZ($A$1,$B63,AM$5,$B$1)</f>
        <v>0</v>
      </c>
      <c r="AN63" s="54">
        <f>_xll.EQNXTDZ($A$1,$B63,AN$5,$B$1)</f>
        <v>0</v>
      </c>
      <c r="AO63" s="54">
        <f>_xll.EQNXTDZ($A$1,$B63,AO$5,$B$1)</f>
        <v>0</v>
      </c>
      <c r="AP63" s="54">
        <f>_xll.EQNXTDZ($A$1,$B63,AP$5,$B$1)</f>
        <v>0</v>
      </c>
      <c r="AQ63" s="54">
        <f>_xll.EQNXTDZ($A$1,$B63,AQ$5,$B$1)</f>
        <v>0</v>
      </c>
      <c r="AR63" s="54">
        <f>_xll.EQNXTDZ($A$1,$B63,AR$5,$B$1)</f>
        <v>0</v>
      </c>
      <c r="AS63" s="54">
        <f>_xll.EQNXTDZ($A$1,$B63,AS$5,$B$1)</f>
        <v>0</v>
      </c>
      <c r="AT63" s="54">
        <f>_xll.EQNXTDZ($A$1,$B63,AT$5,$B$1)</f>
        <v>0</v>
      </c>
      <c r="AU63" s="54">
        <f>_xll.EQNXTDZ($A$1,$B63,AU$5,$B$1)</f>
        <v>0</v>
      </c>
      <c r="AV63" s="54">
        <f>_xll.EQNXTDZ($A$1,$B63,AV$5,$B$1)</f>
        <v>0</v>
      </c>
      <c r="AW63" s="54">
        <f>_xll.EQNXTDZ($A$1,$B63,AW$5,$B$1)</f>
        <v>0</v>
      </c>
      <c r="AX63" s="54">
        <f>_xll.EQNXTDZ($A$1,$B63,AX$5,$B$1)</f>
        <v>0</v>
      </c>
      <c r="AY63" s="54">
        <f>_xll.EQNXTDZ($A$1,$B63,AY$5,$B$1)</f>
        <v>0</v>
      </c>
      <c r="AZ63" s="54">
        <f>_xll.EQNXTDZ($A$1,$B63,AZ$5,$B$1)</f>
        <v>0</v>
      </c>
      <c r="BA63" s="54">
        <f>_xll.EQNXTDZ($A$1,$B63,BA$5,$B$1)</f>
        <v>0</v>
      </c>
      <c r="BB63" s="54">
        <f>_xll.EQNXTDZ($A$1,$B63,BB$5,$B$1)</f>
        <v>0</v>
      </c>
      <c r="BC63" s="54">
        <f>_xll.EQNXTDZ($A$1,$B63,BC$5,$B$1)</f>
        <v>0</v>
      </c>
      <c r="BD63" s="54">
        <f>_xll.EQNXTDZ($A$1,$B63,BD$5,$B$1)</f>
        <v>0</v>
      </c>
      <c r="BE63" s="54">
        <f>_xll.EQNXTDZ($A$1,$B63,BE$5,$B$1)</f>
        <v>0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0</v>
      </c>
      <c r="D64" s="54">
        <f>_xll.EQNXTDZ($A$1,$B64,D$5,$B$1)</f>
        <v>22.797999999999998</v>
      </c>
      <c r="E64" s="54">
        <f>_xll.EQNXTDZ($A$1,$B64,E$5,$B$1)</f>
        <v>0</v>
      </c>
      <c r="F64" s="54">
        <f>_xll.EQNXTDZ($A$1,$B64,F$5,$B$1)</f>
        <v>8.99</v>
      </c>
      <c r="G64" s="54">
        <f>_xll.EQNXTDZ($A$1,$B64,G$5,$B$1)</f>
        <v>0</v>
      </c>
      <c r="H64" s="54">
        <f>_xll.EQNXTDZ($A$1,$B64,H$5,$B$1)</f>
        <v>13.422000000000001</v>
      </c>
      <c r="I64" s="54">
        <f>_xll.EQNXTDZ($A$1,$B64,I$5,$B$1)</f>
        <v>0</v>
      </c>
      <c r="J64" s="54">
        <f>_xll.EQNXTDZ($A$1,$B64,J$5,$B$1)</f>
        <v>10.542999999999999</v>
      </c>
      <c r="K64" s="54">
        <f>_xll.EQNXTDZ($A$1,$B64,K$5,$B$1)</f>
        <v>0</v>
      </c>
      <c r="L64" s="54">
        <f>_xll.EQNXTDZ($A$1,$B64,L$5,$B$1)</f>
        <v>4.4409999999999998</v>
      </c>
      <c r="M64" s="54">
        <f>_xll.EQNXTDZ($A$1,$B64,M$5,$B$1)</f>
        <v>0</v>
      </c>
      <c r="N64" s="54">
        <f>_xll.EQNXTDZ($A$1,$B64,N$5,$B$1)</f>
        <v>9.266</v>
      </c>
      <c r="O64" s="54">
        <f>_xll.EQNXTDZ($A$1,$B64,O$5,$B$1)</f>
        <v>0</v>
      </c>
      <c r="P64" s="54">
        <f>_xll.EQNXTDZ($A$1,$B64,P$5,$B$1)</f>
        <v>3.0049999999999999</v>
      </c>
      <c r="Q64" s="54">
        <f>_xll.EQNXTDZ($A$1,$B64,Q$5,$B$1)</f>
        <v>0</v>
      </c>
      <c r="R64" s="54">
        <f>_xll.EQNXTDZ($A$1,$B64,R$5,$B$1)</f>
        <v>13.045999999999999</v>
      </c>
      <c r="S64" s="54">
        <f>_xll.EQNXTDZ($A$1,$B64,S$5,$B$1)</f>
        <v>0</v>
      </c>
      <c r="T64" s="54">
        <f>_xll.EQNXTDZ($A$1,$B64,T$5,$B$1)</f>
        <v>4.2240000000000002</v>
      </c>
      <c r="U64" s="54">
        <f>_xll.EQNXTDZ($A$1,$B64,U$5,$B$1)</f>
        <v>0</v>
      </c>
      <c r="V64" s="54">
        <f>_xll.EQNXTDZ($A$1,$B64,V$5,$B$1)</f>
        <v>1.95</v>
      </c>
      <c r="W64" s="54">
        <f>_xll.EQNXTDZ($A$1,$B64,W$5,$B$1)</f>
        <v>0</v>
      </c>
      <c r="X64" s="54">
        <f>_xll.EQNXTDZ($A$1,$B64,X$5,$B$1)</f>
        <v>42.753</v>
      </c>
      <c r="Y64" s="54">
        <f>_xll.EQNXTDZ($A$1,$B64,Y$5,$B$1)</f>
        <v>0</v>
      </c>
      <c r="Z64" s="54">
        <f>_xll.EQNXTDZ($A$1,$B64,Z$5,$B$1)</f>
        <v>40.372999999999998</v>
      </c>
      <c r="AA64" s="54">
        <f>_xll.EQNXTDZ($A$1,$B64,AA$5,$B$1)</f>
        <v>0</v>
      </c>
      <c r="AB64" s="54">
        <f>_xll.EQNXTDZ($A$1,$B64,AB$5,$B$1)</f>
        <v>0.87</v>
      </c>
      <c r="AC64" s="54">
        <f>_xll.EQNXTDZ($A$1,$B64,AC$5,$B$1)</f>
        <v>0</v>
      </c>
      <c r="AD64" s="54">
        <f>_xll.EQNXTDZ($A$1,$B64,AD$5,$B$1)</f>
        <v>0.87</v>
      </c>
      <c r="AE64" s="54">
        <f>_xll.EQNXTDZ($A$1,$B64,AE$5,$B$1)</f>
        <v>0</v>
      </c>
      <c r="AF64" s="54">
        <f>_xll.EQNXTDZ($A$1,$B64,AF$5,$B$1)</f>
        <v>0.87</v>
      </c>
      <c r="AG64" s="54">
        <f>_xll.EQNXTDZ($A$1,$B64,AG$5,$B$1)</f>
        <v>0</v>
      </c>
      <c r="AH64" s="54">
        <f>_xll.EQNXTDZ($A$1,$B64,AH$5,$B$1)</f>
        <v>1.042</v>
      </c>
      <c r="AI64" s="54">
        <f>_xll.EQNXTDZ($A$1,$B64,AI$5,$B$1)</f>
        <v>0</v>
      </c>
      <c r="AJ64" s="54">
        <f>_xll.EQNXTDZ($A$1,$B64,AJ$5,$B$1)</f>
        <v>0.92800000000000005</v>
      </c>
      <c r="AK64" s="54">
        <f>_xll.EQNXTDZ($A$1,$B64,AK$5,$B$1)</f>
        <v>0</v>
      </c>
      <c r="AL64" s="54">
        <f>_xll.EQNXTDZ($A$1,$B64,AL$5,$B$1)</f>
        <v>0.89300000000000002</v>
      </c>
      <c r="AM64" s="54">
        <f>_xll.EQNXTDZ($A$1,$B64,AM$5,$B$1)</f>
        <v>0</v>
      </c>
      <c r="AN64" s="54">
        <f>_xll.EQNXTDZ($A$1,$B64,AN$5,$B$1)</f>
        <v>0.87</v>
      </c>
      <c r="AO64" s="54">
        <f>_xll.EQNXTDZ($A$1,$B64,AO$5,$B$1)</f>
        <v>0</v>
      </c>
      <c r="AP64" s="54">
        <f>_xll.EQNXTDZ($A$1,$B64,AP$5,$B$1)</f>
        <v>0.87</v>
      </c>
      <c r="AQ64" s="54">
        <f>_xll.EQNXTDZ($A$1,$B64,AQ$5,$B$1)</f>
        <v>0</v>
      </c>
      <c r="AR64" s="54">
        <f>_xll.EQNXTDZ($A$1,$B64,AR$5,$B$1)</f>
        <v>0.87</v>
      </c>
      <c r="AS64" s="54">
        <f>_xll.EQNXTDZ($A$1,$B64,AS$5,$B$1)</f>
        <v>0</v>
      </c>
      <c r="AT64" s="54">
        <f>_xll.EQNXTDZ($A$1,$B64,AT$5,$B$1)</f>
        <v>1.0249999999999999</v>
      </c>
      <c r="AU64" s="54">
        <f>_xll.EQNXTDZ($A$1,$B64,AU$5,$B$1)</f>
        <v>0</v>
      </c>
      <c r="AV64" s="54">
        <f>_xll.EQNXTDZ($A$1,$B64,AV$5,$B$1)</f>
        <v>1.5369999999999999</v>
      </c>
      <c r="AW64" s="54">
        <f>_xll.EQNXTDZ($A$1,$B64,AW$5,$B$1)</f>
        <v>1.5680000000000001</v>
      </c>
      <c r="AX64" s="54">
        <f>_xll.EQNXTDZ($A$1,$B64,AX$5,$B$1)</f>
        <v>0</v>
      </c>
      <c r="AY64" s="54">
        <f>_xll.EQNXTDZ($A$1,$B64,AY$5,$B$1)</f>
        <v>4.8019999999999996</v>
      </c>
      <c r="AZ64" s="54">
        <f>_xll.EQNXTDZ($A$1,$B64,AZ$5,$B$1)</f>
        <v>0</v>
      </c>
      <c r="BA64" s="54">
        <f>_xll.EQNXTDZ($A$1,$B64,BA$5,$B$1)</f>
        <v>4.5339999999999998</v>
      </c>
      <c r="BB64" s="54">
        <f>_xll.EQNXTDZ($A$1,$B64,BB$5,$B$1)</f>
        <v>0</v>
      </c>
      <c r="BC64" s="54">
        <f>_xll.EQNXTDZ($A$1,$B64,BC$5,$B$1)</f>
        <v>3.7210000000000001</v>
      </c>
      <c r="BD64" s="54">
        <f>_xll.EQNXTDZ($A$1,$B64,BD$5,$B$1)</f>
        <v>0</v>
      </c>
      <c r="BE64" s="54">
        <f>_xll.EQNXTDZ($A$1,$B64,BE$5,$B$1)</f>
        <v>3.7440000000000002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0.29799999999999999</v>
      </c>
      <c r="W65" s="54">
        <f>_xll.EQNXTDZ($A$1,$B65,W$5,$B$1)</f>
        <v>0</v>
      </c>
      <c r="X65" s="54">
        <f>_xll.EQNXTDZ($A$1,$B65,X$5,$B$1)</f>
        <v>0.17499999999999999</v>
      </c>
      <c r="Y65" s="54">
        <f>_xll.EQNXTDZ($A$1,$B65,Y$5,$B$1)</f>
        <v>0</v>
      </c>
      <c r="Z65" s="54">
        <f>_xll.EQNXTDZ($A$1,$B65,Z$5,$B$1)</f>
        <v>0.438</v>
      </c>
      <c r="AA65" s="54">
        <f>_xll.EQNXTDZ($A$1,$B65,AA$5,$B$1)</f>
        <v>0</v>
      </c>
      <c r="AB65" s="54">
        <f>_xll.EQNXTDZ($A$1,$B65,AB$5,$B$1)</f>
        <v>0.57599999999999996</v>
      </c>
      <c r="AC65" s="54">
        <f>_xll.EQNXTDZ($A$1,$B65,AC$5,$B$1)</f>
        <v>0</v>
      </c>
      <c r="AD65" s="54">
        <f>_xll.EQNXTDZ($A$1,$B65,AD$5,$B$1)</f>
        <v>10.837</v>
      </c>
      <c r="AE65" s="54">
        <f>_xll.EQNXTDZ($A$1,$B65,AE$5,$B$1)</f>
        <v>0</v>
      </c>
      <c r="AF65" s="54">
        <f>_xll.EQNXTDZ($A$1,$B65,AF$5,$B$1)</f>
        <v>10.353</v>
      </c>
      <c r="AG65" s="54">
        <f>_xll.EQNXTDZ($A$1,$B65,AG$5,$B$1)</f>
        <v>0</v>
      </c>
      <c r="AH65" s="54">
        <f>_xll.EQNXTDZ($A$1,$B65,AH$5,$B$1)</f>
        <v>3.2629999999999999</v>
      </c>
      <c r="AI65" s="54">
        <f>_xll.EQNXTDZ($A$1,$B65,AI$5,$B$1)</f>
        <v>0</v>
      </c>
      <c r="AJ65" s="54">
        <f>_xll.EQNXTDZ($A$1,$B65,AJ$5,$B$1)</f>
        <v>1.4379999999999999</v>
      </c>
      <c r="AK65" s="54">
        <f>_xll.EQNXTDZ($A$1,$B65,AK$5,$B$1)</f>
        <v>0</v>
      </c>
      <c r="AL65" s="54">
        <f>_xll.EQNXTDZ($A$1,$B65,AL$5,$B$1)</f>
        <v>5.3860000000000001</v>
      </c>
      <c r="AM65" s="54">
        <f>_xll.EQNXTDZ($A$1,$B65,AM$5,$B$1)</f>
        <v>0</v>
      </c>
      <c r="AN65" s="54">
        <f>_xll.EQNXTDZ($A$1,$B65,AN$5,$B$1)</f>
        <v>7.8449999999999998</v>
      </c>
      <c r="AO65" s="54">
        <f>_xll.EQNXTDZ($A$1,$B65,AO$5,$B$1)</f>
        <v>0</v>
      </c>
      <c r="AP65" s="54">
        <f>_xll.EQNXTDZ($A$1,$B65,AP$5,$B$1)</f>
        <v>6.3310000000000004</v>
      </c>
      <c r="AQ65" s="54">
        <f>_xll.EQNXTDZ($A$1,$B65,AQ$5,$B$1)</f>
        <v>0</v>
      </c>
      <c r="AR65" s="54">
        <f>_xll.EQNXTDZ($A$1,$B65,AR$5,$B$1)</f>
        <v>1.5389999999999999</v>
      </c>
      <c r="AS65" s="54">
        <f>_xll.EQNXTDZ($A$1,$B65,AS$5,$B$1)</f>
        <v>0</v>
      </c>
      <c r="AT65" s="54">
        <f>_xll.EQNXTDZ($A$1,$B65,AT$5,$B$1)</f>
        <v>3.6230000000000002</v>
      </c>
      <c r="AU65" s="54">
        <f>_xll.EQNXTDZ($A$1,$B65,AU$5,$B$1)</f>
        <v>0</v>
      </c>
      <c r="AV65" s="54">
        <f>_xll.EQNXTDZ($A$1,$B65,AV$5,$B$1)</f>
        <v>11.975</v>
      </c>
      <c r="AW65" s="54">
        <f>_xll.EQNXTDZ($A$1,$B65,AW$5,$B$1)</f>
        <v>22.876000000000001</v>
      </c>
      <c r="AX65" s="54">
        <f>_xll.EQNXTDZ($A$1,$B65,AX$5,$B$1)</f>
        <v>0</v>
      </c>
      <c r="AY65" s="54">
        <f>_xll.EQNXTDZ($A$1,$B65,AY$5,$B$1)</f>
        <v>22.65</v>
      </c>
      <c r="AZ65" s="54">
        <f>_xll.EQNXTDZ($A$1,$B65,AZ$5,$B$1)</f>
        <v>0</v>
      </c>
      <c r="BA65" s="54">
        <f>_xll.EQNXTDZ($A$1,$B65,BA$5,$B$1)</f>
        <v>18.361999999999998</v>
      </c>
      <c r="BB65" s="54">
        <f>_xll.EQNXTDZ($A$1,$B65,BB$5,$B$1)</f>
        <v>0</v>
      </c>
      <c r="BC65" s="54">
        <f>_xll.EQNXTDZ($A$1,$B65,BC$5,$B$1)</f>
        <v>14.401999999999999</v>
      </c>
      <c r="BD65" s="54">
        <f>_xll.EQNXTDZ($A$1,$B65,BD$5,$B$1)</f>
        <v>0</v>
      </c>
      <c r="BE65" s="54">
        <f>_xll.EQNXTDZ($A$1,$B65,BE$5,$B$1)</f>
        <v>7.3239999999999998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0</v>
      </c>
      <c r="D66" s="54">
        <f>_xll.EQNXTDZ($A$1,$B66,D$5,$B$1)</f>
        <v>8.9529999999999994</v>
      </c>
      <c r="E66" s="54">
        <f>_xll.EQNXTDZ($A$1,$B66,E$5,$B$1)</f>
        <v>0</v>
      </c>
      <c r="F66" s="54">
        <f>_xll.EQNXTDZ($A$1,$B66,F$5,$B$1)</f>
        <v>11.670999999999999</v>
      </c>
      <c r="G66" s="54">
        <f>_xll.EQNXTDZ($A$1,$B66,G$5,$B$1)</f>
        <v>0</v>
      </c>
      <c r="H66" s="54">
        <f>_xll.EQNXTDZ($A$1,$B66,H$5,$B$1)</f>
        <v>11.381</v>
      </c>
      <c r="I66" s="54">
        <f>_xll.EQNXTDZ($A$1,$B66,I$5,$B$1)</f>
        <v>0</v>
      </c>
      <c r="J66" s="54">
        <f>_xll.EQNXTDZ($A$1,$B66,J$5,$B$1)</f>
        <v>6.806</v>
      </c>
      <c r="K66" s="54">
        <f>_xll.EQNXTDZ($A$1,$B66,K$5,$B$1)</f>
        <v>0</v>
      </c>
      <c r="L66" s="54">
        <f>_xll.EQNXTDZ($A$1,$B66,L$5,$B$1)</f>
        <v>8.9149999999999991</v>
      </c>
      <c r="M66" s="54">
        <f>_xll.EQNXTDZ($A$1,$B66,M$5,$B$1)</f>
        <v>0</v>
      </c>
      <c r="N66" s="54">
        <f>_xll.EQNXTDZ($A$1,$B66,N$5,$B$1)</f>
        <v>5.0339999999999998</v>
      </c>
      <c r="O66" s="54">
        <f>_xll.EQNXTDZ($A$1,$B66,O$5,$B$1)</f>
        <v>0</v>
      </c>
      <c r="P66" s="54">
        <f>_xll.EQNXTDZ($A$1,$B66,P$5,$B$1)</f>
        <v>4.6449999999999996</v>
      </c>
      <c r="Q66" s="54">
        <f>_xll.EQNXTDZ($A$1,$B66,Q$5,$B$1)</f>
        <v>0</v>
      </c>
      <c r="R66" s="54">
        <f>_xll.EQNXTDZ($A$1,$B66,R$5,$B$1)</f>
        <v>2.9180000000000001</v>
      </c>
      <c r="S66" s="54">
        <f>_xll.EQNXTDZ($A$1,$B66,S$5,$B$1)</f>
        <v>0</v>
      </c>
      <c r="T66" s="54">
        <f>_xll.EQNXTDZ($A$1,$B66,T$5,$B$1)</f>
        <v>6.7869999999999999</v>
      </c>
      <c r="U66" s="54">
        <f>_xll.EQNXTDZ($A$1,$B66,U$5,$B$1)</f>
        <v>0</v>
      </c>
      <c r="V66" s="54">
        <f>_xll.EQNXTDZ($A$1,$B66,V$5,$B$1)</f>
        <v>2.3690000000000002</v>
      </c>
      <c r="W66" s="54">
        <f>_xll.EQNXTDZ($A$1,$B66,W$5,$B$1)</f>
        <v>0</v>
      </c>
      <c r="X66" s="54">
        <f>_xll.EQNXTDZ($A$1,$B66,X$5,$B$1)</f>
        <v>2.4119999999999999</v>
      </c>
      <c r="Y66" s="54">
        <f>_xll.EQNXTDZ($A$1,$B66,Y$5,$B$1)</f>
        <v>0</v>
      </c>
      <c r="Z66" s="54">
        <f>_xll.EQNXTDZ($A$1,$B66,Z$5,$B$1)</f>
        <v>2.9060000000000001</v>
      </c>
      <c r="AA66" s="54">
        <f>_xll.EQNXTDZ($A$1,$B66,AA$5,$B$1)</f>
        <v>0</v>
      </c>
      <c r="AB66" s="54">
        <f>_xll.EQNXTDZ($A$1,$B66,AB$5,$B$1)</f>
        <v>3.274</v>
      </c>
      <c r="AC66" s="54">
        <f>_xll.EQNXTDZ($A$1,$B66,AC$5,$B$1)</f>
        <v>0</v>
      </c>
      <c r="AD66" s="54">
        <f>_xll.EQNXTDZ($A$1,$B66,AD$5,$B$1)</f>
        <v>3.577</v>
      </c>
      <c r="AE66" s="54">
        <f>_xll.EQNXTDZ($A$1,$B66,AE$5,$B$1)</f>
        <v>0</v>
      </c>
      <c r="AF66" s="54">
        <f>_xll.EQNXTDZ($A$1,$B66,AF$5,$B$1)</f>
        <v>3.6930000000000001</v>
      </c>
      <c r="AG66" s="54">
        <f>_xll.EQNXTDZ($A$1,$B66,AG$5,$B$1)</f>
        <v>0</v>
      </c>
      <c r="AH66" s="54">
        <f>_xll.EQNXTDZ($A$1,$B66,AH$5,$B$1)</f>
        <v>4.3540000000000001</v>
      </c>
      <c r="AI66" s="54">
        <f>_xll.EQNXTDZ($A$1,$B66,AI$5,$B$1)</f>
        <v>0</v>
      </c>
      <c r="AJ66" s="54">
        <f>_xll.EQNXTDZ($A$1,$B66,AJ$5,$B$1)</f>
        <v>3.9780000000000002</v>
      </c>
      <c r="AK66" s="54">
        <f>_xll.EQNXTDZ($A$1,$B66,AK$5,$B$1)</f>
        <v>0</v>
      </c>
      <c r="AL66" s="54">
        <f>_xll.EQNXTDZ($A$1,$B66,AL$5,$B$1)</f>
        <v>2.742</v>
      </c>
      <c r="AM66" s="54">
        <f>_xll.EQNXTDZ($A$1,$B66,AM$5,$B$1)</f>
        <v>0</v>
      </c>
      <c r="AN66" s="54">
        <f>_xll.EQNXTDZ($A$1,$B66,AN$5,$B$1)</f>
        <v>3.294</v>
      </c>
      <c r="AO66" s="54">
        <f>_xll.EQNXTDZ($A$1,$B66,AO$5,$B$1)</f>
        <v>0</v>
      </c>
      <c r="AP66" s="54">
        <f>_xll.EQNXTDZ($A$1,$B66,AP$5,$B$1)</f>
        <v>2.86</v>
      </c>
      <c r="AQ66" s="54">
        <f>_xll.EQNXTDZ($A$1,$B66,AQ$5,$B$1)</f>
        <v>0</v>
      </c>
      <c r="AR66" s="54">
        <f>_xll.EQNXTDZ($A$1,$B66,AR$5,$B$1)</f>
        <v>3.278</v>
      </c>
      <c r="AS66" s="54">
        <f>_xll.EQNXTDZ($A$1,$B66,AS$5,$B$1)</f>
        <v>0</v>
      </c>
      <c r="AT66" s="54">
        <f>_xll.EQNXTDZ($A$1,$B66,AT$5,$B$1)</f>
        <v>8.2810000000000006</v>
      </c>
      <c r="AU66" s="54">
        <f>_xll.EQNXTDZ($A$1,$B66,AU$5,$B$1)</f>
        <v>0</v>
      </c>
      <c r="AV66" s="54">
        <f>_xll.EQNXTDZ($A$1,$B66,AV$5,$B$1)</f>
        <v>3.081</v>
      </c>
      <c r="AW66" s="54">
        <f>_xll.EQNXTDZ($A$1,$B66,AW$5,$B$1)</f>
        <v>14.978</v>
      </c>
      <c r="AX66" s="54">
        <f>_xll.EQNXTDZ($A$1,$B66,AX$5,$B$1)</f>
        <v>0</v>
      </c>
      <c r="AY66" s="54">
        <f>_xll.EQNXTDZ($A$1,$B66,AY$5,$B$1)</f>
        <v>2.323</v>
      </c>
      <c r="AZ66" s="54">
        <f>_xll.EQNXTDZ($A$1,$B66,AZ$5,$B$1)</f>
        <v>0</v>
      </c>
      <c r="BA66" s="54">
        <f>_xll.EQNXTDZ($A$1,$B66,BA$5,$B$1)</f>
        <v>12.247</v>
      </c>
      <c r="BB66" s="54">
        <f>_xll.EQNXTDZ($A$1,$B66,BB$5,$B$1)</f>
        <v>0</v>
      </c>
      <c r="BC66" s="54">
        <f>_xll.EQNXTDZ($A$1,$B66,BC$5,$B$1)</f>
        <v>3.63</v>
      </c>
      <c r="BD66" s="54">
        <f>_xll.EQNXTDZ($A$1,$B66,BD$5,$B$1)</f>
        <v>0</v>
      </c>
      <c r="BE66" s="54">
        <f>_xll.EQNXTDZ($A$1,$B66,BE$5,$B$1)</f>
        <v>11.397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0</v>
      </c>
      <c r="D67" s="54">
        <f>_xll.EQNXTDZ($A$1,$B67,D$5,$B$1)</f>
        <v>199.78700000000001</v>
      </c>
      <c r="E67" s="54">
        <f>_xll.EQNXTDZ($A$1,$B67,E$5,$B$1)</f>
        <v>0</v>
      </c>
      <c r="F67" s="54">
        <f>_xll.EQNXTDZ($A$1,$B67,F$5,$B$1)</f>
        <v>194.35400000000001</v>
      </c>
      <c r="G67" s="54">
        <f>_xll.EQNXTDZ($A$1,$B67,G$5,$B$1)</f>
        <v>0</v>
      </c>
      <c r="H67" s="54">
        <f>_xll.EQNXTDZ($A$1,$B67,H$5,$B$1)</f>
        <v>163.34299999999999</v>
      </c>
      <c r="I67" s="54">
        <f>_xll.EQNXTDZ($A$1,$B67,I$5,$B$1)</f>
        <v>0</v>
      </c>
      <c r="J67" s="54">
        <f>_xll.EQNXTDZ($A$1,$B67,J$5,$B$1)</f>
        <v>162.958</v>
      </c>
      <c r="K67" s="54">
        <f>_xll.EQNXTDZ($A$1,$B67,K$5,$B$1)</f>
        <v>0</v>
      </c>
      <c r="L67" s="54">
        <f>_xll.EQNXTDZ($A$1,$B67,L$5,$B$1)</f>
        <v>157.68199999999999</v>
      </c>
      <c r="M67" s="54">
        <f>_xll.EQNXTDZ($A$1,$B67,M$5,$B$1)</f>
        <v>0</v>
      </c>
      <c r="N67" s="54">
        <f>_xll.EQNXTDZ($A$1,$B67,N$5,$B$1)</f>
        <v>164.34800000000001</v>
      </c>
      <c r="O67" s="54">
        <f>_xll.EQNXTDZ($A$1,$B67,O$5,$B$1)</f>
        <v>0</v>
      </c>
      <c r="P67" s="54">
        <f>_xll.EQNXTDZ($A$1,$B67,P$5,$B$1)</f>
        <v>143.47999999999999</v>
      </c>
      <c r="Q67" s="54">
        <f>_xll.EQNXTDZ($A$1,$B67,Q$5,$B$1)</f>
        <v>0</v>
      </c>
      <c r="R67" s="54">
        <f>_xll.EQNXTDZ($A$1,$B67,R$5,$B$1)</f>
        <v>166.66399999999999</v>
      </c>
      <c r="S67" s="54">
        <f>_xll.EQNXTDZ($A$1,$B67,S$5,$B$1)</f>
        <v>0</v>
      </c>
      <c r="T67" s="54">
        <f>_xll.EQNXTDZ($A$1,$B67,T$5,$B$1)</f>
        <v>153.792</v>
      </c>
      <c r="U67" s="54">
        <f>_xll.EQNXTDZ($A$1,$B67,U$5,$B$1)</f>
        <v>0</v>
      </c>
      <c r="V67" s="54">
        <f>_xll.EQNXTDZ($A$1,$B67,V$5,$B$1)</f>
        <v>156.566</v>
      </c>
      <c r="W67" s="54">
        <f>_xll.EQNXTDZ($A$1,$B67,W$5,$B$1)</f>
        <v>0</v>
      </c>
      <c r="X67" s="54">
        <f>_xll.EQNXTDZ($A$1,$B67,X$5,$B$1)</f>
        <v>201.733</v>
      </c>
      <c r="Y67" s="54">
        <f>_xll.EQNXTDZ($A$1,$B67,Y$5,$B$1)</f>
        <v>0</v>
      </c>
      <c r="Z67" s="54">
        <f>_xll.EQNXTDZ($A$1,$B67,Z$5,$B$1)</f>
        <v>201.48500000000001</v>
      </c>
      <c r="AA67" s="54">
        <f>_xll.EQNXTDZ($A$1,$B67,AA$5,$B$1)</f>
        <v>0</v>
      </c>
      <c r="AB67" s="54">
        <f>_xll.EQNXTDZ($A$1,$B67,AB$5,$B$1)</f>
        <v>168.02699999999999</v>
      </c>
      <c r="AC67" s="54">
        <f>_xll.EQNXTDZ($A$1,$B67,AC$5,$B$1)</f>
        <v>0</v>
      </c>
      <c r="AD67" s="54">
        <f>_xll.EQNXTDZ($A$1,$B67,AD$5,$B$1)</f>
        <v>206.23500000000001</v>
      </c>
      <c r="AE67" s="54">
        <f>_xll.EQNXTDZ($A$1,$B67,AE$5,$B$1)</f>
        <v>0</v>
      </c>
      <c r="AF67" s="54">
        <f>_xll.EQNXTDZ($A$1,$B67,AF$5,$B$1)</f>
        <v>213.42099999999999</v>
      </c>
      <c r="AG67" s="54">
        <f>_xll.EQNXTDZ($A$1,$B67,AG$5,$B$1)</f>
        <v>0</v>
      </c>
      <c r="AH67" s="54">
        <f>_xll.EQNXTDZ($A$1,$B67,AH$5,$B$1)</f>
        <v>216.03899999999999</v>
      </c>
      <c r="AI67" s="54">
        <f>_xll.EQNXTDZ($A$1,$B67,AI$5,$B$1)</f>
        <v>0</v>
      </c>
      <c r="AJ67" s="54">
        <f>_xll.EQNXTDZ($A$1,$B67,AJ$5,$B$1)</f>
        <v>190.09800000000001</v>
      </c>
      <c r="AK67" s="54">
        <f>_xll.EQNXTDZ($A$1,$B67,AK$5,$B$1)</f>
        <v>0</v>
      </c>
      <c r="AL67" s="54">
        <f>_xll.EQNXTDZ($A$1,$B67,AL$5,$B$1)</f>
        <v>184.27799999999999</v>
      </c>
      <c r="AM67" s="54">
        <f>_xll.EQNXTDZ($A$1,$B67,AM$5,$B$1)</f>
        <v>0</v>
      </c>
      <c r="AN67" s="54">
        <f>_xll.EQNXTDZ($A$1,$B67,AN$5,$B$1)</f>
        <v>189.03700000000001</v>
      </c>
      <c r="AO67" s="54">
        <f>_xll.EQNXTDZ($A$1,$B67,AO$5,$B$1)</f>
        <v>0</v>
      </c>
      <c r="AP67" s="54">
        <f>_xll.EQNXTDZ($A$1,$B67,AP$5,$B$1)</f>
        <v>190.35499999999999</v>
      </c>
      <c r="AQ67" s="54">
        <f>_xll.EQNXTDZ($A$1,$B67,AQ$5,$B$1)</f>
        <v>0</v>
      </c>
      <c r="AR67" s="54">
        <f>_xll.EQNXTDZ($A$1,$B67,AR$5,$B$1)</f>
        <v>176.54</v>
      </c>
      <c r="AS67" s="54">
        <f>_xll.EQNXTDZ($A$1,$B67,AS$5,$B$1)</f>
        <v>0</v>
      </c>
      <c r="AT67" s="54">
        <f>_xll.EQNXTDZ($A$1,$B67,AT$5,$B$1)</f>
        <v>205.279</v>
      </c>
      <c r="AU67" s="54">
        <f>_xll.EQNXTDZ($A$1,$B67,AU$5,$B$1)</f>
        <v>0</v>
      </c>
      <c r="AV67" s="54">
        <f>_xll.EQNXTDZ($A$1,$B67,AV$5,$B$1)</f>
        <v>217.8</v>
      </c>
      <c r="AW67" s="54">
        <f>_xll.EQNXTDZ($A$1,$B67,AW$5,$B$1)</f>
        <v>250.81399999999999</v>
      </c>
      <c r="AX67" s="54">
        <f>_xll.EQNXTDZ($A$1,$B67,AX$5,$B$1)</f>
        <v>0</v>
      </c>
      <c r="AY67" s="54">
        <f>_xll.EQNXTDZ($A$1,$B67,AY$5,$B$1)</f>
        <v>241.47200000000001</v>
      </c>
      <c r="AZ67" s="54">
        <f>_xll.EQNXTDZ($A$1,$B67,AZ$5,$B$1)</f>
        <v>0</v>
      </c>
      <c r="BA67" s="54">
        <f>_xll.EQNXTDZ($A$1,$B67,BA$5,$B$1)</f>
        <v>236.29499999999999</v>
      </c>
      <c r="BB67" s="54">
        <f>_xll.EQNXTDZ($A$1,$B67,BB$5,$B$1)</f>
        <v>0</v>
      </c>
      <c r="BC67" s="54">
        <f>_xll.EQNXTDZ($A$1,$B67,BC$5,$B$1)</f>
        <v>224.29</v>
      </c>
      <c r="BD67" s="54">
        <f>_xll.EQNXTDZ($A$1,$B67,BD$5,$B$1)</f>
        <v>0</v>
      </c>
      <c r="BE67" s="54">
        <f>_xll.EQNXTDZ($A$1,$B67,BE$5,$B$1)</f>
        <v>232.60900000000001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0</v>
      </c>
      <c r="D68" s="54">
        <f>_xll.EQNXTDZ($A$1,$B68,D$5,$B$1)</f>
        <v>62.835999999999999</v>
      </c>
      <c r="E68" s="54">
        <f>_xll.EQNXTDZ($A$1,$B68,E$5,$B$1)</f>
        <v>0</v>
      </c>
      <c r="F68" s="54">
        <f>_xll.EQNXTDZ($A$1,$B68,F$5,$B$1)</f>
        <v>68.685000000000002</v>
      </c>
      <c r="G68" s="54">
        <f>_xll.EQNXTDZ($A$1,$B68,G$5,$B$1)</f>
        <v>0</v>
      </c>
      <c r="H68" s="54">
        <f>_xll.EQNXTDZ($A$1,$B68,H$5,$B$1)</f>
        <v>69.869</v>
      </c>
      <c r="I68" s="54">
        <f>_xll.EQNXTDZ($A$1,$B68,I$5,$B$1)</f>
        <v>0</v>
      </c>
      <c r="J68" s="54">
        <f>_xll.EQNXTDZ($A$1,$B68,J$5,$B$1)</f>
        <v>67.242000000000004</v>
      </c>
      <c r="K68" s="54">
        <f>_xll.EQNXTDZ($A$1,$B68,K$5,$B$1)</f>
        <v>0</v>
      </c>
      <c r="L68" s="54">
        <f>_xll.EQNXTDZ($A$1,$B68,L$5,$B$1)</f>
        <v>74.634</v>
      </c>
      <c r="M68" s="54">
        <f>_xll.EQNXTDZ($A$1,$B68,M$5,$B$1)</f>
        <v>0</v>
      </c>
      <c r="N68" s="54">
        <f>_xll.EQNXTDZ($A$1,$B68,N$5,$B$1)</f>
        <v>71.546999999999997</v>
      </c>
      <c r="O68" s="54">
        <f>_xll.EQNXTDZ($A$1,$B68,O$5,$B$1)</f>
        <v>0</v>
      </c>
      <c r="P68" s="54">
        <f>_xll.EQNXTDZ($A$1,$B68,P$5,$B$1)</f>
        <v>71.807000000000002</v>
      </c>
      <c r="Q68" s="54">
        <f>_xll.EQNXTDZ($A$1,$B68,Q$5,$B$1)</f>
        <v>0</v>
      </c>
      <c r="R68" s="54">
        <f>_xll.EQNXTDZ($A$1,$B68,R$5,$B$1)</f>
        <v>68.349000000000004</v>
      </c>
      <c r="S68" s="54">
        <f>_xll.EQNXTDZ($A$1,$B68,S$5,$B$1)</f>
        <v>0</v>
      </c>
      <c r="T68" s="54">
        <f>_xll.EQNXTDZ($A$1,$B68,T$5,$B$1)</f>
        <v>67.688000000000002</v>
      </c>
      <c r="U68" s="54">
        <f>_xll.EQNXTDZ($A$1,$B68,U$5,$B$1)</f>
        <v>0</v>
      </c>
      <c r="V68" s="54">
        <f>_xll.EQNXTDZ($A$1,$B68,V$5,$B$1)</f>
        <v>62.738999999999997</v>
      </c>
      <c r="W68" s="54">
        <f>_xll.EQNXTDZ($A$1,$B68,W$5,$B$1)</f>
        <v>0</v>
      </c>
      <c r="X68" s="54">
        <f>_xll.EQNXTDZ($A$1,$B68,X$5,$B$1)</f>
        <v>62.558999999999997</v>
      </c>
      <c r="Y68" s="54">
        <f>_xll.EQNXTDZ($A$1,$B68,Y$5,$B$1)</f>
        <v>0</v>
      </c>
      <c r="Z68" s="54">
        <f>_xll.EQNXTDZ($A$1,$B68,Z$5,$B$1)</f>
        <v>60.49</v>
      </c>
      <c r="AA68" s="54">
        <f>_xll.EQNXTDZ($A$1,$B68,AA$5,$B$1)</f>
        <v>0</v>
      </c>
      <c r="AB68" s="54">
        <f>_xll.EQNXTDZ($A$1,$B68,AB$5,$B$1)</f>
        <v>61.036999999999999</v>
      </c>
      <c r="AC68" s="54">
        <f>_xll.EQNXTDZ($A$1,$B68,AC$5,$B$1)</f>
        <v>0</v>
      </c>
      <c r="AD68" s="54">
        <f>_xll.EQNXTDZ($A$1,$B68,AD$5,$B$1)</f>
        <v>59.665999999999997</v>
      </c>
      <c r="AE68" s="54">
        <f>_xll.EQNXTDZ($A$1,$B68,AE$5,$B$1)</f>
        <v>0</v>
      </c>
      <c r="AF68" s="54">
        <f>_xll.EQNXTDZ($A$1,$B68,AF$5,$B$1)</f>
        <v>61.02</v>
      </c>
      <c r="AG68" s="54">
        <f>_xll.EQNXTDZ($A$1,$B68,AG$5,$B$1)</f>
        <v>0</v>
      </c>
      <c r="AH68" s="54">
        <f>_xll.EQNXTDZ($A$1,$B68,AH$5,$B$1)</f>
        <v>55.151000000000003</v>
      </c>
      <c r="AI68" s="54">
        <f>_xll.EQNXTDZ($A$1,$B68,AI$5,$B$1)</f>
        <v>0</v>
      </c>
      <c r="AJ68" s="54">
        <f>_xll.EQNXTDZ($A$1,$B68,AJ$5,$B$1)</f>
        <v>53.292000000000002</v>
      </c>
      <c r="AK68" s="54">
        <f>_xll.EQNXTDZ($A$1,$B68,AK$5,$B$1)</f>
        <v>0</v>
      </c>
      <c r="AL68" s="54">
        <f>_xll.EQNXTDZ($A$1,$B68,AL$5,$B$1)</f>
        <v>51.046999999999997</v>
      </c>
      <c r="AM68" s="54">
        <f>_xll.EQNXTDZ($A$1,$B68,AM$5,$B$1)</f>
        <v>0</v>
      </c>
      <c r="AN68" s="54">
        <f>_xll.EQNXTDZ($A$1,$B68,AN$5,$B$1)</f>
        <v>49.095999999999997</v>
      </c>
      <c r="AO68" s="54">
        <f>_xll.EQNXTDZ($A$1,$B68,AO$5,$B$1)</f>
        <v>0</v>
      </c>
      <c r="AP68" s="54">
        <f>_xll.EQNXTDZ($A$1,$B68,AP$5,$B$1)</f>
        <v>48.411999999999999</v>
      </c>
      <c r="AQ68" s="54">
        <f>_xll.EQNXTDZ($A$1,$B68,AQ$5,$B$1)</f>
        <v>0</v>
      </c>
      <c r="AR68" s="54">
        <f>_xll.EQNXTDZ($A$1,$B68,AR$5,$B$1)</f>
        <v>47.914999999999999</v>
      </c>
      <c r="AS68" s="54">
        <f>_xll.EQNXTDZ($A$1,$B68,AS$5,$B$1)</f>
        <v>0</v>
      </c>
      <c r="AT68" s="54">
        <f>_xll.EQNXTDZ($A$1,$B68,AT$5,$B$1)</f>
        <v>46.972999999999999</v>
      </c>
      <c r="AU68" s="54">
        <f>_xll.EQNXTDZ($A$1,$B68,AU$5,$B$1)</f>
        <v>0</v>
      </c>
      <c r="AV68" s="54">
        <f>_xll.EQNXTDZ($A$1,$B68,AV$5,$B$1)</f>
        <v>48.253</v>
      </c>
      <c r="AW68" s="54">
        <f>_xll.EQNXTDZ($A$1,$B68,AW$5,$B$1)</f>
        <v>48.951000000000001</v>
      </c>
      <c r="AX68" s="54">
        <f>_xll.EQNXTDZ($A$1,$B68,AX$5,$B$1)</f>
        <v>0</v>
      </c>
      <c r="AY68" s="54">
        <f>_xll.EQNXTDZ($A$1,$B68,AY$5,$B$1)</f>
        <v>48.841000000000001</v>
      </c>
      <c r="AZ68" s="54">
        <f>_xll.EQNXTDZ($A$1,$B68,AZ$5,$B$1)</f>
        <v>0</v>
      </c>
      <c r="BA68" s="54">
        <f>_xll.EQNXTDZ($A$1,$B68,BA$5,$B$1)</f>
        <v>47.542000000000002</v>
      </c>
      <c r="BB68" s="54">
        <f>_xll.EQNXTDZ($A$1,$B68,BB$5,$B$1)</f>
        <v>0</v>
      </c>
      <c r="BC68" s="54">
        <f>_xll.EQNXTDZ($A$1,$B68,BC$5,$B$1)</f>
        <v>45.97</v>
      </c>
      <c r="BD68" s="54">
        <f>_xll.EQNXTDZ($A$1,$B68,BD$5,$B$1)</f>
        <v>0</v>
      </c>
      <c r="BE68" s="54">
        <f>_xll.EQNXTDZ($A$1,$B68,BE$5,$B$1)</f>
        <v>50.851999999999997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0</v>
      </c>
      <c r="D71" s="54">
        <f>_xll.EQNXTDZ($A$1,$B71,D$5,$B$1)</f>
        <v>62.835999999999999</v>
      </c>
      <c r="E71" s="54">
        <f>_xll.EQNXTDZ($A$1,$B71,E$5,$B$1)</f>
        <v>0</v>
      </c>
      <c r="F71" s="54">
        <f>_xll.EQNXTDZ($A$1,$B71,F$5,$B$1)</f>
        <v>68.685000000000002</v>
      </c>
      <c r="G71" s="54">
        <f>_xll.EQNXTDZ($A$1,$B71,G$5,$B$1)</f>
        <v>0</v>
      </c>
      <c r="H71" s="54">
        <f>_xll.EQNXTDZ($A$1,$B71,H$5,$B$1)</f>
        <v>69.869</v>
      </c>
      <c r="I71" s="54">
        <f>_xll.EQNXTDZ($A$1,$B71,I$5,$B$1)</f>
        <v>0</v>
      </c>
      <c r="J71" s="54">
        <f>_xll.EQNXTDZ($A$1,$B71,J$5,$B$1)</f>
        <v>67.242000000000004</v>
      </c>
      <c r="K71" s="54">
        <f>_xll.EQNXTDZ($A$1,$B71,K$5,$B$1)</f>
        <v>0</v>
      </c>
      <c r="L71" s="54">
        <f>_xll.EQNXTDZ($A$1,$B71,L$5,$B$1)</f>
        <v>74.634</v>
      </c>
      <c r="M71" s="54">
        <f>_xll.EQNXTDZ($A$1,$B71,M$5,$B$1)</f>
        <v>0</v>
      </c>
      <c r="N71" s="54">
        <f>_xll.EQNXTDZ($A$1,$B71,N$5,$B$1)</f>
        <v>71.546999999999997</v>
      </c>
      <c r="O71" s="54">
        <f>_xll.EQNXTDZ($A$1,$B71,O$5,$B$1)</f>
        <v>0</v>
      </c>
      <c r="P71" s="54">
        <f>_xll.EQNXTDZ($A$1,$B71,P$5,$B$1)</f>
        <v>71.807000000000002</v>
      </c>
      <c r="Q71" s="54">
        <f>_xll.EQNXTDZ($A$1,$B71,Q$5,$B$1)</f>
        <v>0</v>
      </c>
      <c r="R71" s="54">
        <f>_xll.EQNXTDZ($A$1,$B71,R$5,$B$1)</f>
        <v>68.349000000000004</v>
      </c>
      <c r="S71" s="54">
        <f>_xll.EQNXTDZ($A$1,$B71,S$5,$B$1)</f>
        <v>0</v>
      </c>
      <c r="T71" s="54">
        <f>_xll.EQNXTDZ($A$1,$B71,T$5,$B$1)</f>
        <v>67.688000000000002</v>
      </c>
      <c r="U71" s="54">
        <f>_xll.EQNXTDZ($A$1,$B71,U$5,$B$1)</f>
        <v>0</v>
      </c>
      <c r="V71" s="54">
        <f>_xll.EQNXTDZ($A$1,$B71,V$5,$B$1)</f>
        <v>62.738999999999997</v>
      </c>
      <c r="W71" s="54">
        <f>_xll.EQNXTDZ($A$1,$B71,W$5,$B$1)</f>
        <v>0</v>
      </c>
      <c r="X71" s="54">
        <f>_xll.EQNXTDZ($A$1,$B71,X$5,$B$1)</f>
        <v>62.558999999999997</v>
      </c>
      <c r="Y71" s="54">
        <f>_xll.EQNXTDZ($A$1,$B71,Y$5,$B$1)</f>
        <v>0</v>
      </c>
      <c r="Z71" s="54">
        <f>_xll.EQNXTDZ($A$1,$B71,Z$5,$B$1)</f>
        <v>60.49</v>
      </c>
      <c r="AA71" s="54">
        <f>_xll.EQNXTDZ($A$1,$B71,AA$5,$B$1)</f>
        <v>0</v>
      </c>
      <c r="AB71" s="54">
        <f>_xll.EQNXTDZ($A$1,$B71,AB$5,$B$1)</f>
        <v>61.036999999999999</v>
      </c>
      <c r="AC71" s="54">
        <f>_xll.EQNXTDZ($A$1,$B71,AC$5,$B$1)</f>
        <v>0</v>
      </c>
      <c r="AD71" s="54">
        <f>_xll.EQNXTDZ($A$1,$B71,AD$5,$B$1)</f>
        <v>59.665999999999997</v>
      </c>
      <c r="AE71" s="54">
        <f>_xll.EQNXTDZ($A$1,$B71,AE$5,$B$1)</f>
        <v>0</v>
      </c>
      <c r="AF71" s="54">
        <f>_xll.EQNXTDZ($A$1,$B71,AF$5,$B$1)</f>
        <v>61.02</v>
      </c>
      <c r="AG71" s="54">
        <f>_xll.EQNXTDZ($A$1,$B71,AG$5,$B$1)</f>
        <v>0</v>
      </c>
      <c r="AH71" s="54">
        <f>_xll.EQNXTDZ($A$1,$B71,AH$5,$B$1)</f>
        <v>55.151000000000003</v>
      </c>
      <c r="AI71" s="54">
        <f>_xll.EQNXTDZ($A$1,$B71,AI$5,$B$1)</f>
        <v>0</v>
      </c>
      <c r="AJ71" s="54">
        <f>_xll.EQNXTDZ($A$1,$B71,AJ$5,$B$1)</f>
        <v>53.292000000000002</v>
      </c>
      <c r="AK71" s="54">
        <f>_xll.EQNXTDZ($A$1,$B71,AK$5,$B$1)</f>
        <v>0</v>
      </c>
      <c r="AL71" s="54">
        <f>_xll.EQNXTDZ($A$1,$B71,AL$5,$B$1)</f>
        <v>51.046999999999997</v>
      </c>
      <c r="AM71" s="54">
        <f>_xll.EQNXTDZ($A$1,$B71,AM$5,$B$1)</f>
        <v>0</v>
      </c>
      <c r="AN71" s="54">
        <f>_xll.EQNXTDZ($A$1,$B71,AN$5,$B$1)</f>
        <v>49.095999999999997</v>
      </c>
      <c r="AO71" s="54">
        <f>_xll.EQNXTDZ($A$1,$B71,AO$5,$B$1)</f>
        <v>0</v>
      </c>
      <c r="AP71" s="54">
        <f>_xll.EQNXTDZ($A$1,$B71,AP$5,$B$1)</f>
        <v>48.411999999999999</v>
      </c>
      <c r="AQ71" s="54">
        <f>_xll.EQNXTDZ($A$1,$B71,AQ$5,$B$1)</f>
        <v>0</v>
      </c>
      <c r="AR71" s="54">
        <f>_xll.EQNXTDZ($A$1,$B71,AR$5,$B$1)</f>
        <v>47.914999999999999</v>
      </c>
      <c r="AS71" s="54">
        <f>_xll.EQNXTDZ($A$1,$B71,AS$5,$B$1)</f>
        <v>0</v>
      </c>
      <c r="AT71" s="54">
        <f>_xll.EQNXTDZ($A$1,$B71,AT$5,$B$1)</f>
        <v>46.972999999999999</v>
      </c>
      <c r="AU71" s="54">
        <f>_xll.EQNXTDZ($A$1,$B71,AU$5,$B$1)</f>
        <v>0</v>
      </c>
      <c r="AV71" s="54">
        <f>_xll.EQNXTDZ($A$1,$B71,AV$5,$B$1)</f>
        <v>48.253</v>
      </c>
      <c r="AW71" s="54">
        <f>_xll.EQNXTDZ($A$1,$B71,AW$5,$B$1)</f>
        <v>48.951000000000001</v>
      </c>
      <c r="AX71" s="54">
        <f>_xll.EQNXTDZ($A$1,$B71,AX$5,$B$1)</f>
        <v>0</v>
      </c>
      <c r="AY71" s="54">
        <f>_xll.EQNXTDZ($A$1,$B71,AY$5,$B$1)</f>
        <v>48.841000000000001</v>
      </c>
      <c r="AZ71" s="54">
        <f>_xll.EQNXTDZ($A$1,$B71,AZ$5,$B$1)</f>
        <v>0</v>
      </c>
      <c r="BA71" s="54">
        <f>_xll.EQNXTDZ($A$1,$B71,BA$5,$B$1)</f>
        <v>47.542000000000002</v>
      </c>
      <c r="BB71" s="54">
        <f>_xll.EQNXTDZ($A$1,$B71,BB$5,$B$1)</f>
        <v>0</v>
      </c>
      <c r="BC71" s="54">
        <f>_xll.EQNXTDZ($A$1,$B71,BC$5,$B$1)</f>
        <v>45.97</v>
      </c>
      <c r="BD71" s="54">
        <f>_xll.EQNXTDZ($A$1,$B71,BD$5,$B$1)</f>
        <v>0</v>
      </c>
      <c r="BE71" s="54">
        <f>_xll.EQNXTDZ($A$1,$B71,BE$5,$B$1)</f>
        <v>50.851999999999997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0</v>
      </c>
      <c r="D72" s="54">
        <f>_xll.EQNXTDZ($A$1,$B72,D$5,$B$1)</f>
        <v>0</v>
      </c>
      <c r="E72" s="54">
        <f>_xll.EQNXTDZ($A$1,$B72,E$5,$B$1)</f>
        <v>0</v>
      </c>
      <c r="F72" s="54">
        <f>_xll.EQNXTDZ($A$1,$B72,F$5,$B$1)</f>
        <v>0</v>
      </c>
      <c r="G72" s="54">
        <f>_xll.EQNXTDZ($A$1,$B72,G$5,$B$1)</f>
        <v>0</v>
      </c>
      <c r="H72" s="54">
        <f>_xll.EQNXTDZ($A$1,$B72,H$5,$B$1)</f>
        <v>0</v>
      </c>
      <c r="I72" s="54">
        <f>_xll.EQNXTDZ($A$1,$B72,I$5,$B$1)</f>
        <v>0</v>
      </c>
      <c r="J72" s="54">
        <f>_xll.EQNXTDZ($A$1,$B72,J$5,$B$1)</f>
        <v>0</v>
      </c>
      <c r="K72" s="54">
        <f>_xll.EQNXTDZ($A$1,$B72,K$5,$B$1)</f>
        <v>0</v>
      </c>
      <c r="L72" s="54">
        <f>_xll.EQNXTDZ($A$1,$B72,L$5,$B$1)</f>
        <v>0</v>
      </c>
      <c r="M72" s="54">
        <f>_xll.EQNXTDZ($A$1,$B72,M$5,$B$1)</f>
        <v>0</v>
      </c>
      <c r="N72" s="54">
        <f>_xll.EQNXTDZ($A$1,$B72,N$5,$B$1)</f>
        <v>0</v>
      </c>
      <c r="O72" s="54">
        <f>_xll.EQNXTDZ($A$1,$B72,O$5,$B$1)</f>
        <v>0</v>
      </c>
      <c r="P72" s="54">
        <f>_xll.EQNXTDZ($A$1,$B72,P$5,$B$1)</f>
        <v>0</v>
      </c>
      <c r="Q72" s="54">
        <f>_xll.EQNXTDZ($A$1,$B72,Q$5,$B$1)</f>
        <v>0</v>
      </c>
      <c r="R72" s="54">
        <f>_xll.EQNXTDZ($A$1,$B72,R$5,$B$1)</f>
        <v>0</v>
      </c>
      <c r="S72" s="54">
        <f>_xll.EQNXTDZ($A$1,$B72,S$5,$B$1)</f>
        <v>0</v>
      </c>
      <c r="T72" s="54">
        <f>_xll.EQNXTDZ($A$1,$B72,T$5,$B$1)</f>
        <v>0</v>
      </c>
      <c r="U72" s="54">
        <f>_xll.EQNXTDZ($A$1,$B72,U$5,$B$1)</f>
        <v>0</v>
      </c>
      <c r="V72" s="54">
        <f>_xll.EQNXTDZ($A$1,$B72,V$5,$B$1)</f>
        <v>0</v>
      </c>
      <c r="W72" s="54">
        <f>_xll.EQNXTDZ($A$1,$B72,W$5,$B$1)</f>
        <v>0</v>
      </c>
      <c r="X72" s="54">
        <f>_xll.EQNXTDZ($A$1,$B72,X$5,$B$1)</f>
        <v>0</v>
      </c>
      <c r="Y72" s="54">
        <f>_xll.EQNXTDZ($A$1,$B72,Y$5,$B$1)</f>
        <v>0</v>
      </c>
      <c r="Z72" s="54">
        <f>_xll.EQNXTDZ($A$1,$B72,Z$5,$B$1)</f>
        <v>0</v>
      </c>
      <c r="AA72" s="54">
        <f>_xll.EQNXTDZ($A$1,$B72,AA$5,$B$1)</f>
        <v>0</v>
      </c>
      <c r="AB72" s="54">
        <f>_xll.EQNXTDZ($A$1,$B72,AB$5,$B$1)</f>
        <v>0</v>
      </c>
      <c r="AC72" s="54">
        <f>_xll.EQNXTDZ($A$1,$B72,AC$5,$B$1)</f>
        <v>0</v>
      </c>
      <c r="AD72" s="54">
        <f>_xll.EQNXTDZ($A$1,$B72,AD$5,$B$1)</f>
        <v>0</v>
      </c>
      <c r="AE72" s="54">
        <f>_xll.EQNXTDZ($A$1,$B72,AE$5,$B$1)</f>
        <v>0</v>
      </c>
      <c r="AF72" s="54">
        <f>_xll.EQNXTDZ($A$1,$B72,AF$5,$B$1)</f>
        <v>0</v>
      </c>
      <c r="AG72" s="54">
        <f>_xll.EQNXTDZ($A$1,$B72,AG$5,$B$1)</f>
        <v>0</v>
      </c>
      <c r="AH72" s="54">
        <f>_xll.EQNXTDZ($A$1,$B72,AH$5,$B$1)</f>
        <v>0</v>
      </c>
      <c r="AI72" s="54">
        <f>_xll.EQNXTDZ($A$1,$B72,AI$5,$B$1)</f>
        <v>0</v>
      </c>
      <c r="AJ72" s="54">
        <f>_xll.EQNXTDZ($A$1,$B72,AJ$5,$B$1)</f>
        <v>0</v>
      </c>
      <c r="AK72" s="54">
        <f>_xll.EQNXTDZ($A$1,$B72,AK$5,$B$1)</f>
        <v>0</v>
      </c>
      <c r="AL72" s="54">
        <f>_xll.EQNXTDZ($A$1,$B72,AL$5,$B$1)</f>
        <v>0</v>
      </c>
      <c r="AM72" s="54">
        <f>_xll.EQNXTDZ($A$1,$B72,AM$5,$B$1)</f>
        <v>0</v>
      </c>
      <c r="AN72" s="54">
        <f>_xll.EQNXTDZ($A$1,$B72,AN$5,$B$1)</f>
        <v>0</v>
      </c>
      <c r="AO72" s="54">
        <f>_xll.EQNXTDZ($A$1,$B72,AO$5,$B$1)</f>
        <v>0</v>
      </c>
      <c r="AP72" s="54">
        <f>_xll.EQNXTDZ($A$1,$B72,AP$5,$B$1)</f>
        <v>0</v>
      </c>
      <c r="AQ72" s="54">
        <f>_xll.EQNXTDZ($A$1,$B72,AQ$5,$B$1)</f>
        <v>0</v>
      </c>
      <c r="AR72" s="54">
        <f>_xll.EQNXTDZ($A$1,$B72,AR$5,$B$1)</f>
        <v>0</v>
      </c>
      <c r="AS72" s="54">
        <f>_xll.EQNXTDZ($A$1,$B72,AS$5,$B$1)</f>
        <v>0</v>
      </c>
      <c r="AT72" s="54">
        <f>_xll.EQNXTDZ($A$1,$B72,AT$5,$B$1)</f>
        <v>0</v>
      </c>
      <c r="AU72" s="54">
        <f>_xll.EQNXTDZ($A$1,$B72,AU$5,$B$1)</f>
        <v>0</v>
      </c>
      <c r="AV72" s="54">
        <f>_xll.EQNXTDZ($A$1,$B72,AV$5,$B$1)</f>
        <v>0</v>
      </c>
      <c r="AW72" s="54">
        <f>_xll.EQNXTDZ($A$1,$B72,AW$5,$B$1)</f>
        <v>0</v>
      </c>
      <c r="AX72" s="54">
        <f>_xll.EQNXTDZ($A$1,$B72,AX$5,$B$1)</f>
        <v>0</v>
      </c>
      <c r="AY72" s="54">
        <f>_xll.EQNXTDZ($A$1,$B72,AY$5,$B$1)</f>
        <v>0</v>
      </c>
      <c r="AZ72" s="54">
        <f>_xll.EQNXTDZ($A$1,$B72,AZ$5,$B$1)</f>
        <v>0</v>
      </c>
      <c r="BA72" s="54">
        <f>_xll.EQNXTDZ($A$1,$B72,BA$5,$B$1)</f>
        <v>0</v>
      </c>
      <c r="BB72" s="54">
        <f>_xll.EQNXTDZ($A$1,$B72,BB$5,$B$1)</f>
        <v>0</v>
      </c>
      <c r="BC72" s="54">
        <f>_xll.EQNXTDZ($A$1,$B72,BC$5,$B$1)</f>
        <v>0</v>
      </c>
      <c r="BD72" s="54">
        <f>_xll.EQNXTDZ($A$1,$B72,BD$5,$B$1)</f>
        <v>0</v>
      </c>
      <c r="BE72" s="54">
        <f>_xll.EQNXTDZ($A$1,$B72,BE$5,$B$1)</f>
        <v>0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1.133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0</v>
      </c>
      <c r="V74" s="54">
        <f>_xll.EQNXTDZ($A$1,$B74,V$5,$B$1)</f>
        <v>0.41399999999999998</v>
      </c>
      <c r="W74" s="54">
        <f>_xll.EQNXTDZ($A$1,$B74,W$5,$B$1)</f>
        <v>0</v>
      </c>
      <c r="X74" s="54">
        <f>_xll.EQNXTDZ($A$1,$B74,X$5,$B$1)</f>
        <v>0.80900000000000005</v>
      </c>
      <c r="Y74" s="54">
        <f>_xll.EQNXTDZ($A$1,$B74,Y$5,$B$1)</f>
        <v>0</v>
      </c>
      <c r="Z74" s="54">
        <f>_xll.EQNXTDZ($A$1,$B74,Z$5,$B$1)</f>
        <v>1.7569999999999999</v>
      </c>
      <c r="AA74" s="54">
        <f>_xll.EQNXTDZ($A$1,$B74,AA$5,$B$1)</f>
        <v>0</v>
      </c>
      <c r="AB74" s="54">
        <f>_xll.EQNXTDZ($A$1,$B74,AB$5,$B$1)</f>
        <v>0.85799999999999998</v>
      </c>
      <c r="AC74" s="54">
        <f>_xll.EQNXTDZ($A$1,$B74,AC$5,$B$1)</f>
        <v>0</v>
      </c>
      <c r="AD74" s="54">
        <f>_xll.EQNXTDZ($A$1,$B74,AD$5,$B$1)</f>
        <v>0.73399999999999999</v>
      </c>
      <c r="AE74" s="54">
        <f>_xll.EQNXTDZ($A$1,$B74,AE$5,$B$1)</f>
        <v>0</v>
      </c>
      <c r="AF74" s="54">
        <f>_xll.EQNXTDZ($A$1,$B74,AF$5,$B$1)</f>
        <v>0.439</v>
      </c>
      <c r="AG74" s="54">
        <f>_xll.EQNXTDZ($A$1,$B74,AG$5,$B$1)</f>
        <v>0</v>
      </c>
      <c r="AH74" s="54">
        <f>_xll.EQNXTDZ($A$1,$B74,AH$5,$B$1)</f>
        <v>0.84499999999999997</v>
      </c>
      <c r="AI74" s="54">
        <f>_xll.EQNXTDZ($A$1,$B74,AI$5,$B$1)</f>
        <v>0</v>
      </c>
      <c r="AJ74" s="54">
        <f>_xll.EQNXTDZ($A$1,$B74,AJ$5,$B$1)</f>
        <v>0.307</v>
      </c>
      <c r="AK74" s="54">
        <f>_xll.EQNXTDZ($A$1,$B74,AK$5,$B$1)</f>
        <v>0</v>
      </c>
      <c r="AL74" s="54">
        <f>_xll.EQNXTDZ($A$1,$B74,AL$5,$B$1)</f>
        <v>0.34399999999999997</v>
      </c>
      <c r="AM74" s="54">
        <f>_xll.EQNXTDZ($A$1,$B74,AM$5,$B$1)</f>
        <v>0</v>
      </c>
      <c r="AN74" s="54">
        <f>_xll.EQNXTDZ($A$1,$B74,AN$5,$B$1)</f>
        <v>0.44</v>
      </c>
      <c r="AO74" s="54">
        <f>_xll.EQNXTDZ($A$1,$B74,AO$5,$B$1)</f>
        <v>0</v>
      </c>
      <c r="AP74" s="54">
        <f>_xll.EQNXTDZ($A$1,$B74,AP$5,$B$1)</f>
        <v>0.66300000000000003</v>
      </c>
      <c r="AQ74" s="54">
        <f>_xll.EQNXTDZ($A$1,$B74,AQ$5,$B$1)</f>
        <v>0</v>
      </c>
      <c r="AR74" s="54">
        <f>_xll.EQNXTDZ($A$1,$B74,AR$5,$B$1)</f>
        <v>0.85199999999999998</v>
      </c>
      <c r="AS74" s="54">
        <f>_xll.EQNXTDZ($A$1,$B74,AS$5,$B$1)</f>
        <v>0</v>
      </c>
      <c r="AT74" s="54">
        <f>_xll.EQNXTDZ($A$1,$B74,AT$5,$B$1)</f>
        <v>1.55</v>
      </c>
      <c r="AU74" s="54">
        <f>_xll.EQNXTDZ($A$1,$B74,AU$5,$B$1)</f>
        <v>0</v>
      </c>
      <c r="AV74" s="54">
        <f>_xll.EQNXTDZ($A$1,$B74,AV$5,$B$1)</f>
        <v>0.44700000000000001</v>
      </c>
      <c r="AW74" s="54">
        <f>_xll.EQNXTDZ($A$1,$B74,AW$5,$B$1)</f>
        <v>0.71599999999999997</v>
      </c>
      <c r="AX74" s="54">
        <f>_xll.EQNXTDZ($A$1,$B74,AX$5,$B$1)</f>
        <v>0</v>
      </c>
      <c r="AY74" s="54">
        <f>_xll.EQNXTDZ($A$1,$B74,AY$5,$B$1)</f>
        <v>3.1480000000000001</v>
      </c>
      <c r="AZ74" s="54">
        <f>_xll.EQNXTDZ($A$1,$B74,AZ$5,$B$1)</f>
        <v>0</v>
      </c>
      <c r="BA74" s="54">
        <f>_xll.EQNXTDZ($A$1,$B74,BA$5,$B$1)</f>
        <v>4.7880000000000003</v>
      </c>
      <c r="BB74" s="54">
        <f>_xll.EQNXTDZ($A$1,$B74,BB$5,$B$1)</f>
        <v>0</v>
      </c>
      <c r="BC74" s="54">
        <f>_xll.EQNXTDZ($A$1,$B74,BC$5,$B$1)</f>
        <v>5.8710000000000004</v>
      </c>
      <c r="BD74" s="54">
        <f>_xll.EQNXTDZ($A$1,$B74,BD$5,$B$1)</f>
        <v>0</v>
      </c>
      <c r="BE74" s="54">
        <f>_xll.EQNXTDZ($A$1,$B74,BE$5,$B$1)</f>
        <v>1.139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0</v>
      </c>
      <c r="D77" s="54">
        <f>_xll.EQNXTDZ($A$1,$B77,D$5,$B$1)</f>
        <v>0</v>
      </c>
      <c r="E77" s="54">
        <f>_xll.EQNXTDZ($A$1,$B77,E$5,$B$1)</f>
        <v>0</v>
      </c>
      <c r="F77" s="54">
        <f>_xll.EQNXTDZ($A$1,$B77,F$5,$B$1)</f>
        <v>0</v>
      </c>
      <c r="G77" s="54">
        <f>_xll.EQNXTDZ($A$1,$B77,G$5,$B$1)</f>
        <v>0</v>
      </c>
      <c r="H77" s="54">
        <f>_xll.EQNXTDZ($A$1,$B77,H$5,$B$1)</f>
        <v>0</v>
      </c>
      <c r="I77" s="54">
        <f>_xll.EQNXTDZ($A$1,$B77,I$5,$B$1)</f>
        <v>0</v>
      </c>
      <c r="J77" s="54">
        <f>_xll.EQNXTDZ($A$1,$B77,J$5,$B$1)</f>
        <v>0</v>
      </c>
      <c r="K77" s="54">
        <f>_xll.EQNXTDZ($A$1,$B77,K$5,$B$1)</f>
        <v>0</v>
      </c>
      <c r="L77" s="54">
        <f>_xll.EQNXTDZ($A$1,$B77,L$5,$B$1)</f>
        <v>0</v>
      </c>
      <c r="M77" s="54">
        <f>_xll.EQNXTDZ($A$1,$B77,M$5,$B$1)</f>
        <v>0</v>
      </c>
      <c r="N77" s="54">
        <f>_xll.EQNXTDZ($A$1,$B77,N$5,$B$1)</f>
        <v>0</v>
      </c>
      <c r="O77" s="54">
        <f>_xll.EQNXTDZ($A$1,$B77,O$5,$B$1)</f>
        <v>0</v>
      </c>
      <c r="P77" s="54">
        <f>_xll.EQNXTDZ($A$1,$B77,P$5,$B$1)</f>
        <v>0</v>
      </c>
      <c r="Q77" s="54">
        <f>_xll.EQNXTDZ($A$1,$B77,Q$5,$B$1)</f>
        <v>0</v>
      </c>
      <c r="R77" s="54">
        <f>_xll.EQNXTDZ($A$1,$B77,R$5,$B$1)</f>
        <v>0</v>
      </c>
      <c r="S77" s="54">
        <f>_xll.EQNXTDZ($A$1,$B77,S$5,$B$1)</f>
        <v>0</v>
      </c>
      <c r="T77" s="54">
        <f>_xll.EQNXTDZ($A$1,$B77,T$5,$B$1)</f>
        <v>0</v>
      </c>
      <c r="U77" s="54">
        <f>_xll.EQNXTDZ($A$1,$B77,U$5,$B$1)</f>
        <v>0</v>
      </c>
      <c r="V77" s="54">
        <f>_xll.EQNXTDZ($A$1,$B77,V$5,$B$1)</f>
        <v>0</v>
      </c>
      <c r="W77" s="54">
        <f>_xll.EQNXTDZ($A$1,$B77,W$5,$B$1)</f>
        <v>0</v>
      </c>
      <c r="X77" s="54">
        <f>_xll.EQNXTDZ($A$1,$B77,X$5,$B$1)</f>
        <v>0</v>
      </c>
      <c r="Y77" s="54">
        <f>_xll.EQNXTDZ($A$1,$B77,Y$5,$B$1)</f>
        <v>0</v>
      </c>
      <c r="Z77" s="54">
        <f>_xll.EQNXTDZ($A$1,$B77,Z$5,$B$1)</f>
        <v>0</v>
      </c>
      <c r="AA77" s="54">
        <f>_xll.EQNXTDZ($A$1,$B77,AA$5,$B$1)</f>
        <v>0</v>
      </c>
      <c r="AB77" s="54">
        <f>_xll.EQNXTDZ($A$1,$B77,AB$5,$B$1)</f>
        <v>0</v>
      </c>
      <c r="AC77" s="54">
        <f>_xll.EQNXTDZ($A$1,$B77,AC$5,$B$1)</f>
        <v>0</v>
      </c>
      <c r="AD77" s="54">
        <f>_xll.EQNXTDZ($A$1,$B77,AD$5,$B$1)</f>
        <v>0</v>
      </c>
      <c r="AE77" s="54">
        <f>_xll.EQNXTDZ($A$1,$B77,AE$5,$B$1)</f>
        <v>0</v>
      </c>
      <c r="AF77" s="54">
        <f>_xll.EQNXTDZ($A$1,$B77,AF$5,$B$1)</f>
        <v>0</v>
      </c>
      <c r="AG77" s="54">
        <f>_xll.EQNXTDZ($A$1,$B77,AG$5,$B$1)</f>
        <v>0</v>
      </c>
      <c r="AH77" s="54">
        <f>_xll.EQNXTDZ($A$1,$B77,AH$5,$B$1)</f>
        <v>0</v>
      </c>
      <c r="AI77" s="54">
        <f>_xll.EQNXTDZ($A$1,$B77,AI$5,$B$1)</f>
        <v>0</v>
      </c>
      <c r="AJ77" s="54">
        <f>_xll.EQNXTDZ($A$1,$B77,AJ$5,$B$1)</f>
        <v>0</v>
      </c>
      <c r="AK77" s="54">
        <f>_xll.EQNXTDZ($A$1,$B77,AK$5,$B$1)</f>
        <v>0</v>
      </c>
      <c r="AL77" s="54">
        <f>_xll.EQNXTDZ($A$1,$B77,AL$5,$B$1)</f>
        <v>0</v>
      </c>
      <c r="AM77" s="54">
        <f>_xll.EQNXTDZ($A$1,$B77,AM$5,$B$1)</f>
        <v>0</v>
      </c>
      <c r="AN77" s="54">
        <f>_xll.EQNXTDZ($A$1,$B77,AN$5,$B$1)</f>
        <v>0</v>
      </c>
      <c r="AO77" s="54">
        <f>_xll.EQNXTDZ($A$1,$B77,AO$5,$B$1)</f>
        <v>0</v>
      </c>
      <c r="AP77" s="54">
        <f>_xll.EQNXTDZ($A$1,$B77,AP$5,$B$1)</f>
        <v>0</v>
      </c>
      <c r="AQ77" s="54">
        <f>_xll.EQNXTDZ($A$1,$B77,AQ$5,$B$1)</f>
        <v>0</v>
      </c>
      <c r="AR77" s="54">
        <f>_xll.EQNXTDZ($A$1,$B77,AR$5,$B$1)</f>
        <v>0</v>
      </c>
      <c r="AS77" s="54">
        <f>_xll.EQNXTDZ($A$1,$B77,AS$5,$B$1)</f>
        <v>0</v>
      </c>
      <c r="AT77" s="54">
        <f>_xll.EQNXTDZ($A$1,$B77,AT$5,$B$1)</f>
        <v>0</v>
      </c>
      <c r="AU77" s="54">
        <f>_xll.EQNXTDZ($A$1,$B77,AU$5,$B$1)</f>
        <v>0</v>
      </c>
      <c r="AV77" s="54">
        <f>_xll.EQNXTDZ($A$1,$B77,AV$5,$B$1)</f>
        <v>0</v>
      </c>
      <c r="AW77" s="54">
        <f>_xll.EQNXTDZ($A$1,$B77,AW$5,$B$1)</f>
        <v>0</v>
      </c>
      <c r="AX77" s="54">
        <f>_xll.EQNXTDZ($A$1,$B77,AX$5,$B$1)</f>
        <v>0</v>
      </c>
      <c r="AY77" s="54">
        <f>_xll.EQNXTDZ($A$1,$B77,AY$5,$B$1)</f>
        <v>0</v>
      </c>
      <c r="AZ77" s="54">
        <f>_xll.EQNXTDZ($A$1,$B77,AZ$5,$B$1)</f>
        <v>0</v>
      </c>
      <c r="BA77" s="54">
        <f>_xll.EQNXTDZ($A$1,$B77,BA$5,$B$1)</f>
        <v>4.4889999999999999</v>
      </c>
      <c r="BB77" s="54">
        <f>_xll.EQNXTDZ($A$1,$B77,BB$5,$B$1)</f>
        <v>0</v>
      </c>
      <c r="BC77" s="54">
        <f>_xll.EQNXTDZ($A$1,$B77,BC$5,$B$1)</f>
        <v>4.4340000000000002</v>
      </c>
      <c r="BD77" s="54">
        <f>_xll.EQNXTDZ($A$1,$B77,BD$5,$B$1)</f>
        <v>0</v>
      </c>
      <c r="BE77" s="54">
        <f>_xll.EQNXTDZ($A$1,$B77,BE$5,$B$1)</f>
        <v>0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0</v>
      </c>
      <c r="D78" s="54">
        <f>_xll.EQNXTDZ($A$1,$B78,D$5,$B$1)</f>
        <v>18.416</v>
      </c>
      <c r="E78" s="54">
        <f>_xll.EQNXTDZ($A$1,$B78,E$5,$B$1)</f>
        <v>0</v>
      </c>
      <c r="F78" s="54">
        <f>_xll.EQNXTDZ($A$1,$B78,F$5,$B$1)</f>
        <v>16.486999999999998</v>
      </c>
      <c r="G78" s="54">
        <f>_xll.EQNXTDZ($A$1,$B78,G$5,$B$1)</f>
        <v>0</v>
      </c>
      <c r="H78" s="54">
        <f>_xll.EQNXTDZ($A$1,$B78,H$5,$B$1)</f>
        <v>20.181999999999999</v>
      </c>
      <c r="I78" s="54">
        <f>_xll.EQNXTDZ($A$1,$B78,I$5,$B$1)</f>
        <v>0</v>
      </c>
      <c r="J78" s="54">
        <f>_xll.EQNXTDZ($A$1,$B78,J$5,$B$1)</f>
        <v>10.659000000000001</v>
      </c>
      <c r="K78" s="54">
        <f>_xll.EQNXTDZ($A$1,$B78,K$5,$B$1)</f>
        <v>0</v>
      </c>
      <c r="L78" s="54">
        <f>_xll.EQNXTDZ($A$1,$B78,L$5,$B$1)</f>
        <v>10.906000000000001</v>
      </c>
      <c r="M78" s="54">
        <f>_xll.EQNXTDZ($A$1,$B78,M$5,$B$1)</f>
        <v>0</v>
      </c>
      <c r="N78" s="54">
        <f>_xll.EQNXTDZ($A$1,$B78,N$5,$B$1)</f>
        <v>6.899</v>
      </c>
      <c r="O78" s="54">
        <f>_xll.EQNXTDZ($A$1,$B78,O$5,$B$1)</f>
        <v>0</v>
      </c>
      <c r="P78" s="54">
        <f>_xll.EQNXTDZ($A$1,$B78,P$5,$B$1)</f>
        <v>8.1449999999999996</v>
      </c>
      <c r="Q78" s="54">
        <f>_xll.EQNXTDZ($A$1,$B78,Q$5,$B$1)</f>
        <v>0</v>
      </c>
      <c r="R78" s="54">
        <f>_xll.EQNXTDZ($A$1,$B78,R$5,$B$1)</f>
        <v>12.239000000000001</v>
      </c>
      <c r="S78" s="54">
        <f>_xll.EQNXTDZ($A$1,$B78,S$5,$B$1)</f>
        <v>0</v>
      </c>
      <c r="T78" s="54">
        <f>_xll.EQNXTDZ($A$1,$B78,T$5,$B$1)</f>
        <v>11.345000000000001</v>
      </c>
      <c r="U78" s="54">
        <f>_xll.EQNXTDZ($A$1,$B78,U$5,$B$1)</f>
        <v>0</v>
      </c>
      <c r="V78" s="54">
        <f>_xll.EQNXTDZ($A$1,$B78,V$5,$B$1)</f>
        <v>0.16</v>
      </c>
      <c r="W78" s="54">
        <f>_xll.EQNXTDZ($A$1,$B78,W$5,$B$1)</f>
        <v>0</v>
      </c>
      <c r="X78" s="54">
        <f>_xll.EQNXTDZ($A$1,$B78,X$5,$B$1)</f>
        <v>1E-3</v>
      </c>
      <c r="Y78" s="54">
        <f>_xll.EQNXTDZ($A$1,$B78,Y$5,$B$1)</f>
        <v>0</v>
      </c>
      <c r="Z78" s="54">
        <f>_xll.EQNXTDZ($A$1,$B78,Z$5,$B$1)</f>
        <v>0</v>
      </c>
      <c r="AA78" s="54">
        <f>_xll.EQNXTDZ($A$1,$B78,AA$5,$B$1)</f>
        <v>0</v>
      </c>
      <c r="AB78" s="54">
        <f>_xll.EQNXTDZ($A$1,$B78,AB$5,$B$1)</f>
        <v>0</v>
      </c>
      <c r="AC78" s="54">
        <f>_xll.EQNXTDZ($A$1,$B78,AC$5,$B$1)</f>
        <v>0</v>
      </c>
      <c r="AD78" s="54">
        <f>_xll.EQNXTDZ($A$1,$B78,AD$5,$B$1)</f>
        <v>0</v>
      </c>
      <c r="AE78" s="54">
        <f>_xll.EQNXTDZ($A$1,$B78,AE$5,$B$1)</f>
        <v>0</v>
      </c>
      <c r="AF78" s="54">
        <f>_xll.EQNXTDZ($A$1,$B78,AF$5,$B$1)</f>
        <v>0</v>
      </c>
      <c r="AG78" s="54">
        <f>_xll.EQNXTDZ($A$1,$B78,AG$5,$B$1)</f>
        <v>0</v>
      </c>
      <c r="AH78" s="54">
        <f>_xll.EQNXTDZ($A$1,$B78,AH$5,$B$1)</f>
        <v>0</v>
      </c>
      <c r="AI78" s="54">
        <f>_xll.EQNXTDZ($A$1,$B78,AI$5,$B$1)</f>
        <v>0</v>
      </c>
      <c r="AJ78" s="54">
        <f>_xll.EQNXTDZ($A$1,$B78,AJ$5,$B$1)</f>
        <v>0</v>
      </c>
      <c r="AK78" s="54">
        <f>_xll.EQNXTDZ($A$1,$B78,AK$5,$B$1)</f>
        <v>0</v>
      </c>
      <c r="AL78" s="54">
        <f>_xll.EQNXTDZ($A$1,$B78,AL$5,$B$1)</f>
        <v>0</v>
      </c>
      <c r="AM78" s="54">
        <f>_xll.EQNXTDZ($A$1,$B78,AM$5,$B$1)</f>
        <v>0</v>
      </c>
      <c r="AN78" s="54">
        <f>_xll.EQNXTDZ($A$1,$B78,AN$5,$B$1)</f>
        <v>0</v>
      </c>
      <c r="AO78" s="54">
        <f>_xll.EQNXTDZ($A$1,$B78,AO$5,$B$1)</f>
        <v>0</v>
      </c>
      <c r="AP78" s="54">
        <f>_xll.EQNXTDZ($A$1,$B78,AP$5,$B$1)</f>
        <v>0</v>
      </c>
      <c r="AQ78" s="54">
        <f>_xll.EQNXTDZ($A$1,$B78,AQ$5,$B$1)</f>
        <v>0</v>
      </c>
      <c r="AR78" s="54">
        <f>_xll.EQNXTDZ($A$1,$B78,AR$5,$B$1)</f>
        <v>0</v>
      </c>
      <c r="AS78" s="54">
        <f>_xll.EQNXTDZ($A$1,$B78,AS$5,$B$1)</f>
        <v>0</v>
      </c>
      <c r="AT78" s="54">
        <f>_xll.EQNXTDZ($A$1,$B78,AT$5,$B$1)</f>
        <v>0</v>
      </c>
      <c r="AU78" s="54">
        <f>_xll.EQNXTDZ($A$1,$B78,AU$5,$B$1)</f>
        <v>0</v>
      </c>
      <c r="AV78" s="54">
        <f>_xll.EQNXTDZ($A$1,$B78,AV$5,$B$1)</f>
        <v>0</v>
      </c>
      <c r="AW78" s="54">
        <f>_xll.EQNXTDZ($A$1,$B78,AW$5,$B$1)</f>
        <v>0</v>
      </c>
      <c r="AX78" s="54">
        <f>_xll.EQNXTDZ($A$1,$B78,AX$5,$B$1)</f>
        <v>0</v>
      </c>
      <c r="AY78" s="54">
        <f>_xll.EQNXTDZ($A$1,$B78,AY$5,$B$1)</f>
        <v>0</v>
      </c>
      <c r="AZ78" s="54">
        <f>_xll.EQNXTDZ($A$1,$B78,AZ$5,$B$1)</f>
        <v>0</v>
      </c>
      <c r="BA78" s="54">
        <f>_xll.EQNXTDZ($A$1,$B78,BA$5,$B$1)</f>
        <v>0</v>
      </c>
      <c r="BB78" s="54">
        <f>_xll.EQNXTDZ($A$1,$B78,BB$5,$B$1)</f>
        <v>0</v>
      </c>
      <c r="BC78" s="54">
        <f>_xll.EQNXTDZ($A$1,$B78,BC$5,$B$1)</f>
        <v>0</v>
      </c>
      <c r="BD78" s="54">
        <f>_xll.EQNXTDZ($A$1,$B78,BD$5,$B$1)</f>
        <v>0</v>
      </c>
      <c r="BE78" s="54">
        <f>_xll.EQNXTDZ($A$1,$B78,BE$5,$B$1)</f>
        <v>0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0</v>
      </c>
      <c r="D79" s="54">
        <f>_xll.EQNXTDZ($A$1,$B79,D$5,$B$1)</f>
        <v>20.821000000000002</v>
      </c>
      <c r="E79" s="54">
        <f>_xll.EQNXTDZ($A$1,$B79,E$5,$B$1)</f>
        <v>0</v>
      </c>
      <c r="F79" s="54">
        <f>_xll.EQNXTDZ($A$1,$B79,F$5,$B$1)</f>
        <v>7.0830000000000002</v>
      </c>
      <c r="G79" s="54">
        <f>_xll.EQNXTDZ($A$1,$B79,G$5,$B$1)</f>
        <v>0</v>
      </c>
      <c r="H79" s="54">
        <f>_xll.EQNXTDZ($A$1,$B79,H$5,$B$1)</f>
        <v>9.4359999999999999</v>
      </c>
      <c r="I79" s="54">
        <f>_xll.EQNXTDZ($A$1,$B79,I$5,$B$1)</f>
        <v>0</v>
      </c>
      <c r="J79" s="54">
        <f>_xll.EQNXTDZ($A$1,$B79,J$5,$B$1)</f>
        <v>5.266</v>
      </c>
      <c r="K79" s="54">
        <f>_xll.EQNXTDZ($A$1,$B79,K$5,$B$1)</f>
        <v>0</v>
      </c>
      <c r="L79" s="54">
        <f>_xll.EQNXTDZ($A$1,$B79,L$5,$B$1)</f>
        <v>8.56</v>
      </c>
      <c r="M79" s="54">
        <f>_xll.EQNXTDZ($A$1,$B79,M$5,$B$1)</f>
        <v>0</v>
      </c>
      <c r="N79" s="54">
        <f>_xll.EQNXTDZ($A$1,$B79,N$5,$B$1)</f>
        <v>10.678000000000001</v>
      </c>
      <c r="O79" s="54">
        <f>_xll.EQNXTDZ($A$1,$B79,O$5,$B$1)</f>
        <v>0</v>
      </c>
      <c r="P79" s="54">
        <f>_xll.EQNXTDZ($A$1,$B79,P$5,$B$1)</f>
        <v>10.315</v>
      </c>
      <c r="Q79" s="54">
        <f>_xll.EQNXTDZ($A$1,$B79,Q$5,$B$1)</f>
        <v>0</v>
      </c>
      <c r="R79" s="54">
        <f>_xll.EQNXTDZ($A$1,$B79,R$5,$B$1)</f>
        <v>1.472</v>
      </c>
      <c r="S79" s="54">
        <f>_xll.EQNXTDZ($A$1,$B79,S$5,$B$1)</f>
        <v>0</v>
      </c>
      <c r="T79" s="54">
        <f>_xll.EQNXTDZ($A$1,$B79,T$5,$B$1)</f>
        <v>0.49399999999999999</v>
      </c>
      <c r="U79" s="54">
        <f>_xll.EQNXTDZ($A$1,$B79,U$5,$B$1)</f>
        <v>0</v>
      </c>
      <c r="V79" s="54">
        <f>_xll.EQNXTDZ($A$1,$B79,V$5,$B$1)</f>
        <v>17.992999999999999</v>
      </c>
      <c r="W79" s="54">
        <f>_xll.EQNXTDZ($A$1,$B79,W$5,$B$1)</f>
        <v>0</v>
      </c>
      <c r="X79" s="54">
        <f>_xll.EQNXTDZ($A$1,$B79,X$5,$B$1)</f>
        <v>22.303999999999998</v>
      </c>
      <c r="Y79" s="54">
        <f>_xll.EQNXTDZ($A$1,$B79,Y$5,$B$1)</f>
        <v>0</v>
      </c>
      <c r="Z79" s="54">
        <f>_xll.EQNXTDZ($A$1,$B79,Z$5,$B$1)</f>
        <v>18.056999999999999</v>
      </c>
      <c r="AA79" s="54">
        <f>_xll.EQNXTDZ($A$1,$B79,AA$5,$B$1)</f>
        <v>0</v>
      </c>
      <c r="AB79" s="54">
        <f>_xll.EQNXTDZ($A$1,$B79,AB$5,$B$1)</f>
        <v>16.872</v>
      </c>
      <c r="AC79" s="54">
        <f>_xll.EQNXTDZ($A$1,$B79,AC$5,$B$1)</f>
        <v>0</v>
      </c>
      <c r="AD79" s="54">
        <f>_xll.EQNXTDZ($A$1,$B79,AD$5,$B$1)</f>
        <v>31.465</v>
      </c>
      <c r="AE79" s="54">
        <f>_xll.EQNXTDZ($A$1,$B79,AE$5,$B$1)</f>
        <v>0</v>
      </c>
      <c r="AF79" s="54">
        <f>_xll.EQNXTDZ($A$1,$B79,AF$5,$B$1)</f>
        <v>23.905000000000001</v>
      </c>
      <c r="AG79" s="54">
        <f>_xll.EQNXTDZ($A$1,$B79,AG$5,$B$1)</f>
        <v>0</v>
      </c>
      <c r="AH79" s="54">
        <f>_xll.EQNXTDZ($A$1,$B79,AH$5,$B$1)</f>
        <v>52.021000000000001</v>
      </c>
      <c r="AI79" s="54">
        <f>_xll.EQNXTDZ($A$1,$B79,AI$5,$B$1)</f>
        <v>0</v>
      </c>
      <c r="AJ79" s="54">
        <f>_xll.EQNXTDZ($A$1,$B79,AJ$5,$B$1)</f>
        <v>46.725000000000001</v>
      </c>
      <c r="AK79" s="54">
        <f>_xll.EQNXTDZ($A$1,$B79,AK$5,$B$1)</f>
        <v>0</v>
      </c>
      <c r="AL79" s="54">
        <f>_xll.EQNXTDZ($A$1,$B79,AL$5,$B$1)</f>
        <v>20.125</v>
      </c>
      <c r="AM79" s="54">
        <f>_xll.EQNXTDZ($A$1,$B79,AM$5,$B$1)</f>
        <v>0</v>
      </c>
      <c r="AN79" s="54">
        <f>_xll.EQNXTDZ($A$1,$B79,AN$5,$B$1)</f>
        <v>31.416</v>
      </c>
      <c r="AO79" s="54">
        <f>_xll.EQNXTDZ($A$1,$B79,AO$5,$B$1)</f>
        <v>0</v>
      </c>
      <c r="AP79" s="54">
        <f>_xll.EQNXTDZ($A$1,$B79,AP$5,$B$1)</f>
        <v>51.604999999999997</v>
      </c>
      <c r="AQ79" s="54">
        <f>_xll.EQNXTDZ($A$1,$B79,AQ$5,$B$1)</f>
        <v>0</v>
      </c>
      <c r="AR79" s="54">
        <f>_xll.EQNXTDZ($A$1,$B79,AR$5,$B$1)</f>
        <v>50.128</v>
      </c>
      <c r="AS79" s="54">
        <f>_xll.EQNXTDZ($A$1,$B79,AS$5,$B$1)</f>
        <v>0</v>
      </c>
      <c r="AT79" s="54">
        <f>_xll.EQNXTDZ($A$1,$B79,AT$5,$B$1)</f>
        <v>42.670999999999999</v>
      </c>
      <c r="AU79" s="54">
        <f>_xll.EQNXTDZ($A$1,$B79,AU$5,$B$1)</f>
        <v>0</v>
      </c>
      <c r="AV79" s="54">
        <f>_xll.EQNXTDZ($A$1,$B79,AV$5,$B$1)</f>
        <v>104.61499999999999</v>
      </c>
      <c r="AW79" s="54">
        <f>_xll.EQNXTDZ($A$1,$B79,AW$5,$B$1)</f>
        <v>127.541</v>
      </c>
      <c r="AX79" s="54">
        <f>_xll.EQNXTDZ($A$1,$B79,AX$5,$B$1)</f>
        <v>0</v>
      </c>
      <c r="AY79" s="54">
        <f>_xll.EQNXTDZ($A$1,$B79,AY$5,$B$1)</f>
        <v>30.559000000000001</v>
      </c>
      <c r="AZ79" s="54">
        <f>_xll.EQNXTDZ($A$1,$B79,AZ$5,$B$1)</f>
        <v>0</v>
      </c>
      <c r="BA79" s="54">
        <f>_xll.EQNXTDZ($A$1,$B79,BA$5,$B$1)</f>
        <v>90.177000000000007</v>
      </c>
      <c r="BB79" s="54">
        <f>_xll.EQNXTDZ($A$1,$B79,BB$5,$B$1)</f>
        <v>0</v>
      </c>
      <c r="BC79" s="54">
        <f>_xll.EQNXTDZ($A$1,$B79,BC$5,$B$1)</f>
        <v>32.637</v>
      </c>
      <c r="BD79" s="54">
        <f>_xll.EQNXTDZ($A$1,$B79,BD$5,$B$1)</f>
        <v>0</v>
      </c>
      <c r="BE79" s="54">
        <f>_xll.EQNXTDZ($A$1,$B79,BE$5,$B$1)</f>
        <v>33.298999999999999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0</v>
      </c>
      <c r="J80" s="54">
        <f>_xll.EQNXTDZ($A$1,$B80,J$5,$B$1)</f>
        <v>0</v>
      </c>
      <c r="K80" s="54">
        <f>_xll.EQNXTDZ($A$1,$B80,K$5,$B$1)</f>
        <v>0</v>
      </c>
      <c r="L80" s="54">
        <f>_xll.EQNXTDZ($A$1,$B80,L$5,$B$1)</f>
        <v>0</v>
      </c>
      <c r="M80" s="54">
        <f>_xll.EQNXTDZ($A$1,$B80,M$5,$B$1)</f>
        <v>0</v>
      </c>
      <c r="N80" s="54">
        <f>_xll.EQNXTDZ($A$1,$B80,N$5,$B$1)</f>
        <v>0</v>
      </c>
      <c r="O80" s="54">
        <f>_xll.EQNXTDZ($A$1,$B80,O$5,$B$1)</f>
        <v>0</v>
      </c>
      <c r="P80" s="54">
        <f>_xll.EQNXTDZ($A$1,$B80,P$5,$B$1)</f>
        <v>0</v>
      </c>
      <c r="Q80" s="54">
        <f>_xll.EQNXTDZ($A$1,$B80,Q$5,$B$1)</f>
        <v>0</v>
      </c>
      <c r="R80" s="54">
        <f>_xll.EQNXTDZ($A$1,$B80,R$5,$B$1)</f>
        <v>0</v>
      </c>
      <c r="S80" s="54">
        <f>_xll.EQNXTDZ($A$1,$B80,S$5,$B$1)</f>
        <v>0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0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0</v>
      </c>
      <c r="AF80" s="54">
        <f>_xll.EQNXTDZ($A$1,$B80,AF$5,$B$1)</f>
        <v>0</v>
      </c>
      <c r="AG80" s="54">
        <f>_xll.EQNXTDZ($A$1,$B80,AG$5,$B$1)</f>
        <v>0</v>
      </c>
      <c r="AH80" s="54">
        <f>_xll.EQNXTDZ($A$1,$B80,AH$5,$B$1)</f>
        <v>0</v>
      </c>
      <c r="AI80" s="54">
        <f>_xll.EQNXTDZ($A$1,$B80,AI$5,$B$1)</f>
        <v>0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0</v>
      </c>
      <c r="AV80" s="54">
        <f>_xll.EQNXTDZ($A$1,$B80,AV$5,$B$1)</f>
        <v>0</v>
      </c>
      <c r="AW80" s="54">
        <f>_xll.EQNXTDZ($A$1,$B80,AW$5,$B$1)</f>
        <v>0</v>
      </c>
      <c r="AX80" s="54">
        <f>_xll.EQNXTDZ($A$1,$B80,AX$5,$B$1)</f>
        <v>0</v>
      </c>
      <c r="AY80" s="54">
        <f>_xll.EQNXTDZ($A$1,$B80,AY$5,$B$1)</f>
        <v>0</v>
      </c>
      <c r="AZ80" s="54">
        <f>_xll.EQNXTDZ($A$1,$B80,AZ$5,$B$1)</f>
        <v>0</v>
      </c>
      <c r="BA80" s="54">
        <f>_xll.EQNXTDZ($A$1,$B80,BA$5,$B$1)</f>
        <v>0</v>
      </c>
      <c r="BB80" s="54">
        <f>_xll.EQNXTDZ($A$1,$B80,BB$5,$B$1)</f>
        <v>0</v>
      </c>
      <c r="BC80" s="54">
        <f>_xll.EQNXTDZ($A$1,$B80,BC$5,$B$1)</f>
        <v>0</v>
      </c>
      <c r="BD80" s="54">
        <f>_xll.EQNXTDZ($A$1,$B80,BD$5,$B$1)</f>
        <v>0</v>
      </c>
      <c r="BE80" s="54">
        <f>_xll.EQNXTDZ($A$1,$B80,BE$5,$B$1)</f>
        <v>0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0</v>
      </c>
      <c r="D81" s="54">
        <f>_xll.EQNXTDZ($A$1,$B81,D$5,$B$1)</f>
        <v>20.545999999999999</v>
      </c>
      <c r="E81" s="54">
        <f>_xll.EQNXTDZ($A$1,$B81,E$5,$B$1)</f>
        <v>0</v>
      </c>
      <c r="F81" s="54">
        <f>_xll.EQNXTDZ($A$1,$B81,F$5,$B$1)</f>
        <v>19.355</v>
      </c>
      <c r="G81" s="54">
        <f>_xll.EQNXTDZ($A$1,$B81,G$5,$B$1)</f>
        <v>0</v>
      </c>
      <c r="H81" s="54">
        <f>_xll.EQNXTDZ($A$1,$B81,H$5,$B$1)</f>
        <v>16.891999999999999</v>
      </c>
      <c r="I81" s="54">
        <f>_xll.EQNXTDZ($A$1,$B81,I$5,$B$1)</f>
        <v>0</v>
      </c>
      <c r="J81" s="54">
        <f>_xll.EQNXTDZ($A$1,$B81,J$5,$B$1)</f>
        <v>15.244</v>
      </c>
      <c r="K81" s="54">
        <f>_xll.EQNXTDZ($A$1,$B81,K$5,$B$1)</f>
        <v>0</v>
      </c>
      <c r="L81" s="54">
        <f>_xll.EQNXTDZ($A$1,$B81,L$5,$B$1)</f>
        <v>18.591000000000001</v>
      </c>
      <c r="M81" s="54">
        <f>_xll.EQNXTDZ($A$1,$B81,M$5,$B$1)</f>
        <v>0</v>
      </c>
      <c r="N81" s="54">
        <f>_xll.EQNXTDZ($A$1,$B81,N$5,$B$1)</f>
        <v>21.623999999999999</v>
      </c>
      <c r="O81" s="54">
        <f>_xll.EQNXTDZ($A$1,$B81,O$5,$B$1)</f>
        <v>0</v>
      </c>
      <c r="P81" s="54">
        <f>_xll.EQNXTDZ($A$1,$B81,P$5,$B$1)</f>
        <v>22.542999999999999</v>
      </c>
      <c r="Q81" s="54">
        <f>_xll.EQNXTDZ($A$1,$B81,Q$5,$B$1)</f>
        <v>0</v>
      </c>
      <c r="R81" s="54">
        <f>_xll.EQNXTDZ($A$1,$B81,R$5,$B$1)</f>
        <v>21.475999999999999</v>
      </c>
      <c r="S81" s="54">
        <f>_xll.EQNXTDZ($A$1,$B81,S$5,$B$1)</f>
        <v>0</v>
      </c>
      <c r="T81" s="54">
        <f>_xll.EQNXTDZ($A$1,$B81,T$5,$B$1)</f>
        <v>20.423999999999999</v>
      </c>
      <c r="U81" s="54">
        <f>_xll.EQNXTDZ($A$1,$B81,U$5,$B$1)</f>
        <v>0</v>
      </c>
      <c r="V81" s="54">
        <f>_xll.EQNXTDZ($A$1,$B81,V$5,$B$1)</f>
        <v>18.779</v>
      </c>
      <c r="W81" s="54">
        <f>_xll.EQNXTDZ($A$1,$B81,W$5,$B$1)</f>
        <v>0</v>
      </c>
      <c r="X81" s="54">
        <f>_xll.EQNXTDZ($A$1,$B81,X$5,$B$1)</f>
        <v>13.439</v>
      </c>
      <c r="Y81" s="54">
        <f>_xll.EQNXTDZ($A$1,$B81,Y$5,$B$1)</f>
        <v>0</v>
      </c>
      <c r="Z81" s="54">
        <f>_xll.EQNXTDZ($A$1,$B81,Z$5,$B$1)</f>
        <v>14.416</v>
      </c>
      <c r="AA81" s="54">
        <f>_xll.EQNXTDZ($A$1,$B81,AA$5,$B$1)</f>
        <v>0</v>
      </c>
      <c r="AB81" s="54">
        <f>_xll.EQNXTDZ($A$1,$B81,AB$5,$B$1)</f>
        <v>10.702999999999999</v>
      </c>
      <c r="AC81" s="54">
        <f>_xll.EQNXTDZ($A$1,$B81,AC$5,$B$1)</f>
        <v>0</v>
      </c>
      <c r="AD81" s="54">
        <f>_xll.EQNXTDZ($A$1,$B81,AD$5,$B$1)</f>
        <v>12.013</v>
      </c>
      <c r="AE81" s="54">
        <f>_xll.EQNXTDZ($A$1,$B81,AE$5,$B$1)</f>
        <v>0</v>
      </c>
      <c r="AF81" s="54">
        <f>_xll.EQNXTDZ($A$1,$B81,AF$5,$B$1)</f>
        <v>26.78</v>
      </c>
      <c r="AG81" s="54">
        <f>_xll.EQNXTDZ($A$1,$B81,AG$5,$B$1)</f>
        <v>0</v>
      </c>
      <c r="AH81" s="54">
        <f>_xll.EQNXTDZ($A$1,$B81,AH$5,$B$1)</f>
        <v>14.071</v>
      </c>
      <c r="AI81" s="54">
        <f>_xll.EQNXTDZ($A$1,$B81,AI$5,$B$1)</f>
        <v>0</v>
      </c>
      <c r="AJ81" s="54">
        <f>_xll.EQNXTDZ($A$1,$B81,AJ$5,$B$1)</f>
        <v>15.835000000000001</v>
      </c>
      <c r="AK81" s="54">
        <f>_xll.EQNXTDZ($A$1,$B81,AK$5,$B$1)</f>
        <v>0</v>
      </c>
      <c r="AL81" s="54">
        <f>_xll.EQNXTDZ($A$1,$B81,AL$5,$B$1)</f>
        <v>14.29</v>
      </c>
      <c r="AM81" s="54">
        <f>_xll.EQNXTDZ($A$1,$B81,AM$5,$B$1)</f>
        <v>0</v>
      </c>
      <c r="AN81" s="54">
        <f>_xll.EQNXTDZ($A$1,$B81,AN$5,$B$1)</f>
        <v>11.054</v>
      </c>
      <c r="AO81" s="54">
        <f>_xll.EQNXTDZ($A$1,$B81,AO$5,$B$1)</f>
        <v>0</v>
      </c>
      <c r="AP81" s="54">
        <f>_xll.EQNXTDZ($A$1,$B81,AP$5,$B$1)</f>
        <v>9.7850000000000001</v>
      </c>
      <c r="AQ81" s="54">
        <f>_xll.EQNXTDZ($A$1,$B81,AQ$5,$B$1)</f>
        <v>0</v>
      </c>
      <c r="AR81" s="54">
        <f>_xll.EQNXTDZ($A$1,$B81,AR$5,$B$1)</f>
        <v>15.917</v>
      </c>
      <c r="AS81" s="54">
        <f>_xll.EQNXTDZ($A$1,$B81,AS$5,$B$1)</f>
        <v>0</v>
      </c>
      <c r="AT81" s="54">
        <f>_xll.EQNXTDZ($A$1,$B81,AT$5,$B$1)</f>
        <v>23.228999999999999</v>
      </c>
      <c r="AU81" s="54">
        <f>_xll.EQNXTDZ($A$1,$B81,AU$5,$B$1)</f>
        <v>0</v>
      </c>
      <c r="AV81" s="54">
        <f>_xll.EQNXTDZ($A$1,$B81,AV$5,$B$1)</f>
        <v>19.629000000000001</v>
      </c>
      <c r="AW81" s="54">
        <f>_xll.EQNXTDZ($A$1,$B81,AW$5,$B$1)</f>
        <v>18.663</v>
      </c>
      <c r="AX81" s="54">
        <f>_xll.EQNXTDZ($A$1,$B81,AX$5,$B$1)</f>
        <v>0</v>
      </c>
      <c r="AY81" s="54">
        <f>_xll.EQNXTDZ($A$1,$B81,AY$5,$B$1)</f>
        <v>20.581</v>
      </c>
      <c r="AZ81" s="54">
        <f>_xll.EQNXTDZ($A$1,$B81,AZ$5,$B$1)</f>
        <v>0</v>
      </c>
      <c r="BA81" s="54">
        <f>_xll.EQNXTDZ($A$1,$B81,BA$5,$B$1)</f>
        <v>20.591000000000001</v>
      </c>
      <c r="BB81" s="54">
        <f>_xll.EQNXTDZ($A$1,$B81,BB$5,$B$1)</f>
        <v>0</v>
      </c>
      <c r="BC81" s="54">
        <f>_xll.EQNXTDZ($A$1,$B81,BC$5,$B$1)</f>
        <v>15.3</v>
      </c>
      <c r="BD81" s="54">
        <f>_xll.EQNXTDZ($A$1,$B81,BD$5,$B$1)</f>
        <v>0</v>
      </c>
      <c r="BE81" s="54">
        <f>_xll.EQNXTDZ($A$1,$B81,BE$5,$B$1)</f>
        <v>16.167000000000002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0</v>
      </c>
      <c r="D82" s="54">
        <f>_xll.EQNXTDZ($A$1,$B82,D$5,$B$1)</f>
        <v>143.14500000000001</v>
      </c>
      <c r="E82" s="54">
        <f>_xll.EQNXTDZ($A$1,$B82,E$5,$B$1)</f>
        <v>0</v>
      </c>
      <c r="F82" s="54">
        <f>_xll.EQNXTDZ($A$1,$B82,F$5,$B$1)</f>
        <v>264.04700000000003</v>
      </c>
      <c r="G82" s="54">
        <f>_xll.EQNXTDZ($A$1,$B82,G$5,$B$1)</f>
        <v>0</v>
      </c>
      <c r="H82" s="54">
        <f>_xll.EQNXTDZ($A$1,$B82,H$5,$B$1)</f>
        <v>239.66200000000001</v>
      </c>
      <c r="I82" s="54">
        <f>_xll.EQNXTDZ($A$1,$B82,I$5,$B$1)</f>
        <v>0</v>
      </c>
      <c r="J82" s="54">
        <f>_xll.EQNXTDZ($A$1,$B82,J$5,$B$1)</f>
        <v>175.06</v>
      </c>
      <c r="K82" s="54">
        <f>_xll.EQNXTDZ($A$1,$B82,K$5,$B$1)</f>
        <v>0</v>
      </c>
      <c r="L82" s="54">
        <f>_xll.EQNXTDZ($A$1,$B82,L$5,$B$1)</f>
        <v>141.47800000000001</v>
      </c>
      <c r="M82" s="54">
        <f>_xll.EQNXTDZ($A$1,$B82,M$5,$B$1)</f>
        <v>0</v>
      </c>
      <c r="N82" s="54">
        <f>_xll.EQNXTDZ($A$1,$B82,N$5,$B$1)</f>
        <v>131.78299999999999</v>
      </c>
      <c r="O82" s="54">
        <f>_xll.EQNXTDZ($A$1,$B82,O$5,$B$1)</f>
        <v>0</v>
      </c>
      <c r="P82" s="54">
        <f>_xll.EQNXTDZ($A$1,$B82,P$5,$B$1)</f>
        <v>102.94799999999999</v>
      </c>
      <c r="Q82" s="54">
        <f>_xll.EQNXTDZ($A$1,$B82,Q$5,$B$1)</f>
        <v>0</v>
      </c>
      <c r="R82" s="54">
        <f>_xll.EQNXTDZ($A$1,$B82,R$5,$B$1)</f>
        <v>122.354</v>
      </c>
      <c r="S82" s="54">
        <f>_xll.EQNXTDZ($A$1,$B82,S$5,$B$1)</f>
        <v>0</v>
      </c>
      <c r="T82" s="54">
        <f>_xll.EQNXTDZ($A$1,$B82,T$5,$B$1)</f>
        <v>79.513000000000005</v>
      </c>
      <c r="U82" s="54">
        <f>_xll.EQNXTDZ($A$1,$B82,U$5,$B$1)</f>
        <v>0</v>
      </c>
      <c r="V82" s="54">
        <f>_xll.EQNXTDZ($A$1,$B82,V$5,$B$1)</f>
        <v>40.950000000000003</v>
      </c>
      <c r="W82" s="54">
        <f>_xll.EQNXTDZ($A$1,$B82,W$5,$B$1)</f>
        <v>0</v>
      </c>
      <c r="X82" s="54">
        <f>_xll.EQNXTDZ($A$1,$B82,X$5,$B$1)</f>
        <v>66.611000000000004</v>
      </c>
      <c r="Y82" s="54">
        <f>_xll.EQNXTDZ($A$1,$B82,Y$5,$B$1)</f>
        <v>0</v>
      </c>
      <c r="Z82" s="54">
        <f>_xll.EQNXTDZ($A$1,$B82,Z$5,$B$1)</f>
        <v>90.15</v>
      </c>
      <c r="AA82" s="54">
        <f>_xll.EQNXTDZ($A$1,$B82,AA$5,$B$1)</f>
        <v>0</v>
      </c>
      <c r="AB82" s="54">
        <f>_xll.EQNXTDZ($A$1,$B82,AB$5,$B$1)</f>
        <v>55.127000000000002</v>
      </c>
      <c r="AC82" s="54">
        <f>_xll.EQNXTDZ($A$1,$B82,AC$5,$B$1)</f>
        <v>0</v>
      </c>
      <c r="AD82" s="54">
        <f>_xll.EQNXTDZ($A$1,$B82,AD$5,$B$1)</f>
        <v>107.815</v>
      </c>
      <c r="AE82" s="54">
        <f>_xll.EQNXTDZ($A$1,$B82,AE$5,$B$1)</f>
        <v>0</v>
      </c>
      <c r="AF82" s="54">
        <f>_xll.EQNXTDZ($A$1,$B82,AF$5,$B$1)</f>
        <v>123.551</v>
      </c>
      <c r="AG82" s="54">
        <f>_xll.EQNXTDZ($A$1,$B82,AG$5,$B$1)</f>
        <v>0</v>
      </c>
      <c r="AH82" s="54">
        <f>_xll.EQNXTDZ($A$1,$B82,AH$5,$B$1)</f>
        <v>77.849999999999994</v>
      </c>
      <c r="AI82" s="54">
        <f>_xll.EQNXTDZ($A$1,$B82,AI$5,$B$1)</f>
        <v>0</v>
      </c>
      <c r="AJ82" s="54">
        <f>_xll.EQNXTDZ($A$1,$B82,AJ$5,$B$1)</f>
        <v>52.347999999999999</v>
      </c>
      <c r="AK82" s="54">
        <f>_xll.EQNXTDZ($A$1,$B82,AK$5,$B$1)</f>
        <v>0</v>
      </c>
      <c r="AL82" s="54">
        <f>_xll.EQNXTDZ($A$1,$B82,AL$5,$B$1)</f>
        <v>127.645</v>
      </c>
      <c r="AM82" s="54">
        <f>_xll.EQNXTDZ($A$1,$B82,AM$5,$B$1)</f>
        <v>0</v>
      </c>
      <c r="AN82" s="54">
        <f>_xll.EQNXTDZ($A$1,$B82,AN$5,$B$1)</f>
        <v>111.601</v>
      </c>
      <c r="AO82" s="54">
        <f>_xll.EQNXTDZ($A$1,$B82,AO$5,$B$1)</f>
        <v>0</v>
      </c>
      <c r="AP82" s="54">
        <f>_xll.EQNXTDZ($A$1,$B82,AP$5,$B$1)</f>
        <v>120.453</v>
      </c>
      <c r="AQ82" s="54">
        <f>_xll.EQNXTDZ($A$1,$B82,AQ$5,$B$1)</f>
        <v>0</v>
      </c>
      <c r="AR82" s="54">
        <f>_xll.EQNXTDZ($A$1,$B82,AR$5,$B$1)</f>
        <v>101.99</v>
      </c>
      <c r="AS82" s="54">
        <f>_xll.EQNXTDZ($A$1,$B82,AS$5,$B$1)</f>
        <v>0</v>
      </c>
      <c r="AT82" s="54">
        <f>_xll.EQNXTDZ($A$1,$B82,AT$5,$B$1)</f>
        <v>133.5</v>
      </c>
      <c r="AU82" s="54">
        <f>_xll.EQNXTDZ($A$1,$B82,AU$5,$B$1)</f>
        <v>0</v>
      </c>
      <c r="AV82" s="54">
        <f>_xll.EQNXTDZ($A$1,$B82,AV$5,$B$1)</f>
        <v>151.72399999999999</v>
      </c>
      <c r="AW82" s="54">
        <f>_xll.EQNXTDZ($A$1,$B82,AW$5,$B$1)</f>
        <v>209.642</v>
      </c>
      <c r="AX82" s="54">
        <f>_xll.EQNXTDZ($A$1,$B82,AX$5,$B$1)</f>
        <v>0</v>
      </c>
      <c r="AY82" s="54">
        <f>_xll.EQNXTDZ($A$1,$B82,AY$5,$B$1)</f>
        <v>249.87799999999999</v>
      </c>
      <c r="AZ82" s="54">
        <f>_xll.EQNXTDZ($A$1,$B82,AZ$5,$B$1)</f>
        <v>0</v>
      </c>
      <c r="BA82" s="54">
        <f>_xll.EQNXTDZ($A$1,$B82,BA$5,$B$1)</f>
        <v>195.875</v>
      </c>
      <c r="BB82" s="54">
        <f>_xll.EQNXTDZ($A$1,$B82,BB$5,$B$1)</f>
        <v>0</v>
      </c>
      <c r="BC82" s="54">
        <f>_xll.EQNXTDZ($A$1,$B82,BC$5,$B$1)</f>
        <v>238.28700000000001</v>
      </c>
      <c r="BD82" s="54">
        <f>_xll.EQNXTDZ($A$1,$B82,BD$5,$B$1)</f>
        <v>0</v>
      </c>
      <c r="BE82" s="54">
        <f>_xll.EQNXTDZ($A$1,$B82,BE$5,$B$1)</f>
        <v>221.26499999999999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0</v>
      </c>
      <c r="D83" s="54">
        <f>_xll.EQNXTDZ($A$1,$B83,D$5,$B$1)</f>
        <v>43.584000000000003</v>
      </c>
      <c r="E83" s="54">
        <f>_xll.EQNXTDZ($A$1,$B83,E$5,$B$1)</f>
        <v>0</v>
      </c>
      <c r="F83" s="54">
        <f>_xll.EQNXTDZ($A$1,$B83,F$5,$B$1)</f>
        <v>18.134</v>
      </c>
      <c r="G83" s="54">
        <f>_xll.EQNXTDZ($A$1,$B83,G$5,$B$1)</f>
        <v>0</v>
      </c>
      <c r="H83" s="54">
        <f>_xll.EQNXTDZ($A$1,$B83,H$5,$B$1)</f>
        <v>16.341000000000001</v>
      </c>
      <c r="I83" s="54">
        <f>_xll.EQNXTDZ($A$1,$B83,I$5,$B$1)</f>
        <v>0</v>
      </c>
      <c r="J83" s="54">
        <f>_xll.EQNXTDZ($A$1,$B83,J$5,$B$1)</f>
        <v>10.686</v>
      </c>
      <c r="K83" s="54">
        <f>_xll.EQNXTDZ($A$1,$B83,K$5,$B$1)</f>
        <v>0</v>
      </c>
      <c r="L83" s="54">
        <f>_xll.EQNXTDZ($A$1,$B83,L$5,$B$1)</f>
        <v>13.092000000000001</v>
      </c>
      <c r="M83" s="54">
        <f>_xll.EQNXTDZ($A$1,$B83,M$5,$B$1)</f>
        <v>0</v>
      </c>
      <c r="N83" s="54">
        <f>_xll.EQNXTDZ($A$1,$B83,N$5,$B$1)</f>
        <v>26.882000000000001</v>
      </c>
      <c r="O83" s="54">
        <f>_xll.EQNXTDZ($A$1,$B83,O$5,$B$1)</f>
        <v>0</v>
      </c>
      <c r="P83" s="54">
        <f>_xll.EQNXTDZ($A$1,$B83,P$5,$B$1)</f>
        <v>18.071999999999999</v>
      </c>
      <c r="Q83" s="54">
        <f>_xll.EQNXTDZ($A$1,$B83,Q$5,$B$1)</f>
        <v>0</v>
      </c>
      <c r="R83" s="54">
        <f>_xll.EQNXTDZ($A$1,$B83,R$5,$B$1)</f>
        <v>4.5330000000000004</v>
      </c>
      <c r="S83" s="54">
        <f>_xll.EQNXTDZ($A$1,$B83,S$5,$B$1)</f>
        <v>0</v>
      </c>
      <c r="T83" s="54">
        <f>_xll.EQNXTDZ($A$1,$B83,T$5,$B$1)</f>
        <v>53.432000000000002</v>
      </c>
      <c r="U83" s="54">
        <f>_xll.EQNXTDZ($A$1,$B83,U$5,$B$1)</f>
        <v>0</v>
      </c>
      <c r="V83" s="54">
        <f>_xll.EQNXTDZ($A$1,$B83,V$5,$B$1)</f>
        <v>65.933000000000007</v>
      </c>
      <c r="W83" s="54">
        <f>_xll.EQNXTDZ($A$1,$B83,W$5,$B$1)</f>
        <v>0</v>
      </c>
      <c r="X83" s="54">
        <f>_xll.EQNXTDZ($A$1,$B83,X$5,$B$1)</f>
        <v>119.36199999999999</v>
      </c>
      <c r="Y83" s="54">
        <f>_xll.EQNXTDZ($A$1,$B83,Y$5,$B$1)</f>
        <v>0</v>
      </c>
      <c r="Z83" s="54">
        <f>_xll.EQNXTDZ($A$1,$B83,Z$5,$B$1)</f>
        <v>153.09100000000001</v>
      </c>
      <c r="AA83" s="54">
        <f>_xll.EQNXTDZ($A$1,$B83,AA$5,$B$1)</f>
        <v>0</v>
      </c>
      <c r="AB83" s="54">
        <f>_xll.EQNXTDZ($A$1,$B83,AB$5,$B$1)</f>
        <v>280.03100000000001</v>
      </c>
      <c r="AC83" s="54">
        <f>_xll.EQNXTDZ($A$1,$B83,AC$5,$B$1)</f>
        <v>0</v>
      </c>
      <c r="AD83" s="54">
        <f>_xll.EQNXTDZ($A$1,$B83,AD$5,$B$1)</f>
        <v>116.76600000000001</v>
      </c>
      <c r="AE83" s="54">
        <f>_xll.EQNXTDZ($A$1,$B83,AE$5,$B$1)</f>
        <v>0</v>
      </c>
      <c r="AF83" s="54">
        <f>_xll.EQNXTDZ($A$1,$B83,AF$5,$B$1)</f>
        <v>50.420999999999999</v>
      </c>
      <c r="AG83" s="54">
        <f>_xll.EQNXTDZ($A$1,$B83,AG$5,$B$1)</f>
        <v>0</v>
      </c>
      <c r="AH83" s="54">
        <f>_xll.EQNXTDZ($A$1,$B83,AH$5,$B$1)</f>
        <v>58.603999999999999</v>
      </c>
      <c r="AI83" s="54">
        <f>_xll.EQNXTDZ($A$1,$B83,AI$5,$B$1)</f>
        <v>0</v>
      </c>
      <c r="AJ83" s="54">
        <f>_xll.EQNXTDZ($A$1,$B83,AJ$5,$B$1)</f>
        <v>62.677</v>
      </c>
      <c r="AK83" s="54">
        <f>_xll.EQNXTDZ($A$1,$B83,AK$5,$B$1)</f>
        <v>0</v>
      </c>
      <c r="AL83" s="54">
        <f>_xll.EQNXTDZ($A$1,$B83,AL$5,$B$1)</f>
        <v>35.021000000000001</v>
      </c>
      <c r="AM83" s="54">
        <f>_xll.EQNXTDZ($A$1,$B83,AM$5,$B$1)</f>
        <v>0</v>
      </c>
      <c r="AN83" s="54">
        <f>_xll.EQNXTDZ($A$1,$B83,AN$5,$B$1)</f>
        <v>40.094999999999999</v>
      </c>
      <c r="AO83" s="54">
        <f>_xll.EQNXTDZ($A$1,$B83,AO$5,$B$1)</f>
        <v>0</v>
      </c>
      <c r="AP83" s="54">
        <f>_xll.EQNXTDZ($A$1,$B83,AP$5,$B$1)</f>
        <v>47.551000000000002</v>
      </c>
      <c r="AQ83" s="54">
        <f>_xll.EQNXTDZ($A$1,$B83,AQ$5,$B$1)</f>
        <v>0</v>
      </c>
      <c r="AR83" s="54">
        <f>_xll.EQNXTDZ($A$1,$B83,AR$5,$B$1)</f>
        <v>240.815</v>
      </c>
      <c r="AS83" s="54">
        <f>_xll.EQNXTDZ($A$1,$B83,AS$5,$B$1)</f>
        <v>0</v>
      </c>
      <c r="AT83" s="54">
        <f>_xll.EQNXTDZ($A$1,$B83,AT$5,$B$1)</f>
        <v>118.506</v>
      </c>
      <c r="AU83" s="54">
        <f>_xll.EQNXTDZ($A$1,$B83,AU$5,$B$1)</f>
        <v>0</v>
      </c>
      <c r="AV83" s="54">
        <f>_xll.EQNXTDZ($A$1,$B83,AV$5,$B$1)</f>
        <v>139.786</v>
      </c>
      <c r="AW83" s="54">
        <f>_xll.EQNXTDZ($A$1,$B83,AW$5,$B$1)</f>
        <v>130.465</v>
      </c>
      <c r="AX83" s="54">
        <f>_xll.EQNXTDZ($A$1,$B83,AX$5,$B$1)</f>
        <v>0</v>
      </c>
      <c r="AY83" s="54">
        <f>_xll.EQNXTDZ($A$1,$B83,AY$5,$B$1)</f>
        <v>77.486000000000004</v>
      </c>
      <c r="AZ83" s="54">
        <f>_xll.EQNXTDZ($A$1,$B83,AZ$5,$B$1)</f>
        <v>0</v>
      </c>
      <c r="BA83" s="54">
        <f>_xll.EQNXTDZ($A$1,$B83,BA$5,$B$1)</f>
        <v>62.527000000000001</v>
      </c>
      <c r="BB83" s="54">
        <f>_xll.EQNXTDZ($A$1,$B83,BB$5,$B$1)</f>
        <v>0</v>
      </c>
      <c r="BC83" s="54">
        <f>_xll.EQNXTDZ($A$1,$B83,BC$5,$B$1)</f>
        <v>123.78</v>
      </c>
      <c r="BD83" s="54">
        <f>_xll.EQNXTDZ($A$1,$B83,BD$5,$B$1)</f>
        <v>0</v>
      </c>
      <c r="BE83" s="54">
        <f>_xll.EQNXTDZ($A$1,$B83,BE$5,$B$1)</f>
        <v>226.50299999999999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0</v>
      </c>
      <c r="D84" s="54">
        <f>_xll.EQNXTDZ($A$1,$B84,D$5,$B$1)</f>
        <v>89.022999999999996</v>
      </c>
      <c r="E84" s="54">
        <f>_xll.EQNXTDZ($A$1,$B84,E$5,$B$1)</f>
        <v>0</v>
      </c>
      <c r="F84" s="54">
        <f>_xll.EQNXTDZ($A$1,$B84,F$5,$B$1)</f>
        <v>106.367</v>
      </c>
      <c r="G84" s="54">
        <f>_xll.EQNXTDZ($A$1,$B84,G$5,$B$1)</f>
        <v>0</v>
      </c>
      <c r="H84" s="54">
        <f>_xll.EQNXTDZ($A$1,$B84,H$5,$B$1)</f>
        <v>96.111000000000004</v>
      </c>
      <c r="I84" s="54">
        <f>_xll.EQNXTDZ($A$1,$B84,I$5,$B$1)</f>
        <v>0</v>
      </c>
      <c r="J84" s="54">
        <f>_xll.EQNXTDZ($A$1,$B84,J$5,$B$1)</f>
        <v>84.367000000000004</v>
      </c>
      <c r="K84" s="54">
        <f>_xll.EQNXTDZ($A$1,$B84,K$5,$B$1)</f>
        <v>0</v>
      </c>
      <c r="L84" s="54">
        <f>_xll.EQNXTDZ($A$1,$B84,L$5,$B$1)</f>
        <v>78.926000000000002</v>
      </c>
      <c r="M84" s="54">
        <f>_xll.EQNXTDZ($A$1,$B84,M$5,$B$1)</f>
        <v>0</v>
      </c>
      <c r="N84" s="54">
        <f>_xll.EQNXTDZ($A$1,$B84,N$5,$B$1)</f>
        <v>65.33</v>
      </c>
      <c r="O84" s="54">
        <f>_xll.EQNXTDZ($A$1,$B84,O$5,$B$1)</f>
        <v>0</v>
      </c>
      <c r="P84" s="54">
        <f>_xll.EQNXTDZ($A$1,$B84,P$5,$B$1)</f>
        <v>46.11</v>
      </c>
      <c r="Q84" s="54">
        <f>_xll.EQNXTDZ($A$1,$B84,Q$5,$B$1)</f>
        <v>0</v>
      </c>
      <c r="R84" s="54">
        <f>_xll.EQNXTDZ($A$1,$B84,R$5,$B$1)</f>
        <v>38.587000000000003</v>
      </c>
      <c r="S84" s="54">
        <f>_xll.EQNXTDZ($A$1,$B84,S$5,$B$1)</f>
        <v>0</v>
      </c>
      <c r="T84" s="54">
        <f>_xll.EQNXTDZ($A$1,$B84,T$5,$B$1)</f>
        <v>21.966000000000001</v>
      </c>
      <c r="U84" s="54">
        <f>_xll.EQNXTDZ($A$1,$B84,U$5,$B$1)</f>
        <v>0</v>
      </c>
      <c r="V84" s="54">
        <f>_xll.EQNXTDZ($A$1,$B84,V$5,$B$1)</f>
        <v>68.442999999999998</v>
      </c>
      <c r="W84" s="54">
        <f>_xll.EQNXTDZ($A$1,$B84,W$5,$B$1)</f>
        <v>0</v>
      </c>
      <c r="X84" s="54">
        <f>_xll.EQNXTDZ($A$1,$B84,X$5,$B$1)</f>
        <v>71.754999999999995</v>
      </c>
      <c r="Y84" s="54">
        <f>_xll.EQNXTDZ($A$1,$B84,Y$5,$B$1)</f>
        <v>0</v>
      </c>
      <c r="Z84" s="54">
        <f>_xll.EQNXTDZ($A$1,$B84,Z$5,$B$1)</f>
        <v>76.251999999999995</v>
      </c>
      <c r="AA84" s="54">
        <f>_xll.EQNXTDZ($A$1,$B84,AA$5,$B$1)</f>
        <v>0</v>
      </c>
      <c r="AB84" s="54">
        <f>_xll.EQNXTDZ($A$1,$B84,AB$5,$B$1)</f>
        <v>184.33699999999999</v>
      </c>
      <c r="AC84" s="54">
        <f>_xll.EQNXTDZ($A$1,$B84,AC$5,$B$1)</f>
        <v>0</v>
      </c>
      <c r="AD84" s="54">
        <f>_xll.EQNXTDZ($A$1,$B84,AD$5,$B$1)</f>
        <v>259.49099999999999</v>
      </c>
      <c r="AE84" s="54">
        <f>_xll.EQNXTDZ($A$1,$B84,AE$5,$B$1)</f>
        <v>0</v>
      </c>
      <c r="AF84" s="54">
        <f>_xll.EQNXTDZ($A$1,$B84,AF$5,$B$1)</f>
        <v>162.977</v>
      </c>
      <c r="AG84" s="54">
        <f>_xll.EQNXTDZ($A$1,$B84,AG$5,$B$1)</f>
        <v>0</v>
      </c>
      <c r="AH84" s="54">
        <f>_xll.EQNXTDZ($A$1,$B84,AH$5,$B$1)</f>
        <v>192.15899999999999</v>
      </c>
      <c r="AI84" s="54">
        <f>_xll.EQNXTDZ($A$1,$B84,AI$5,$B$1)</f>
        <v>0</v>
      </c>
      <c r="AJ84" s="54">
        <f>_xll.EQNXTDZ($A$1,$B84,AJ$5,$B$1)</f>
        <v>188.90199999999999</v>
      </c>
      <c r="AK84" s="54">
        <f>_xll.EQNXTDZ($A$1,$B84,AK$5,$B$1)</f>
        <v>0</v>
      </c>
      <c r="AL84" s="54">
        <f>_xll.EQNXTDZ($A$1,$B84,AL$5,$B$1)</f>
        <v>209.589</v>
      </c>
      <c r="AM84" s="54">
        <f>_xll.EQNXTDZ($A$1,$B84,AM$5,$B$1)</f>
        <v>0</v>
      </c>
      <c r="AN84" s="54">
        <f>_xll.EQNXTDZ($A$1,$B84,AN$5,$B$1)</f>
        <v>147.58699999999999</v>
      </c>
      <c r="AO84" s="54">
        <f>_xll.EQNXTDZ($A$1,$B84,AO$5,$B$1)</f>
        <v>0</v>
      </c>
      <c r="AP84" s="54">
        <f>_xll.EQNXTDZ($A$1,$B84,AP$5,$B$1)</f>
        <v>61.917999999999999</v>
      </c>
      <c r="AQ84" s="54">
        <f>_xll.EQNXTDZ($A$1,$B84,AQ$5,$B$1)</f>
        <v>0</v>
      </c>
      <c r="AR84" s="54">
        <f>_xll.EQNXTDZ($A$1,$B84,AR$5,$B$1)</f>
        <v>117.837</v>
      </c>
      <c r="AS84" s="54">
        <f>_xll.EQNXTDZ($A$1,$B84,AS$5,$B$1)</f>
        <v>0</v>
      </c>
      <c r="AT84" s="54">
        <f>_xll.EQNXTDZ($A$1,$B84,AT$5,$B$1)</f>
        <v>484.30900000000003</v>
      </c>
      <c r="AU84" s="54">
        <f>_xll.EQNXTDZ($A$1,$B84,AU$5,$B$1)</f>
        <v>0</v>
      </c>
      <c r="AV84" s="54">
        <f>_xll.EQNXTDZ($A$1,$B84,AV$5,$B$1)</f>
        <v>441.00799999999998</v>
      </c>
      <c r="AW84" s="54">
        <f>_xll.EQNXTDZ($A$1,$B84,AW$5,$B$1)</f>
        <v>291.697</v>
      </c>
      <c r="AX84" s="54">
        <f>_xll.EQNXTDZ($A$1,$B84,AX$5,$B$1)</f>
        <v>0</v>
      </c>
      <c r="AY84" s="54">
        <f>_xll.EQNXTDZ($A$1,$B84,AY$5,$B$1)</f>
        <v>172.60599999999999</v>
      </c>
      <c r="AZ84" s="54">
        <f>_xll.EQNXTDZ($A$1,$B84,AZ$5,$B$1)</f>
        <v>0</v>
      </c>
      <c r="BA84" s="54">
        <f>_xll.EQNXTDZ($A$1,$B84,BA$5,$B$1)</f>
        <v>148.63399999999999</v>
      </c>
      <c r="BB84" s="54">
        <f>_xll.EQNXTDZ($A$1,$B84,BB$5,$B$1)</f>
        <v>0</v>
      </c>
      <c r="BC84" s="54">
        <f>_xll.EQNXTDZ($A$1,$B84,BC$5,$B$1)</f>
        <v>101.01900000000001</v>
      </c>
      <c r="BD84" s="54">
        <f>_xll.EQNXTDZ($A$1,$B84,BD$5,$B$1)</f>
        <v>0</v>
      </c>
      <c r="BE84" s="54">
        <f>_xll.EQNXTDZ($A$1,$B84,BE$5,$B$1)</f>
        <v>131.904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0</v>
      </c>
      <c r="D85" s="54">
        <f>_xll.EQNXTDZ($A$1,$B85,D$5,$B$1)</f>
        <v>46.238</v>
      </c>
      <c r="E85" s="54">
        <f>_xll.EQNXTDZ($A$1,$B85,E$5,$B$1)</f>
        <v>0</v>
      </c>
      <c r="F85" s="54">
        <f>_xll.EQNXTDZ($A$1,$B85,F$5,$B$1)</f>
        <v>33.311999999999998</v>
      </c>
      <c r="G85" s="54">
        <f>_xll.EQNXTDZ($A$1,$B85,G$5,$B$1)</f>
        <v>0</v>
      </c>
      <c r="H85" s="54">
        <f>_xll.EQNXTDZ($A$1,$B85,H$5,$B$1)</f>
        <v>23.178000000000001</v>
      </c>
      <c r="I85" s="54">
        <f>_xll.EQNXTDZ($A$1,$B85,I$5,$B$1)</f>
        <v>0</v>
      </c>
      <c r="J85" s="54">
        <f>_xll.EQNXTDZ($A$1,$B85,J$5,$B$1)</f>
        <v>22.902999999999999</v>
      </c>
      <c r="K85" s="54">
        <f>_xll.EQNXTDZ($A$1,$B85,K$5,$B$1)</f>
        <v>0</v>
      </c>
      <c r="L85" s="54">
        <f>_xll.EQNXTDZ($A$1,$B85,L$5,$B$1)</f>
        <v>20.954000000000001</v>
      </c>
      <c r="M85" s="54">
        <f>_xll.EQNXTDZ($A$1,$B85,M$5,$B$1)</f>
        <v>0</v>
      </c>
      <c r="N85" s="54">
        <f>_xll.EQNXTDZ($A$1,$B85,N$5,$B$1)</f>
        <v>8.6219999999999999</v>
      </c>
      <c r="O85" s="54">
        <f>_xll.EQNXTDZ($A$1,$B85,O$5,$B$1)</f>
        <v>0</v>
      </c>
      <c r="P85" s="54">
        <f>_xll.EQNXTDZ($A$1,$B85,P$5,$B$1)</f>
        <v>11.818</v>
      </c>
      <c r="Q85" s="54">
        <f>_xll.EQNXTDZ($A$1,$B85,Q$5,$B$1)</f>
        <v>0</v>
      </c>
      <c r="R85" s="54">
        <f>_xll.EQNXTDZ($A$1,$B85,R$5,$B$1)</f>
        <v>9.7089999999999996</v>
      </c>
      <c r="S85" s="54">
        <f>_xll.EQNXTDZ($A$1,$B85,S$5,$B$1)</f>
        <v>0</v>
      </c>
      <c r="T85" s="54">
        <f>_xll.EQNXTDZ($A$1,$B85,T$5,$B$1)</f>
        <v>13.090999999999999</v>
      </c>
      <c r="U85" s="54">
        <f>_xll.EQNXTDZ($A$1,$B85,U$5,$B$1)</f>
        <v>0</v>
      </c>
      <c r="V85" s="54">
        <f>_xll.EQNXTDZ($A$1,$B85,V$5,$B$1)</f>
        <v>3.0000000000000001E-3</v>
      </c>
      <c r="W85" s="54">
        <f>_xll.EQNXTDZ($A$1,$B85,W$5,$B$1)</f>
        <v>0</v>
      </c>
      <c r="X85" s="54">
        <f>_xll.EQNXTDZ($A$1,$B85,X$5,$B$1)</f>
        <v>3.0000000000000001E-3</v>
      </c>
      <c r="Y85" s="54">
        <f>_xll.EQNXTDZ($A$1,$B85,Y$5,$B$1)</f>
        <v>0</v>
      </c>
      <c r="Z85" s="54">
        <f>_xll.EQNXTDZ($A$1,$B85,Z$5,$B$1)</f>
        <v>1E-3</v>
      </c>
      <c r="AA85" s="54">
        <f>_xll.EQNXTDZ($A$1,$B85,AA$5,$B$1)</f>
        <v>0</v>
      </c>
      <c r="AB85" s="54">
        <f>_xll.EQNXTDZ($A$1,$B85,AB$5,$B$1)</f>
        <v>0</v>
      </c>
      <c r="AC85" s="54">
        <f>_xll.EQNXTDZ($A$1,$B85,AC$5,$B$1)</f>
        <v>0</v>
      </c>
      <c r="AD85" s="54">
        <f>_xll.EQNXTDZ($A$1,$B85,AD$5,$B$1)</f>
        <v>0</v>
      </c>
      <c r="AE85" s="54">
        <f>_xll.EQNXTDZ($A$1,$B85,AE$5,$B$1)</f>
        <v>0</v>
      </c>
      <c r="AF85" s="54">
        <f>_xll.EQNXTDZ($A$1,$B85,AF$5,$B$1)</f>
        <v>0</v>
      </c>
      <c r="AG85" s="54">
        <f>_xll.EQNXTDZ($A$1,$B85,AG$5,$B$1)</f>
        <v>0</v>
      </c>
      <c r="AH85" s="54">
        <f>_xll.EQNXTDZ($A$1,$B85,AH$5,$B$1)</f>
        <v>0</v>
      </c>
      <c r="AI85" s="54">
        <f>_xll.EQNXTDZ($A$1,$B85,AI$5,$B$1)</f>
        <v>0</v>
      </c>
      <c r="AJ85" s="54">
        <f>_xll.EQNXTDZ($A$1,$B85,AJ$5,$B$1)</f>
        <v>0</v>
      </c>
      <c r="AK85" s="54">
        <f>_xll.EQNXTDZ($A$1,$B85,AK$5,$B$1)</f>
        <v>0</v>
      </c>
      <c r="AL85" s="54">
        <f>_xll.EQNXTDZ($A$1,$B85,AL$5,$B$1)</f>
        <v>0</v>
      </c>
      <c r="AM85" s="54">
        <f>_xll.EQNXTDZ($A$1,$B85,AM$5,$B$1)</f>
        <v>0</v>
      </c>
      <c r="AN85" s="54">
        <f>_xll.EQNXTDZ($A$1,$B85,AN$5,$B$1)</f>
        <v>0</v>
      </c>
      <c r="AO85" s="54">
        <f>_xll.EQNXTDZ($A$1,$B85,AO$5,$B$1)</f>
        <v>0</v>
      </c>
      <c r="AP85" s="54">
        <f>_xll.EQNXTDZ($A$1,$B85,AP$5,$B$1)</f>
        <v>0</v>
      </c>
      <c r="AQ85" s="54">
        <f>_xll.EQNXTDZ($A$1,$B85,AQ$5,$B$1)</f>
        <v>0</v>
      </c>
      <c r="AR85" s="54">
        <f>_xll.EQNXTDZ($A$1,$B85,AR$5,$B$1)</f>
        <v>0</v>
      </c>
      <c r="AS85" s="54">
        <f>_xll.EQNXTDZ($A$1,$B85,AS$5,$B$1)</f>
        <v>0</v>
      </c>
      <c r="AT85" s="54">
        <f>_xll.EQNXTDZ($A$1,$B85,AT$5,$B$1)</f>
        <v>0</v>
      </c>
      <c r="AU85" s="54">
        <f>_xll.EQNXTDZ($A$1,$B85,AU$5,$B$1)</f>
        <v>0</v>
      </c>
      <c r="AV85" s="54">
        <f>_xll.EQNXTDZ($A$1,$B85,AV$5,$B$1)</f>
        <v>0</v>
      </c>
      <c r="AW85" s="54">
        <f>_xll.EQNXTDZ($A$1,$B85,AW$5,$B$1)</f>
        <v>0</v>
      </c>
      <c r="AX85" s="54">
        <f>_xll.EQNXTDZ($A$1,$B85,AX$5,$B$1)</f>
        <v>0</v>
      </c>
      <c r="AY85" s="54">
        <f>_xll.EQNXTDZ($A$1,$B85,AY$5,$B$1)</f>
        <v>0</v>
      </c>
      <c r="AZ85" s="54">
        <f>_xll.EQNXTDZ($A$1,$B85,AZ$5,$B$1)</f>
        <v>0</v>
      </c>
      <c r="BA85" s="54">
        <f>_xll.EQNXTDZ($A$1,$B85,BA$5,$B$1)</f>
        <v>0</v>
      </c>
      <c r="BB85" s="54">
        <f>_xll.EQNXTDZ($A$1,$B85,BB$5,$B$1)</f>
        <v>0</v>
      </c>
      <c r="BC85" s="54">
        <f>_xll.EQNXTDZ($A$1,$B85,BC$5,$B$1)</f>
        <v>0</v>
      </c>
      <c r="BD85" s="54">
        <f>_xll.EQNXTDZ($A$1,$B85,BD$5,$B$1)</f>
        <v>0</v>
      </c>
      <c r="BE85" s="54">
        <f>_xll.EQNXTDZ($A$1,$B85,BE$5,$B$1)</f>
        <v>0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0</v>
      </c>
      <c r="D86" s="54">
        <f>_xll.EQNXTDZ($A$1,$B86,D$5,$B$1)</f>
        <v>342.536</v>
      </c>
      <c r="E86" s="54">
        <f>_xll.EQNXTDZ($A$1,$B86,E$5,$B$1)</f>
        <v>0</v>
      </c>
      <c r="F86" s="54">
        <f>_xll.EQNXTDZ($A$1,$B86,F$5,$B$1)</f>
        <v>441.21499999999997</v>
      </c>
      <c r="G86" s="54">
        <f>_xll.EQNXTDZ($A$1,$B86,G$5,$B$1)</f>
        <v>0</v>
      </c>
      <c r="H86" s="54">
        <f>_xll.EQNXTDZ($A$1,$B86,H$5,$B$1)</f>
        <v>392.18400000000003</v>
      </c>
      <c r="I86" s="54">
        <f>_xll.EQNXTDZ($A$1,$B86,I$5,$B$1)</f>
        <v>0</v>
      </c>
      <c r="J86" s="54">
        <f>_xll.EQNXTDZ($A$1,$B86,J$5,$B$1)</f>
        <v>308.26</v>
      </c>
      <c r="K86" s="54">
        <f>_xll.EQNXTDZ($A$1,$B86,K$5,$B$1)</f>
        <v>0</v>
      </c>
      <c r="L86" s="54">
        <f>_xll.EQNXTDZ($A$1,$B86,L$5,$B$1)</f>
        <v>273.041</v>
      </c>
      <c r="M86" s="54">
        <f>_xll.EQNXTDZ($A$1,$B86,M$5,$B$1)</f>
        <v>0</v>
      </c>
      <c r="N86" s="54">
        <f>_xll.EQNXTDZ($A$1,$B86,N$5,$B$1)</f>
        <v>254.24100000000001</v>
      </c>
      <c r="O86" s="54">
        <f>_xll.EQNXTDZ($A$1,$B86,O$5,$B$1)</f>
        <v>0</v>
      </c>
      <c r="P86" s="54">
        <f>_xll.EQNXTDZ($A$1,$B86,P$5,$B$1)</f>
        <v>201.49100000000001</v>
      </c>
      <c r="Q86" s="54">
        <f>_xll.EQNXTDZ($A$1,$B86,Q$5,$B$1)</f>
        <v>0</v>
      </c>
      <c r="R86" s="54">
        <f>_xll.EQNXTDZ($A$1,$B86,R$5,$B$1)</f>
        <v>196.65899999999999</v>
      </c>
      <c r="S86" s="54">
        <f>_xll.EQNXTDZ($A$1,$B86,S$5,$B$1)</f>
        <v>0</v>
      </c>
      <c r="T86" s="54">
        <f>_xll.EQNXTDZ($A$1,$B86,T$5,$B$1)</f>
        <v>188.42599999999999</v>
      </c>
      <c r="U86" s="54">
        <f>_xll.EQNXTDZ($A$1,$B86,U$5,$B$1)</f>
        <v>0</v>
      </c>
      <c r="V86" s="54">
        <f>_xll.EQNXTDZ($A$1,$B86,V$5,$B$1)</f>
        <v>194.108</v>
      </c>
      <c r="W86" s="54">
        <f>_xll.EQNXTDZ($A$1,$B86,W$5,$B$1)</f>
        <v>0</v>
      </c>
      <c r="X86" s="54">
        <f>_xll.EQNXTDZ($A$1,$B86,X$5,$B$1)</f>
        <v>271.17</v>
      </c>
      <c r="Y86" s="54">
        <f>_xll.EQNXTDZ($A$1,$B86,Y$5,$B$1)</f>
        <v>0</v>
      </c>
      <c r="Z86" s="54">
        <f>_xll.EQNXTDZ($A$1,$B86,Z$5,$B$1)</f>
        <v>333.91</v>
      </c>
      <c r="AA86" s="54">
        <f>_xll.EQNXTDZ($A$1,$B86,AA$5,$B$1)</f>
        <v>0</v>
      </c>
      <c r="AB86" s="54">
        <f>_xll.EQNXTDZ($A$1,$B86,AB$5,$B$1)</f>
        <v>530.19799999999998</v>
      </c>
      <c r="AC86" s="54">
        <f>_xll.EQNXTDZ($A$1,$B86,AC$5,$B$1)</f>
        <v>0</v>
      </c>
      <c r="AD86" s="54">
        <f>_xll.EQNXTDZ($A$1,$B86,AD$5,$B$1)</f>
        <v>496.08499999999998</v>
      </c>
      <c r="AE86" s="54">
        <f>_xll.EQNXTDZ($A$1,$B86,AE$5,$B$1)</f>
        <v>0</v>
      </c>
      <c r="AF86" s="54">
        <f>_xll.EQNXTDZ($A$1,$B86,AF$5,$B$1)</f>
        <v>363.72899999999998</v>
      </c>
      <c r="AG86" s="54">
        <f>_xll.EQNXTDZ($A$1,$B86,AG$5,$B$1)</f>
        <v>0</v>
      </c>
      <c r="AH86" s="54">
        <f>_xll.EQNXTDZ($A$1,$B86,AH$5,$B$1)</f>
        <v>342.68400000000003</v>
      </c>
      <c r="AI86" s="54">
        <f>_xll.EQNXTDZ($A$1,$B86,AI$5,$B$1)</f>
        <v>0</v>
      </c>
      <c r="AJ86" s="54">
        <f>_xll.EQNXTDZ($A$1,$B86,AJ$5,$B$1)</f>
        <v>319.762</v>
      </c>
      <c r="AK86" s="54">
        <f>_xll.EQNXTDZ($A$1,$B86,AK$5,$B$1)</f>
        <v>0</v>
      </c>
      <c r="AL86" s="54">
        <f>_xll.EQNXTDZ($A$1,$B86,AL$5,$B$1)</f>
        <v>386.54500000000002</v>
      </c>
      <c r="AM86" s="54">
        <f>_xll.EQNXTDZ($A$1,$B86,AM$5,$B$1)</f>
        <v>0</v>
      </c>
      <c r="AN86" s="54">
        <f>_xll.EQNXTDZ($A$1,$B86,AN$5,$B$1)</f>
        <v>310.33699999999999</v>
      </c>
      <c r="AO86" s="54">
        <f>_xll.EQNXTDZ($A$1,$B86,AO$5,$B$1)</f>
        <v>0</v>
      </c>
      <c r="AP86" s="54">
        <f>_xll.EQNXTDZ($A$1,$B86,AP$5,$B$1)</f>
        <v>239.70699999999999</v>
      </c>
      <c r="AQ86" s="54">
        <f>_xll.EQNXTDZ($A$1,$B86,AQ$5,$B$1)</f>
        <v>0</v>
      </c>
      <c r="AR86" s="54">
        <f>_xll.EQNXTDZ($A$1,$B86,AR$5,$B$1)</f>
        <v>476.55900000000003</v>
      </c>
      <c r="AS86" s="54">
        <f>_xll.EQNXTDZ($A$1,$B86,AS$5,$B$1)</f>
        <v>0</v>
      </c>
      <c r="AT86" s="54">
        <f>_xll.EQNXTDZ($A$1,$B86,AT$5,$B$1)</f>
        <v>759.54399999999998</v>
      </c>
      <c r="AU86" s="54">
        <f>_xll.EQNXTDZ($A$1,$B86,AU$5,$B$1)</f>
        <v>0</v>
      </c>
      <c r="AV86" s="54">
        <f>_xll.EQNXTDZ($A$1,$B86,AV$5,$B$1)</f>
        <v>752.14700000000005</v>
      </c>
      <c r="AW86" s="54">
        <f>_xll.EQNXTDZ($A$1,$B86,AW$5,$B$1)</f>
        <v>650.46699999999998</v>
      </c>
      <c r="AX86" s="54">
        <f>_xll.EQNXTDZ($A$1,$B86,AX$5,$B$1)</f>
        <v>0</v>
      </c>
      <c r="AY86" s="54">
        <f>_xll.EQNXTDZ($A$1,$B86,AY$5,$B$1)</f>
        <v>520.55100000000004</v>
      </c>
      <c r="AZ86" s="54">
        <f>_xll.EQNXTDZ($A$1,$B86,AZ$5,$B$1)</f>
        <v>0</v>
      </c>
      <c r="BA86" s="54">
        <f>_xll.EQNXTDZ($A$1,$B86,BA$5,$B$1)</f>
        <v>427.62700000000001</v>
      </c>
      <c r="BB86" s="54">
        <f>_xll.EQNXTDZ($A$1,$B86,BB$5,$B$1)</f>
        <v>0</v>
      </c>
      <c r="BC86" s="54">
        <f>_xll.EQNXTDZ($A$1,$B86,BC$5,$B$1)</f>
        <v>478.38600000000002</v>
      </c>
      <c r="BD86" s="54">
        <f>_xll.EQNXTDZ($A$1,$B86,BD$5,$B$1)</f>
        <v>0</v>
      </c>
      <c r="BE86" s="54">
        <f>_xll.EQNXTDZ($A$1,$B86,BE$5,$B$1)</f>
        <v>595.83900000000006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0</v>
      </c>
      <c r="D87" s="54">
        <f>_xll.EQNXTDZ($A$1,$B87,D$5,$B$1)</f>
        <v>233.24299999999999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0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0</v>
      </c>
      <c r="D88" s="54">
        <f>_xll.EQNXTDZ($A$1,$B88,D$5,$B$1)</f>
        <v>0</v>
      </c>
      <c r="E88" s="54">
        <f>_xll.EQNXTDZ($A$1,$B88,E$5,$B$1)</f>
        <v>0</v>
      </c>
      <c r="F88" s="54">
        <f>_xll.EQNXTDZ($A$1,$B88,F$5,$B$1)</f>
        <v>39.633000000000003</v>
      </c>
      <c r="G88" s="54">
        <f>_xll.EQNXTDZ($A$1,$B88,G$5,$B$1)</f>
        <v>0</v>
      </c>
      <c r="H88" s="54">
        <f>_xll.EQNXTDZ($A$1,$B88,H$5,$B$1)</f>
        <v>25.048999999999999</v>
      </c>
      <c r="I88" s="54">
        <f>_xll.EQNXTDZ($A$1,$B88,I$5,$B$1)</f>
        <v>0</v>
      </c>
      <c r="J88" s="54">
        <f>_xll.EQNXTDZ($A$1,$B88,J$5,$B$1)</f>
        <v>10.951000000000001</v>
      </c>
      <c r="K88" s="54">
        <f>_xll.EQNXTDZ($A$1,$B88,K$5,$B$1)</f>
        <v>0</v>
      </c>
      <c r="L88" s="54">
        <f>_xll.EQNXTDZ($A$1,$B88,L$5,$B$1)</f>
        <v>9.5399999999999991</v>
      </c>
      <c r="M88" s="54">
        <f>_xll.EQNXTDZ($A$1,$B88,M$5,$B$1)</f>
        <v>0</v>
      </c>
      <c r="N88" s="54">
        <f>_xll.EQNXTDZ($A$1,$B88,N$5,$B$1)</f>
        <v>8.0289999999999999</v>
      </c>
      <c r="O88" s="54">
        <f>_xll.EQNXTDZ($A$1,$B88,O$5,$B$1)</f>
        <v>0</v>
      </c>
      <c r="P88" s="54">
        <f>_xll.EQNXTDZ($A$1,$B88,P$5,$B$1)</f>
        <v>0.95899999999999996</v>
      </c>
      <c r="Q88" s="54">
        <f>_xll.EQNXTDZ($A$1,$B88,Q$5,$B$1)</f>
        <v>0</v>
      </c>
      <c r="R88" s="54">
        <f>_xll.EQNXTDZ($A$1,$B88,R$5,$B$1)</f>
        <v>0</v>
      </c>
      <c r="S88" s="54">
        <f>_xll.EQNXTDZ($A$1,$B88,S$5,$B$1)</f>
        <v>0</v>
      </c>
      <c r="T88" s="54">
        <f>_xll.EQNXTDZ($A$1,$B88,T$5,$B$1)</f>
        <v>0</v>
      </c>
      <c r="U88" s="54">
        <f>_xll.EQNXTDZ($A$1,$B88,U$5,$B$1)</f>
        <v>0</v>
      </c>
      <c r="V88" s="54">
        <f>_xll.EQNXTDZ($A$1,$B88,V$5,$B$1)</f>
        <v>0</v>
      </c>
      <c r="W88" s="54">
        <f>_xll.EQNXTDZ($A$1,$B88,W$5,$B$1)</f>
        <v>0</v>
      </c>
      <c r="X88" s="54">
        <f>_xll.EQNXTDZ($A$1,$B88,X$5,$B$1)</f>
        <v>0</v>
      </c>
      <c r="Y88" s="54">
        <f>_xll.EQNXTDZ($A$1,$B88,Y$5,$B$1)</f>
        <v>0</v>
      </c>
      <c r="Z88" s="54">
        <f>_xll.EQNXTDZ($A$1,$B88,Z$5,$B$1)</f>
        <v>0</v>
      </c>
      <c r="AA88" s="54">
        <f>_xll.EQNXTDZ($A$1,$B88,AA$5,$B$1)</f>
        <v>0</v>
      </c>
      <c r="AB88" s="54">
        <f>_xll.EQNXTDZ($A$1,$B88,AB$5,$B$1)</f>
        <v>0</v>
      </c>
      <c r="AC88" s="54">
        <f>_xll.EQNXTDZ($A$1,$B88,AC$5,$B$1)</f>
        <v>0</v>
      </c>
      <c r="AD88" s="54">
        <f>_xll.EQNXTDZ($A$1,$B88,AD$5,$B$1)</f>
        <v>0</v>
      </c>
      <c r="AE88" s="54">
        <f>_xll.EQNXTDZ($A$1,$B88,AE$5,$B$1)</f>
        <v>0</v>
      </c>
      <c r="AF88" s="54">
        <f>_xll.EQNXTDZ($A$1,$B88,AF$5,$B$1)</f>
        <v>150.583</v>
      </c>
      <c r="AG88" s="54">
        <f>_xll.EQNXTDZ($A$1,$B88,AG$5,$B$1)</f>
        <v>0</v>
      </c>
      <c r="AH88" s="54">
        <f>_xll.EQNXTDZ($A$1,$B88,AH$5,$B$1)</f>
        <v>0</v>
      </c>
      <c r="AI88" s="54">
        <f>_xll.EQNXTDZ($A$1,$B88,AI$5,$B$1)</f>
        <v>0</v>
      </c>
      <c r="AJ88" s="54">
        <f>_xll.EQNXTDZ($A$1,$B88,AJ$5,$B$1)</f>
        <v>7.0339999999999998</v>
      </c>
      <c r="AK88" s="54">
        <f>_xll.EQNXTDZ($A$1,$B88,AK$5,$B$1)</f>
        <v>0</v>
      </c>
      <c r="AL88" s="54">
        <f>_xll.EQNXTDZ($A$1,$B88,AL$5,$B$1)</f>
        <v>0</v>
      </c>
      <c r="AM88" s="54">
        <f>_xll.EQNXTDZ($A$1,$B88,AM$5,$B$1)</f>
        <v>0</v>
      </c>
      <c r="AN88" s="54">
        <f>_xll.EQNXTDZ($A$1,$B88,AN$5,$B$1)</f>
        <v>0</v>
      </c>
      <c r="AO88" s="54">
        <f>_xll.EQNXTDZ($A$1,$B88,AO$5,$B$1)</f>
        <v>0</v>
      </c>
      <c r="AP88" s="54">
        <f>_xll.EQNXTDZ($A$1,$B88,AP$5,$B$1)</f>
        <v>0</v>
      </c>
      <c r="AQ88" s="54">
        <f>_xll.EQNXTDZ($A$1,$B88,AQ$5,$B$1)</f>
        <v>0</v>
      </c>
      <c r="AR88" s="54">
        <f>_xll.EQNXTDZ($A$1,$B88,AR$5,$B$1)</f>
        <v>0</v>
      </c>
      <c r="AS88" s="54">
        <f>_xll.EQNXTDZ($A$1,$B88,AS$5,$B$1)</f>
        <v>0</v>
      </c>
      <c r="AT88" s="54">
        <f>_xll.EQNXTDZ($A$1,$B88,AT$5,$B$1)</f>
        <v>0</v>
      </c>
      <c r="AU88" s="54">
        <f>_xll.EQNXTDZ($A$1,$B88,AU$5,$B$1)</f>
        <v>0</v>
      </c>
      <c r="AV88" s="54">
        <f>_xll.EQNXTDZ($A$1,$B88,AV$5,$B$1)</f>
        <v>0</v>
      </c>
      <c r="AW88" s="54">
        <f>_xll.EQNXTDZ($A$1,$B88,AW$5,$B$1)</f>
        <v>0</v>
      </c>
      <c r="AX88" s="54">
        <f>_xll.EQNXTDZ($A$1,$B88,AX$5,$B$1)</f>
        <v>0</v>
      </c>
      <c r="AY88" s="54">
        <f>_xll.EQNXTDZ($A$1,$B88,AY$5,$B$1)</f>
        <v>0</v>
      </c>
      <c r="AZ88" s="54">
        <f>_xll.EQNXTDZ($A$1,$B88,AZ$5,$B$1)</f>
        <v>0</v>
      </c>
      <c r="BA88" s="54">
        <f>_xll.EQNXTDZ($A$1,$B88,BA$5,$B$1)</f>
        <v>0</v>
      </c>
      <c r="BB88" s="54">
        <f>_xll.EQNXTDZ($A$1,$B88,BB$5,$B$1)</f>
        <v>0</v>
      </c>
      <c r="BC88" s="54">
        <f>_xll.EQNXTDZ($A$1,$B88,BC$5,$B$1)</f>
        <v>0</v>
      </c>
      <c r="BD88" s="54">
        <f>_xll.EQNXTDZ($A$1,$B88,BD$5,$B$1)</f>
        <v>0</v>
      </c>
      <c r="BE88" s="54">
        <f>_xll.EQNXTDZ($A$1,$B88,BE$5,$B$1)</f>
        <v>0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0</v>
      </c>
      <c r="F89" s="54">
        <f>_xll.EQNXTDZ($A$1,$B89,F$5,$B$1)</f>
        <v>147.392</v>
      </c>
      <c r="G89" s="54">
        <f>_xll.EQNXTDZ($A$1,$B89,G$5,$B$1)</f>
        <v>0</v>
      </c>
      <c r="H89" s="54">
        <f>_xll.EQNXTDZ($A$1,$B89,H$5,$B$1)</f>
        <v>111.541</v>
      </c>
      <c r="I89" s="54">
        <f>_xll.EQNXTDZ($A$1,$B89,I$5,$B$1)</f>
        <v>0</v>
      </c>
      <c r="J89" s="54">
        <f>_xll.EQNXTDZ($A$1,$B89,J$5,$B$1)</f>
        <v>89.875</v>
      </c>
      <c r="K89" s="54">
        <f>_xll.EQNXTDZ($A$1,$B89,K$5,$B$1)</f>
        <v>0</v>
      </c>
      <c r="L89" s="54">
        <f>_xll.EQNXTDZ($A$1,$B89,L$5,$B$1)</f>
        <v>61.139000000000003</v>
      </c>
      <c r="M89" s="54">
        <f>_xll.EQNXTDZ($A$1,$B89,M$5,$B$1)</f>
        <v>0</v>
      </c>
      <c r="N89" s="54">
        <f>_xll.EQNXTDZ($A$1,$B89,N$5,$B$1)</f>
        <v>61.366999999999997</v>
      </c>
      <c r="O89" s="54">
        <f>_xll.EQNXTDZ($A$1,$B89,O$5,$B$1)</f>
        <v>0</v>
      </c>
      <c r="P89" s="54">
        <f>_xll.EQNXTDZ($A$1,$B89,P$5,$B$1)</f>
        <v>53.808999999999997</v>
      </c>
      <c r="Q89" s="54">
        <f>_xll.EQNXTDZ($A$1,$B89,Q$5,$B$1)</f>
        <v>0</v>
      </c>
      <c r="R89" s="54">
        <f>_xll.EQNXTDZ($A$1,$B89,R$5,$B$1)</f>
        <v>61.554000000000002</v>
      </c>
      <c r="S89" s="54">
        <f>_xll.EQNXTDZ($A$1,$B89,S$5,$B$1)</f>
        <v>0</v>
      </c>
      <c r="T89" s="54">
        <f>_xll.EQNXTDZ($A$1,$B89,T$5,$B$1)</f>
        <v>41.179000000000002</v>
      </c>
      <c r="U89" s="54">
        <f>_xll.EQNXTDZ($A$1,$B89,U$5,$B$1)</f>
        <v>0</v>
      </c>
      <c r="V89" s="54">
        <f>_xll.EQNXTDZ($A$1,$B89,V$5,$B$1)</f>
        <v>36.338999999999999</v>
      </c>
      <c r="W89" s="54">
        <f>_xll.EQNXTDZ($A$1,$B89,W$5,$B$1)</f>
        <v>0</v>
      </c>
      <c r="X89" s="54">
        <f>_xll.EQNXTDZ($A$1,$B89,X$5,$B$1)</f>
        <v>36.301000000000002</v>
      </c>
      <c r="Y89" s="54">
        <f>_xll.EQNXTDZ($A$1,$B89,Y$5,$B$1)</f>
        <v>0</v>
      </c>
      <c r="Z89" s="54">
        <f>_xll.EQNXTDZ($A$1,$B89,Z$5,$B$1)</f>
        <v>54.878999999999998</v>
      </c>
      <c r="AA89" s="54">
        <f>_xll.EQNXTDZ($A$1,$B89,AA$5,$B$1)</f>
        <v>0</v>
      </c>
      <c r="AB89" s="54">
        <f>_xll.EQNXTDZ($A$1,$B89,AB$5,$B$1)</f>
        <v>51.039000000000001</v>
      </c>
      <c r="AC89" s="54">
        <f>_xll.EQNXTDZ($A$1,$B89,AC$5,$B$1)</f>
        <v>0</v>
      </c>
      <c r="AD89" s="54">
        <f>_xll.EQNXTDZ($A$1,$B89,AD$5,$B$1)</f>
        <v>82.99</v>
      </c>
      <c r="AE89" s="54">
        <f>_xll.EQNXTDZ($A$1,$B89,AE$5,$B$1)</f>
        <v>0</v>
      </c>
      <c r="AF89" s="54">
        <f>_xll.EQNXTDZ($A$1,$B89,AF$5,$B$1)</f>
        <v>68.837000000000003</v>
      </c>
      <c r="AG89" s="54">
        <f>_xll.EQNXTDZ($A$1,$B89,AG$5,$B$1)</f>
        <v>0</v>
      </c>
      <c r="AH89" s="54">
        <f>_xll.EQNXTDZ($A$1,$B89,AH$5,$B$1)</f>
        <v>91.322000000000003</v>
      </c>
      <c r="AI89" s="54">
        <f>_xll.EQNXTDZ($A$1,$B89,AI$5,$B$1)</f>
        <v>0</v>
      </c>
      <c r="AJ89" s="54">
        <f>_xll.EQNXTDZ($A$1,$B89,AJ$5,$B$1)</f>
        <v>67.218999999999994</v>
      </c>
      <c r="AK89" s="54">
        <f>_xll.EQNXTDZ($A$1,$B89,AK$5,$B$1)</f>
        <v>0</v>
      </c>
      <c r="AL89" s="54">
        <f>_xll.EQNXTDZ($A$1,$B89,AL$5,$B$1)</f>
        <v>113.89700000000001</v>
      </c>
      <c r="AM89" s="54">
        <f>_xll.EQNXTDZ($A$1,$B89,AM$5,$B$1)</f>
        <v>0</v>
      </c>
      <c r="AN89" s="54">
        <f>_xll.EQNXTDZ($A$1,$B89,AN$5,$B$1)</f>
        <v>79.855000000000004</v>
      </c>
      <c r="AO89" s="54">
        <f>_xll.EQNXTDZ($A$1,$B89,AO$5,$B$1)</f>
        <v>0</v>
      </c>
      <c r="AP89" s="54">
        <f>_xll.EQNXTDZ($A$1,$B89,AP$5,$B$1)</f>
        <v>72.77</v>
      </c>
      <c r="AQ89" s="54">
        <f>_xll.EQNXTDZ($A$1,$B89,AQ$5,$B$1)</f>
        <v>0</v>
      </c>
      <c r="AR89" s="54">
        <f>_xll.EQNXTDZ($A$1,$B89,AR$5,$B$1)</f>
        <v>62.027000000000001</v>
      </c>
      <c r="AS89" s="54">
        <f>_xll.EQNXTDZ($A$1,$B89,AS$5,$B$1)</f>
        <v>0</v>
      </c>
      <c r="AT89" s="54">
        <f>_xll.EQNXTDZ($A$1,$B89,AT$5,$B$1)</f>
        <v>277.65100000000001</v>
      </c>
      <c r="AU89" s="54">
        <f>_xll.EQNXTDZ($A$1,$B89,AU$5,$B$1)</f>
        <v>0</v>
      </c>
      <c r="AV89" s="54">
        <f>_xll.EQNXTDZ($A$1,$B89,AV$5,$B$1)</f>
        <v>299.11399999999998</v>
      </c>
      <c r="AW89" s="54">
        <f>_xll.EQNXTDZ($A$1,$B89,AW$5,$B$1)</f>
        <v>319.30200000000002</v>
      </c>
      <c r="AX89" s="54">
        <f>_xll.EQNXTDZ($A$1,$B89,AX$5,$B$1)</f>
        <v>0</v>
      </c>
      <c r="AY89" s="54">
        <f>_xll.EQNXTDZ($A$1,$B89,AY$5,$B$1)</f>
        <v>201.607</v>
      </c>
      <c r="AZ89" s="54">
        <f>_xll.EQNXTDZ($A$1,$B89,AZ$5,$B$1)</f>
        <v>0</v>
      </c>
      <c r="BA89" s="54">
        <f>_xll.EQNXTDZ($A$1,$B89,BA$5,$B$1)</f>
        <v>144.53100000000001</v>
      </c>
      <c r="BB89" s="54">
        <f>_xll.EQNXTDZ($A$1,$B89,BB$5,$B$1)</f>
        <v>0</v>
      </c>
      <c r="BC89" s="54">
        <f>_xll.EQNXTDZ($A$1,$B89,BC$5,$B$1)</f>
        <v>126.79600000000001</v>
      </c>
      <c r="BD89" s="54">
        <f>_xll.EQNXTDZ($A$1,$B89,BD$5,$B$1)</f>
        <v>0</v>
      </c>
      <c r="BE89" s="54">
        <f>_xll.EQNXTDZ($A$1,$B89,BE$5,$B$1)</f>
        <v>145.40600000000001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0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0</v>
      </c>
      <c r="J90" s="54">
        <f>_xll.EQNXTDZ($A$1,$B90,J$5,$B$1)</f>
        <v>0</v>
      </c>
      <c r="K90" s="54">
        <f>_xll.EQNXTDZ($A$1,$B90,K$5,$B$1)</f>
        <v>0</v>
      </c>
      <c r="L90" s="54">
        <f>_xll.EQNXTDZ($A$1,$B90,L$5,$B$1)</f>
        <v>0</v>
      </c>
      <c r="M90" s="54">
        <f>_xll.EQNXTDZ($A$1,$B90,M$5,$B$1)</f>
        <v>0</v>
      </c>
      <c r="N90" s="54">
        <f>_xll.EQNXTDZ($A$1,$B90,N$5,$B$1)</f>
        <v>0</v>
      </c>
      <c r="O90" s="54">
        <f>_xll.EQNXTDZ($A$1,$B90,O$5,$B$1)</f>
        <v>0</v>
      </c>
      <c r="P90" s="54">
        <f>_xll.EQNXTDZ($A$1,$B90,P$5,$B$1)</f>
        <v>0</v>
      </c>
      <c r="Q90" s="54">
        <f>_xll.EQNXTDZ($A$1,$B90,Q$5,$B$1)</f>
        <v>0</v>
      </c>
      <c r="R90" s="54">
        <f>_xll.EQNXTDZ($A$1,$B90,R$5,$B$1)</f>
        <v>0</v>
      </c>
      <c r="S90" s="54">
        <f>_xll.EQNXTDZ($A$1,$B90,S$5,$B$1)</f>
        <v>0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0</v>
      </c>
      <c r="F91" s="54">
        <f>_xll.EQNXTDZ($A$1,$B91,F$5,$B$1)</f>
        <v>141.149</v>
      </c>
      <c r="G91" s="54">
        <f>_xll.EQNXTDZ($A$1,$B91,G$5,$B$1)</f>
        <v>0</v>
      </c>
      <c r="H91" s="54">
        <f>_xll.EQNXTDZ($A$1,$B91,H$5,$B$1)</f>
        <v>175.12100000000001</v>
      </c>
      <c r="I91" s="54">
        <f>_xll.EQNXTDZ($A$1,$B91,I$5,$B$1)</f>
        <v>0</v>
      </c>
      <c r="J91" s="54">
        <f>_xll.EQNXTDZ($A$1,$B91,J$5,$B$1)</f>
        <v>122.089</v>
      </c>
      <c r="K91" s="54">
        <f>_xll.EQNXTDZ($A$1,$B91,K$5,$B$1)</f>
        <v>0</v>
      </c>
      <c r="L91" s="54">
        <f>_xll.EQNXTDZ($A$1,$B91,L$5,$B$1)</f>
        <v>134.77199999999999</v>
      </c>
      <c r="M91" s="54">
        <f>_xll.EQNXTDZ($A$1,$B91,M$5,$B$1)</f>
        <v>0</v>
      </c>
      <c r="N91" s="54">
        <f>_xll.EQNXTDZ($A$1,$B91,N$5,$B$1)</f>
        <v>105.926</v>
      </c>
      <c r="O91" s="54">
        <f>_xll.EQNXTDZ($A$1,$B91,O$5,$B$1)</f>
        <v>0</v>
      </c>
      <c r="P91" s="54">
        <f>_xll.EQNXTDZ($A$1,$B91,P$5,$B$1)</f>
        <v>92.302000000000007</v>
      </c>
      <c r="Q91" s="54">
        <f>_xll.EQNXTDZ($A$1,$B91,Q$5,$B$1)</f>
        <v>0</v>
      </c>
      <c r="R91" s="54">
        <f>_xll.EQNXTDZ($A$1,$B91,R$5,$B$1)</f>
        <v>44.911000000000001</v>
      </c>
      <c r="S91" s="54">
        <f>_xll.EQNXTDZ($A$1,$B91,S$5,$B$1)</f>
        <v>0</v>
      </c>
      <c r="T91" s="54">
        <f>_xll.EQNXTDZ($A$1,$B91,T$5,$B$1)</f>
        <v>71.786000000000001</v>
      </c>
      <c r="U91" s="54">
        <f>_xll.EQNXTDZ($A$1,$B91,U$5,$B$1)</f>
        <v>0</v>
      </c>
      <c r="V91" s="54">
        <f>_xll.EQNXTDZ($A$1,$B91,V$5,$B$1)</f>
        <v>81.215000000000003</v>
      </c>
      <c r="W91" s="54">
        <f>_xll.EQNXTDZ($A$1,$B91,W$5,$B$1)</f>
        <v>0</v>
      </c>
      <c r="X91" s="54">
        <f>_xll.EQNXTDZ($A$1,$B91,X$5,$B$1)</f>
        <v>115.527</v>
      </c>
      <c r="Y91" s="54">
        <f>_xll.EQNXTDZ($A$1,$B91,Y$5,$B$1)</f>
        <v>0</v>
      </c>
      <c r="Z91" s="54">
        <f>_xll.EQNXTDZ($A$1,$B91,Z$5,$B$1)</f>
        <v>153.12</v>
      </c>
      <c r="AA91" s="54">
        <f>_xll.EQNXTDZ($A$1,$B91,AA$5,$B$1)</f>
        <v>0</v>
      </c>
      <c r="AB91" s="54">
        <f>_xll.EQNXTDZ($A$1,$B91,AB$5,$B$1)</f>
        <v>387.04199999999997</v>
      </c>
      <c r="AC91" s="54">
        <f>_xll.EQNXTDZ($A$1,$B91,AC$5,$B$1)</f>
        <v>0</v>
      </c>
      <c r="AD91" s="54">
        <f>_xll.EQNXTDZ($A$1,$B91,AD$5,$B$1)</f>
        <v>289.73200000000003</v>
      </c>
      <c r="AE91" s="54">
        <f>_xll.EQNXTDZ($A$1,$B91,AE$5,$B$1)</f>
        <v>0</v>
      </c>
      <c r="AF91" s="54">
        <f>_xll.EQNXTDZ($A$1,$B91,AF$5,$B$1)</f>
        <v>5.6319999999999997</v>
      </c>
      <c r="AG91" s="54">
        <f>_xll.EQNXTDZ($A$1,$B91,AG$5,$B$1)</f>
        <v>0</v>
      </c>
      <c r="AH91" s="54">
        <f>_xll.EQNXTDZ($A$1,$B91,AH$5,$B$1)</f>
        <v>134.09700000000001</v>
      </c>
      <c r="AI91" s="54">
        <f>_xll.EQNXTDZ($A$1,$B91,AI$5,$B$1)</f>
        <v>0</v>
      </c>
      <c r="AJ91" s="54">
        <f>_xll.EQNXTDZ($A$1,$B91,AJ$5,$B$1)</f>
        <v>147.00800000000001</v>
      </c>
      <c r="AK91" s="54">
        <f>_xll.EQNXTDZ($A$1,$B91,AK$5,$B$1)</f>
        <v>0</v>
      </c>
      <c r="AL91" s="54">
        <f>_xll.EQNXTDZ($A$1,$B91,AL$5,$B$1)</f>
        <v>151.66399999999999</v>
      </c>
      <c r="AM91" s="54">
        <f>_xll.EQNXTDZ($A$1,$B91,AM$5,$B$1)</f>
        <v>0</v>
      </c>
      <c r="AN91" s="54">
        <f>_xll.EQNXTDZ($A$1,$B91,AN$5,$B$1)</f>
        <v>113.42400000000001</v>
      </c>
      <c r="AO91" s="54">
        <f>_xll.EQNXTDZ($A$1,$B91,AO$5,$B$1)</f>
        <v>0</v>
      </c>
      <c r="AP91" s="54">
        <f>_xll.EQNXTDZ($A$1,$B91,AP$5,$B$1)</f>
        <v>71.902000000000001</v>
      </c>
      <c r="AQ91" s="54">
        <f>_xll.EQNXTDZ($A$1,$B91,AQ$5,$B$1)</f>
        <v>0</v>
      </c>
      <c r="AR91" s="54">
        <f>_xll.EQNXTDZ($A$1,$B91,AR$5,$B$1)</f>
        <v>332.50599999999997</v>
      </c>
      <c r="AS91" s="54">
        <f>_xll.EQNXTDZ($A$1,$B91,AS$5,$B$1)</f>
        <v>0</v>
      </c>
      <c r="AT91" s="54">
        <f>_xll.EQNXTDZ($A$1,$B91,AT$5,$B$1)</f>
        <v>360.74</v>
      </c>
      <c r="AU91" s="54">
        <f>_xll.EQNXTDZ($A$1,$B91,AU$5,$B$1)</f>
        <v>0</v>
      </c>
      <c r="AV91" s="54">
        <f>_xll.EQNXTDZ($A$1,$B91,AV$5,$B$1)</f>
        <v>372.77300000000002</v>
      </c>
      <c r="AW91" s="54">
        <f>_xll.EQNXTDZ($A$1,$B91,AW$5,$B$1)</f>
        <v>251.96100000000001</v>
      </c>
      <c r="AX91" s="54">
        <f>_xll.EQNXTDZ($A$1,$B91,AX$5,$B$1)</f>
        <v>0</v>
      </c>
      <c r="AY91" s="54">
        <f>_xll.EQNXTDZ($A$1,$B91,AY$5,$B$1)</f>
        <v>138.10900000000001</v>
      </c>
      <c r="AZ91" s="54">
        <f>_xll.EQNXTDZ($A$1,$B91,AZ$5,$B$1)</f>
        <v>0</v>
      </c>
      <c r="BA91" s="54">
        <f>_xll.EQNXTDZ($A$1,$B91,BA$5,$B$1)</f>
        <v>183.37899999999999</v>
      </c>
      <c r="BB91" s="54">
        <f>_xll.EQNXTDZ($A$1,$B91,BB$5,$B$1)</f>
        <v>0</v>
      </c>
      <c r="BC91" s="54">
        <f>_xll.EQNXTDZ($A$1,$B91,BC$5,$B$1)</f>
        <v>193.536</v>
      </c>
      <c r="BD91" s="54">
        <f>_xll.EQNXTDZ($A$1,$B91,BD$5,$B$1)</f>
        <v>0</v>
      </c>
      <c r="BE91" s="54">
        <f>_xll.EQNXTDZ($A$1,$B91,BE$5,$B$1)</f>
        <v>266.28899999999999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0</v>
      </c>
      <c r="D92" s="54">
        <f>_xll.EQNXTDZ($A$1,$B92,D$5,$B$1)</f>
        <v>16.785</v>
      </c>
      <c r="E92" s="54">
        <f>_xll.EQNXTDZ($A$1,$B92,E$5,$B$1)</f>
        <v>0</v>
      </c>
      <c r="F92" s="54">
        <f>_xll.EQNXTDZ($A$1,$B92,F$5,$B$1)</f>
        <v>17.099</v>
      </c>
      <c r="G92" s="54">
        <f>_xll.EQNXTDZ($A$1,$B92,G$5,$B$1)</f>
        <v>0</v>
      </c>
      <c r="H92" s="54">
        <f>_xll.EQNXTDZ($A$1,$B92,H$5,$B$1)</f>
        <v>23.957000000000001</v>
      </c>
      <c r="I92" s="54">
        <f>_xll.EQNXTDZ($A$1,$B92,I$5,$B$1)</f>
        <v>0</v>
      </c>
      <c r="J92" s="54">
        <f>_xll.EQNXTDZ($A$1,$B92,J$5,$B$1)</f>
        <v>15.474</v>
      </c>
      <c r="K92" s="54">
        <f>_xll.EQNXTDZ($A$1,$B92,K$5,$B$1)</f>
        <v>0</v>
      </c>
      <c r="L92" s="54">
        <f>_xll.EQNXTDZ($A$1,$B92,L$5,$B$1)</f>
        <v>11.792</v>
      </c>
      <c r="M92" s="54">
        <f>_xll.EQNXTDZ($A$1,$B92,M$5,$B$1)</f>
        <v>0</v>
      </c>
      <c r="N92" s="54">
        <f>_xll.EQNXTDZ($A$1,$B92,N$5,$B$1)</f>
        <v>13.792999999999999</v>
      </c>
      <c r="O92" s="54">
        <f>_xll.EQNXTDZ($A$1,$B92,O$5,$B$1)</f>
        <v>0</v>
      </c>
      <c r="P92" s="54">
        <f>_xll.EQNXTDZ($A$1,$B92,P$5,$B$1)</f>
        <v>10.888999999999999</v>
      </c>
      <c r="Q92" s="54">
        <f>_xll.EQNXTDZ($A$1,$B92,Q$5,$B$1)</f>
        <v>0</v>
      </c>
      <c r="R92" s="54">
        <f>_xll.EQNXTDZ($A$1,$B92,R$5,$B$1)</f>
        <v>10.582000000000001</v>
      </c>
      <c r="S92" s="54">
        <f>_xll.EQNXTDZ($A$1,$B92,S$5,$B$1)</f>
        <v>0</v>
      </c>
      <c r="T92" s="54">
        <f>_xll.EQNXTDZ($A$1,$B92,T$5,$B$1)</f>
        <v>5.0549999999999997</v>
      </c>
      <c r="U92" s="54">
        <f>_xll.EQNXTDZ($A$1,$B92,U$5,$B$1)</f>
        <v>0</v>
      </c>
      <c r="V92" s="54">
        <f>_xll.EQNXTDZ($A$1,$B92,V$5,$B$1)</f>
        <v>6.2080000000000002</v>
      </c>
      <c r="W92" s="54">
        <f>_xll.EQNXTDZ($A$1,$B92,W$5,$B$1)</f>
        <v>0</v>
      </c>
      <c r="X92" s="54">
        <f>_xll.EQNXTDZ($A$1,$B92,X$5,$B$1)</f>
        <v>5.3239999999999998</v>
      </c>
      <c r="Y92" s="54">
        <f>_xll.EQNXTDZ($A$1,$B92,Y$5,$B$1)</f>
        <v>0</v>
      </c>
      <c r="Z92" s="54">
        <f>_xll.EQNXTDZ($A$1,$B92,Z$5,$B$1)</f>
        <v>5.5810000000000004</v>
      </c>
      <c r="AA92" s="54">
        <f>_xll.EQNXTDZ($A$1,$B92,AA$5,$B$1)</f>
        <v>0</v>
      </c>
      <c r="AB92" s="54">
        <f>_xll.EQNXTDZ($A$1,$B92,AB$5,$B$1)</f>
        <v>4.8810000000000002</v>
      </c>
      <c r="AC92" s="54">
        <f>_xll.EQNXTDZ($A$1,$B92,AC$5,$B$1)</f>
        <v>0</v>
      </c>
      <c r="AD92" s="54">
        <f>_xll.EQNXTDZ($A$1,$B92,AD$5,$B$1)</f>
        <v>6.68</v>
      </c>
      <c r="AE92" s="54">
        <f>_xll.EQNXTDZ($A$1,$B92,AE$5,$B$1)</f>
        <v>0</v>
      </c>
      <c r="AF92" s="54">
        <f>_xll.EQNXTDZ($A$1,$B92,AF$5,$B$1)</f>
        <v>8.0990000000000002</v>
      </c>
      <c r="AG92" s="54">
        <f>_xll.EQNXTDZ($A$1,$B92,AG$5,$B$1)</f>
        <v>0</v>
      </c>
      <c r="AH92" s="54">
        <f>_xll.EQNXTDZ($A$1,$B92,AH$5,$B$1)</f>
        <v>7.8959999999999999</v>
      </c>
      <c r="AI92" s="54">
        <f>_xll.EQNXTDZ($A$1,$B92,AI$5,$B$1)</f>
        <v>0</v>
      </c>
      <c r="AJ92" s="54">
        <f>_xll.EQNXTDZ($A$1,$B92,AJ$5,$B$1)</f>
        <v>8.7270000000000003</v>
      </c>
      <c r="AK92" s="54">
        <f>_xll.EQNXTDZ($A$1,$B92,AK$5,$B$1)</f>
        <v>0</v>
      </c>
      <c r="AL92" s="54">
        <f>_xll.EQNXTDZ($A$1,$B92,AL$5,$B$1)</f>
        <v>8.2219999999999995</v>
      </c>
      <c r="AM92" s="54">
        <f>_xll.EQNXTDZ($A$1,$B92,AM$5,$B$1)</f>
        <v>0</v>
      </c>
      <c r="AN92" s="54">
        <f>_xll.EQNXTDZ($A$1,$B92,AN$5,$B$1)</f>
        <v>8.9730000000000008</v>
      </c>
      <c r="AO92" s="54">
        <f>_xll.EQNXTDZ($A$1,$B92,AO$5,$B$1)</f>
        <v>0</v>
      </c>
      <c r="AP92" s="54">
        <f>_xll.EQNXTDZ($A$1,$B92,AP$5,$B$1)</f>
        <v>5.359</v>
      </c>
      <c r="AQ92" s="54">
        <f>_xll.EQNXTDZ($A$1,$B92,AQ$5,$B$1)</f>
        <v>0</v>
      </c>
      <c r="AR92" s="54">
        <f>_xll.EQNXTDZ($A$1,$B92,AR$5,$B$1)</f>
        <v>4.38</v>
      </c>
      <c r="AS92" s="54">
        <f>_xll.EQNXTDZ($A$1,$B92,AS$5,$B$1)</f>
        <v>0</v>
      </c>
      <c r="AT92" s="54">
        <f>_xll.EQNXTDZ($A$1,$B92,AT$5,$B$1)</f>
        <v>4.3120000000000003</v>
      </c>
      <c r="AU92" s="54">
        <f>_xll.EQNXTDZ($A$1,$B92,AU$5,$B$1)</f>
        <v>0</v>
      </c>
      <c r="AV92" s="54">
        <f>_xll.EQNXTDZ($A$1,$B92,AV$5,$B$1)</f>
        <v>14.888</v>
      </c>
      <c r="AW92" s="54">
        <f>_xll.EQNXTDZ($A$1,$B92,AW$5,$B$1)</f>
        <v>4.7080000000000002</v>
      </c>
      <c r="AX92" s="54">
        <f>_xll.EQNXTDZ($A$1,$B92,AX$5,$B$1)</f>
        <v>0</v>
      </c>
      <c r="AY92" s="54">
        <f>_xll.EQNXTDZ($A$1,$B92,AY$5,$B$1)</f>
        <v>21.937999999999999</v>
      </c>
      <c r="AZ92" s="54">
        <f>_xll.EQNXTDZ($A$1,$B92,AZ$5,$B$1)</f>
        <v>0</v>
      </c>
      <c r="BA92" s="54">
        <f>_xll.EQNXTDZ($A$1,$B92,BA$5,$B$1)</f>
        <v>13.863</v>
      </c>
      <c r="BB92" s="54">
        <f>_xll.EQNXTDZ($A$1,$B92,BB$5,$B$1)</f>
        <v>0</v>
      </c>
      <c r="BC92" s="54">
        <f>_xll.EQNXTDZ($A$1,$B92,BC$5,$B$1)</f>
        <v>25.675999999999998</v>
      </c>
      <c r="BD92" s="54">
        <f>_xll.EQNXTDZ($A$1,$B92,BD$5,$B$1)</f>
        <v>0</v>
      </c>
      <c r="BE92" s="54">
        <f>_xll.EQNXTDZ($A$1,$B92,BE$5,$B$1)</f>
        <v>41.03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0</v>
      </c>
      <c r="D93" s="54">
        <f>_xll.EQNXTDZ($A$1,$B93,D$5,$B$1)</f>
        <v>250.02799999999999</v>
      </c>
      <c r="E93" s="54">
        <f>_xll.EQNXTDZ($A$1,$B93,E$5,$B$1)</f>
        <v>0</v>
      </c>
      <c r="F93" s="54">
        <f>_xll.EQNXTDZ($A$1,$B93,F$5,$B$1)</f>
        <v>345.27300000000002</v>
      </c>
      <c r="G93" s="54">
        <f>_xll.EQNXTDZ($A$1,$B93,G$5,$B$1)</f>
        <v>0</v>
      </c>
      <c r="H93" s="54">
        <f>_xll.EQNXTDZ($A$1,$B93,H$5,$B$1)</f>
        <v>335.66800000000001</v>
      </c>
      <c r="I93" s="54">
        <f>_xll.EQNXTDZ($A$1,$B93,I$5,$B$1)</f>
        <v>0</v>
      </c>
      <c r="J93" s="54">
        <f>_xll.EQNXTDZ($A$1,$B93,J$5,$B$1)</f>
        <v>238.38900000000001</v>
      </c>
      <c r="K93" s="54">
        <f>_xll.EQNXTDZ($A$1,$B93,K$5,$B$1)</f>
        <v>0</v>
      </c>
      <c r="L93" s="54">
        <f>_xll.EQNXTDZ($A$1,$B93,L$5,$B$1)</f>
        <v>217.24299999999999</v>
      </c>
      <c r="M93" s="54">
        <f>_xll.EQNXTDZ($A$1,$B93,M$5,$B$1)</f>
        <v>0</v>
      </c>
      <c r="N93" s="54">
        <f>_xll.EQNXTDZ($A$1,$B93,N$5,$B$1)</f>
        <v>189.11500000000001</v>
      </c>
      <c r="O93" s="54">
        <f>_xll.EQNXTDZ($A$1,$B93,O$5,$B$1)</f>
        <v>0</v>
      </c>
      <c r="P93" s="54">
        <f>_xll.EQNXTDZ($A$1,$B93,P$5,$B$1)</f>
        <v>157.959</v>
      </c>
      <c r="Q93" s="54">
        <f>_xll.EQNXTDZ($A$1,$B93,Q$5,$B$1)</f>
        <v>0</v>
      </c>
      <c r="R93" s="54">
        <f>_xll.EQNXTDZ($A$1,$B93,R$5,$B$1)</f>
        <v>117.047</v>
      </c>
      <c r="S93" s="54">
        <f>_xll.EQNXTDZ($A$1,$B93,S$5,$B$1)</f>
        <v>0</v>
      </c>
      <c r="T93" s="54">
        <f>_xll.EQNXTDZ($A$1,$B93,T$5,$B$1)</f>
        <v>118.02</v>
      </c>
      <c r="U93" s="54">
        <f>_xll.EQNXTDZ($A$1,$B93,U$5,$B$1)</f>
        <v>0</v>
      </c>
      <c r="V93" s="54">
        <f>_xll.EQNXTDZ($A$1,$B93,V$5,$B$1)</f>
        <v>123.762</v>
      </c>
      <c r="W93" s="54">
        <f>_xll.EQNXTDZ($A$1,$B93,W$5,$B$1)</f>
        <v>0</v>
      </c>
      <c r="X93" s="54">
        <f>_xll.EQNXTDZ($A$1,$B93,X$5,$B$1)</f>
        <v>157.15199999999999</v>
      </c>
      <c r="Y93" s="54">
        <f>_xll.EQNXTDZ($A$1,$B93,Y$5,$B$1)</f>
        <v>0</v>
      </c>
      <c r="Z93" s="54">
        <f>_xll.EQNXTDZ($A$1,$B93,Z$5,$B$1)</f>
        <v>213.58</v>
      </c>
      <c r="AA93" s="54">
        <f>_xll.EQNXTDZ($A$1,$B93,AA$5,$B$1)</f>
        <v>0</v>
      </c>
      <c r="AB93" s="54">
        <f>_xll.EQNXTDZ($A$1,$B93,AB$5,$B$1)</f>
        <v>442.96199999999999</v>
      </c>
      <c r="AC93" s="54">
        <f>_xll.EQNXTDZ($A$1,$B93,AC$5,$B$1)</f>
        <v>0</v>
      </c>
      <c r="AD93" s="54">
        <f>_xll.EQNXTDZ($A$1,$B93,AD$5,$B$1)</f>
        <v>379.40199999999999</v>
      </c>
      <c r="AE93" s="54">
        <f>_xll.EQNXTDZ($A$1,$B93,AE$5,$B$1)</f>
        <v>0</v>
      </c>
      <c r="AF93" s="54">
        <f>_xll.EQNXTDZ($A$1,$B93,AF$5,$B$1)</f>
        <v>233.15100000000001</v>
      </c>
      <c r="AG93" s="54">
        <f>_xll.EQNXTDZ($A$1,$B93,AG$5,$B$1)</f>
        <v>0</v>
      </c>
      <c r="AH93" s="54">
        <f>_xll.EQNXTDZ($A$1,$B93,AH$5,$B$1)</f>
        <v>233.315</v>
      </c>
      <c r="AI93" s="54">
        <f>_xll.EQNXTDZ($A$1,$B93,AI$5,$B$1)</f>
        <v>0</v>
      </c>
      <c r="AJ93" s="54">
        <f>_xll.EQNXTDZ($A$1,$B93,AJ$5,$B$1)</f>
        <v>229.988</v>
      </c>
      <c r="AK93" s="54">
        <f>_xll.EQNXTDZ($A$1,$B93,AK$5,$B$1)</f>
        <v>0</v>
      </c>
      <c r="AL93" s="54">
        <f>_xll.EQNXTDZ($A$1,$B93,AL$5,$B$1)</f>
        <v>273.78300000000002</v>
      </c>
      <c r="AM93" s="54">
        <f>_xll.EQNXTDZ($A$1,$B93,AM$5,$B$1)</f>
        <v>0</v>
      </c>
      <c r="AN93" s="54">
        <f>_xll.EQNXTDZ($A$1,$B93,AN$5,$B$1)</f>
        <v>202.25200000000001</v>
      </c>
      <c r="AO93" s="54">
        <f>_xll.EQNXTDZ($A$1,$B93,AO$5,$B$1)</f>
        <v>0</v>
      </c>
      <c r="AP93" s="54">
        <f>_xll.EQNXTDZ($A$1,$B93,AP$5,$B$1)</f>
        <v>150.03100000000001</v>
      </c>
      <c r="AQ93" s="54">
        <f>_xll.EQNXTDZ($A$1,$B93,AQ$5,$B$1)</f>
        <v>0</v>
      </c>
      <c r="AR93" s="54">
        <f>_xll.EQNXTDZ($A$1,$B93,AR$5,$B$1)</f>
        <v>398.91300000000001</v>
      </c>
      <c r="AS93" s="54">
        <f>_xll.EQNXTDZ($A$1,$B93,AS$5,$B$1)</f>
        <v>0</v>
      </c>
      <c r="AT93" s="54">
        <f>_xll.EQNXTDZ($A$1,$B93,AT$5,$B$1)</f>
        <v>642.70299999999997</v>
      </c>
      <c r="AU93" s="54">
        <f>_xll.EQNXTDZ($A$1,$B93,AU$5,$B$1)</f>
        <v>0</v>
      </c>
      <c r="AV93" s="54">
        <f>_xll.EQNXTDZ($A$1,$B93,AV$5,$B$1)</f>
        <v>686.77499999999998</v>
      </c>
      <c r="AW93" s="54">
        <f>_xll.EQNXTDZ($A$1,$B93,AW$5,$B$1)</f>
        <v>575.971</v>
      </c>
      <c r="AX93" s="54">
        <f>_xll.EQNXTDZ($A$1,$B93,AX$5,$B$1)</f>
        <v>0</v>
      </c>
      <c r="AY93" s="54">
        <f>_xll.EQNXTDZ($A$1,$B93,AY$5,$B$1)</f>
        <v>361.654</v>
      </c>
      <c r="AZ93" s="54">
        <f>_xll.EQNXTDZ($A$1,$B93,AZ$5,$B$1)</f>
        <v>0</v>
      </c>
      <c r="BA93" s="54">
        <f>_xll.EQNXTDZ($A$1,$B93,BA$5,$B$1)</f>
        <v>341.77300000000002</v>
      </c>
      <c r="BB93" s="54">
        <f>_xll.EQNXTDZ($A$1,$B93,BB$5,$B$1)</f>
        <v>0</v>
      </c>
      <c r="BC93" s="54">
        <f>_xll.EQNXTDZ($A$1,$B93,BC$5,$B$1)</f>
        <v>346.00799999999998</v>
      </c>
      <c r="BD93" s="54">
        <f>_xll.EQNXTDZ($A$1,$B93,BD$5,$B$1)</f>
        <v>0</v>
      </c>
      <c r="BE93" s="54">
        <f>_xll.EQNXTDZ($A$1,$B93,BE$5,$B$1)</f>
        <v>452.72500000000002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0</v>
      </c>
      <c r="D94" s="54">
        <f>_xll.EQNXTDZ($A$1,$B94,D$5,$B$1)</f>
        <v>92.507999999999996</v>
      </c>
      <c r="E94" s="54">
        <f>_xll.EQNXTDZ($A$1,$B94,E$5,$B$1)</f>
        <v>0</v>
      </c>
      <c r="F94" s="54">
        <f>_xll.EQNXTDZ($A$1,$B94,F$5,$B$1)</f>
        <v>95.941999999999993</v>
      </c>
      <c r="G94" s="54">
        <f>_xll.EQNXTDZ($A$1,$B94,G$5,$B$1)</f>
        <v>0</v>
      </c>
      <c r="H94" s="54">
        <f>_xll.EQNXTDZ($A$1,$B94,H$5,$B$1)</f>
        <v>56.515999999999998</v>
      </c>
      <c r="I94" s="54">
        <f>_xll.EQNXTDZ($A$1,$B94,I$5,$B$1)</f>
        <v>0</v>
      </c>
      <c r="J94" s="54">
        <f>_xll.EQNXTDZ($A$1,$B94,J$5,$B$1)</f>
        <v>69.870999999999995</v>
      </c>
      <c r="K94" s="54">
        <f>_xll.EQNXTDZ($A$1,$B94,K$5,$B$1)</f>
        <v>0</v>
      </c>
      <c r="L94" s="54">
        <f>_xll.EQNXTDZ($A$1,$B94,L$5,$B$1)</f>
        <v>55.798000000000002</v>
      </c>
      <c r="M94" s="54">
        <f>_xll.EQNXTDZ($A$1,$B94,M$5,$B$1)</f>
        <v>0</v>
      </c>
      <c r="N94" s="54">
        <f>_xll.EQNXTDZ($A$1,$B94,N$5,$B$1)</f>
        <v>65.126000000000005</v>
      </c>
      <c r="O94" s="54">
        <f>_xll.EQNXTDZ($A$1,$B94,O$5,$B$1)</f>
        <v>0</v>
      </c>
      <c r="P94" s="54">
        <f>_xll.EQNXTDZ($A$1,$B94,P$5,$B$1)</f>
        <v>43.531999999999996</v>
      </c>
      <c r="Q94" s="54">
        <f>_xll.EQNXTDZ($A$1,$B94,Q$5,$B$1)</f>
        <v>0</v>
      </c>
      <c r="R94" s="54">
        <f>_xll.EQNXTDZ($A$1,$B94,R$5,$B$1)</f>
        <v>79.611999999999995</v>
      </c>
      <c r="S94" s="54">
        <f>_xll.EQNXTDZ($A$1,$B94,S$5,$B$1)</f>
        <v>0</v>
      </c>
      <c r="T94" s="54">
        <f>_xll.EQNXTDZ($A$1,$B94,T$5,$B$1)</f>
        <v>70.406000000000006</v>
      </c>
      <c r="U94" s="54">
        <f>_xll.EQNXTDZ($A$1,$B94,U$5,$B$1)</f>
        <v>0</v>
      </c>
      <c r="V94" s="54">
        <f>_xll.EQNXTDZ($A$1,$B94,V$5,$B$1)</f>
        <v>70.346000000000004</v>
      </c>
      <c r="W94" s="54">
        <f>_xll.EQNXTDZ($A$1,$B94,W$5,$B$1)</f>
        <v>0</v>
      </c>
      <c r="X94" s="54">
        <f>_xll.EQNXTDZ($A$1,$B94,X$5,$B$1)</f>
        <v>114.018</v>
      </c>
      <c r="Y94" s="54">
        <f>_xll.EQNXTDZ($A$1,$B94,Y$5,$B$1)</f>
        <v>0</v>
      </c>
      <c r="Z94" s="54">
        <f>_xll.EQNXTDZ($A$1,$B94,Z$5,$B$1)</f>
        <v>120.33</v>
      </c>
      <c r="AA94" s="54">
        <f>_xll.EQNXTDZ($A$1,$B94,AA$5,$B$1)</f>
        <v>0</v>
      </c>
      <c r="AB94" s="54">
        <f>_xll.EQNXTDZ($A$1,$B94,AB$5,$B$1)</f>
        <v>87.236000000000004</v>
      </c>
      <c r="AC94" s="54">
        <f>_xll.EQNXTDZ($A$1,$B94,AC$5,$B$1)</f>
        <v>0</v>
      </c>
      <c r="AD94" s="54">
        <f>_xll.EQNXTDZ($A$1,$B94,AD$5,$B$1)</f>
        <v>116.68300000000001</v>
      </c>
      <c r="AE94" s="54">
        <f>_xll.EQNXTDZ($A$1,$B94,AE$5,$B$1)</f>
        <v>0</v>
      </c>
      <c r="AF94" s="54">
        <f>_xll.EQNXTDZ($A$1,$B94,AF$5,$B$1)</f>
        <v>130.578</v>
      </c>
      <c r="AG94" s="54">
        <f>_xll.EQNXTDZ($A$1,$B94,AG$5,$B$1)</f>
        <v>0</v>
      </c>
      <c r="AH94" s="54">
        <f>_xll.EQNXTDZ($A$1,$B94,AH$5,$B$1)</f>
        <v>109.369</v>
      </c>
      <c r="AI94" s="54">
        <f>_xll.EQNXTDZ($A$1,$B94,AI$5,$B$1)</f>
        <v>0</v>
      </c>
      <c r="AJ94" s="54">
        <f>_xll.EQNXTDZ($A$1,$B94,AJ$5,$B$1)</f>
        <v>89.774000000000001</v>
      </c>
      <c r="AK94" s="54">
        <f>_xll.EQNXTDZ($A$1,$B94,AK$5,$B$1)</f>
        <v>0</v>
      </c>
      <c r="AL94" s="54">
        <f>_xll.EQNXTDZ($A$1,$B94,AL$5,$B$1)</f>
        <v>112.762</v>
      </c>
      <c r="AM94" s="54">
        <f>_xll.EQNXTDZ($A$1,$B94,AM$5,$B$1)</f>
        <v>0</v>
      </c>
      <c r="AN94" s="54">
        <f>_xll.EQNXTDZ($A$1,$B94,AN$5,$B$1)</f>
        <v>108.08499999999999</v>
      </c>
      <c r="AO94" s="54">
        <f>_xll.EQNXTDZ($A$1,$B94,AO$5,$B$1)</f>
        <v>0</v>
      </c>
      <c r="AP94" s="54">
        <f>_xll.EQNXTDZ($A$1,$B94,AP$5,$B$1)</f>
        <v>89.676000000000002</v>
      </c>
      <c r="AQ94" s="54">
        <f>_xll.EQNXTDZ($A$1,$B94,AQ$5,$B$1)</f>
        <v>0</v>
      </c>
      <c r="AR94" s="54">
        <f>_xll.EQNXTDZ($A$1,$B94,AR$5,$B$1)</f>
        <v>77.646000000000001</v>
      </c>
      <c r="AS94" s="54">
        <f>_xll.EQNXTDZ($A$1,$B94,AS$5,$B$1)</f>
        <v>0</v>
      </c>
      <c r="AT94" s="54">
        <f>_xll.EQNXTDZ($A$1,$B94,AT$5,$B$1)</f>
        <v>116.84099999999999</v>
      </c>
      <c r="AU94" s="54">
        <f>_xll.EQNXTDZ($A$1,$B94,AU$5,$B$1)</f>
        <v>0</v>
      </c>
      <c r="AV94" s="54">
        <f>_xll.EQNXTDZ($A$1,$B94,AV$5,$B$1)</f>
        <v>65.3719999999999</v>
      </c>
      <c r="AW94" s="54">
        <f>_xll.EQNXTDZ($A$1,$B94,AW$5,$B$1)</f>
        <v>74.495999999999995</v>
      </c>
      <c r="AX94" s="54">
        <f>_xll.EQNXTDZ($A$1,$B94,AX$5,$B$1)</f>
        <v>0</v>
      </c>
      <c r="AY94" s="54">
        <f>_xll.EQNXTDZ($A$1,$B94,AY$5,$B$1)</f>
        <v>158.89699999999999</v>
      </c>
      <c r="AZ94" s="54">
        <f>_xll.EQNXTDZ($A$1,$B94,AZ$5,$B$1)</f>
        <v>0</v>
      </c>
      <c r="BA94" s="54">
        <f>_xll.EQNXTDZ($A$1,$B94,BA$5,$B$1)</f>
        <v>85.853999999999999</v>
      </c>
      <c r="BB94" s="54">
        <f>_xll.EQNXTDZ($A$1,$B94,BB$5,$B$1)</f>
        <v>0</v>
      </c>
      <c r="BC94" s="54">
        <f>_xll.EQNXTDZ($A$1,$B94,BC$5,$B$1)</f>
        <v>132.37799999999999</v>
      </c>
      <c r="BD94" s="54">
        <f>_xll.EQNXTDZ($A$1,$B94,BD$5,$B$1)</f>
        <v>0</v>
      </c>
      <c r="BE94" s="54">
        <f>_xll.EQNXTDZ($A$1,$B94,BE$5,$B$1)</f>
        <v>143.114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0</v>
      </c>
      <c r="D96" s="54">
        <f>_xll.EQNXTDZ($A$1,$B96,D$5,$B$1)</f>
        <v>5.2060000000000004</v>
      </c>
      <c r="E96" s="54">
        <f>_xll.EQNXTDZ($A$1,$B96,E$5,$B$1)</f>
        <v>0</v>
      </c>
      <c r="F96" s="54">
        <f>_xll.EQNXTDZ($A$1,$B96,F$5,$B$1)</f>
        <v>6.157</v>
      </c>
      <c r="G96" s="54">
        <f>_xll.EQNXTDZ($A$1,$B96,G$5,$B$1)</f>
        <v>0</v>
      </c>
      <c r="H96" s="54">
        <f>_xll.EQNXTDZ($A$1,$B96,H$5,$B$1)</f>
        <v>7.34</v>
      </c>
      <c r="I96" s="54">
        <f>_xll.EQNXTDZ($A$1,$B96,I$5,$B$1)</f>
        <v>0</v>
      </c>
      <c r="J96" s="54">
        <f>_xll.EQNXTDZ($A$1,$B96,J$5,$B$1)</f>
        <v>9.92</v>
      </c>
      <c r="K96" s="54">
        <f>_xll.EQNXTDZ($A$1,$B96,K$5,$B$1)</f>
        <v>0</v>
      </c>
      <c r="L96" s="54">
        <f>_xll.EQNXTDZ($A$1,$B96,L$5,$B$1)</f>
        <v>7.7839999999999998</v>
      </c>
      <c r="M96" s="54">
        <f>_xll.EQNXTDZ($A$1,$B96,M$5,$B$1)</f>
        <v>0</v>
      </c>
      <c r="N96" s="54">
        <f>_xll.EQNXTDZ($A$1,$B96,N$5,$B$1)</f>
        <v>10.099</v>
      </c>
      <c r="O96" s="54">
        <f>_xll.EQNXTDZ($A$1,$B96,O$5,$B$1)</f>
        <v>0</v>
      </c>
      <c r="P96" s="54">
        <f>_xll.EQNXTDZ($A$1,$B96,P$5,$B$1)</f>
        <v>9.6809999999999992</v>
      </c>
      <c r="Q96" s="54">
        <f>_xll.EQNXTDZ($A$1,$B96,Q$5,$B$1)</f>
        <v>0</v>
      </c>
      <c r="R96" s="54">
        <f>_xll.EQNXTDZ($A$1,$B96,R$5,$B$1)</f>
        <v>3.859</v>
      </c>
      <c r="S96" s="54">
        <f>_xll.EQNXTDZ($A$1,$B96,S$5,$B$1)</f>
        <v>0</v>
      </c>
      <c r="T96" s="54">
        <f>_xll.EQNXTDZ($A$1,$B96,T$5,$B$1)</f>
        <v>3.859</v>
      </c>
      <c r="U96" s="54">
        <f>_xll.EQNXTDZ($A$1,$B96,U$5,$B$1)</f>
        <v>0</v>
      </c>
      <c r="V96" s="54">
        <f>_xll.EQNXTDZ($A$1,$B96,V$5,$B$1)</f>
        <v>4.9139999999999997</v>
      </c>
      <c r="W96" s="54">
        <f>_xll.EQNXTDZ($A$1,$B96,W$5,$B$1)</f>
        <v>0</v>
      </c>
      <c r="X96" s="54">
        <f>_xll.EQNXTDZ($A$1,$B96,X$5,$B$1)</f>
        <v>2.0419999999999998</v>
      </c>
      <c r="Y96" s="54">
        <f>_xll.EQNXTDZ($A$1,$B96,Y$5,$B$1)</f>
        <v>0</v>
      </c>
      <c r="Z96" s="54">
        <f>_xll.EQNXTDZ($A$1,$B96,Z$5,$B$1)</f>
        <v>0.84799999999999998</v>
      </c>
      <c r="AA96" s="54">
        <f>_xll.EQNXTDZ($A$1,$B96,AA$5,$B$1)</f>
        <v>0</v>
      </c>
      <c r="AB96" s="54">
        <f>_xll.EQNXTDZ($A$1,$B96,AB$5,$B$1)</f>
        <v>2.0209999999999999</v>
      </c>
      <c r="AC96" s="54">
        <f>_xll.EQNXTDZ($A$1,$B96,AC$5,$B$1)</f>
        <v>0</v>
      </c>
      <c r="AD96" s="54">
        <f>_xll.EQNXTDZ($A$1,$B96,AD$5,$B$1)</f>
        <v>-2.3130000000000002</v>
      </c>
      <c r="AE96" s="54">
        <f>_xll.EQNXTDZ($A$1,$B96,AE$5,$B$1)</f>
        <v>0</v>
      </c>
      <c r="AF96" s="54">
        <f>_xll.EQNXTDZ($A$1,$B96,AF$5,$B$1)</f>
        <v>-2.5209999999999999</v>
      </c>
      <c r="AG96" s="54">
        <f>_xll.EQNXTDZ($A$1,$B96,AG$5,$B$1)</f>
        <v>0</v>
      </c>
      <c r="AH96" s="54">
        <f>_xll.EQNXTDZ($A$1,$B96,AH$5,$B$1)</f>
        <v>-1.3460000000000001</v>
      </c>
      <c r="AI96" s="54">
        <f>_xll.EQNXTDZ($A$1,$B96,AI$5,$B$1)</f>
        <v>0</v>
      </c>
      <c r="AJ96" s="54">
        <f>_xll.EQNXTDZ($A$1,$B96,AJ$5,$B$1)</f>
        <v>0</v>
      </c>
      <c r="AK96" s="54">
        <f>_xll.EQNXTDZ($A$1,$B96,AK$5,$B$1)</f>
        <v>0</v>
      </c>
      <c r="AL96" s="54">
        <f>_xll.EQNXTDZ($A$1,$B96,AL$5,$B$1)</f>
        <v>0</v>
      </c>
      <c r="AM96" s="54">
        <f>_xll.EQNXTDZ($A$1,$B96,AM$5,$B$1)</f>
        <v>0</v>
      </c>
      <c r="AN96" s="54">
        <f>_xll.EQNXTDZ($A$1,$B96,AN$5,$B$1)</f>
        <v>0</v>
      </c>
      <c r="AO96" s="54">
        <f>_xll.EQNXTDZ($A$1,$B96,AO$5,$B$1)</f>
        <v>0</v>
      </c>
      <c r="AP96" s="54">
        <f>_xll.EQNXTDZ($A$1,$B96,AP$5,$B$1)</f>
        <v>0</v>
      </c>
      <c r="AQ96" s="54">
        <f>_xll.EQNXTDZ($A$1,$B96,AQ$5,$B$1)</f>
        <v>0</v>
      </c>
      <c r="AR96" s="54">
        <f>_xll.EQNXTDZ($A$1,$B96,AR$5,$B$1)</f>
        <v>0</v>
      </c>
      <c r="AS96" s="54">
        <f>_xll.EQNXTDZ($A$1,$B96,AS$5,$B$1)</f>
        <v>0</v>
      </c>
      <c r="AT96" s="54">
        <f>_xll.EQNXTDZ($A$1,$B96,AT$5,$B$1)</f>
        <v>-2.7549999999999999</v>
      </c>
      <c r="AU96" s="54">
        <f>_xll.EQNXTDZ($A$1,$B96,AU$5,$B$1)</f>
        <v>0</v>
      </c>
      <c r="AV96" s="54">
        <f>_xll.EQNXTDZ($A$1,$B96,AV$5,$B$1)</f>
        <v>-0.88800000000000001</v>
      </c>
      <c r="AW96" s="54">
        <f>_xll.EQNXTDZ($A$1,$B96,AW$5,$B$1)</f>
        <v>-0.89100000000000001</v>
      </c>
      <c r="AX96" s="54">
        <f>_xll.EQNXTDZ($A$1,$B96,AX$5,$B$1)</f>
        <v>0</v>
      </c>
      <c r="AY96" s="54">
        <f>_xll.EQNXTDZ($A$1,$B96,AY$5,$B$1)</f>
        <v>2.7E-2</v>
      </c>
      <c r="AZ96" s="54">
        <f>_xll.EQNXTDZ($A$1,$B96,AZ$5,$B$1)</f>
        <v>0</v>
      </c>
      <c r="BA96" s="54">
        <f>_xll.EQNXTDZ($A$1,$B96,BA$5,$B$1)</f>
        <v>3.4460000000000002</v>
      </c>
      <c r="BB96" s="54">
        <f>_xll.EQNXTDZ($A$1,$B96,BB$5,$B$1)</f>
        <v>0</v>
      </c>
      <c r="BC96" s="54">
        <f>_xll.EQNXTDZ($A$1,$B96,BC$5,$B$1)</f>
        <v>3</v>
      </c>
      <c r="BD96" s="54">
        <f>_xll.EQNXTDZ($A$1,$B96,BD$5,$B$1)</f>
        <v>0</v>
      </c>
      <c r="BE96" s="54">
        <f>_xll.EQNXTDZ($A$1,$B96,BE$5,$B$1)</f>
        <v>4.2060000000000004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0</v>
      </c>
      <c r="D97" s="54">
        <f>_xll.EQNXTDZ($A$1,$B97,D$5,$B$1)</f>
        <v>199.78700000000001</v>
      </c>
      <c r="E97" s="54">
        <f>_xll.EQNXTDZ($A$1,$B97,E$5,$B$1)</f>
        <v>0</v>
      </c>
      <c r="F97" s="54">
        <f>_xll.EQNXTDZ($A$1,$B97,F$5,$B$1)</f>
        <v>194.35400000000001</v>
      </c>
      <c r="G97" s="54">
        <f>_xll.EQNXTDZ($A$1,$B97,G$5,$B$1)</f>
        <v>0</v>
      </c>
      <c r="H97" s="54">
        <f>_xll.EQNXTDZ($A$1,$B97,H$5,$B$1)</f>
        <v>163.34299999999999</v>
      </c>
      <c r="I97" s="54">
        <f>_xll.EQNXTDZ($A$1,$B97,I$5,$B$1)</f>
        <v>0</v>
      </c>
      <c r="J97" s="54">
        <f>_xll.EQNXTDZ($A$1,$B97,J$5,$B$1)</f>
        <v>162.958</v>
      </c>
      <c r="K97" s="54">
        <f>_xll.EQNXTDZ($A$1,$B97,K$5,$B$1)</f>
        <v>0</v>
      </c>
      <c r="L97" s="54">
        <f>_xll.EQNXTDZ($A$1,$B97,L$5,$B$1)</f>
        <v>157.68199999999999</v>
      </c>
      <c r="M97" s="54">
        <f>_xll.EQNXTDZ($A$1,$B97,M$5,$B$1)</f>
        <v>0</v>
      </c>
      <c r="N97" s="54">
        <f>_xll.EQNXTDZ($A$1,$B97,N$5,$B$1)</f>
        <v>164.34899999999999</v>
      </c>
      <c r="O97" s="54">
        <f>_xll.EQNXTDZ($A$1,$B97,O$5,$B$1)</f>
        <v>0</v>
      </c>
      <c r="P97" s="54">
        <f>_xll.EQNXTDZ($A$1,$B97,P$5,$B$1)</f>
        <v>143.47999999999999</v>
      </c>
      <c r="Q97" s="54">
        <f>_xll.EQNXTDZ($A$1,$B97,Q$5,$B$1)</f>
        <v>0</v>
      </c>
      <c r="R97" s="54">
        <f>_xll.EQNXTDZ($A$1,$B97,R$5,$B$1)</f>
        <v>166.66399999999999</v>
      </c>
      <c r="S97" s="54">
        <f>_xll.EQNXTDZ($A$1,$B97,S$5,$B$1)</f>
        <v>0</v>
      </c>
      <c r="T97" s="54">
        <f>_xll.EQNXTDZ($A$1,$B97,T$5,$B$1)</f>
        <v>153.792</v>
      </c>
      <c r="U97" s="54">
        <f>_xll.EQNXTDZ($A$1,$B97,U$5,$B$1)</f>
        <v>0</v>
      </c>
      <c r="V97" s="54">
        <f>_xll.EQNXTDZ($A$1,$B97,V$5,$B$1)</f>
        <v>156.566</v>
      </c>
      <c r="W97" s="54">
        <f>_xll.EQNXTDZ($A$1,$B97,W$5,$B$1)</f>
        <v>0</v>
      </c>
      <c r="X97" s="54">
        <f>_xll.EQNXTDZ($A$1,$B97,X$5,$B$1)</f>
        <v>201.733</v>
      </c>
      <c r="Y97" s="54">
        <f>_xll.EQNXTDZ($A$1,$B97,Y$5,$B$1)</f>
        <v>0</v>
      </c>
      <c r="Z97" s="54">
        <f>_xll.EQNXTDZ($A$1,$B97,Z$5,$B$1)</f>
        <v>201.482</v>
      </c>
      <c r="AA97" s="54">
        <f>_xll.EQNXTDZ($A$1,$B97,AA$5,$B$1)</f>
        <v>0</v>
      </c>
      <c r="AB97" s="54">
        <f>_xll.EQNXTDZ($A$1,$B97,AB$5,$B$1)</f>
        <v>168.024</v>
      </c>
      <c r="AC97" s="54">
        <f>_xll.EQNXTDZ($A$1,$B97,AC$5,$B$1)</f>
        <v>0</v>
      </c>
      <c r="AD97" s="54">
        <f>_xll.EQNXTDZ($A$1,$B97,AD$5,$B$1)</f>
        <v>206.23500000000001</v>
      </c>
      <c r="AE97" s="54">
        <f>_xll.EQNXTDZ($A$1,$B97,AE$5,$B$1)</f>
        <v>0</v>
      </c>
      <c r="AF97" s="54">
        <f>_xll.EQNXTDZ($A$1,$B97,AF$5,$B$1)</f>
        <v>213.42099999999999</v>
      </c>
      <c r="AG97" s="54">
        <f>_xll.EQNXTDZ($A$1,$B97,AG$5,$B$1)</f>
        <v>0</v>
      </c>
      <c r="AH97" s="54">
        <f>_xll.EQNXTDZ($A$1,$B97,AH$5,$B$1)</f>
        <v>216.04</v>
      </c>
      <c r="AI97" s="54">
        <f>_xll.EQNXTDZ($A$1,$B97,AI$5,$B$1)</f>
        <v>0</v>
      </c>
      <c r="AJ97" s="54">
        <f>_xll.EQNXTDZ($A$1,$B97,AJ$5,$B$1)</f>
        <v>190.09800000000001</v>
      </c>
      <c r="AK97" s="54">
        <f>_xll.EQNXTDZ($A$1,$B97,AK$5,$B$1)</f>
        <v>0</v>
      </c>
      <c r="AL97" s="54">
        <f>_xll.EQNXTDZ($A$1,$B97,AL$5,$B$1)</f>
        <v>184.27799999999999</v>
      </c>
      <c r="AM97" s="54">
        <f>_xll.EQNXTDZ($A$1,$B97,AM$5,$B$1)</f>
        <v>0</v>
      </c>
      <c r="AN97" s="54">
        <f>_xll.EQNXTDZ($A$1,$B97,AN$5,$B$1)</f>
        <v>189.03700000000001</v>
      </c>
      <c r="AO97" s="54">
        <f>_xll.EQNXTDZ($A$1,$B97,AO$5,$B$1)</f>
        <v>0</v>
      </c>
      <c r="AP97" s="54">
        <f>_xll.EQNXTDZ($A$1,$B97,AP$5,$B$1)</f>
        <v>190.35599999999999</v>
      </c>
      <c r="AQ97" s="54">
        <f>_xll.EQNXTDZ($A$1,$B97,AQ$5,$B$1)</f>
        <v>0</v>
      </c>
      <c r="AR97" s="54">
        <f>_xll.EQNXTDZ($A$1,$B97,AR$5,$B$1)</f>
        <v>176.541</v>
      </c>
      <c r="AS97" s="54">
        <f>_xll.EQNXTDZ($A$1,$B97,AS$5,$B$1)</f>
        <v>0</v>
      </c>
      <c r="AT97" s="54">
        <f>_xll.EQNXTDZ($A$1,$B97,AT$5,$B$1)</f>
        <v>205.28</v>
      </c>
      <c r="AU97" s="54">
        <f>_xll.EQNXTDZ($A$1,$B97,AU$5,$B$1)</f>
        <v>0</v>
      </c>
      <c r="AV97" s="54">
        <f>_xll.EQNXTDZ($A$1,$B97,AV$5,$B$1)</f>
        <v>217.79900000000001</v>
      </c>
      <c r="AW97" s="54">
        <f>_xll.EQNXTDZ($A$1,$B97,AW$5,$B$1)</f>
        <v>250.81299999999999</v>
      </c>
      <c r="AX97" s="54">
        <f>_xll.EQNXTDZ($A$1,$B97,AX$5,$B$1)</f>
        <v>0</v>
      </c>
      <c r="AY97" s="54">
        <f>_xll.EQNXTDZ($A$1,$B97,AY$5,$B$1)</f>
        <v>241.47200000000001</v>
      </c>
      <c r="AZ97" s="54">
        <f>_xll.EQNXTDZ($A$1,$B97,AZ$5,$B$1)</f>
        <v>0</v>
      </c>
      <c r="BA97" s="54">
        <f>_xll.EQNXTDZ($A$1,$B97,BA$5,$B$1)</f>
        <v>236.29599999999999</v>
      </c>
      <c r="BB97" s="54">
        <f>_xll.EQNXTDZ($A$1,$B97,BB$5,$B$1)</f>
        <v>0</v>
      </c>
      <c r="BC97" s="54">
        <f>_xll.EQNXTDZ($A$1,$B97,BC$5,$B$1)</f>
        <v>224.29</v>
      </c>
      <c r="BD97" s="54">
        <f>_xll.EQNXTDZ($A$1,$B97,BD$5,$B$1)</f>
        <v>0</v>
      </c>
      <c r="BE97" s="54">
        <f>_xll.EQNXTDZ($A$1,$B97,BE$5,$B$1)</f>
        <v>232.61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100147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John Cockerill India Ltd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94.467587850000001</v>
      </c>
      <c r="D6">
        <f>_xll.EQNXTDZ($A$1,$B6,D$1,$B$1)</f>
        <v>127.525041859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666.61429999999996</v>
      </c>
      <c r="AA6">
        <f>_xll.EQNXTDZ($A$1,$B6,AA$1,$B$1)</f>
        <v>388.726</v>
      </c>
      <c r="AB6">
        <f>_xll.EQNXTDZ($A$1,$B6,AB$1,$B$1)</f>
        <v>357.59480000000002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9.8270536400000008</v>
      </c>
      <c r="D9">
        <f>_xll.EQNXTDZ($A$1,$B9,D$1,$B$1)</f>
        <v>4.5848680999999996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84.640534209999998</v>
      </c>
      <c r="D10">
        <f>_xll.EQNXTDZ($A$1,$B10,D$1,$B$1)</f>
        <v>122.940173759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666.61429999999996</v>
      </c>
      <c r="AA10">
        <f>_xll.EQNXTDZ($A$1,$B10,AA$1,$B$1)</f>
        <v>388.726</v>
      </c>
      <c r="AB10">
        <f>_xll.EQNXTDZ($A$1,$B10,AB$1,$B$1)</f>
        <v>357.59480000000002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-2.4550999999999998</v>
      </c>
      <c r="D11">
        <f>_xll.EQNXTDZ($A$1,$B11,D$1,$B$1)</f>
        <v>10.908200000000001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1.5627</v>
      </c>
      <c r="AA11">
        <f>_xll.EQNXTDZ($A$1,$B11,AA$1,$B$1)</f>
        <v>-1.4664999999999999</v>
      </c>
      <c r="AB11">
        <f>_xll.EQNXTDZ($A$1,$B11,AB$1,$B$1)</f>
        <v>1.8645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64.555740076999996</v>
      </c>
      <c r="D12">
        <f>_xll.EQNXTDZ($A$1,$B12,D$1,$B$1)</f>
        <v>64.487941238999994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496.0609</v>
      </c>
      <c r="AA12">
        <f>_xll.EQNXTDZ($A$1,$B12,AA$1,$B$1)</f>
        <v>246.1422</v>
      </c>
      <c r="AB12">
        <f>_xll.EQNXTDZ($A$1,$B12,AB$1,$B$1)</f>
        <v>159.90969999999999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0.39354830000000002</v>
      </c>
      <c r="D13">
        <f>_xll.EQNXTDZ($A$1,$B13,D$1,$B$1)</f>
        <v>0.49143431199999998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1.9253</v>
      </c>
      <c r="AA13">
        <f>_xll.EQNXTDZ($A$1,$B13,AA$1,$B$1)</f>
        <v>2.3254999999999999</v>
      </c>
      <c r="AB13">
        <f>_xll.EQNXTDZ($A$1,$B13,AB$1,$B$1)</f>
        <v>1.7533000000000001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4.8360056299999998</v>
      </c>
      <c r="D14">
        <f>_xll.EQNXTDZ($A$1,$B14,D$1,$B$1)</f>
        <v>4.8083722949999999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50.491</v>
      </c>
      <c r="AA14">
        <f>_xll.EQNXTDZ($A$1,$B14,AA$1,$B$1)</f>
        <v>62.074100000000001</v>
      </c>
      <c r="AB14">
        <f>_xll.EQNXTDZ($A$1,$B14,AB$1,$B$1)</f>
        <v>63.348500000000001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13.841807291</v>
      </c>
      <c r="D15">
        <f>_xll.EQNXTDZ($A$1,$B15,D$1,$B$1)</f>
        <v>12.645186949999999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53.766100000000002</v>
      </c>
      <c r="AA15">
        <f>_xll.EQNXTDZ($A$1,$B15,AA$1,$B$1)</f>
        <v>33.984299999999998</v>
      </c>
      <c r="AB15">
        <f>_xll.EQNXTDZ($A$1,$B15,AB$1,$B$1)</f>
        <v>42.633400000000002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6.2128015120000004</v>
      </c>
      <c r="D17">
        <f>_xll.EQNXTDZ($A$1,$B17,D$1,$B$1)</f>
        <v>7.9917852790000001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20.945799999999998</v>
      </c>
      <c r="AA17">
        <f>_xll.EQNXTDZ($A$1,$B17,AA$1,$B$1)</f>
        <v>36.082500000000003</v>
      </c>
      <c r="AB17">
        <f>_xll.EQNXTDZ($A$1,$B17,AB$1,$B$1)</f>
        <v>31.781600000000001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0.49196157899999998</v>
      </c>
      <c r="D18">
        <f>_xll.EQNXTDZ($A$1,$B18,D$1,$B$1)</f>
        <v>5.5031474019999997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9.9304000000000006</v>
      </c>
      <c r="AA18">
        <f>_xll.EQNXTDZ($A$1,$B18,AA$1,$B$1)</f>
        <v>5.6444999999999999</v>
      </c>
      <c r="AB18">
        <f>_xll.EQNXTDZ($A$1,$B18,AB$1,$B$1)</f>
        <v>4.8796999999999997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0.15594418500000001</v>
      </c>
      <c r="D19">
        <f>_xll.EQNXTDZ($A$1,$B19,D$1,$B$1)</f>
        <v>1.0731105480000001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6.5646000000000004</v>
      </c>
      <c r="AA19">
        <f>_xll.EQNXTDZ($A$1,$B19,AA$1,$B$1)</f>
        <v>7.7283999999999997</v>
      </c>
      <c r="AB19">
        <f>_xll.EQNXTDZ($A$1,$B19,AB$1,$B$1)</f>
        <v>28.983899999999998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88.032708573999997</v>
      </c>
      <c r="D21">
        <f>_xll.EQNXTDZ($A$1,$B21,D$1,$B$1)</f>
        <v>107.909178025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641.24680000000001</v>
      </c>
      <c r="AA21">
        <f>_xll.EQNXTDZ($A$1,$B21,AA$1,$B$1)</f>
        <v>392.51499999999999</v>
      </c>
      <c r="AB21">
        <f>_xll.EQNXTDZ($A$1,$B21,AB$1,$B$1)</f>
        <v>335.15460000000002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-3.3921743640000002</v>
      </c>
      <c r="D22">
        <f>_xll.EQNXTDZ($A$1,$B22,D$1,$B$1)</f>
        <v>15.030995733999999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25.3674999999999</v>
      </c>
      <c r="AA22">
        <f>_xll.EQNXTDZ($A$1,$B22,AA$1,$B$1)</f>
        <v>-3.7890000000000099</v>
      </c>
      <c r="AB22">
        <f>_xll.EQNXTDZ($A$1,$B22,AB$1,$B$1)</f>
        <v>22.440200000000001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6.8892502179999999</v>
      </c>
      <c r="D23">
        <f>_xll.EQNXTDZ($A$1,$B23,D$1,$B$1)</f>
        <v>0.27437178200000001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6.8841999999999999</v>
      </c>
      <c r="AA23">
        <f>_xll.EQNXTDZ($A$1,$B23,AA$1,$B$1)</f>
        <v>4.8780999999999999</v>
      </c>
      <c r="AB23">
        <f>_xll.EQNXTDZ($A$1,$B23,AB$1,$B$1)</f>
        <v>9.5062999999999995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3.4970758540000002</v>
      </c>
      <c r="D24">
        <f>_xll.EQNXTDZ($A$1,$B24,D$1,$B$1)</f>
        <v>15.305367516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32.2517</v>
      </c>
      <c r="AA24">
        <f>_xll.EQNXTDZ($A$1,$B24,AA$1,$B$1)</f>
        <v>1.0891</v>
      </c>
      <c r="AB24">
        <f>_xll.EQNXTDZ($A$1,$B24,AB$1,$B$1)</f>
        <v>31.9465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5.0028746550000003</v>
      </c>
      <c r="D25">
        <f>_xll.EQNXTDZ($A$1,$B25,D$1,$B$1)</f>
        <v>6.4226669129999996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2.3300999999999998</v>
      </c>
      <c r="AA25">
        <f>_xll.EQNXTDZ($A$1,$B25,AA$1,$B$1)</f>
        <v>2.2831000000000001</v>
      </c>
      <c r="AB25">
        <f>_xll.EQNXTDZ($A$1,$B25,AB$1,$B$1)</f>
        <v>3.0327999999999999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-1.5057988010000001</v>
      </c>
      <c r="D26">
        <f>_xll.EQNXTDZ($A$1,$B26,D$1,$B$1)</f>
        <v>8.882700603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29.921600000000002</v>
      </c>
      <c r="AA26">
        <f>_xll.EQNXTDZ($A$1,$B26,AA$1,$B$1)</f>
        <v>-1.194</v>
      </c>
      <c r="AB26">
        <f>_xll.EQNXTDZ($A$1,$B26,AB$1,$B$1)</f>
        <v>28.913699999999999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3.1754977379999998</v>
      </c>
      <c r="D27">
        <f>_xll.EQNXTDZ($A$1,$B27,D$1,$B$1)</f>
        <v>2.6181707250000001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3.8513999999999999</v>
      </c>
      <c r="AA27">
        <f>_xll.EQNXTDZ($A$1,$B27,AA$1,$B$1)</f>
        <v>5.9714999999999998</v>
      </c>
      <c r="AB27">
        <f>_xll.EQNXTDZ($A$1,$B27,AB$1,$B$1)</f>
        <v>6.1506999999999996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-11.4086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0</v>
      </c>
      <c r="D30">
        <f>_xll.EQNXTDZ($A$1,$B30,D$1,$B$1)</f>
        <v>0.25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4.431</v>
      </c>
      <c r="AA30">
        <f>_xll.EQNXTDZ($A$1,$B30,AA$1,$B$1)</f>
        <v>-1.7834000000000001</v>
      </c>
      <c r="AB30">
        <f>_xll.EQNXTDZ($A$1,$B30,AB$1,$B$1)</f>
        <v>1.0405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-4.6812965389999999</v>
      </c>
      <c r="D35">
        <f>_xll.EQNXTDZ($A$1,$B35,D$1,$B$1)</f>
        <v>6.0145298780000003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21.639199999999999</v>
      </c>
      <c r="AA35">
        <f>_xll.EQNXTDZ($A$1,$B35,AA$1,$B$1)</f>
        <v>-5.3821000000000003</v>
      </c>
      <c r="AB35">
        <f>_xll.EQNXTDZ($A$1,$B35,AB$1,$B$1)</f>
        <v>10.3139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4.9378130000000002</v>
      </c>
      <c r="D41" s="54">
        <f>_xll.EQNXTDZ($A$1,$B41,D$1,$B$1)</f>
        <v>4.9378130000000002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0</v>
      </c>
      <c r="K41" s="54">
        <f>_xll.EQNXTDZ($A$1,$B41,K$1,$B$1)</f>
        <v>0</v>
      </c>
      <c r="L41" s="54">
        <f>_xll.EQNXTDZ($A$1,$B41,L$1,$B$1)</f>
        <v>0</v>
      </c>
      <c r="M41" s="54">
        <f>_xll.EQNXTDZ($A$1,$B41,M$1,$B$1)</f>
        <v>0</v>
      </c>
      <c r="N41" s="54">
        <f>_xll.EQNXTDZ($A$1,$B41,N$1,$B$1)</f>
        <v>0</v>
      </c>
      <c r="O41" s="54">
        <f>_xll.EQNXTDZ($A$1,$B41,O$1,$B$1)</f>
        <v>0</v>
      </c>
      <c r="P41" s="54">
        <f>_xll.EQNXTDZ($A$1,$B41,P$1,$B$1)</f>
        <v>0</v>
      </c>
      <c r="Q41" s="54">
        <f>_xll.EQNXTDZ($A$1,$B41,Q$1,$B$1)</f>
        <v>0</v>
      </c>
      <c r="R41" s="54">
        <f>_xll.EQNXTDZ($A$1,$B41,R$1,$B$1)</f>
        <v>0</v>
      </c>
      <c r="S41" s="54">
        <f>_xll.EQNXTDZ($A$1,$B41,S$1,$B$1)</f>
        <v>0</v>
      </c>
      <c r="T41" s="54">
        <f>_xll.EQNXTDZ($A$1,$B41,T$1,$B$1)</f>
        <v>0</v>
      </c>
      <c r="U41" s="54">
        <f>_xll.EQNXTDZ($A$1,$B41,U$1,$B$1)</f>
        <v>0</v>
      </c>
      <c r="V41" s="54">
        <f>_xll.EQNXTDZ($A$1,$B41,V$1,$B$1)</f>
        <v>0</v>
      </c>
      <c r="W41" s="54">
        <f>_xll.EQNXTDZ($A$1,$B41,W$1,$B$1)</f>
        <v>0</v>
      </c>
      <c r="X41" s="54">
        <f>_xll.EQNXTDZ($A$1,$B41,X$1,$B$1)</f>
        <v>0</v>
      </c>
      <c r="Y41" s="54">
        <f>_xll.EQNXTDZ($A$1,$B41,Y$1,$B$1)</f>
        <v>0</v>
      </c>
      <c r="Z41" s="54">
        <f>_xll.EQNXTDZ($A$1,$B41,Z$1,$B$1)</f>
        <v>4.9378000000000002</v>
      </c>
      <c r="AA41" s="54">
        <f>_xll.EQNXTDZ($A$1,$B41,AA$1,$B$1)</f>
        <v>4.9378000000000002</v>
      </c>
      <c r="AB41" s="54">
        <f>_xll.EQNXTDZ($A$1,$B41,AB$1,$B$1)</f>
        <v>4.9378000000000002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0</v>
      </c>
      <c r="D42" s="54">
        <f>_xll.EQNXTDZ($A$1,$B42,D$1,$B$1)</f>
        <v>0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0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40.619012677000001</v>
      </c>
      <c r="D43" s="54">
        <f>_xll.EQNXTDZ($A$1,$B43,D$1,$B$1)</f>
        <v>45.273175105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0</v>
      </c>
      <c r="K43" s="54">
        <f>_xll.EQNXTDZ($A$1,$B43,K$1,$B$1)</f>
        <v>0</v>
      </c>
      <c r="L43" s="54">
        <f>_xll.EQNXTDZ($A$1,$B43,L$1,$B$1)</f>
        <v>0</v>
      </c>
      <c r="M43" s="54">
        <f>_xll.EQNXTDZ($A$1,$B43,M$1,$B$1)</f>
        <v>0</v>
      </c>
      <c r="N43" s="54">
        <f>_xll.EQNXTDZ($A$1,$B43,N$1,$B$1)</f>
        <v>0</v>
      </c>
      <c r="O43" s="54">
        <f>_xll.EQNXTDZ($A$1,$B43,O$1,$B$1)</f>
        <v>0</v>
      </c>
      <c r="P43" s="54">
        <f>_xll.EQNXTDZ($A$1,$B43,P$1,$B$1)</f>
        <v>0</v>
      </c>
      <c r="Q43" s="54">
        <f>_xll.EQNXTDZ($A$1,$B43,Q$1,$B$1)</f>
        <v>0</v>
      </c>
      <c r="R43" s="54">
        <f>_xll.EQNXTDZ($A$1,$B43,R$1,$B$1)</f>
        <v>0</v>
      </c>
      <c r="S43" s="54">
        <f>_xll.EQNXTDZ($A$1,$B43,S$1,$B$1)</f>
        <v>0</v>
      </c>
      <c r="T43" s="54">
        <f>_xll.EQNXTDZ($A$1,$B43,T$1,$B$1)</f>
        <v>0</v>
      </c>
      <c r="U43" s="54">
        <f>_xll.EQNXTDZ($A$1,$B43,U$1,$B$1)</f>
        <v>0</v>
      </c>
      <c r="V43" s="54">
        <f>_xll.EQNXTDZ($A$1,$B43,V$1,$B$1)</f>
        <v>0</v>
      </c>
      <c r="W43" s="54">
        <f>_xll.EQNXTDZ($A$1,$B43,W$1,$B$1)</f>
        <v>0</v>
      </c>
      <c r="X43" s="54">
        <f>_xll.EQNXTDZ($A$1,$B43,X$1,$B$1)</f>
        <v>0</v>
      </c>
      <c r="Y43" s="54">
        <f>_xll.EQNXTDZ($A$1,$B43,Y$1,$B$1)</f>
        <v>0</v>
      </c>
      <c r="Z43" s="54">
        <f>_xll.EQNXTDZ($A$1,$B43,Z$1,$B$1)</f>
        <v>206.45429999999999</v>
      </c>
      <c r="AA43" s="54">
        <f>_xll.EQNXTDZ($A$1,$B43,AA$1,$B$1)</f>
        <v>196.2139</v>
      </c>
      <c r="AB43" s="54">
        <f>_xll.EQNXTDZ($A$1,$B43,AB$1,$B$1)</f>
        <v>205.20590000000001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45.556825676999999</v>
      </c>
      <c r="D44" s="54">
        <f>_xll.EQNXTDZ($A$1,$B44,D$1,$B$1)</f>
        <v>50.210988104999998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0</v>
      </c>
      <c r="K44" s="54">
        <f>_xll.EQNXTDZ($A$1,$B44,K$1,$B$1)</f>
        <v>0</v>
      </c>
      <c r="L44" s="54">
        <f>_xll.EQNXTDZ($A$1,$B44,L$1,$B$1)</f>
        <v>0</v>
      </c>
      <c r="M44" s="54">
        <f>_xll.EQNXTDZ($A$1,$B44,M$1,$B$1)</f>
        <v>0</v>
      </c>
      <c r="N44" s="54">
        <f>_xll.EQNXTDZ($A$1,$B44,N$1,$B$1)</f>
        <v>0</v>
      </c>
      <c r="O44" s="54">
        <f>_xll.EQNXTDZ($A$1,$B44,O$1,$B$1)</f>
        <v>0</v>
      </c>
      <c r="P44" s="54">
        <f>_xll.EQNXTDZ($A$1,$B44,P$1,$B$1)</f>
        <v>0</v>
      </c>
      <c r="Q44" s="54">
        <f>_xll.EQNXTDZ($A$1,$B44,Q$1,$B$1)</f>
        <v>0</v>
      </c>
      <c r="R44" s="54">
        <f>_xll.EQNXTDZ($A$1,$B44,R$1,$B$1)</f>
        <v>0</v>
      </c>
      <c r="S44" s="54">
        <f>_xll.EQNXTDZ($A$1,$B44,S$1,$B$1)</f>
        <v>0</v>
      </c>
      <c r="T44" s="54">
        <f>_xll.EQNXTDZ($A$1,$B44,T$1,$B$1)</f>
        <v>0</v>
      </c>
      <c r="U44" s="54">
        <f>_xll.EQNXTDZ($A$1,$B44,U$1,$B$1)</f>
        <v>0</v>
      </c>
      <c r="V44" s="54">
        <f>_xll.EQNXTDZ($A$1,$B44,V$1,$B$1)</f>
        <v>0</v>
      </c>
      <c r="W44" s="54">
        <f>_xll.EQNXTDZ($A$1,$B44,W$1,$B$1)</f>
        <v>0</v>
      </c>
      <c r="X44" s="54">
        <f>_xll.EQNXTDZ($A$1,$B44,X$1,$B$1)</f>
        <v>0</v>
      </c>
      <c r="Y44" s="54">
        <f>_xll.EQNXTDZ($A$1,$B44,Y$1,$B$1)</f>
        <v>0</v>
      </c>
      <c r="Z44" s="54">
        <f>_xll.EQNXTDZ($A$1,$B44,Z$1,$B$1)</f>
        <v>211.3921</v>
      </c>
      <c r="AA44" s="54">
        <f>_xll.EQNXTDZ($A$1,$B44,AA$1,$B$1)</f>
        <v>201.15170000000001</v>
      </c>
      <c r="AB44" s="54">
        <f>_xll.EQNXTDZ($A$1,$B44,AB$1,$B$1)</f>
        <v>210.1437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0</v>
      </c>
      <c r="M45" s="54">
        <f>_xll.EQNXTDZ($A$1,$B45,M$1,$B$1)</f>
        <v>0</v>
      </c>
      <c r="N45" s="54">
        <f>_xll.EQNXTDZ($A$1,$B45,N$1,$B$1)</f>
        <v>0</v>
      </c>
      <c r="O45" s="54">
        <f>_xll.EQNXTDZ($A$1,$B45,O$1,$B$1)</f>
        <v>0</v>
      </c>
      <c r="P45" s="54">
        <f>_xll.EQNXTDZ($A$1,$B45,P$1,$B$1)</f>
        <v>0</v>
      </c>
      <c r="Q45" s="54">
        <f>_xll.EQNXTDZ($A$1,$B45,Q$1,$B$1)</f>
        <v>0</v>
      </c>
      <c r="R45" s="54">
        <f>_xll.EQNXTDZ($A$1,$B45,R$1,$B$1)</f>
        <v>0</v>
      </c>
      <c r="S45" s="54">
        <f>_xll.EQNXTDZ($A$1,$B45,S$1,$B$1)</f>
        <v>0</v>
      </c>
      <c r="T45" s="54">
        <f>_xll.EQNXTDZ($A$1,$B45,T$1,$B$1)</f>
        <v>0</v>
      </c>
      <c r="U45" s="54">
        <f>_xll.EQNXTDZ($A$1,$B45,U$1,$B$1)</f>
        <v>0</v>
      </c>
      <c r="V45" s="54">
        <f>_xll.EQNXTDZ($A$1,$B45,V$1,$B$1)</f>
        <v>0</v>
      </c>
      <c r="W45" s="54">
        <f>_xll.EQNXTDZ($A$1,$B45,W$1,$B$1)</f>
        <v>0</v>
      </c>
      <c r="X45" s="54">
        <f>_xll.EQNXTDZ($A$1,$B45,X$1,$B$1)</f>
        <v>0</v>
      </c>
      <c r="Y45" s="54">
        <f>_xll.EQNXTDZ($A$1,$B45,Y$1,$B$1)</f>
        <v>0</v>
      </c>
      <c r="Z45" s="54">
        <f>_xll.EQNXTDZ($A$1,$B45,Z$1,$B$1)</f>
        <v>0</v>
      </c>
      <c r="AA45" s="54">
        <f>_xll.EQNXTDZ($A$1,$B45,AA$1,$B$1)</f>
        <v>0</v>
      </c>
      <c r="AB45" s="54">
        <f>_xll.EQNXTDZ($A$1,$B45,AB$1,$B$1)</f>
        <v>0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26.601812640999999</v>
      </c>
      <c r="D47" s="54">
        <f>_xll.EQNXTDZ($A$1,$B47,D$1,$B$1)</f>
        <v>29.762912200999999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0</v>
      </c>
      <c r="K47" s="54">
        <f>_xll.EQNXTDZ($A$1,$B47,K$1,$B$1)</f>
        <v>0</v>
      </c>
      <c r="L47" s="54">
        <f>_xll.EQNXTDZ($A$1,$B47,L$1,$B$1)</f>
        <v>0</v>
      </c>
      <c r="M47" s="54">
        <f>_xll.EQNXTDZ($A$1,$B47,M$1,$B$1)</f>
        <v>0</v>
      </c>
      <c r="N47" s="54">
        <f>_xll.EQNXTDZ($A$1,$B47,N$1,$B$1)</f>
        <v>0</v>
      </c>
      <c r="O47" s="54">
        <f>_xll.EQNXTDZ($A$1,$B47,O$1,$B$1)</f>
        <v>0</v>
      </c>
      <c r="P47" s="54">
        <f>_xll.EQNXTDZ($A$1,$B47,P$1,$B$1)</f>
        <v>0</v>
      </c>
      <c r="Q47" s="54">
        <f>_xll.EQNXTDZ($A$1,$B47,Q$1,$B$1)</f>
        <v>0</v>
      </c>
      <c r="R47" s="54">
        <f>_xll.EQNXTDZ($A$1,$B47,R$1,$B$1)</f>
        <v>0</v>
      </c>
      <c r="S47" s="54">
        <f>_xll.EQNXTDZ($A$1,$B47,S$1,$B$1)</f>
        <v>0</v>
      </c>
      <c r="T47" s="54">
        <f>_xll.EQNXTDZ($A$1,$B47,T$1,$B$1)</f>
        <v>0</v>
      </c>
      <c r="U47" s="54">
        <f>_xll.EQNXTDZ($A$1,$B47,U$1,$B$1)</f>
        <v>0</v>
      </c>
      <c r="V47" s="54">
        <f>_xll.EQNXTDZ($A$1,$B47,V$1,$B$1)</f>
        <v>0</v>
      </c>
      <c r="W47" s="54">
        <f>_xll.EQNXTDZ($A$1,$B47,W$1,$B$1)</f>
        <v>0</v>
      </c>
      <c r="X47" s="54">
        <f>_xll.EQNXTDZ($A$1,$B47,X$1,$B$1)</f>
        <v>0</v>
      </c>
      <c r="Y47" s="54">
        <f>_xll.EQNXTDZ($A$1,$B47,Y$1,$B$1)</f>
        <v>0</v>
      </c>
      <c r="Z47" s="54">
        <f>_xll.EQNXTDZ($A$1,$B47,Z$1,$B$1)</f>
        <v>0</v>
      </c>
      <c r="AA47" s="54">
        <f>_xll.EQNXTDZ($A$1,$B47,AA$1,$B$1)</f>
        <v>0</v>
      </c>
      <c r="AB47" s="54">
        <f>_xll.EQNXTDZ($A$1,$B47,AB$1,$B$1)</f>
        <v>0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4.6601219599999997</v>
      </c>
      <c r="D48" s="54">
        <f>_xll.EQNXTDZ($A$1,$B48,D$1,$B$1)</f>
        <v>3.8020562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0</v>
      </c>
      <c r="K48" s="54">
        <f>_xll.EQNXTDZ($A$1,$B48,K$1,$B$1)</f>
        <v>0</v>
      </c>
      <c r="L48" s="54">
        <f>_xll.EQNXTDZ($A$1,$B48,L$1,$B$1)</f>
        <v>0</v>
      </c>
      <c r="M48" s="54">
        <f>_xll.EQNXTDZ($A$1,$B48,M$1,$B$1)</f>
        <v>0</v>
      </c>
      <c r="N48" s="54">
        <f>_xll.EQNXTDZ($A$1,$B48,N$1,$B$1)</f>
        <v>0</v>
      </c>
      <c r="O48" s="54">
        <f>_xll.EQNXTDZ($A$1,$B48,O$1,$B$1)</f>
        <v>0</v>
      </c>
      <c r="P48" s="54">
        <f>_xll.EQNXTDZ($A$1,$B48,P$1,$B$1)</f>
        <v>0</v>
      </c>
      <c r="Q48" s="54">
        <f>_xll.EQNXTDZ($A$1,$B48,Q$1,$B$1)</f>
        <v>0</v>
      </c>
      <c r="R48" s="54">
        <f>_xll.EQNXTDZ($A$1,$B48,R$1,$B$1)</f>
        <v>0</v>
      </c>
      <c r="S48" s="54">
        <f>_xll.EQNXTDZ($A$1,$B48,S$1,$B$1)</f>
        <v>0</v>
      </c>
      <c r="T48" s="54">
        <f>_xll.EQNXTDZ($A$1,$B48,T$1,$B$1)</f>
        <v>0</v>
      </c>
      <c r="U48" s="54">
        <f>_xll.EQNXTDZ($A$1,$B48,U$1,$B$1)</f>
        <v>0</v>
      </c>
      <c r="V48" s="54">
        <f>_xll.EQNXTDZ($A$1,$B48,V$1,$B$1)</f>
        <v>0</v>
      </c>
      <c r="W48" s="54">
        <f>_xll.EQNXTDZ($A$1,$B48,W$1,$B$1)</f>
        <v>0</v>
      </c>
      <c r="X48" s="54">
        <f>_xll.EQNXTDZ($A$1,$B48,X$1,$B$1)</f>
        <v>0</v>
      </c>
      <c r="Y48" s="54">
        <f>_xll.EQNXTDZ($A$1,$B48,Y$1,$B$1)</f>
        <v>0</v>
      </c>
      <c r="Z48" s="54">
        <f>_xll.EQNXTDZ($A$1,$B48,Z$1,$B$1)</f>
        <v>0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0</v>
      </c>
      <c r="K49" s="54">
        <f>_xll.EQNXTDZ($A$1,$B49,K$1,$B$1)</f>
        <v>0</v>
      </c>
      <c r="L49" s="54">
        <f>_xll.EQNXTDZ($A$1,$B49,L$1,$B$1)</f>
        <v>0</v>
      </c>
      <c r="M49" s="54">
        <f>_xll.EQNXTDZ($A$1,$B49,M$1,$B$1)</f>
        <v>0</v>
      </c>
      <c r="N49" s="54">
        <f>_xll.EQNXTDZ($A$1,$B49,N$1,$B$1)</f>
        <v>0</v>
      </c>
      <c r="O49" s="54">
        <f>_xll.EQNXTDZ($A$1,$B49,O$1,$B$1)</f>
        <v>0</v>
      </c>
      <c r="P49" s="54">
        <f>_xll.EQNXTDZ($A$1,$B49,P$1,$B$1)</f>
        <v>0</v>
      </c>
      <c r="Q49" s="54">
        <f>_xll.EQNXTDZ($A$1,$B49,Q$1,$B$1)</f>
        <v>0</v>
      </c>
      <c r="R49" s="54">
        <f>_xll.EQNXTDZ($A$1,$B49,R$1,$B$1)</f>
        <v>0</v>
      </c>
      <c r="S49" s="54">
        <f>_xll.EQNXTDZ($A$1,$B49,S$1,$B$1)</f>
        <v>0</v>
      </c>
      <c r="T49" s="54">
        <f>_xll.EQNXTDZ($A$1,$B49,T$1,$B$1)</f>
        <v>0</v>
      </c>
      <c r="U49" s="54">
        <f>_xll.EQNXTDZ($A$1,$B49,U$1,$B$1)</f>
        <v>0</v>
      </c>
      <c r="V49" s="54">
        <f>_xll.EQNXTDZ($A$1,$B49,V$1,$B$1)</f>
        <v>0</v>
      </c>
      <c r="W49" s="54">
        <f>_xll.EQNXTDZ($A$1,$B49,W$1,$B$1)</f>
        <v>0</v>
      </c>
      <c r="X49" s="54">
        <f>_xll.EQNXTDZ($A$1,$B49,X$1,$B$1)</f>
        <v>0</v>
      </c>
      <c r="Y49" s="54">
        <f>_xll.EQNXTDZ($A$1,$B49,Y$1,$B$1)</f>
        <v>0</v>
      </c>
      <c r="Z49" s="54">
        <f>_xll.EQNXTDZ($A$1,$B49,Z$1,$B$1)</f>
        <v>0.8911</v>
      </c>
      <c r="AA49" s="54">
        <f>_xll.EQNXTDZ($A$1,$B49,AA$1,$B$1)</f>
        <v>-3.4459</v>
      </c>
      <c r="AB49" s="54">
        <f>_xll.EQNXTDZ($A$1,$B49,AB$1,$B$1)</f>
        <v>-4.2060000000000004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0</v>
      </c>
      <c r="O50" s="54">
        <f>_xll.EQNXTDZ($A$1,$B50,O$1,$B$1)</f>
        <v>0</v>
      </c>
      <c r="P50" s="54">
        <f>_xll.EQNXTDZ($A$1,$B50,P$1,$B$1)</f>
        <v>0</v>
      </c>
      <c r="Q50" s="54">
        <f>_xll.EQNXTDZ($A$1,$B50,Q$1,$B$1)</f>
        <v>0</v>
      </c>
      <c r="R50" s="54">
        <f>_xll.EQNXTDZ($A$1,$B50,R$1,$B$1)</f>
        <v>0</v>
      </c>
      <c r="S50" s="54">
        <f>_xll.EQNXTDZ($A$1,$B50,S$1,$B$1)</f>
        <v>0</v>
      </c>
      <c r="T50" s="54">
        <f>_xll.EQNXTDZ($A$1,$B50,T$1,$B$1)</f>
        <v>0</v>
      </c>
      <c r="U50" s="54">
        <f>_xll.EQNXTDZ($A$1,$B50,U$1,$B$1)</f>
        <v>0</v>
      </c>
      <c r="V50" s="54">
        <f>_xll.EQNXTDZ($A$1,$B50,V$1,$B$1)</f>
        <v>0</v>
      </c>
      <c r="W50" s="54">
        <f>_xll.EQNXTDZ($A$1,$B50,W$1,$B$1)</f>
        <v>0</v>
      </c>
      <c r="X50" s="54">
        <f>_xll.EQNXTDZ($A$1,$B50,X$1,$B$1)</f>
        <v>0</v>
      </c>
      <c r="Y50" s="54">
        <f>_xll.EQNXTDZ($A$1,$B50,Y$1,$B$1)</f>
        <v>0</v>
      </c>
      <c r="Z50" s="54">
        <f>_xll.EQNXTDZ($A$1,$B50,Z$1,$B$1)</f>
        <v>1.5674999999999999</v>
      </c>
      <c r="AA50" s="54">
        <f>_xll.EQNXTDZ($A$1,$B50,AA$1,$B$1)</f>
        <v>4.5339</v>
      </c>
      <c r="AB50" s="54">
        <f>_xll.EQNXTDZ($A$1,$B50,AB$1,$B$1)</f>
        <v>3.7435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0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22.875900000000001</v>
      </c>
      <c r="AA51" s="54">
        <f>_xll.EQNXTDZ($A$1,$B51,AA$1,$B$1)</f>
        <v>18.361799999999999</v>
      </c>
      <c r="AB51" s="54">
        <f>_xll.EQNXTDZ($A$1,$B51,AB$1,$B$1)</f>
        <v>7.3240999999999996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0</v>
      </c>
      <c r="O52" s="54">
        <f>_xll.EQNXTDZ($A$1,$B52,O$1,$B$1)</f>
        <v>0</v>
      </c>
      <c r="P52" s="54">
        <f>_xll.EQNXTDZ($A$1,$B52,P$1,$B$1)</f>
        <v>0</v>
      </c>
      <c r="Q52" s="54">
        <f>_xll.EQNXTDZ($A$1,$B52,Q$1,$B$1)</f>
        <v>0</v>
      </c>
      <c r="R52" s="54">
        <f>_xll.EQNXTDZ($A$1,$B52,R$1,$B$1)</f>
        <v>0</v>
      </c>
      <c r="S52" s="54">
        <f>_xll.EQNXTDZ($A$1,$B52,S$1,$B$1)</f>
        <v>0</v>
      </c>
      <c r="T52" s="54">
        <f>_xll.EQNXTDZ($A$1,$B52,T$1,$B$1)</f>
        <v>0</v>
      </c>
      <c r="U52" s="54">
        <f>_xll.EQNXTDZ($A$1,$B52,U$1,$B$1)</f>
        <v>0</v>
      </c>
      <c r="V52" s="54">
        <f>_xll.EQNXTDZ($A$1,$B52,V$1,$B$1)</f>
        <v>0</v>
      </c>
      <c r="W52" s="54">
        <f>_xll.EQNXTDZ($A$1,$B52,W$1,$B$1)</f>
        <v>0</v>
      </c>
      <c r="X52" s="54">
        <f>_xll.EQNXTDZ($A$1,$B52,X$1,$B$1)</f>
        <v>0</v>
      </c>
      <c r="Y52" s="54">
        <f>_xll.EQNXTDZ($A$1,$B52,Y$1,$B$1)</f>
        <v>0</v>
      </c>
      <c r="Z52" s="54">
        <f>_xll.EQNXTDZ($A$1,$B52,Z$1,$B$1)</f>
        <v>14.978400000000001</v>
      </c>
      <c r="AA52" s="54">
        <f>_xll.EQNXTDZ($A$1,$B52,AA$1,$B$1)</f>
        <v>12.247</v>
      </c>
      <c r="AB52" s="54">
        <f>_xll.EQNXTDZ($A$1,$B52,AB$1,$B$1)</f>
        <v>11.396599999999999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31.261934601</v>
      </c>
      <c r="D53" s="54">
        <f>_xll.EQNXTDZ($A$1,$B53,D$1,$B$1)</f>
        <v>33.564968401000002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0</v>
      </c>
      <c r="K53" s="54">
        <f>_xll.EQNXTDZ($A$1,$B53,K$1,$B$1)</f>
        <v>0</v>
      </c>
      <c r="L53" s="54">
        <f>_xll.EQNXTDZ($A$1,$B53,L$1,$B$1)</f>
        <v>0</v>
      </c>
      <c r="M53" s="54">
        <f>_xll.EQNXTDZ($A$1,$B53,M$1,$B$1)</f>
        <v>0</v>
      </c>
      <c r="N53" s="54">
        <f>_xll.EQNXTDZ($A$1,$B53,N$1,$B$1)</f>
        <v>0</v>
      </c>
      <c r="O53" s="54">
        <f>_xll.EQNXTDZ($A$1,$B53,O$1,$B$1)</f>
        <v>0</v>
      </c>
      <c r="P53" s="54">
        <f>_xll.EQNXTDZ($A$1,$B53,P$1,$B$1)</f>
        <v>0</v>
      </c>
      <c r="Q53" s="54">
        <f>_xll.EQNXTDZ($A$1,$B53,Q$1,$B$1)</f>
        <v>0</v>
      </c>
      <c r="R53" s="54">
        <f>_xll.EQNXTDZ($A$1,$B53,R$1,$B$1)</f>
        <v>0</v>
      </c>
      <c r="S53" s="54">
        <f>_xll.EQNXTDZ($A$1,$B53,S$1,$B$1)</f>
        <v>0</v>
      </c>
      <c r="T53" s="54">
        <f>_xll.EQNXTDZ($A$1,$B53,T$1,$B$1)</f>
        <v>0</v>
      </c>
      <c r="U53" s="54">
        <f>_xll.EQNXTDZ($A$1,$B53,U$1,$B$1)</f>
        <v>0</v>
      </c>
      <c r="V53" s="54">
        <f>_xll.EQNXTDZ($A$1,$B53,V$1,$B$1)</f>
        <v>0</v>
      </c>
      <c r="W53" s="54">
        <f>_xll.EQNXTDZ($A$1,$B53,W$1,$B$1)</f>
        <v>0</v>
      </c>
      <c r="X53" s="54">
        <f>_xll.EQNXTDZ($A$1,$B53,X$1,$B$1)</f>
        <v>0</v>
      </c>
      <c r="Y53" s="54">
        <f>_xll.EQNXTDZ($A$1,$B53,Y$1,$B$1)</f>
        <v>0</v>
      </c>
      <c r="Z53" s="54">
        <f>_xll.EQNXTDZ($A$1,$B53,Z$1,$B$1)</f>
        <v>40.312899999999999</v>
      </c>
      <c r="AA53" s="54">
        <f>_xll.EQNXTDZ($A$1,$B53,AA$1,$B$1)</f>
        <v>31.6968</v>
      </c>
      <c r="AB53" s="54">
        <f>_xll.EQNXTDZ($A$1,$B53,AB$1,$B$1)</f>
        <v>18.258199999999999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25.471541445</v>
      </c>
      <c r="D54" s="54">
        <f>_xll.EQNXTDZ($A$1,$B54,D$1,$B$1)</f>
        <v>31.764165409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0</v>
      </c>
      <c r="K54" s="54">
        <f>_xll.EQNXTDZ($A$1,$B54,K$1,$B$1)</f>
        <v>0</v>
      </c>
      <c r="L54" s="54">
        <f>_xll.EQNXTDZ($A$1,$B54,L$1,$B$1)</f>
        <v>0</v>
      </c>
      <c r="M54" s="54">
        <f>_xll.EQNXTDZ($A$1,$B54,M$1,$B$1)</f>
        <v>0</v>
      </c>
      <c r="N54" s="54">
        <f>_xll.EQNXTDZ($A$1,$B54,N$1,$B$1)</f>
        <v>0</v>
      </c>
      <c r="O54" s="54">
        <f>_xll.EQNXTDZ($A$1,$B54,O$1,$B$1)</f>
        <v>0</v>
      </c>
      <c r="P54" s="54">
        <f>_xll.EQNXTDZ($A$1,$B54,P$1,$B$1)</f>
        <v>0</v>
      </c>
      <c r="Q54" s="54">
        <f>_xll.EQNXTDZ($A$1,$B54,Q$1,$B$1)</f>
        <v>0</v>
      </c>
      <c r="R54" s="54">
        <f>_xll.EQNXTDZ($A$1,$B54,R$1,$B$1)</f>
        <v>0</v>
      </c>
      <c r="S54" s="54">
        <f>_xll.EQNXTDZ($A$1,$B54,S$1,$B$1)</f>
        <v>0</v>
      </c>
      <c r="T54" s="54">
        <f>_xll.EQNXTDZ($A$1,$B54,T$1,$B$1)</f>
        <v>0</v>
      </c>
      <c r="U54" s="54">
        <f>_xll.EQNXTDZ($A$1,$B54,U$1,$B$1)</f>
        <v>0</v>
      </c>
      <c r="V54" s="54">
        <f>_xll.EQNXTDZ($A$1,$B54,V$1,$B$1)</f>
        <v>0</v>
      </c>
      <c r="W54" s="54">
        <f>_xll.EQNXTDZ($A$1,$B54,W$1,$B$1)</f>
        <v>0</v>
      </c>
      <c r="X54" s="54">
        <f>_xll.EQNXTDZ($A$1,$B54,X$1,$B$1)</f>
        <v>0</v>
      </c>
      <c r="Y54" s="54">
        <f>_xll.EQNXTDZ($A$1,$B54,Y$1,$B$1)</f>
        <v>0</v>
      </c>
      <c r="Z54" s="54">
        <f>_xll.EQNXTDZ($A$1,$B54,Z$1,$B$1)</f>
        <v>311.16000000000003</v>
      </c>
      <c r="AA54" s="54">
        <f>_xll.EQNXTDZ($A$1,$B54,AA$1,$B$1)</f>
        <v>144.5309</v>
      </c>
      <c r="AB54" s="54">
        <f>_xll.EQNXTDZ($A$1,$B54,AB$1,$B$1)</f>
        <v>145.4066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3.6716632840000001</v>
      </c>
      <c r="D55" s="54">
        <f>_xll.EQNXTDZ($A$1,$B55,D$1,$B$1)</f>
        <v>15.105437069000001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0</v>
      </c>
      <c r="K55" s="54">
        <f>_xll.EQNXTDZ($A$1,$B55,K$1,$B$1)</f>
        <v>0</v>
      </c>
      <c r="L55" s="54">
        <f>_xll.EQNXTDZ($A$1,$B55,L$1,$B$1)</f>
        <v>0</v>
      </c>
      <c r="M55" s="54">
        <f>_xll.EQNXTDZ($A$1,$B55,M$1,$B$1)</f>
        <v>0</v>
      </c>
      <c r="N55" s="54">
        <f>_xll.EQNXTDZ($A$1,$B55,N$1,$B$1)</f>
        <v>0</v>
      </c>
      <c r="O55" s="54">
        <f>_xll.EQNXTDZ($A$1,$B55,O$1,$B$1)</f>
        <v>0</v>
      </c>
      <c r="P55" s="54">
        <f>_xll.EQNXTDZ($A$1,$B55,P$1,$B$1)</f>
        <v>0</v>
      </c>
      <c r="Q55" s="54">
        <f>_xll.EQNXTDZ($A$1,$B55,Q$1,$B$1)</f>
        <v>0</v>
      </c>
      <c r="R55" s="54">
        <f>_xll.EQNXTDZ($A$1,$B55,R$1,$B$1)</f>
        <v>0</v>
      </c>
      <c r="S55" s="54">
        <f>_xll.EQNXTDZ($A$1,$B55,S$1,$B$1)</f>
        <v>0</v>
      </c>
      <c r="T55" s="54">
        <f>_xll.EQNXTDZ($A$1,$B55,T$1,$B$1)</f>
        <v>0</v>
      </c>
      <c r="U55" s="54">
        <f>_xll.EQNXTDZ($A$1,$B55,U$1,$B$1)</f>
        <v>0</v>
      </c>
      <c r="V55" s="54">
        <f>_xll.EQNXTDZ($A$1,$B55,V$1,$B$1)</f>
        <v>0</v>
      </c>
      <c r="W55" s="54">
        <f>_xll.EQNXTDZ($A$1,$B55,W$1,$B$1)</f>
        <v>0</v>
      </c>
      <c r="X55" s="54">
        <f>_xll.EQNXTDZ($A$1,$B55,X$1,$B$1)</f>
        <v>0</v>
      </c>
      <c r="Y55" s="54">
        <f>_xll.EQNXTDZ($A$1,$B55,Y$1,$B$1)</f>
        <v>0</v>
      </c>
      <c r="Z55" s="54">
        <f>_xll.EQNXTDZ($A$1,$B55,Z$1,$B$1)</f>
        <v>257.13869999999997</v>
      </c>
      <c r="AA55" s="54">
        <f>_xll.EQNXTDZ($A$1,$B55,AA$1,$B$1)</f>
        <v>182.833</v>
      </c>
      <c r="AB55" s="54">
        <f>_xll.EQNXTDZ($A$1,$B55,AB$1,$B$1)</f>
        <v>265.74200000000002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0</v>
      </c>
      <c r="O56" s="54">
        <f>_xll.EQNXTDZ($A$1,$B56,O$1,$B$1)</f>
        <v>0</v>
      </c>
      <c r="P56" s="54">
        <f>_xll.EQNXTDZ($A$1,$B56,P$1,$B$1)</f>
        <v>0</v>
      </c>
      <c r="Q56" s="54">
        <f>_xll.EQNXTDZ($A$1,$B56,Q$1,$B$1)</f>
        <v>0</v>
      </c>
      <c r="R56" s="54">
        <f>_xll.EQNXTDZ($A$1,$B56,R$1,$B$1)</f>
        <v>0</v>
      </c>
      <c r="S56" s="54">
        <f>_xll.EQNXTDZ($A$1,$B56,S$1,$B$1)</f>
        <v>0</v>
      </c>
      <c r="T56" s="54">
        <f>_xll.EQNXTDZ($A$1,$B56,T$1,$B$1)</f>
        <v>0</v>
      </c>
      <c r="U56" s="54">
        <f>_xll.EQNXTDZ($A$1,$B56,U$1,$B$1)</f>
        <v>0</v>
      </c>
      <c r="V56" s="54">
        <f>_xll.EQNXTDZ($A$1,$B56,V$1,$B$1)</f>
        <v>0</v>
      </c>
      <c r="W56" s="54">
        <f>_xll.EQNXTDZ($A$1,$B56,W$1,$B$1)</f>
        <v>0</v>
      </c>
      <c r="X56" s="54">
        <f>_xll.EQNXTDZ($A$1,$B56,X$1,$B$1)</f>
        <v>0</v>
      </c>
      <c r="Y56" s="54">
        <f>_xll.EQNXTDZ($A$1,$B56,Y$1,$B$1)</f>
        <v>0</v>
      </c>
      <c r="Z56" s="54">
        <f>_xll.EQNXTDZ($A$1,$B56,Z$1,$B$1)</f>
        <v>0</v>
      </c>
      <c r="AA56" s="54">
        <f>_xll.EQNXTDZ($A$1,$B56,AA$1,$B$1)</f>
        <v>0</v>
      </c>
      <c r="AB56" s="54">
        <f>_xll.EQNXTDZ($A$1,$B56,AB$1,$B$1)</f>
        <v>0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2.5499999999999998</v>
      </c>
      <c r="D57" s="54">
        <f>_xll.EQNXTDZ($A$1,$B57,D$1,$B$1)</f>
        <v>4.1603674499999999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0</v>
      </c>
      <c r="K57" s="54">
        <f>_xll.EQNXTDZ($A$1,$B57,K$1,$B$1)</f>
        <v>0</v>
      </c>
      <c r="L57" s="54">
        <f>_xll.EQNXTDZ($A$1,$B57,L$1,$B$1)</f>
        <v>0</v>
      </c>
      <c r="M57" s="54">
        <f>_xll.EQNXTDZ($A$1,$B57,M$1,$B$1)</f>
        <v>0</v>
      </c>
      <c r="N57" s="54">
        <f>_xll.EQNXTDZ($A$1,$B57,N$1,$B$1)</f>
        <v>0</v>
      </c>
      <c r="O57" s="54">
        <f>_xll.EQNXTDZ($A$1,$B57,O$1,$B$1)</f>
        <v>0</v>
      </c>
      <c r="P57" s="54">
        <f>_xll.EQNXTDZ($A$1,$B57,P$1,$B$1)</f>
        <v>0</v>
      </c>
      <c r="Q57" s="54">
        <f>_xll.EQNXTDZ($A$1,$B57,Q$1,$B$1)</f>
        <v>0</v>
      </c>
      <c r="R57" s="54">
        <f>_xll.EQNXTDZ($A$1,$B57,R$1,$B$1)</f>
        <v>0</v>
      </c>
      <c r="S57" s="54">
        <f>_xll.EQNXTDZ($A$1,$B57,S$1,$B$1)</f>
        <v>0</v>
      </c>
      <c r="T57" s="54">
        <f>_xll.EQNXTDZ($A$1,$B57,T$1,$B$1)</f>
        <v>0</v>
      </c>
      <c r="U57" s="54">
        <f>_xll.EQNXTDZ($A$1,$B57,U$1,$B$1)</f>
        <v>0</v>
      </c>
      <c r="V57" s="54">
        <f>_xll.EQNXTDZ($A$1,$B57,V$1,$B$1)</f>
        <v>0</v>
      </c>
      <c r="W57" s="54">
        <f>_xll.EQNXTDZ($A$1,$B57,W$1,$B$1)</f>
        <v>0</v>
      </c>
      <c r="X57" s="54">
        <f>_xll.EQNXTDZ($A$1,$B57,X$1,$B$1)</f>
        <v>0</v>
      </c>
      <c r="Y57" s="54">
        <f>_xll.EQNXTDZ($A$1,$B57,Y$1,$B$1)</f>
        <v>0</v>
      </c>
      <c r="Z57" s="54">
        <f>_xll.EQNXTDZ($A$1,$B57,Z$1,$B$1)</f>
        <v>7.6718999999999999</v>
      </c>
      <c r="AA57" s="54">
        <f>_xll.EQNXTDZ($A$1,$B57,AA$1,$B$1)</f>
        <v>14.409000000000001</v>
      </c>
      <c r="AB57" s="54">
        <f>_xll.EQNXTDZ($A$1,$B57,AB$1,$B$1)</f>
        <v>41.576599999999999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31.693204729000001</v>
      </c>
      <c r="D59" s="54">
        <f>_xll.EQNXTDZ($A$1,$B59,D$1,$B$1)</f>
        <v>51.029969928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0</v>
      </c>
      <c r="K59" s="54">
        <f>_xll.EQNXTDZ($A$1,$B59,K$1,$B$1)</f>
        <v>0</v>
      </c>
      <c r="L59" s="54">
        <f>_xll.EQNXTDZ($A$1,$B59,L$1,$B$1)</f>
        <v>0</v>
      </c>
      <c r="M59" s="54">
        <f>_xll.EQNXTDZ($A$1,$B59,M$1,$B$1)</f>
        <v>0</v>
      </c>
      <c r="N59" s="54">
        <f>_xll.EQNXTDZ($A$1,$B59,N$1,$B$1)</f>
        <v>0</v>
      </c>
      <c r="O59" s="54">
        <f>_xll.EQNXTDZ($A$1,$B59,O$1,$B$1)</f>
        <v>0</v>
      </c>
      <c r="P59" s="54">
        <f>_xll.EQNXTDZ($A$1,$B59,P$1,$B$1)</f>
        <v>0</v>
      </c>
      <c r="Q59" s="54">
        <f>_xll.EQNXTDZ($A$1,$B59,Q$1,$B$1)</f>
        <v>0</v>
      </c>
      <c r="R59" s="54">
        <f>_xll.EQNXTDZ($A$1,$B59,R$1,$B$1)</f>
        <v>0</v>
      </c>
      <c r="S59" s="54">
        <f>_xll.EQNXTDZ($A$1,$B59,S$1,$B$1)</f>
        <v>0</v>
      </c>
      <c r="T59" s="54">
        <f>_xll.EQNXTDZ($A$1,$B59,T$1,$B$1)</f>
        <v>0</v>
      </c>
      <c r="U59" s="54">
        <f>_xll.EQNXTDZ($A$1,$B59,U$1,$B$1)</f>
        <v>0</v>
      </c>
      <c r="V59" s="54">
        <f>_xll.EQNXTDZ($A$1,$B59,V$1,$B$1)</f>
        <v>0</v>
      </c>
      <c r="W59" s="54">
        <f>_xll.EQNXTDZ($A$1,$B59,W$1,$B$1)</f>
        <v>0</v>
      </c>
      <c r="X59" s="54">
        <f>_xll.EQNXTDZ($A$1,$B59,X$1,$B$1)</f>
        <v>0</v>
      </c>
      <c r="Y59" s="54">
        <f>_xll.EQNXTDZ($A$1,$B59,Y$1,$B$1)</f>
        <v>0</v>
      </c>
      <c r="Z59" s="54">
        <f>_xll.EQNXTDZ($A$1,$B59,Z$1,$B$1)</f>
        <v>575.97059999999999</v>
      </c>
      <c r="AA59" s="54">
        <f>_xll.EQNXTDZ($A$1,$B59,AA$1,$B$1)</f>
        <v>341.77289999999999</v>
      </c>
      <c r="AB59" s="54">
        <f>_xll.EQNXTDZ($A$1,$B59,AB$1,$B$1)</f>
        <v>452.72519999999997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108.511965007</v>
      </c>
      <c r="D60" s="54">
        <f>_xll.EQNXTDZ($A$1,$B60,D$1,$B$1)</f>
        <v>134.80592643400001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0</v>
      </c>
      <c r="K60" s="54">
        <f>_xll.EQNXTDZ($A$1,$B60,K$1,$B$1)</f>
        <v>0</v>
      </c>
      <c r="L60" s="54">
        <f>_xll.EQNXTDZ($A$1,$B60,L$1,$B$1)</f>
        <v>0</v>
      </c>
      <c r="M60" s="54">
        <f>_xll.EQNXTDZ($A$1,$B60,M$1,$B$1)</f>
        <v>0</v>
      </c>
      <c r="N60" s="54">
        <f>_xll.EQNXTDZ($A$1,$B60,N$1,$B$1)</f>
        <v>0</v>
      </c>
      <c r="O60" s="54">
        <f>_xll.EQNXTDZ($A$1,$B60,O$1,$B$1)</f>
        <v>0</v>
      </c>
      <c r="P60" s="54">
        <f>_xll.EQNXTDZ($A$1,$B60,P$1,$B$1)</f>
        <v>0</v>
      </c>
      <c r="Q60" s="54">
        <f>_xll.EQNXTDZ($A$1,$B60,Q$1,$B$1)</f>
        <v>0</v>
      </c>
      <c r="R60" s="54">
        <f>_xll.EQNXTDZ($A$1,$B60,R$1,$B$1)</f>
        <v>0</v>
      </c>
      <c r="S60" s="54">
        <f>_xll.EQNXTDZ($A$1,$B60,S$1,$B$1)</f>
        <v>0</v>
      </c>
      <c r="T60" s="54">
        <f>_xll.EQNXTDZ($A$1,$B60,T$1,$B$1)</f>
        <v>0</v>
      </c>
      <c r="U60" s="54">
        <f>_xll.EQNXTDZ($A$1,$B60,U$1,$B$1)</f>
        <v>0</v>
      </c>
      <c r="V60" s="54">
        <f>_xll.EQNXTDZ($A$1,$B60,V$1,$B$1)</f>
        <v>0</v>
      </c>
      <c r="W60" s="54">
        <f>_xll.EQNXTDZ($A$1,$B60,W$1,$B$1)</f>
        <v>0</v>
      </c>
      <c r="X60" s="54">
        <f>_xll.EQNXTDZ($A$1,$B60,X$1,$B$1)</f>
        <v>0</v>
      </c>
      <c r="Y60" s="54">
        <f>_xll.EQNXTDZ($A$1,$B60,Y$1,$B$1)</f>
        <v>0</v>
      </c>
      <c r="Z60" s="54">
        <f>_xll.EQNXTDZ($A$1,$B60,Z$1,$B$1)</f>
        <v>827.67560000000003</v>
      </c>
      <c r="AA60" s="54">
        <f>_xll.EQNXTDZ($A$1,$B60,AA$1,$B$1)</f>
        <v>574.62139999999999</v>
      </c>
      <c r="AB60" s="54">
        <f>_xll.EQNXTDZ($A$1,$B60,AB$1,$B$1)</f>
        <v>681.12710000000004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39.986923535000003</v>
      </c>
      <c r="D62" s="54">
        <f>_xll.EQNXTDZ($A$1,$B62,D$1,$B$1)</f>
        <v>43.116750701000001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0</v>
      </c>
      <c r="K62" s="54">
        <f>_xll.EQNXTDZ($A$1,$B62,K$1,$B$1)</f>
        <v>0</v>
      </c>
      <c r="L62" s="54">
        <f>_xll.EQNXTDZ($A$1,$B62,L$1,$B$1)</f>
        <v>0</v>
      </c>
      <c r="M62" s="54">
        <f>_xll.EQNXTDZ($A$1,$B62,M$1,$B$1)</f>
        <v>0</v>
      </c>
      <c r="N62" s="54">
        <f>_xll.EQNXTDZ($A$1,$B62,N$1,$B$1)</f>
        <v>0</v>
      </c>
      <c r="O62" s="54">
        <f>_xll.EQNXTDZ($A$1,$B62,O$1,$B$1)</f>
        <v>0</v>
      </c>
      <c r="P62" s="54">
        <f>_xll.EQNXTDZ($A$1,$B62,P$1,$B$1)</f>
        <v>0</v>
      </c>
      <c r="Q62" s="54">
        <f>_xll.EQNXTDZ($A$1,$B62,Q$1,$B$1)</f>
        <v>0</v>
      </c>
      <c r="R62" s="54">
        <f>_xll.EQNXTDZ($A$1,$B62,R$1,$B$1)</f>
        <v>0</v>
      </c>
      <c r="S62" s="54">
        <f>_xll.EQNXTDZ($A$1,$B62,S$1,$B$1)</f>
        <v>0</v>
      </c>
      <c r="T62" s="54">
        <f>_xll.EQNXTDZ($A$1,$B62,T$1,$B$1)</f>
        <v>0</v>
      </c>
      <c r="U62" s="54">
        <f>_xll.EQNXTDZ($A$1,$B62,U$1,$B$1)</f>
        <v>0</v>
      </c>
      <c r="V62" s="54">
        <f>_xll.EQNXTDZ($A$1,$B62,V$1,$B$1)</f>
        <v>0</v>
      </c>
      <c r="W62" s="54">
        <f>_xll.EQNXTDZ($A$1,$B62,W$1,$B$1)</f>
        <v>0</v>
      </c>
      <c r="X62" s="54">
        <f>_xll.EQNXTDZ($A$1,$B62,X$1,$B$1)</f>
        <v>0</v>
      </c>
      <c r="Y62" s="54">
        <f>_xll.EQNXTDZ($A$1,$B62,Y$1,$B$1)</f>
        <v>0</v>
      </c>
      <c r="Z62" s="54">
        <f>_xll.EQNXTDZ($A$1,$B62,Z$1,$B$1)</f>
        <v>92.999899999999997</v>
      </c>
      <c r="AA62" s="54">
        <f>_xll.EQNXTDZ($A$1,$B62,AA$1,$B$1)</f>
        <v>96.406400000000005</v>
      </c>
      <c r="AB62" s="54">
        <f>_xll.EQNXTDZ($A$1,$B62,AB$1,$B$1)</f>
        <v>105.3115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17.077851548999998</v>
      </c>
      <c r="D63" s="54">
        <f>_xll.EQNXTDZ($A$1,$B63,D$1,$B$1)</f>
        <v>19.687981758999999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0</v>
      </c>
      <c r="K63" s="54">
        <f>_xll.EQNXTDZ($A$1,$B63,K$1,$B$1)</f>
        <v>0</v>
      </c>
      <c r="L63" s="54">
        <f>_xll.EQNXTDZ($A$1,$B63,L$1,$B$1)</f>
        <v>0</v>
      </c>
      <c r="M63" s="54">
        <f>_xll.EQNXTDZ($A$1,$B63,M$1,$B$1)</f>
        <v>0</v>
      </c>
      <c r="N63" s="54">
        <f>_xll.EQNXTDZ($A$1,$B63,N$1,$B$1)</f>
        <v>0</v>
      </c>
      <c r="O63" s="54">
        <f>_xll.EQNXTDZ($A$1,$B63,O$1,$B$1)</f>
        <v>0</v>
      </c>
      <c r="P63" s="54">
        <f>_xll.EQNXTDZ($A$1,$B63,P$1,$B$1)</f>
        <v>0</v>
      </c>
      <c r="Q63" s="54">
        <f>_xll.EQNXTDZ($A$1,$B63,Q$1,$B$1)</f>
        <v>0</v>
      </c>
      <c r="R63" s="54">
        <f>_xll.EQNXTDZ($A$1,$B63,R$1,$B$1)</f>
        <v>0</v>
      </c>
      <c r="S63" s="54">
        <f>_xll.EQNXTDZ($A$1,$B63,S$1,$B$1)</f>
        <v>0</v>
      </c>
      <c r="T63" s="54">
        <f>_xll.EQNXTDZ($A$1,$B63,T$1,$B$1)</f>
        <v>0</v>
      </c>
      <c r="U63" s="54">
        <f>_xll.EQNXTDZ($A$1,$B63,U$1,$B$1)</f>
        <v>0</v>
      </c>
      <c r="V63" s="54">
        <f>_xll.EQNXTDZ($A$1,$B63,V$1,$B$1)</f>
        <v>0</v>
      </c>
      <c r="W63" s="54">
        <f>_xll.EQNXTDZ($A$1,$B63,W$1,$B$1)</f>
        <v>0</v>
      </c>
      <c r="X63" s="54">
        <f>_xll.EQNXTDZ($A$1,$B63,X$1,$B$1)</f>
        <v>0</v>
      </c>
      <c r="Y63" s="54">
        <f>_xll.EQNXTDZ($A$1,$B63,Y$1,$B$1)</f>
        <v>0</v>
      </c>
      <c r="Z63" s="54">
        <f>_xll.EQNXTDZ($A$1,$B63,Z$1,$B$1)</f>
        <v>40.005099999999999</v>
      </c>
      <c r="AA63" s="54">
        <f>_xll.EQNXTDZ($A$1,$B63,AA$1,$B$1)</f>
        <v>43.605899999999998</v>
      </c>
      <c r="AB63" s="54">
        <f>_xll.EQNXTDZ($A$1,$B63,AB$1,$B$1)</f>
        <v>48.527700000000003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22.909071986000001</v>
      </c>
      <c r="D65" s="54">
        <f>_xll.EQNXTDZ($A$1,$B65,D$1,$B$1)</f>
        <v>23.428768942000001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0</v>
      </c>
      <c r="K65" s="54">
        <f>_xll.EQNXTDZ($A$1,$B65,K$1,$B$1)</f>
        <v>0</v>
      </c>
      <c r="L65" s="54">
        <f>_xll.EQNXTDZ($A$1,$B65,L$1,$B$1)</f>
        <v>0</v>
      </c>
      <c r="M65" s="54">
        <f>_xll.EQNXTDZ($A$1,$B65,M$1,$B$1)</f>
        <v>0</v>
      </c>
      <c r="N65" s="54">
        <f>_xll.EQNXTDZ($A$1,$B65,N$1,$B$1)</f>
        <v>0</v>
      </c>
      <c r="O65" s="54">
        <f>_xll.EQNXTDZ($A$1,$B65,O$1,$B$1)</f>
        <v>0</v>
      </c>
      <c r="P65" s="54">
        <f>_xll.EQNXTDZ($A$1,$B65,P$1,$B$1)</f>
        <v>0</v>
      </c>
      <c r="Q65" s="54">
        <f>_xll.EQNXTDZ($A$1,$B65,Q$1,$B$1)</f>
        <v>0</v>
      </c>
      <c r="R65" s="54">
        <f>_xll.EQNXTDZ($A$1,$B65,R$1,$B$1)</f>
        <v>0</v>
      </c>
      <c r="S65" s="54">
        <f>_xll.EQNXTDZ($A$1,$B65,S$1,$B$1)</f>
        <v>0</v>
      </c>
      <c r="T65" s="54">
        <f>_xll.EQNXTDZ($A$1,$B65,T$1,$B$1)</f>
        <v>0</v>
      </c>
      <c r="U65" s="54">
        <f>_xll.EQNXTDZ($A$1,$B65,U$1,$B$1)</f>
        <v>0</v>
      </c>
      <c r="V65" s="54">
        <f>_xll.EQNXTDZ($A$1,$B65,V$1,$B$1)</f>
        <v>0</v>
      </c>
      <c r="W65" s="54">
        <f>_xll.EQNXTDZ($A$1,$B65,W$1,$B$1)</f>
        <v>0</v>
      </c>
      <c r="X65" s="54">
        <f>_xll.EQNXTDZ($A$1,$B65,X$1,$B$1)</f>
        <v>0</v>
      </c>
      <c r="Y65" s="54">
        <f>_xll.EQNXTDZ($A$1,$B65,Y$1,$B$1)</f>
        <v>0</v>
      </c>
      <c r="Z65" s="54">
        <f>_xll.EQNXTDZ($A$1,$B65,Z$1,$B$1)</f>
        <v>52.994799999999998</v>
      </c>
      <c r="AA65" s="54">
        <f>_xll.EQNXTDZ($A$1,$B65,AA$1,$B$1)</f>
        <v>52.8005</v>
      </c>
      <c r="AB65" s="54">
        <f>_xll.EQNXTDZ($A$1,$B65,AB$1,$B$1)</f>
        <v>56.783799999999999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1.521395574</v>
      </c>
      <c r="D67" s="54">
        <f>_xll.EQNXTDZ($A$1,$B67,D$1,$B$1)</f>
        <v>1.5843519740000001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0</v>
      </c>
      <c r="K67" s="54">
        <f>_xll.EQNXTDZ($A$1,$B67,K$1,$B$1)</f>
        <v>0</v>
      </c>
      <c r="L67" s="54">
        <f>_xll.EQNXTDZ($A$1,$B67,L$1,$B$1)</f>
        <v>0</v>
      </c>
      <c r="M67" s="54">
        <f>_xll.EQNXTDZ($A$1,$B67,M$1,$B$1)</f>
        <v>0</v>
      </c>
      <c r="N67" s="54">
        <f>_xll.EQNXTDZ($A$1,$B67,N$1,$B$1)</f>
        <v>0</v>
      </c>
      <c r="O67" s="54">
        <f>_xll.EQNXTDZ($A$1,$B67,O$1,$B$1)</f>
        <v>0</v>
      </c>
      <c r="P67" s="54">
        <f>_xll.EQNXTDZ($A$1,$B67,P$1,$B$1)</f>
        <v>0</v>
      </c>
      <c r="Q67" s="54">
        <f>_xll.EQNXTDZ($A$1,$B67,Q$1,$B$1)</f>
        <v>0</v>
      </c>
      <c r="R67" s="54">
        <f>_xll.EQNXTDZ($A$1,$B67,R$1,$B$1)</f>
        <v>0</v>
      </c>
      <c r="S67" s="54">
        <f>_xll.EQNXTDZ($A$1,$B67,S$1,$B$1)</f>
        <v>0</v>
      </c>
      <c r="T67" s="54">
        <f>_xll.EQNXTDZ($A$1,$B67,T$1,$B$1)</f>
        <v>0</v>
      </c>
      <c r="U67" s="54">
        <f>_xll.EQNXTDZ($A$1,$B67,U$1,$B$1)</f>
        <v>0</v>
      </c>
      <c r="V67" s="54">
        <f>_xll.EQNXTDZ($A$1,$B67,V$1,$B$1)</f>
        <v>0</v>
      </c>
      <c r="W67" s="54">
        <f>_xll.EQNXTDZ($A$1,$B67,W$1,$B$1)</f>
        <v>0</v>
      </c>
      <c r="X67" s="54">
        <f>_xll.EQNXTDZ($A$1,$B67,X$1,$B$1)</f>
        <v>0</v>
      </c>
      <c r="Y67" s="54">
        <f>_xll.EQNXTDZ($A$1,$B67,Y$1,$B$1)</f>
        <v>0</v>
      </c>
      <c r="Z67" s="54">
        <f>_xll.EQNXTDZ($A$1,$B67,Z$1,$B$1)</f>
        <v>0.71609999999999996</v>
      </c>
      <c r="AA67" s="54">
        <f>_xll.EQNXTDZ($A$1,$B67,AA$1,$B$1)</f>
        <v>4.7882999999999996</v>
      </c>
      <c r="AB67" s="54">
        <f>_xll.EQNXTDZ($A$1,$B67,AB$1,$B$1)</f>
        <v>1.1389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4.4885000000000002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0.51026119999999997</v>
      </c>
      <c r="D71" s="54">
        <f>_xll.EQNXTDZ($A$1,$B71,D$1,$B$1)</f>
        <v>0.51026119999999997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0</v>
      </c>
      <c r="K71" s="54">
        <f>_xll.EQNXTDZ($A$1,$B71,K$1,$B$1)</f>
        <v>0</v>
      </c>
      <c r="L71" s="54">
        <f>_xll.EQNXTDZ($A$1,$B71,L$1,$B$1)</f>
        <v>0</v>
      </c>
      <c r="M71" s="54">
        <f>_xll.EQNXTDZ($A$1,$B71,M$1,$B$1)</f>
        <v>0</v>
      </c>
      <c r="N71" s="54">
        <f>_xll.EQNXTDZ($A$1,$B71,N$1,$B$1)</f>
        <v>0</v>
      </c>
      <c r="O71" s="54">
        <f>_xll.EQNXTDZ($A$1,$B71,O$1,$B$1)</f>
        <v>0</v>
      </c>
      <c r="P71" s="54">
        <f>_xll.EQNXTDZ($A$1,$B71,P$1,$B$1)</f>
        <v>0</v>
      </c>
      <c r="Q71" s="54">
        <f>_xll.EQNXTDZ($A$1,$B71,Q$1,$B$1)</f>
        <v>0</v>
      </c>
      <c r="R71" s="54">
        <f>_xll.EQNXTDZ($A$1,$B71,R$1,$B$1)</f>
        <v>0</v>
      </c>
      <c r="S71" s="54">
        <f>_xll.EQNXTDZ($A$1,$B71,S$1,$B$1)</f>
        <v>0</v>
      </c>
      <c r="T71" s="54">
        <f>_xll.EQNXTDZ($A$1,$B71,T$1,$B$1)</f>
        <v>0</v>
      </c>
      <c r="U71" s="54">
        <f>_xll.EQNXTDZ($A$1,$B71,U$1,$B$1)</f>
        <v>0</v>
      </c>
      <c r="V71" s="54">
        <f>_xll.EQNXTDZ($A$1,$B71,V$1,$B$1)</f>
        <v>0</v>
      </c>
      <c r="W71" s="54">
        <f>_xll.EQNXTDZ($A$1,$B71,W$1,$B$1)</f>
        <v>0</v>
      </c>
      <c r="X71" s="54">
        <f>_xll.EQNXTDZ($A$1,$B71,X$1,$B$1)</f>
        <v>0</v>
      </c>
      <c r="Y71" s="54">
        <f>_xll.EQNXTDZ($A$1,$B71,Y$1,$B$1)</f>
        <v>0</v>
      </c>
      <c r="Z71" s="54">
        <f>_xll.EQNXTDZ($A$1,$B71,Z$1,$B$1)</f>
        <v>0</v>
      </c>
      <c r="AA71" s="54">
        <f>_xll.EQNXTDZ($A$1,$B71,AA$1,$B$1)</f>
        <v>0</v>
      </c>
      <c r="AB71" s="54">
        <f>_xll.EQNXTDZ($A$1,$B71,AB$1,$B$1)</f>
        <v>0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0</v>
      </c>
      <c r="O72" s="54">
        <f>_xll.EQNXTDZ($A$1,$B72,O$1,$B$1)</f>
        <v>0</v>
      </c>
      <c r="P72" s="54">
        <f>_xll.EQNXTDZ($A$1,$B72,P$1,$B$1)</f>
        <v>0</v>
      </c>
      <c r="Q72" s="54">
        <f>_xll.EQNXTDZ($A$1,$B72,Q$1,$B$1)</f>
        <v>0</v>
      </c>
      <c r="R72" s="54">
        <f>_xll.EQNXTDZ($A$1,$B72,R$1,$B$1)</f>
        <v>0</v>
      </c>
      <c r="S72" s="54">
        <f>_xll.EQNXTDZ($A$1,$B72,S$1,$B$1)</f>
        <v>0</v>
      </c>
      <c r="T72" s="54">
        <f>_xll.EQNXTDZ($A$1,$B72,T$1,$B$1)</f>
        <v>0</v>
      </c>
      <c r="U72" s="54">
        <f>_xll.EQNXTDZ($A$1,$B72,U$1,$B$1)</f>
        <v>0</v>
      </c>
      <c r="V72" s="54">
        <f>_xll.EQNXTDZ($A$1,$B72,V$1,$B$1)</f>
        <v>0</v>
      </c>
      <c r="W72" s="54">
        <f>_xll.EQNXTDZ($A$1,$B72,W$1,$B$1)</f>
        <v>0</v>
      </c>
      <c r="X72" s="54">
        <f>_xll.EQNXTDZ($A$1,$B72,X$1,$B$1)</f>
        <v>0</v>
      </c>
      <c r="Y72" s="54">
        <f>_xll.EQNXTDZ($A$1,$B72,Y$1,$B$1)</f>
        <v>0</v>
      </c>
      <c r="Z72" s="54">
        <f>_xll.EQNXTDZ($A$1,$B72,Z$1,$B$1)</f>
        <v>101.89409999999999</v>
      </c>
      <c r="AA72" s="54">
        <f>_xll.EQNXTDZ($A$1,$B72,AA$1,$B$1)</f>
        <v>72.437299999999993</v>
      </c>
      <c r="AB72" s="54">
        <f>_xll.EQNXTDZ($A$1,$B72,AB$1,$B$1)</f>
        <v>13.7058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</v>
      </c>
      <c r="O73" s="54">
        <f>_xll.EQNXTDZ($A$1,$B73,O$1,$B$1)</f>
        <v>0</v>
      </c>
      <c r="P73" s="54">
        <f>_xll.EQNXTDZ($A$1,$B73,P$1,$B$1)</f>
        <v>0</v>
      </c>
      <c r="Q73" s="54">
        <f>_xll.EQNXTDZ($A$1,$B73,Q$1,$B$1)</f>
        <v>0</v>
      </c>
      <c r="R73" s="54">
        <f>_xll.EQNXTDZ($A$1,$B73,R$1,$B$1)</f>
        <v>0</v>
      </c>
      <c r="S73" s="54">
        <f>_xll.EQNXTDZ($A$1,$B73,S$1,$B$1)</f>
        <v>0</v>
      </c>
      <c r="T73" s="54">
        <f>_xll.EQNXTDZ($A$1,$B73,T$1,$B$1)</f>
        <v>0</v>
      </c>
      <c r="U73" s="54">
        <f>_xll.EQNXTDZ($A$1,$B73,U$1,$B$1)</f>
        <v>0</v>
      </c>
      <c r="V73" s="54">
        <f>_xll.EQNXTDZ($A$1,$B73,V$1,$B$1)</f>
        <v>0</v>
      </c>
      <c r="W73" s="54">
        <f>_xll.EQNXTDZ($A$1,$B73,W$1,$B$1)</f>
        <v>0</v>
      </c>
      <c r="X73" s="54">
        <f>_xll.EQNXTDZ($A$1,$B73,X$1,$B$1)</f>
        <v>0</v>
      </c>
      <c r="Y73" s="54">
        <f>_xll.EQNXTDZ($A$1,$B73,Y$1,$B$1)</f>
        <v>0</v>
      </c>
      <c r="Z73" s="54">
        <f>_xll.EQNXTDZ($A$1,$B73,Z$1,$B$1)</f>
        <v>21.604299999999999</v>
      </c>
      <c r="AA73" s="54">
        <f>_xll.EQNXTDZ($A$1,$B73,AA$1,$B$1)</f>
        <v>12.4435</v>
      </c>
      <c r="AB73" s="54">
        <f>_xll.EQNXTDZ($A$1,$B73,AB$1,$B$1)</f>
        <v>9.2712000000000003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24.940728759999999</v>
      </c>
      <c r="D74" s="54">
        <f>_xll.EQNXTDZ($A$1,$B74,D$1,$B$1)</f>
        <v>25.523382116000001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0</v>
      </c>
      <c r="K74" s="54">
        <f>_xll.EQNXTDZ($A$1,$B74,K$1,$B$1)</f>
        <v>0</v>
      </c>
      <c r="L74" s="54">
        <f>_xll.EQNXTDZ($A$1,$B74,L$1,$B$1)</f>
        <v>0</v>
      </c>
      <c r="M74" s="54">
        <f>_xll.EQNXTDZ($A$1,$B74,M$1,$B$1)</f>
        <v>0</v>
      </c>
      <c r="N74" s="54">
        <f>_xll.EQNXTDZ($A$1,$B74,N$1,$B$1)</f>
        <v>0</v>
      </c>
      <c r="O74" s="54">
        <f>_xll.EQNXTDZ($A$1,$B74,O$1,$B$1)</f>
        <v>0</v>
      </c>
      <c r="P74" s="54">
        <f>_xll.EQNXTDZ($A$1,$B74,P$1,$B$1)</f>
        <v>0</v>
      </c>
      <c r="Q74" s="54">
        <f>_xll.EQNXTDZ($A$1,$B74,Q$1,$B$1)</f>
        <v>0</v>
      </c>
      <c r="R74" s="54">
        <f>_xll.EQNXTDZ($A$1,$B74,R$1,$B$1)</f>
        <v>0</v>
      </c>
      <c r="S74" s="54">
        <f>_xll.EQNXTDZ($A$1,$B74,S$1,$B$1)</f>
        <v>0</v>
      </c>
      <c r="T74" s="54">
        <f>_xll.EQNXTDZ($A$1,$B74,T$1,$B$1)</f>
        <v>0</v>
      </c>
      <c r="U74" s="54">
        <f>_xll.EQNXTDZ($A$1,$B74,U$1,$B$1)</f>
        <v>0</v>
      </c>
      <c r="V74" s="54">
        <f>_xll.EQNXTDZ($A$1,$B74,V$1,$B$1)</f>
        <v>0</v>
      </c>
      <c r="W74" s="54">
        <f>_xll.EQNXTDZ($A$1,$B74,W$1,$B$1)</f>
        <v>0</v>
      </c>
      <c r="X74" s="54">
        <f>_xll.EQNXTDZ($A$1,$B74,X$1,$B$1)</f>
        <v>0</v>
      </c>
      <c r="Y74" s="54">
        <f>_xll.EQNXTDZ($A$1,$B74,Y$1,$B$1)</f>
        <v>0</v>
      </c>
      <c r="Z74" s="54">
        <f>_xll.EQNXTDZ($A$1,$B74,Z$1,$B$1)</f>
        <v>177.20930000000001</v>
      </c>
      <c r="AA74" s="54">
        <f>_xll.EQNXTDZ($A$1,$B74,AA$1,$B$1)</f>
        <v>146.9581</v>
      </c>
      <c r="AB74" s="54">
        <f>_xll.EQNXTDZ($A$1,$B74,AB$1,$B$1)</f>
        <v>80.899699999999996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0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0</v>
      </c>
      <c r="Q75" s="54">
        <f>_xll.EQNXTDZ($A$1,$B75,Q$1,$B$1)</f>
        <v>0</v>
      </c>
      <c r="R75" s="54">
        <f>_xll.EQNXTDZ($A$1,$B75,R$1,$B$1)</f>
        <v>0</v>
      </c>
      <c r="S75" s="54">
        <f>_xll.EQNXTDZ($A$1,$B75,S$1,$B$1)</f>
        <v>0</v>
      </c>
      <c r="T75" s="54">
        <f>_xll.EQNXTDZ($A$1,$B75,T$1,$B$1)</f>
        <v>0</v>
      </c>
      <c r="U75" s="54">
        <f>_xll.EQNXTDZ($A$1,$B75,U$1,$B$1)</f>
        <v>0</v>
      </c>
      <c r="V75" s="54">
        <f>_xll.EQNXTDZ($A$1,$B75,V$1,$B$1)</f>
        <v>0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0</v>
      </c>
      <c r="AA75" s="54">
        <f>_xll.EQNXTDZ($A$1,$B75,AA$1,$B$1)</f>
        <v>0</v>
      </c>
      <c r="AB75" s="54">
        <f>_xll.EQNXTDZ($A$1,$B75,AB$1,$B$1)</f>
        <v>0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42.492800000000003</v>
      </c>
      <c r="D76" s="54">
        <f>_xll.EQNXTDZ($A$1,$B76,D$1,$B$1)</f>
        <v>32.476325299999999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0</v>
      </c>
      <c r="K76" s="54">
        <f>_xll.EQNXTDZ($A$1,$B76,K$1,$B$1)</f>
        <v>0</v>
      </c>
      <c r="L76" s="54">
        <f>_xll.EQNXTDZ($A$1,$B76,L$1,$B$1)</f>
        <v>0</v>
      </c>
      <c r="M76" s="54">
        <f>_xll.EQNXTDZ($A$1,$B76,M$1,$B$1)</f>
        <v>0</v>
      </c>
      <c r="N76" s="54">
        <f>_xll.EQNXTDZ($A$1,$B76,N$1,$B$1)</f>
        <v>0</v>
      </c>
      <c r="O76" s="54">
        <f>_xll.EQNXTDZ($A$1,$B76,O$1,$B$1)</f>
        <v>0</v>
      </c>
      <c r="P76" s="54">
        <f>_xll.EQNXTDZ($A$1,$B76,P$1,$B$1)</f>
        <v>0</v>
      </c>
      <c r="Q76" s="54">
        <f>_xll.EQNXTDZ($A$1,$B76,Q$1,$B$1)</f>
        <v>0</v>
      </c>
      <c r="R76" s="54">
        <f>_xll.EQNXTDZ($A$1,$B76,R$1,$B$1)</f>
        <v>0</v>
      </c>
      <c r="S76" s="54">
        <f>_xll.EQNXTDZ($A$1,$B76,S$1,$B$1)</f>
        <v>0</v>
      </c>
      <c r="T76" s="54">
        <f>_xll.EQNXTDZ($A$1,$B76,T$1,$B$1)</f>
        <v>0</v>
      </c>
      <c r="U76" s="54">
        <f>_xll.EQNXTDZ($A$1,$B76,U$1,$B$1)</f>
        <v>0</v>
      </c>
      <c r="V76" s="54">
        <f>_xll.EQNXTDZ($A$1,$B76,V$1,$B$1)</f>
        <v>0</v>
      </c>
      <c r="W76" s="54">
        <f>_xll.EQNXTDZ($A$1,$B76,W$1,$B$1)</f>
        <v>0</v>
      </c>
      <c r="X76" s="54">
        <f>_xll.EQNXTDZ($A$1,$B76,X$1,$B$1)</f>
        <v>0</v>
      </c>
      <c r="Y76" s="54">
        <f>_xll.EQNXTDZ($A$1,$B76,Y$1,$B$1)</f>
        <v>0</v>
      </c>
      <c r="Z76" s="54">
        <f>_xll.EQNXTDZ($A$1,$B76,Z$1,$B$1)</f>
        <v>18.663399999999999</v>
      </c>
      <c r="AA76" s="54">
        <f>_xll.EQNXTDZ($A$1,$B76,AA$1,$B$1)</f>
        <v>20.590800000000002</v>
      </c>
      <c r="AB76" s="54">
        <f>_xll.EQNXTDZ($A$1,$B76,AB$1,$B$1)</f>
        <v>16.167400000000001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24.366042050000001</v>
      </c>
      <c r="D77" s="54">
        <f>_xll.EQNXTDZ($A$1,$B77,D$1,$B$1)</f>
        <v>51.128874660999998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0</v>
      </c>
      <c r="K77" s="54">
        <f>_xll.EQNXTDZ($A$1,$B77,K$1,$B$1)</f>
        <v>0</v>
      </c>
      <c r="L77" s="54">
        <f>_xll.EQNXTDZ($A$1,$B77,L$1,$B$1)</f>
        <v>0</v>
      </c>
      <c r="M77" s="54">
        <f>_xll.EQNXTDZ($A$1,$B77,M$1,$B$1)</f>
        <v>0</v>
      </c>
      <c r="N77" s="54">
        <f>_xll.EQNXTDZ($A$1,$B77,N$1,$B$1)</f>
        <v>0</v>
      </c>
      <c r="O77" s="54">
        <f>_xll.EQNXTDZ($A$1,$B77,O$1,$B$1)</f>
        <v>0</v>
      </c>
      <c r="P77" s="54">
        <f>_xll.EQNXTDZ($A$1,$B77,P$1,$B$1)</f>
        <v>0</v>
      </c>
      <c r="Q77" s="54">
        <f>_xll.EQNXTDZ($A$1,$B77,Q$1,$B$1)</f>
        <v>0</v>
      </c>
      <c r="R77" s="54">
        <f>_xll.EQNXTDZ($A$1,$B77,R$1,$B$1)</f>
        <v>0</v>
      </c>
      <c r="S77" s="54">
        <f>_xll.EQNXTDZ($A$1,$B77,S$1,$B$1)</f>
        <v>0</v>
      </c>
      <c r="T77" s="54">
        <f>_xll.EQNXTDZ($A$1,$B77,T$1,$B$1)</f>
        <v>0</v>
      </c>
      <c r="U77" s="54">
        <f>_xll.EQNXTDZ($A$1,$B77,U$1,$B$1)</f>
        <v>0</v>
      </c>
      <c r="V77" s="54">
        <f>_xll.EQNXTDZ($A$1,$B77,V$1,$B$1)</f>
        <v>0</v>
      </c>
      <c r="W77" s="54">
        <f>_xll.EQNXTDZ($A$1,$B77,W$1,$B$1)</f>
        <v>0</v>
      </c>
      <c r="X77" s="54">
        <f>_xll.EQNXTDZ($A$1,$B77,X$1,$B$1)</f>
        <v>0</v>
      </c>
      <c r="Y77" s="54">
        <f>_xll.EQNXTDZ($A$1,$B77,Y$1,$B$1)</f>
        <v>0</v>
      </c>
      <c r="Z77" s="54">
        <f>_xll.EQNXTDZ($A$1,$B77,Z$1,$B$1)</f>
        <v>209.64160000000001</v>
      </c>
      <c r="AA77" s="54">
        <f>_xll.EQNXTDZ($A$1,$B77,AA$1,$B$1)</f>
        <v>195.87520000000001</v>
      </c>
      <c r="AB77" s="54">
        <f>_xll.EQNXTDZ($A$1,$B77,AB$1,$B$1)</f>
        <v>221.26480000000001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1.3434499959999999</v>
      </c>
      <c r="D78" s="54">
        <f>_xll.EQNXTDZ($A$1,$B78,D$1,$B$1)</f>
        <v>6.934622954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0</v>
      </c>
      <c r="K78" s="54">
        <f>_xll.EQNXTDZ($A$1,$B78,K$1,$B$1)</f>
        <v>0</v>
      </c>
      <c r="L78" s="54">
        <f>_xll.EQNXTDZ($A$1,$B78,L$1,$B$1)</f>
        <v>0</v>
      </c>
      <c r="M78" s="54">
        <f>_xll.EQNXTDZ($A$1,$B78,M$1,$B$1)</f>
        <v>0</v>
      </c>
      <c r="N78" s="54">
        <f>_xll.EQNXTDZ($A$1,$B78,N$1,$B$1)</f>
        <v>0</v>
      </c>
      <c r="O78" s="54">
        <f>_xll.EQNXTDZ($A$1,$B78,O$1,$B$1)</f>
        <v>0</v>
      </c>
      <c r="P78" s="54">
        <f>_xll.EQNXTDZ($A$1,$B78,P$1,$B$1)</f>
        <v>0</v>
      </c>
      <c r="Q78" s="54">
        <f>_xll.EQNXTDZ($A$1,$B78,Q$1,$B$1)</f>
        <v>0</v>
      </c>
      <c r="R78" s="54">
        <f>_xll.EQNXTDZ($A$1,$B78,R$1,$B$1)</f>
        <v>0</v>
      </c>
      <c r="S78" s="54">
        <f>_xll.EQNXTDZ($A$1,$B78,S$1,$B$1)</f>
        <v>0</v>
      </c>
      <c r="T78" s="54">
        <f>_xll.EQNXTDZ($A$1,$B78,T$1,$B$1)</f>
        <v>0</v>
      </c>
      <c r="U78" s="54">
        <f>_xll.EQNXTDZ($A$1,$B78,U$1,$B$1)</f>
        <v>0</v>
      </c>
      <c r="V78" s="54">
        <f>_xll.EQNXTDZ($A$1,$B78,V$1,$B$1)</f>
        <v>0</v>
      </c>
      <c r="W78" s="54">
        <f>_xll.EQNXTDZ($A$1,$B78,W$1,$B$1)</f>
        <v>0</v>
      </c>
      <c r="X78" s="54">
        <f>_xll.EQNXTDZ($A$1,$B78,X$1,$B$1)</f>
        <v>0</v>
      </c>
      <c r="Y78" s="54">
        <f>_xll.EQNXTDZ($A$1,$B78,Y$1,$B$1)</f>
        <v>0</v>
      </c>
      <c r="Z78" s="54">
        <f>_xll.EQNXTDZ($A$1,$B78,Z$1,$B$1)</f>
        <v>130.46430000000001</v>
      </c>
      <c r="AA78" s="54">
        <f>_xll.EQNXTDZ($A$1,$B78,AA$1,$B$1)</f>
        <v>62.5261</v>
      </c>
      <c r="AB78" s="54">
        <f>_xll.EQNXTDZ($A$1,$B78,AB$1,$B$1)</f>
        <v>226.50280000000001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1.32457856</v>
      </c>
      <c r="D79" s="54">
        <f>_xll.EQNXTDZ($A$1,$B79,D$1,$B$1)</f>
        <v>2.598270592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</v>
      </c>
      <c r="K79" s="54">
        <f>_xll.EQNXTDZ($A$1,$B79,K$1,$B$1)</f>
        <v>0</v>
      </c>
      <c r="L79" s="54">
        <f>_xll.EQNXTDZ($A$1,$B79,L$1,$B$1)</f>
        <v>0</v>
      </c>
      <c r="M79" s="54">
        <f>_xll.EQNXTDZ($A$1,$B79,M$1,$B$1)</f>
        <v>0</v>
      </c>
      <c r="N79" s="54">
        <f>_xll.EQNXTDZ($A$1,$B79,N$1,$B$1)</f>
        <v>0</v>
      </c>
      <c r="O79" s="54">
        <f>_xll.EQNXTDZ($A$1,$B79,O$1,$B$1)</f>
        <v>0</v>
      </c>
      <c r="P79" s="54">
        <f>_xll.EQNXTDZ($A$1,$B79,P$1,$B$1)</f>
        <v>0</v>
      </c>
      <c r="Q79" s="54">
        <f>_xll.EQNXTDZ($A$1,$B79,Q$1,$B$1)</f>
        <v>0</v>
      </c>
      <c r="R79" s="54">
        <f>_xll.EQNXTDZ($A$1,$B79,R$1,$B$1)</f>
        <v>0</v>
      </c>
      <c r="S79" s="54">
        <f>_xll.EQNXTDZ($A$1,$B79,S$1,$B$1)</f>
        <v>0</v>
      </c>
      <c r="T79" s="54">
        <f>_xll.EQNXTDZ($A$1,$B79,T$1,$B$1)</f>
        <v>0</v>
      </c>
      <c r="U79" s="54">
        <f>_xll.EQNXTDZ($A$1,$B79,U$1,$B$1)</f>
        <v>0</v>
      </c>
      <c r="V79" s="54">
        <f>_xll.EQNXTDZ($A$1,$B79,V$1,$B$1)</f>
        <v>0</v>
      </c>
      <c r="W79" s="54">
        <f>_xll.EQNXTDZ($A$1,$B79,W$1,$B$1)</f>
        <v>0</v>
      </c>
      <c r="X79" s="54">
        <f>_xll.EQNXTDZ($A$1,$B79,X$1,$B$1)</f>
        <v>0</v>
      </c>
      <c r="Y79" s="54">
        <f>_xll.EQNXTDZ($A$1,$B79,Y$1,$B$1)</f>
        <v>0</v>
      </c>
      <c r="Z79" s="54">
        <f>_xll.EQNXTDZ($A$1,$B79,Z$1,$B$1)</f>
        <v>11.8855</v>
      </c>
      <c r="AA79" s="54">
        <f>_xll.EQNXTDZ($A$1,$B79,AA$1,$B$1)</f>
        <v>7.0861999999999998</v>
      </c>
      <c r="AB79" s="54">
        <f>_xll.EQNXTDZ($A$1,$B79,AB$1,$B$1)</f>
        <v>2.0905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13.46727583</v>
      </c>
      <c r="D80" s="54">
        <f>_xll.EQNXTDZ($A$1,$B80,D$1,$B$1)</f>
        <v>15.684007904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0</v>
      </c>
      <c r="K80" s="54">
        <f>_xll.EQNXTDZ($A$1,$B80,K$1,$B$1)</f>
        <v>0</v>
      </c>
      <c r="L80" s="54">
        <f>_xll.EQNXTDZ($A$1,$B80,L$1,$B$1)</f>
        <v>0</v>
      </c>
      <c r="M80" s="54">
        <f>_xll.EQNXTDZ($A$1,$B80,M$1,$B$1)</f>
        <v>0</v>
      </c>
      <c r="N80" s="54">
        <f>_xll.EQNXTDZ($A$1,$B80,N$1,$B$1)</f>
        <v>0</v>
      </c>
      <c r="O80" s="54">
        <f>_xll.EQNXTDZ($A$1,$B80,O$1,$B$1)</f>
        <v>0</v>
      </c>
      <c r="P80" s="54">
        <f>_xll.EQNXTDZ($A$1,$B80,P$1,$B$1)</f>
        <v>0</v>
      </c>
      <c r="Q80" s="54">
        <f>_xll.EQNXTDZ($A$1,$B80,Q$1,$B$1)</f>
        <v>0</v>
      </c>
      <c r="R80" s="54">
        <f>_xll.EQNXTDZ($A$1,$B80,R$1,$B$1)</f>
        <v>0</v>
      </c>
      <c r="S80" s="54">
        <f>_xll.EQNXTDZ($A$1,$B80,S$1,$B$1)</f>
        <v>0</v>
      </c>
      <c r="T80" s="54">
        <f>_xll.EQNXTDZ($A$1,$B80,T$1,$B$1)</f>
        <v>0</v>
      </c>
      <c r="U80" s="54">
        <f>_xll.EQNXTDZ($A$1,$B80,U$1,$B$1)</f>
        <v>0</v>
      </c>
      <c r="V80" s="54">
        <f>_xll.EQNXTDZ($A$1,$B80,V$1,$B$1)</f>
        <v>0</v>
      </c>
      <c r="W80" s="54">
        <f>_xll.EQNXTDZ($A$1,$B80,W$1,$B$1)</f>
        <v>0</v>
      </c>
      <c r="X80" s="54">
        <f>_xll.EQNXTDZ($A$1,$B80,X$1,$B$1)</f>
        <v>0</v>
      </c>
      <c r="Y80" s="54">
        <f>_xll.EQNXTDZ($A$1,$B80,Y$1,$B$1)</f>
        <v>0</v>
      </c>
      <c r="Z80" s="54">
        <f>_xll.EQNXTDZ($A$1,$B80,Z$1,$B$1)</f>
        <v>279.81150000000002</v>
      </c>
      <c r="AA80" s="54">
        <f>_xll.EQNXTDZ($A$1,$B80,AA$1,$B$1)</f>
        <v>141.547</v>
      </c>
      <c r="AB80" s="54">
        <f>_xll.EQNXTDZ($A$1,$B80,AB$1,$B$1)</f>
        <v>129.81319999999999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0</v>
      </c>
      <c r="W81" s="54">
        <f>_xll.EQNXTDZ($A$1,$B81,W$1,$B$1)</f>
        <v>0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3.7999999999999999E-2</v>
      </c>
      <c r="AB81" s="54">
        <f>_xll.EQNXTDZ($A$1,$B81,AB$1,$B$1)</f>
        <v>4.3887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82.994146435999994</v>
      </c>
      <c r="D82" s="54">
        <f>_xll.EQNXTDZ($A$1,$B82,D$1,$B$1)</f>
        <v>108.82210141100001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0</v>
      </c>
      <c r="K82" s="54">
        <f>_xll.EQNXTDZ($A$1,$B82,K$1,$B$1)</f>
        <v>0</v>
      </c>
      <c r="L82" s="54">
        <f>_xll.EQNXTDZ($A$1,$B82,L$1,$B$1)</f>
        <v>0</v>
      </c>
      <c r="M82" s="54">
        <f>_xll.EQNXTDZ($A$1,$B82,M$1,$B$1)</f>
        <v>0</v>
      </c>
      <c r="N82" s="54">
        <f>_xll.EQNXTDZ($A$1,$B82,N$1,$B$1)</f>
        <v>0</v>
      </c>
      <c r="O82" s="54">
        <f>_xll.EQNXTDZ($A$1,$B82,O$1,$B$1)</f>
        <v>0</v>
      </c>
      <c r="P82" s="54">
        <f>_xll.EQNXTDZ($A$1,$B82,P$1,$B$1)</f>
        <v>0</v>
      </c>
      <c r="Q82" s="54">
        <f>_xll.EQNXTDZ($A$1,$B82,Q$1,$B$1)</f>
        <v>0</v>
      </c>
      <c r="R82" s="54">
        <f>_xll.EQNXTDZ($A$1,$B82,R$1,$B$1)</f>
        <v>0</v>
      </c>
      <c r="S82" s="54">
        <f>_xll.EQNXTDZ($A$1,$B82,S$1,$B$1)</f>
        <v>0</v>
      </c>
      <c r="T82" s="54">
        <f>_xll.EQNXTDZ($A$1,$B82,T$1,$B$1)</f>
        <v>0</v>
      </c>
      <c r="U82" s="54">
        <f>_xll.EQNXTDZ($A$1,$B82,U$1,$B$1)</f>
        <v>0</v>
      </c>
      <c r="V82" s="54">
        <f>_xll.EQNXTDZ($A$1,$B82,V$1,$B$1)</f>
        <v>0</v>
      </c>
      <c r="W82" s="54">
        <f>_xll.EQNXTDZ($A$1,$B82,W$1,$B$1)</f>
        <v>0</v>
      </c>
      <c r="X82" s="54">
        <f>_xll.EQNXTDZ($A$1,$B82,X$1,$B$1)</f>
        <v>0</v>
      </c>
      <c r="Y82" s="54">
        <f>_xll.EQNXTDZ($A$1,$B82,Y$1,$B$1)</f>
        <v>0</v>
      </c>
      <c r="Z82" s="54">
        <f>_xll.EQNXTDZ($A$1,$B82,Z$1,$B$1)</f>
        <v>650.46630000000005</v>
      </c>
      <c r="AA82" s="54">
        <f>_xll.EQNXTDZ($A$1,$B82,AA$1,$B$1)</f>
        <v>427.62529999999998</v>
      </c>
      <c r="AB82" s="54">
        <f>_xll.EQNXTDZ($A$1,$B82,AB$1,$B$1)</f>
        <v>595.83870000000002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0.57708981100000001</v>
      </c>
      <c r="D83" s="54">
        <f>_xll.EQNXTDZ($A$1,$B83,D$1,$B$1)</f>
        <v>0.46044290700000001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108.511965007</v>
      </c>
      <c r="D84" s="54">
        <f>_xll.EQNXTDZ($A$1,$B84,D$1,$B$1)</f>
        <v>134.80592643400001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0</v>
      </c>
      <c r="K84" s="54">
        <f>_xll.EQNXTDZ($A$1,$B84,K$1,$B$1)</f>
        <v>0</v>
      </c>
      <c r="L84" s="54">
        <f>_xll.EQNXTDZ($A$1,$B84,L$1,$B$1)</f>
        <v>0</v>
      </c>
      <c r="M84" s="54">
        <f>_xll.EQNXTDZ($A$1,$B84,M$1,$B$1)</f>
        <v>0</v>
      </c>
      <c r="N84" s="54">
        <f>_xll.EQNXTDZ($A$1,$B84,N$1,$B$1)</f>
        <v>0</v>
      </c>
      <c r="O84" s="54">
        <f>_xll.EQNXTDZ($A$1,$B84,O$1,$B$1)</f>
        <v>0</v>
      </c>
      <c r="P84" s="54">
        <f>_xll.EQNXTDZ($A$1,$B84,P$1,$B$1)</f>
        <v>0</v>
      </c>
      <c r="Q84" s="54">
        <f>_xll.EQNXTDZ($A$1,$B84,Q$1,$B$1)</f>
        <v>0</v>
      </c>
      <c r="R84" s="54">
        <f>_xll.EQNXTDZ($A$1,$B84,R$1,$B$1)</f>
        <v>0</v>
      </c>
      <c r="S84" s="54">
        <f>_xll.EQNXTDZ($A$1,$B84,S$1,$B$1)</f>
        <v>0</v>
      </c>
      <c r="T84" s="54">
        <f>_xll.EQNXTDZ($A$1,$B84,T$1,$B$1)</f>
        <v>0</v>
      </c>
      <c r="U84" s="54">
        <f>_xll.EQNXTDZ($A$1,$B84,U$1,$B$1)</f>
        <v>0</v>
      </c>
      <c r="V84" s="54">
        <f>_xll.EQNXTDZ($A$1,$B84,V$1,$B$1)</f>
        <v>0</v>
      </c>
      <c r="W84" s="54">
        <f>_xll.EQNXTDZ($A$1,$B84,W$1,$B$1)</f>
        <v>0</v>
      </c>
      <c r="X84" s="54">
        <f>_xll.EQNXTDZ($A$1,$B84,X$1,$B$1)</f>
        <v>0</v>
      </c>
      <c r="Y84" s="54">
        <f>_xll.EQNXTDZ($A$1,$B84,Y$1,$B$1)</f>
        <v>0</v>
      </c>
      <c r="Z84" s="54">
        <f>_xll.EQNXTDZ($A$1,$B84,Z$1,$B$1)</f>
        <v>827.67560000000003</v>
      </c>
      <c r="AA84" s="54">
        <f>_xll.EQNXTDZ($A$1,$B84,AA$1,$B$1)</f>
        <v>574.62139999999999</v>
      </c>
      <c r="AB84" s="54">
        <f>_xll.EQNXTDZ($A$1,$B84,AB$1,$B$1)</f>
        <v>681.12710000000004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8.6852</v>
      </c>
      <c r="D85" s="54">
        <f>_xll.EQNXTDZ($A$1,$B85,D$1,$B$1)</f>
        <v>17.955500000000001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0</v>
      </c>
      <c r="K85" s="54">
        <f>_xll.EQNXTDZ($A$1,$B85,K$1,$B$1)</f>
        <v>0</v>
      </c>
      <c r="L85" s="54">
        <f>_xll.EQNXTDZ($A$1,$B85,L$1,$B$1)</f>
        <v>0</v>
      </c>
      <c r="M85" s="54">
        <f>_xll.EQNXTDZ($A$1,$B85,M$1,$B$1)</f>
        <v>0</v>
      </c>
      <c r="N85" s="54">
        <f>_xll.EQNXTDZ($A$1,$B85,N$1,$B$1)</f>
        <v>0</v>
      </c>
      <c r="O85" s="54">
        <f>_xll.EQNXTDZ($A$1,$B85,O$1,$B$1)</f>
        <v>0</v>
      </c>
      <c r="P85" s="54">
        <f>_xll.EQNXTDZ($A$1,$B85,P$1,$B$1)</f>
        <v>0</v>
      </c>
      <c r="Q85" s="54">
        <f>_xll.EQNXTDZ($A$1,$B85,Q$1,$B$1)</f>
        <v>0</v>
      </c>
      <c r="R85" s="54">
        <f>_xll.EQNXTDZ($A$1,$B85,R$1,$B$1)</f>
        <v>0</v>
      </c>
      <c r="S85" s="54">
        <f>_xll.EQNXTDZ($A$1,$B85,S$1,$B$1)</f>
        <v>0</v>
      </c>
      <c r="T85" s="54">
        <f>_xll.EQNXTDZ($A$1,$B85,T$1,$B$1)</f>
        <v>0</v>
      </c>
      <c r="U85" s="54">
        <f>_xll.EQNXTDZ($A$1,$B85,U$1,$B$1)</f>
        <v>0</v>
      </c>
      <c r="V85" s="54">
        <f>_xll.EQNXTDZ($A$1,$B85,V$1,$B$1)</f>
        <v>0</v>
      </c>
      <c r="W85" s="54">
        <f>_xll.EQNXTDZ($A$1,$B85,W$1,$B$1)</f>
        <v>0</v>
      </c>
      <c r="X85" s="54">
        <f>_xll.EQNXTDZ($A$1,$B85,X$1,$B$1)</f>
        <v>0</v>
      </c>
      <c r="Y85" s="54">
        <f>_xll.EQNXTDZ($A$1,$B85,Y$1,$B$1)</f>
        <v>0</v>
      </c>
      <c r="Z85" s="54">
        <f>_xll.EQNXTDZ($A$1,$B85,Z$1,$B$1)</f>
        <v>216.7955</v>
      </c>
      <c r="AA85" s="54">
        <f>_xll.EQNXTDZ($A$1,$B85,AA$1,$B$1)</f>
        <v>231.417</v>
      </c>
      <c r="AB85" s="54">
        <f>_xll.EQNXTDZ($A$1,$B85,AB$1,$B$1)</f>
        <v>240.88130000000001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0</v>
      </c>
      <c r="K86" s="54">
        <f>_xll.EQNXTDZ($A$1,$B86,K$1,$B$1)</f>
        <v>0</v>
      </c>
      <c r="L86" s="54">
        <f>_xll.EQNXTDZ($A$1,$B86,L$1,$B$1)</f>
        <v>0</v>
      </c>
      <c r="M86" s="54">
        <f>_xll.EQNXTDZ($A$1,$B86,M$1,$B$1)</f>
        <v>0</v>
      </c>
      <c r="N86" s="54">
        <f>_xll.EQNXTDZ($A$1,$B86,N$1,$B$1)</f>
        <v>0</v>
      </c>
      <c r="O86" s="54">
        <f>_xll.EQNXTDZ($A$1,$B86,O$1,$B$1)</f>
        <v>0</v>
      </c>
      <c r="P86" s="54">
        <f>_xll.EQNXTDZ($A$1,$B86,P$1,$B$1)</f>
        <v>0</v>
      </c>
      <c r="Q86" s="54">
        <f>_xll.EQNXTDZ($A$1,$B86,Q$1,$B$1)</f>
        <v>0</v>
      </c>
      <c r="R86" s="54">
        <f>_xll.EQNXTDZ($A$1,$B86,R$1,$B$1)</f>
        <v>0</v>
      </c>
      <c r="S86" s="54">
        <f>_xll.EQNXTDZ($A$1,$B86,S$1,$B$1)</f>
        <v>0</v>
      </c>
      <c r="T86" s="54">
        <f>_xll.EQNXTDZ($A$1,$B86,T$1,$B$1)</f>
        <v>0</v>
      </c>
      <c r="U86" s="54">
        <f>_xll.EQNXTDZ($A$1,$B86,U$1,$B$1)</f>
        <v>0</v>
      </c>
      <c r="V86" s="54">
        <f>_xll.EQNXTDZ($A$1,$B86,V$1,$B$1)</f>
        <v>0</v>
      </c>
      <c r="W86" s="54">
        <f>_xll.EQNXTDZ($A$1,$B86,W$1,$B$1)</f>
        <v>0</v>
      </c>
      <c r="X86" s="54">
        <f>_xll.EQNXTDZ($A$1,$B86,X$1,$B$1)</f>
        <v>0</v>
      </c>
      <c r="Y86" s="54">
        <f>_xll.EQNXTDZ($A$1,$B86,Y$1,$B$1)</f>
        <v>0</v>
      </c>
      <c r="Z86" s="54">
        <f>_xll.EQNXTDZ($A$1,$B86,Z$1,$B$1)</f>
        <v>0</v>
      </c>
      <c r="AA86" s="54">
        <f>_xll.EQNXTDZ($A$1,$B86,AA$1,$B$1)</f>
        <v>0</v>
      </c>
      <c r="AB86" s="54">
        <f>_xll.EQNXTDZ($A$1,$B86,AB$1,$B$1)</f>
        <v>0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0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0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0</v>
      </c>
      <c r="O88" s="54">
        <f>_xll.EQNXTDZ($A$1,$B88,O$1,$B$1)</f>
        <v>0</v>
      </c>
      <c r="P88" s="54">
        <f>_xll.EQNXTDZ($A$1,$B88,P$1,$B$1)</f>
        <v>0</v>
      </c>
      <c r="Q88" s="54">
        <f>_xll.EQNXTDZ($A$1,$B88,Q$1,$B$1)</f>
        <v>0</v>
      </c>
      <c r="R88" s="54">
        <f>_xll.EQNXTDZ($A$1,$B88,R$1,$B$1)</f>
        <v>0</v>
      </c>
      <c r="S88" s="54">
        <f>_xll.EQNXTDZ($A$1,$B88,S$1,$B$1)</f>
        <v>0</v>
      </c>
      <c r="T88" s="54">
        <f>_xll.EQNXTDZ($A$1,$B88,T$1,$B$1)</f>
        <v>0</v>
      </c>
      <c r="U88" s="54">
        <f>_xll.EQNXTDZ($A$1,$B88,U$1,$B$1)</f>
        <v>0</v>
      </c>
      <c r="V88" s="54">
        <f>_xll.EQNXTDZ($A$1,$B88,V$1,$B$1)</f>
        <v>0</v>
      </c>
      <c r="W88" s="54">
        <f>_xll.EQNXTDZ($A$1,$B88,W$1,$B$1)</f>
        <v>0</v>
      </c>
      <c r="X88" s="54">
        <f>_xll.EQNXTDZ($A$1,$B88,X$1,$B$1)</f>
        <v>0</v>
      </c>
      <c r="Y88" s="54">
        <f>_xll.EQNXTDZ($A$1,$B88,Y$1,$B$1)</f>
        <v>0</v>
      </c>
      <c r="Z88" s="54">
        <f>_xll.EQNXTDZ($A$1,$B88,Z$1,$B$1)</f>
        <v>0</v>
      </c>
      <c r="AA88" s="54">
        <f>_xll.EQNXTDZ($A$1,$B88,AA$1,$B$1)</f>
        <v>0</v>
      </c>
      <c r="AB88" s="54">
        <f>_xll.EQNXTDZ($A$1,$B88,AB$1,$B$1)</f>
        <v>0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0</v>
      </c>
      <c r="O89" s="54">
        <f>_xll.EQNXTDZ($A$1,$B89,O$1,$B$1)</f>
        <v>0</v>
      </c>
      <c r="P89" s="54">
        <f>_xll.EQNXTDZ($A$1,$B89,P$1,$B$1)</f>
        <v>0</v>
      </c>
      <c r="Q89" s="54">
        <f>_xll.EQNXTDZ($A$1,$B89,Q$1,$B$1)</f>
        <v>0</v>
      </c>
      <c r="R89" s="54">
        <f>_xll.EQNXTDZ($A$1,$B89,R$1,$B$1)</f>
        <v>0</v>
      </c>
      <c r="S89" s="54">
        <f>_xll.EQNXTDZ($A$1,$B89,S$1,$B$1)</f>
        <v>0</v>
      </c>
      <c r="T89" s="54">
        <f>_xll.EQNXTDZ($A$1,$B89,T$1,$B$1)</f>
        <v>0</v>
      </c>
      <c r="U89" s="54">
        <f>_xll.EQNXTDZ($A$1,$B89,U$1,$B$1)</f>
        <v>0</v>
      </c>
      <c r="V89" s="54">
        <f>_xll.EQNXTDZ($A$1,$B89,V$1,$B$1)</f>
        <v>0</v>
      </c>
      <c r="W89" s="54">
        <f>_xll.EQNXTDZ($A$1,$B89,W$1,$B$1)</f>
        <v>0</v>
      </c>
      <c r="X89" s="54">
        <f>_xll.EQNXTDZ($A$1,$B89,X$1,$B$1)</f>
        <v>0</v>
      </c>
      <c r="Y89" s="54">
        <f>_xll.EQNXTDZ($A$1,$B89,Y$1,$B$1)</f>
        <v>0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0</v>
      </c>
      <c r="Q90" s="54">
        <f>_xll.EQNXTDZ($A$1,$B90,Q$1,$B$1)</f>
        <v>0</v>
      </c>
      <c r="R90" s="54">
        <f>_xll.EQNXTDZ($A$1,$B90,R$1,$B$1)</f>
        <v>0</v>
      </c>
      <c r="S90" s="54">
        <f>_xll.EQNXTDZ($A$1,$B90,S$1,$B$1)</f>
        <v>0</v>
      </c>
      <c r="T90" s="54">
        <f>_xll.EQNXTDZ($A$1,$B90,T$1,$B$1)</f>
        <v>0</v>
      </c>
      <c r="U90" s="54">
        <f>_xll.EQNXTDZ($A$1,$B90,U$1,$B$1)</f>
        <v>0</v>
      </c>
      <c r="V90" s="54">
        <f>_xll.EQNXTDZ($A$1,$B90,V$1,$B$1)</f>
        <v>0</v>
      </c>
      <c r="W90" s="54">
        <f>_xll.EQNXTDZ($A$1,$B90,W$1,$B$1)</f>
        <v>0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9.1546576000000005E-2</v>
      </c>
      <c r="D91" s="54">
        <f>_xll.EQNXTDZ($A$1,$B91,D$1,$B$1)</f>
        <v>9.1546576000000005E-2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0</v>
      </c>
      <c r="K91" s="54">
        <f>_xll.EQNXTDZ($A$1,$B91,K$1,$B$1)</f>
        <v>0</v>
      </c>
      <c r="L91" s="54">
        <f>_xll.EQNXTDZ($A$1,$B91,L$1,$B$1)</f>
        <v>0</v>
      </c>
      <c r="M91" s="54">
        <f>_xll.EQNXTDZ($A$1,$B91,M$1,$B$1)</f>
        <v>0</v>
      </c>
      <c r="N91" s="54">
        <f>_xll.EQNXTDZ($A$1,$B91,N$1,$B$1)</f>
        <v>0</v>
      </c>
      <c r="O91" s="54">
        <f>_xll.EQNXTDZ($A$1,$B91,O$1,$B$1)</f>
        <v>0</v>
      </c>
      <c r="P91" s="54">
        <f>_xll.EQNXTDZ($A$1,$B91,P$1,$B$1)</f>
        <v>0</v>
      </c>
      <c r="Q91" s="54">
        <f>_xll.EQNXTDZ($A$1,$B91,Q$1,$B$1)</f>
        <v>0</v>
      </c>
      <c r="R91" s="54">
        <f>_xll.EQNXTDZ($A$1,$B91,R$1,$B$1)</f>
        <v>0</v>
      </c>
      <c r="S91" s="54">
        <f>_xll.EQNXTDZ($A$1,$B91,S$1,$B$1)</f>
        <v>0</v>
      </c>
      <c r="T91" s="54">
        <f>_xll.EQNXTDZ($A$1,$B91,T$1,$B$1)</f>
        <v>0</v>
      </c>
      <c r="U91" s="54">
        <f>_xll.EQNXTDZ($A$1,$B91,U$1,$B$1)</f>
        <v>0</v>
      </c>
      <c r="V91" s="54">
        <f>_xll.EQNXTDZ($A$1,$B91,V$1,$B$1)</f>
        <v>0</v>
      </c>
      <c r="W91" s="54">
        <f>_xll.EQNXTDZ($A$1,$B91,W$1,$B$1)</f>
        <v>0</v>
      </c>
      <c r="X91" s="54">
        <f>_xll.EQNXTDZ($A$1,$B91,X$1,$B$1)</f>
        <v>0</v>
      </c>
      <c r="Y91" s="54">
        <f>_xll.EQNXTDZ($A$1,$B91,Y$1,$B$1)</f>
        <v>0</v>
      </c>
      <c r="Z91" s="54">
        <f>_xll.EQNXTDZ($A$1,$B91,Z$1,$B$1)</f>
        <v>0</v>
      </c>
      <c r="AA91" s="54">
        <f>_xll.EQNXTDZ($A$1,$B91,AA$1,$B$1)</f>
        <v>0</v>
      </c>
      <c r="AB91" s="54">
        <f>_xll.EQNXTDZ($A$1,$B91,AB$1,$B$1)</f>
        <v>0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9.1546576000000005E-2</v>
      </c>
      <c r="D92" s="54">
        <f>_xll.EQNXTDZ($A$1,$B92,D$1,$B$1)</f>
        <v>9.1546576000000005E-2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0</v>
      </c>
      <c r="AA92" s="54">
        <f>_xll.EQNXTDZ($A$1,$B92,AA$1,$B$1)</f>
        <v>0</v>
      </c>
      <c r="AB92" s="54">
        <f>_xll.EQNXTDZ($A$1,$B92,AB$1,$B$1)</f>
        <v>0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0</v>
      </c>
      <c r="D93" s="54">
        <f>_xll.EQNXTDZ($A$1,$B93,D$1,$B$1)</f>
        <v>0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0</v>
      </c>
      <c r="K93" s="54">
        <f>_xll.EQNXTDZ($A$1,$B93,K$1,$B$1)</f>
        <v>0</v>
      </c>
      <c r="L93" s="54">
        <f>_xll.EQNXTDZ($A$1,$B93,L$1,$B$1)</f>
        <v>0</v>
      </c>
      <c r="M93" s="54">
        <f>_xll.EQNXTDZ($A$1,$B93,M$1,$B$1)</f>
        <v>0</v>
      </c>
      <c r="N93" s="54">
        <f>_xll.EQNXTDZ($A$1,$B93,N$1,$B$1)</f>
        <v>0</v>
      </c>
      <c r="O93" s="54">
        <f>_xll.EQNXTDZ($A$1,$B93,O$1,$B$1)</f>
        <v>0</v>
      </c>
      <c r="P93" s="54">
        <f>_xll.EQNXTDZ($A$1,$B93,P$1,$B$1)</f>
        <v>0</v>
      </c>
      <c r="Q93" s="54">
        <f>_xll.EQNXTDZ($A$1,$B93,Q$1,$B$1)</f>
        <v>0</v>
      </c>
      <c r="R93" s="54">
        <f>_xll.EQNXTDZ($A$1,$B93,R$1,$B$1)</f>
        <v>0</v>
      </c>
      <c r="S93" s="54">
        <f>_xll.EQNXTDZ($A$1,$B93,S$1,$B$1)</f>
        <v>0</v>
      </c>
      <c r="T93" s="54">
        <f>_xll.EQNXTDZ($A$1,$B93,T$1,$B$1)</f>
        <v>0</v>
      </c>
      <c r="U93" s="54">
        <f>_xll.EQNXTDZ($A$1,$B93,U$1,$B$1)</f>
        <v>0</v>
      </c>
      <c r="V93" s="54">
        <f>_xll.EQNXTDZ($A$1,$B93,V$1,$B$1)</f>
        <v>0</v>
      </c>
      <c r="W93" s="54">
        <f>_xll.EQNXTDZ($A$1,$B93,W$1,$B$1)</f>
        <v>0</v>
      </c>
      <c r="X93" s="54">
        <f>_xll.EQNXTDZ($A$1,$B93,X$1,$B$1)</f>
        <v>0</v>
      </c>
      <c r="Y93" s="54">
        <f>_xll.EQNXTDZ($A$1,$B93,Y$1,$B$1)</f>
        <v>0</v>
      </c>
      <c r="Z93" s="54">
        <f>_xll.EQNXTDZ($A$1,$B93,Z$1,$B$1)</f>
        <v>216.7955</v>
      </c>
      <c r="AA93" s="54">
        <f>_xll.EQNXTDZ($A$1,$B93,AA$1,$B$1)</f>
        <v>231.417</v>
      </c>
      <c r="AB93" s="54">
        <f>_xll.EQNXTDZ($A$1,$B93,AB$1,$B$1)</f>
        <v>240.88130000000001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7.3871000000000002</v>
      </c>
      <c r="D95" s="54">
        <f>_xll.EQNXTDZ($A$1,$B95,D$1,$B$1)</f>
        <v>14.0459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0</v>
      </c>
      <c r="K95" s="54">
        <f>_xll.EQNXTDZ($A$1,$B95,K$1,$B$1)</f>
        <v>0</v>
      </c>
      <c r="L95" s="54">
        <f>_xll.EQNXTDZ($A$1,$B95,L$1,$B$1)</f>
        <v>0</v>
      </c>
      <c r="M95" s="54">
        <f>_xll.EQNXTDZ($A$1,$B95,M$1,$B$1)</f>
        <v>0</v>
      </c>
      <c r="N95" s="54">
        <f>_xll.EQNXTDZ($A$1,$B95,N$1,$B$1)</f>
        <v>0</v>
      </c>
      <c r="O95" s="54">
        <f>_xll.EQNXTDZ($A$1,$B95,O$1,$B$1)</f>
        <v>0</v>
      </c>
      <c r="P95" s="54">
        <f>_xll.EQNXTDZ($A$1,$B95,P$1,$B$1)</f>
        <v>0</v>
      </c>
      <c r="Q95" s="54">
        <f>_xll.EQNXTDZ($A$1,$B95,Q$1,$B$1)</f>
        <v>0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0</v>
      </c>
      <c r="Z95" s="54">
        <f>_xll.EQNXTDZ($A$1,$B95,Z$1,$B$1)</f>
        <v>0</v>
      </c>
      <c r="AA95" s="54">
        <f>_xll.EQNXTDZ($A$1,$B95,AA$1,$B$1)</f>
        <v>0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0</v>
      </c>
      <c r="K97" s="54">
        <f>_xll.EQNXTDZ($A$1,$B97,K$1,$B$1)</f>
        <v>0</v>
      </c>
      <c r="L97" s="54">
        <f>_xll.EQNXTDZ($A$1,$B97,L$1,$B$1)</f>
        <v>0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1.2981</v>
      </c>
      <c r="D98" s="54">
        <f>_xll.EQNXTDZ($A$1,$B98,D$1,$B$1)</f>
        <v>3.9096000000000002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4.9378130000000002</v>
      </c>
      <c r="D104" s="54">
        <f>_xll.EQNXTDZ($A$1,$B104,D$1,$B$1)</f>
        <v>4.9378130000000002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0</v>
      </c>
      <c r="K104" s="54">
        <f>_xll.EQNXTDZ($A$1,$B104,K$1,$B$1)</f>
        <v>0</v>
      </c>
      <c r="L104" s="54">
        <f>_xll.EQNXTDZ($A$1,$B104,L$1,$B$1)</f>
        <v>0</v>
      </c>
      <c r="M104" s="54">
        <f>_xll.EQNXTDZ($A$1,$B104,M$1,$B$1)</f>
        <v>0</v>
      </c>
      <c r="N104" s="54">
        <f>_xll.EQNXTDZ($A$1,$B104,N$1,$B$1)</f>
        <v>0</v>
      </c>
      <c r="O104" s="54">
        <f>_xll.EQNXTDZ($A$1,$B104,O$1,$B$1)</f>
        <v>0</v>
      </c>
      <c r="P104" s="54">
        <f>_xll.EQNXTDZ($A$1,$B104,P$1,$B$1)</f>
        <v>0</v>
      </c>
      <c r="Q104" s="54">
        <f>_xll.EQNXTDZ($A$1,$B104,Q$1,$B$1)</f>
        <v>0</v>
      </c>
      <c r="R104" s="54">
        <f>_xll.EQNXTDZ($A$1,$B104,R$1,$B$1)</f>
        <v>0</v>
      </c>
      <c r="S104" s="54">
        <f>_xll.EQNXTDZ($A$1,$B104,S$1,$B$1)</f>
        <v>0</v>
      </c>
      <c r="T104" s="54">
        <f>_xll.EQNXTDZ($A$1,$B104,T$1,$B$1)</f>
        <v>0</v>
      </c>
      <c r="U104" s="54">
        <f>_xll.EQNXTDZ($A$1,$B104,U$1,$B$1)</f>
        <v>0</v>
      </c>
      <c r="V104" s="54">
        <f>_xll.EQNXTDZ($A$1,$B104,V$1,$B$1)</f>
        <v>0</v>
      </c>
      <c r="W104" s="54">
        <f>_xll.EQNXTDZ($A$1,$B104,W$1,$B$1)</f>
        <v>0</v>
      </c>
      <c r="X104" s="54">
        <f>_xll.EQNXTDZ($A$1,$B104,X$1,$B$1)</f>
        <v>0</v>
      </c>
      <c r="Y104" s="54">
        <f>_xll.EQNXTDZ($A$1,$B104,Y$1,$B$1)</f>
        <v>0</v>
      </c>
      <c r="Z104" s="54">
        <f>_xll.EQNXTDZ($A$1,$B104,Z$1,$B$1)</f>
        <v>4.9378000000000002</v>
      </c>
      <c r="AA104" s="54">
        <f>_xll.EQNXTDZ($A$1,$B104,AA$1,$B$1)</f>
        <v>4.9378000000000002</v>
      </c>
      <c r="AB104" s="54">
        <f>_xll.EQNXTDZ($A$1,$B104,AB$1,$B$1)</f>
        <v>4.9378000000000002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0</v>
      </c>
      <c r="K105" s="54">
        <f>_xll.EQNXTDZ($A$1,$B105,K$1,$B$1)</f>
        <v>0</v>
      </c>
      <c r="L105" s="54">
        <f>_xll.EQNXTDZ($A$1,$B105,L$1,$B$1)</f>
        <v>0</v>
      </c>
      <c r="M105" s="54">
        <f>_xll.EQNXTDZ($A$1,$B105,M$1,$B$1)</f>
        <v>0</v>
      </c>
      <c r="N105" s="54">
        <f>_xll.EQNXTDZ($A$1,$B105,N$1,$B$1)</f>
        <v>0</v>
      </c>
      <c r="O105" s="54">
        <f>_xll.EQNXTDZ($A$1,$B105,O$1,$B$1)</f>
        <v>0</v>
      </c>
      <c r="P105" s="54">
        <f>_xll.EQNXTDZ($A$1,$B105,P$1,$B$1)</f>
        <v>0</v>
      </c>
      <c r="Q105" s="54">
        <f>_xll.EQNXTDZ($A$1,$B105,Q$1,$B$1)</f>
        <v>0</v>
      </c>
      <c r="R105" s="54">
        <f>_xll.EQNXTDZ($A$1,$B105,R$1,$B$1)</f>
        <v>0</v>
      </c>
      <c r="S105" s="54">
        <f>_xll.EQNXTDZ($A$1,$B105,S$1,$B$1)</f>
        <v>0</v>
      </c>
      <c r="T105" s="54">
        <f>_xll.EQNXTDZ($A$1,$B105,T$1,$B$1)</f>
        <v>0</v>
      </c>
      <c r="U105" s="54">
        <f>_xll.EQNXTDZ($A$1,$B105,U$1,$B$1)</f>
        <v>0</v>
      </c>
      <c r="V105" s="54">
        <f>_xll.EQNXTDZ($A$1,$B105,V$1,$B$1)</f>
        <v>0</v>
      </c>
      <c r="W105" s="54">
        <f>_xll.EQNXTDZ($A$1,$B105,W$1,$B$1)</f>
        <v>0</v>
      </c>
      <c r="X105" s="54">
        <f>_xll.EQNXTDZ($A$1,$B105,X$1,$B$1)</f>
        <v>0</v>
      </c>
      <c r="Y105" s="54">
        <f>_xll.EQNXTDZ($A$1,$B105,Y$1,$B$1)</f>
        <v>0</v>
      </c>
      <c r="Z105" s="54">
        <f>_xll.EQNXTDZ($A$1,$B105,Z$1,$B$1)</f>
        <v>10</v>
      </c>
      <c r="AA105" s="54">
        <f>_xll.EQNXTDZ($A$1,$B105,AA$1,$B$1)</f>
        <v>10</v>
      </c>
      <c r="AB105" s="54">
        <f>_xll.EQNXTDZ($A$1,$B105,AB$1,$B$1)</f>
        <v>10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16.5</v>
      </c>
      <c r="D106" s="54">
        <f>_xll.EQNXTDZ($A$1,$B106,D$1,$B$1)</f>
        <v>15.85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0</v>
      </c>
      <c r="K106" s="54">
        <f>_xll.EQNXTDZ($A$1,$B106,K$1,$B$1)</f>
        <v>0</v>
      </c>
      <c r="L106" s="54">
        <f>_xll.EQNXTDZ($A$1,$B106,L$1,$B$1)</f>
        <v>0</v>
      </c>
      <c r="M106" s="54">
        <f>_xll.EQNXTDZ($A$1,$B106,M$1,$B$1)</f>
        <v>0</v>
      </c>
      <c r="N106" s="54">
        <f>_xll.EQNXTDZ($A$1,$B106,N$1,$B$1)</f>
        <v>0</v>
      </c>
      <c r="O106" s="54">
        <f>_xll.EQNXTDZ($A$1,$B106,O$1,$B$1)</f>
        <v>0</v>
      </c>
      <c r="P106" s="54">
        <f>_xll.EQNXTDZ($A$1,$B106,P$1,$B$1)</f>
        <v>0</v>
      </c>
      <c r="Q106" s="54">
        <f>_xll.EQNXTDZ($A$1,$B106,Q$1,$B$1)</f>
        <v>0</v>
      </c>
      <c r="R106" s="54">
        <f>_xll.EQNXTDZ($A$1,$B106,R$1,$B$1)</f>
        <v>0</v>
      </c>
      <c r="S106" s="54">
        <f>_xll.EQNXTDZ($A$1,$B106,S$1,$B$1)</f>
        <v>0</v>
      </c>
      <c r="T106" s="54">
        <f>_xll.EQNXTDZ($A$1,$B106,T$1,$B$1)</f>
        <v>0</v>
      </c>
      <c r="U106" s="54">
        <f>_xll.EQNXTDZ($A$1,$B106,U$1,$B$1)</f>
        <v>0</v>
      </c>
      <c r="V106" s="54">
        <f>_xll.EQNXTDZ($A$1,$B106,V$1,$B$1)</f>
        <v>0</v>
      </c>
      <c r="W106" s="54">
        <f>_xll.EQNXTDZ($A$1,$B106,W$1,$B$1)</f>
        <v>0</v>
      </c>
      <c r="X106" s="54">
        <f>_xll.EQNXTDZ($A$1,$B106,X$1,$B$1)</f>
        <v>0</v>
      </c>
      <c r="Y106" s="54">
        <f>_xll.EQNXTDZ($A$1,$B106,Y$1,$B$1)</f>
        <v>0</v>
      </c>
      <c r="Z106" s="54">
        <f>_xll.EQNXTDZ($A$1,$B106,Z$1,$B$1)</f>
        <v>3066.75</v>
      </c>
      <c r="AA106" s="54">
        <f>_xll.EQNXTDZ($A$1,$B106,AA$1,$B$1)</f>
        <v>4184.5</v>
      </c>
      <c r="AB106" s="54">
        <f>_xll.EQNXTDZ($A$1,$B106,AB$1,$B$1)</f>
        <v>5268.95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46</v>
      </c>
      <c r="D107" s="54">
        <f>_xll.EQNXTDZ($A$1,$B107,D$1,$B$1)</f>
        <v>28.95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0</v>
      </c>
      <c r="K107" s="54">
        <f>_xll.EQNXTDZ($A$1,$B107,K$1,$B$1)</f>
        <v>0</v>
      </c>
      <c r="L107" s="54">
        <f>_xll.EQNXTDZ($A$1,$B107,L$1,$B$1)</f>
        <v>0</v>
      </c>
      <c r="M107" s="54">
        <f>_xll.EQNXTDZ($A$1,$B107,M$1,$B$1)</f>
        <v>0</v>
      </c>
      <c r="N107" s="54">
        <f>_xll.EQNXTDZ($A$1,$B107,N$1,$B$1)</f>
        <v>0</v>
      </c>
      <c r="O107" s="54">
        <f>_xll.EQNXTDZ($A$1,$B107,O$1,$B$1)</f>
        <v>0</v>
      </c>
      <c r="P107" s="54">
        <f>_xll.EQNXTDZ($A$1,$B107,P$1,$B$1)</f>
        <v>0</v>
      </c>
      <c r="Q107" s="54">
        <f>_xll.EQNXTDZ($A$1,$B107,Q$1,$B$1)</f>
        <v>0</v>
      </c>
      <c r="R107" s="54">
        <f>_xll.EQNXTDZ($A$1,$B107,R$1,$B$1)</f>
        <v>0</v>
      </c>
      <c r="S107" s="54">
        <f>_xll.EQNXTDZ($A$1,$B107,S$1,$B$1)</f>
        <v>0</v>
      </c>
      <c r="T107" s="54">
        <f>_xll.EQNXTDZ($A$1,$B107,T$1,$B$1)</f>
        <v>0</v>
      </c>
      <c r="U107" s="54">
        <f>_xll.EQNXTDZ($A$1,$B107,U$1,$B$1)</f>
        <v>0</v>
      </c>
      <c r="V107" s="54">
        <f>_xll.EQNXTDZ($A$1,$B107,V$1,$B$1)</f>
        <v>0</v>
      </c>
      <c r="W107" s="54">
        <f>_xll.EQNXTDZ($A$1,$B107,W$1,$B$1)</f>
        <v>0</v>
      </c>
      <c r="X107" s="54">
        <f>_xll.EQNXTDZ($A$1,$B107,X$1,$B$1)</f>
        <v>0</v>
      </c>
      <c r="Y107" s="54">
        <f>_xll.EQNXTDZ($A$1,$B107,Y$1,$B$1)</f>
        <v>0</v>
      </c>
      <c r="Z107" s="54">
        <f>_xll.EQNXTDZ($A$1,$B107,Z$1,$B$1)</f>
        <v>3290</v>
      </c>
      <c r="AA107" s="54">
        <f>_xll.EQNXTDZ($A$1,$B107,AA$1,$B$1)</f>
        <v>6443</v>
      </c>
      <c r="AB107" s="54">
        <f>_xll.EQNXTDZ($A$1,$B107,AB$1,$B$1)</f>
        <v>6660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13.85</v>
      </c>
      <c r="D108" s="54">
        <f>_xll.EQNXTDZ($A$1,$B108,D$1,$B$1)</f>
        <v>10.75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0</v>
      </c>
      <c r="K108" s="54">
        <f>_xll.EQNXTDZ($A$1,$B108,K$1,$B$1)</f>
        <v>0</v>
      </c>
      <c r="L108" s="54">
        <f>_xll.EQNXTDZ($A$1,$B108,L$1,$B$1)</f>
        <v>0</v>
      </c>
      <c r="M108" s="54">
        <f>_xll.EQNXTDZ($A$1,$B108,M$1,$B$1)</f>
        <v>0</v>
      </c>
      <c r="N108" s="54">
        <f>_xll.EQNXTDZ($A$1,$B108,N$1,$B$1)</f>
        <v>0</v>
      </c>
      <c r="O108" s="54">
        <f>_xll.EQNXTDZ($A$1,$B108,O$1,$B$1)</f>
        <v>0</v>
      </c>
      <c r="P108" s="54">
        <f>_xll.EQNXTDZ($A$1,$B108,P$1,$B$1)</f>
        <v>0</v>
      </c>
      <c r="Q108" s="54">
        <f>_xll.EQNXTDZ($A$1,$B108,Q$1,$B$1)</f>
        <v>0</v>
      </c>
      <c r="R108" s="54">
        <f>_xll.EQNXTDZ($A$1,$B108,R$1,$B$1)</f>
        <v>0</v>
      </c>
      <c r="S108" s="54">
        <f>_xll.EQNXTDZ($A$1,$B108,S$1,$B$1)</f>
        <v>0</v>
      </c>
      <c r="T108" s="54">
        <f>_xll.EQNXTDZ($A$1,$B108,T$1,$B$1)</f>
        <v>0</v>
      </c>
      <c r="U108" s="54">
        <f>_xll.EQNXTDZ($A$1,$B108,U$1,$B$1)</f>
        <v>0</v>
      </c>
      <c r="V108" s="54">
        <f>_xll.EQNXTDZ($A$1,$B108,V$1,$B$1)</f>
        <v>0</v>
      </c>
      <c r="W108" s="54">
        <f>_xll.EQNXTDZ($A$1,$B108,W$1,$B$1)</f>
        <v>0</v>
      </c>
      <c r="X108" s="54">
        <f>_xll.EQNXTDZ($A$1,$B108,X$1,$B$1)</f>
        <v>0</v>
      </c>
      <c r="Y108" s="54">
        <f>_xll.EQNXTDZ($A$1,$B108,Y$1,$B$1)</f>
        <v>0</v>
      </c>
      <c r="Z108" s="54">
        <f>_xll.EQNXTDZ($A$1,$B108,Z$1,$B$1)</f>
        <v>1266.05</v>
      </c>
      <c r="AA108" s="54">
        <f>_xll.EQNXTDZ($A$1,$B108,AA$1,$B$1)</f>
        <v>2910</v>
      </c>
      <c r="AB108" s="54">
        <f>_xll.EQNXTDZ($A$1,$B108,AB$1,$B$1)</f>
        <v>2383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8.1473914500000006</v>
      </c>
      <c r="D109" s="54">
        <f>_xll.EQNXTDZ($A$1,$B109,D$1,$B$1)</f>
        <v>7.8264336050000001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0</v>
      </c>
      <c r="K109" s="54">
        <f>_xll.EQNXTDZ($A$1,$B109,K$1,$B$1)</f>
        <v>0</v>
      </c>
      <c r="L109" s="54">
        <f>_xll.EQNXTDZ($A$1,$B109,L$1,$B$1)</f>
        <v>0</v>
      </c>
      <c r="M109" s="54">
        <f>_xll.EQNXTDZ($A$1,$B109,M$1,$B$1)</f>
        <v>0</v>
      </c>
      <c r="N109" s="54">
        <f>_xll.EQNXTDZ($A$1,$B109,N$1,$B$1)</f>
        <v>0</v>
      </c>
      <c r="O109" s="54">
        <f>_xll.EQNXTDZ($A$1,$B109,O$1,$B$1)</f>
        <v>0</v>
      </c>
      <c r="P109" s="54">
        <f>_xll.EQNXTDZ($A$1,$B109,P$1,$B$1)</f>
        <v>0</v>
      </c>
      <c r="Q109" s="54">
        <f>_xll.EQNXTDZ($A$1,$B109,Q$1,$B$1)</f>
        <v>0</v>
      </c>
      <c r="R109" s="54">
        <f>_xll.EQNXTDZ($A$1,$B109,R$1,$B$1)</f>
        <v>0</v>
      </c>
      <c r="S109" s="54">
        <f>_xll.EQNXTDZ($A$1,$B109,S$1,$B$1)</f>
        <v>0</v>
      </c>
      <c r="T109" s="54">
        <f>_xll.EQNXTDZ($A$1,$B109,T$1,$B$1)</f>
        <v>0</v>
      </c>
      <c r="U109" s="54">
        <f>_xll.EQNXTDZ($A$1,$B109,U$1,$B$1)</f>
        <v>0</v>
      </c>
      <c r="V109" s="54">
        <f>_xll.EQNXTDZ($A$1,$B109,V$1,$B$1)</f>
        <v>0</v>
      </c>
      <c r="W109" s="54">
        <f>_xll.EQNXTDZ($A$1,$B109,W$1,$B$1)</f>
        <v>0</v>
      </c>
      <c r="X109" s="54">
        <f>_xll.EQNXTDZ($A$1,$B109,X$1,$B$1)</f>
        <v>0</v>
      </c>
      <c r="Y109" s="54">
        <f>_xll.EQNXTDZ($A$1,$B109,Y$1,$B$1)</f>
        <v>0</v>
      </c>
      <c r="Z109" s="54">
        <f>_xll.EQNXTDZ($A$1,$B109,Z$1,$B$1)</f>
        <v>1514.2998150000001</v>
      </c>
      <c r="AA109" s="54">
        <f>_xll.EQNXTDZ($A$1,$B109,AA$1,$B$1)</f>
        <v>2066.2224099999999</v>
      </c>
      <c r="AB109" s="54">
        <f>_xll.EQNXTDZ($A$1,$B109,AB$1,$B$1)</f>
        <v>2601.702131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2.5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0</v>
      </c>
      <c r="K110" s="54">
        <f>_xll.EQNXTDZ($A$1,$B110,K$1,$B$1)</f>
        <v>0</v>
      </c>
      <c r="L110" s="54">
        <f>_xll.EQNXTDZ($A$1,$B110,L$1,$B$1)</f>
        <v>0</v>
      </c>
      <c r="M110" s="54">
        <f>_xll.EQNXTDZ($A$1,$B110,M$1,$B$1)</f>
        <v>0</v>
      </c>
      <c r="N110" s="54">
        <f>_xll.EQNXTDZ($A$1,$B110,N$1,$B$1)</f>
        <v>0</v>
      </c>
      <c r="O110" s="54">
        <f>_xll.EQNXTDZ($A$1,$B110,O$1,$B$1)</f>
        <v>0</v>
      </c>
      <c r="P110" s="54">
        <f>_xll.EQNXTDZ($A$1,$B110,P$1,$B$1)</f>
        <v>0</v>
      </c>
      <c r="Q110" s="54">
        <f>_xll.EQNXTDZ($A$1,$B110,Q$1,$B$1)</f>
        <v>0</v>
      </c>
      <c r="R110" s="54">
        <f>_xll.EQNXTDZ($A$1,$B110,R$1,$B$1)</f>
        <v>0</v>
      </c>
      <c r="S110" s="54">
        <f>_xll.EQNXTDZ($A$1,$B110,S$1,$B$1)</f>
        <v>0</v>
      </c>
      <c r="T110" s="54">
        <f>_xll.EQNXTDZ($A$1,$B110,T$1,$B$1)</f>
        <v>0</v>
      </c>
      <c r="U110" s="54">
        <f>_xll.EQNXTDZ($A$1,$B110,U$1,$B$1)</f>
        <v>0</v>
      </c>
      <c r="V110" s="54">
        <f>_xll.EQNXTDZ($A$1,$B110,V$1,$B$1)</f>
        <v>0</v>
      </c>
      <c r="W110" s="54">
        <f>_xll.EQNXTDZ($A$1,$B110,W$1,$B$1)</f>
        <v>0</v>
      </c>
      <c r="X110" s="54">
        <f>_xll.EQNXTDZ($A$1,$B110,X$1,$B$1)</f>
        <v>0</v>
      </c>
      <c r="Y110" s="54">
        <f>_xll.EQNXTDZ($A$1,$B110,Y$1,$B$1)</f>
        <v>0</v>
      </c>
      <c r="Z110" s="54">
        <f>_xll.EQNXTDZ($A$1,$B110,Z$1,$B$1)</f>
        <v>7</v>
      </c>
      <c r="AA110" s="54">
        <f>_xll.EQNXTDZ($A$1,$B110,AA$1,$B$1)</f>
        <v>0</v>
      </c>
      <c r="AB110" s="54">
        <f>_xll.EQNXTDZ($A$1,$B110,AB$1,$B$1)</f>
        <v>7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0</v>
      </c>
      <c r="K111" s="55">
        <f>_xll.EQNXTDZ($A$1,$B111,K$5)</f>
        <v>0</v>
      </c>
      <c r="L111" s="55">
        <f>_xll.EQNXTDZ($A$1,$B111,L$5)</f>
        <v>0</v>
      </c>
      <c r="M111" s="55">
        <f>_xll.EQNXTDZ($A$1,$B111,M$5)</f>
        <v>0</v>
      </c>
      <c r="N111" s="55">
        <f>_xll.EQNXTDZ($A$1,$B111,N$5)</f>
        <v>0</v>
      </c>
      <c r="O111" s="55">
        <f>_xll.EQNXTDZ($A$1,$B111,O$5)</f>
        <v>0</v>
      </c>
      <c r="P111" s="55">
        <f>_xll.EQNXTDZ($A$1,$B111,P$5)</f>
        <v>0</v>
      </c>
      <c r="Q111" s="55">
        <f>_xll.EQNXTDZ($A$1,$B111,Q$5)</f>
        <v>0</v>
      </c>
      <c r="R111" s="55">
        <f>_xll.EQNXTDZ($A$1,$B111,R$5)</f>
        <v>0</v>
      </c>
      <c r="S111" s="55">
        <f>_xll.EQNXTDZ($A$1,$B111,S$5)</f>
        <v>0</v>
      </c>
      <c r="T111" s="55">
        <f>_xll.EQNXTDZ($A$1,$B111,T$5)</f>
        <v>0</v>
      </c>
      <c r="U111" s="55">
        <f>_xll.EQNXTDZ($A$1,$B111,U$5)</f>
        <v>0</v>
      </c>
      <c r="V111" s="55">
        <f>_xll.EQNXTDZ($A$1,$B111,V$5)</f>
        <v>0</v>
      </c>
      <c r="W111" s="55">
        <f>_xll.EQNXTDZ($A$1,$B111,W$5)</f>
        <v>0</v>
      </c>
      <c r="X111" s="55">
        <f>_xll.EQNXTDZ($A$1,$B111,X$5)</f>
        <v>0</v>
      </c>
      <c r="Y111" s="55">
        <f>_xll.EQNXTDZ($A$1,$B111,Y$5)</f>
        <v>0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54.91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0</v>
      </c>
      <c r="K112" s="55">
        <f>_xll.EQNXTDZ($A$1,$B112,K$5)</f>
        <v>0</v>
      </c>
      <c r="L112" s="55">
        <f>_xll.EQNXTDZ($A$1,$B112,L$5)</f>
        <v>0</v>
      </c>
      <c r="M112" s="55">
        <f>_xll.EQNXTDZ($A$1,$B112,M$5)</f>
        <v>0</v>
      </c>
      <c r="N112" s="55">
        <f>_xll.EQNXTDZ($A$1,$B112,N$5)</f>
        <v>0</v>
      </c>
      <c r="O112" s="55">
        <f>_xll.EQNXTDZ($A$1,$B112,O$5)</f>
        <v>0</v>
      </c>
      <c r="P112" s="55">
        <f>_xll.EQNXTDZ($A$1,$B112,P$5)</f>
        <v>0</v>
      </c>
      <c r="Q112" s="55">
        <f>_xll.EQNXTDZ($A$1,$B112,Q$5)</f>
        <v>0</v>
      </c>
      <c r="R112" s="55">
        <f>_xll.EQNXTDZ($A$1,$B112,R$5)</f>
        <v>0</v>
      </c>
      <c r="S112" s="55">
        <f>_xll.EQNXTDZ($A$1,$B112,S$5)</f>
        <v>0</v>
      </c>
      <c r="T112" s="55">
        <f>_xll.EQNXTDZ($A$1,$B112,T$5)</f>
        <v>0</v>
      </c>
      <c r="U112" s="55">
        <f>_xll.EQNXTDZ($A$1,$B112,U$5)</f>
        <v>0</v>
      </c>
      <c r="V112" s="55">
        <f>_xll.EQNXTDZ($A$1,$B112,V$5)</f>
        <v>0</v>
      </c>
      <c r="W112" s="55">
        <f>_xll.EQNXTDZ($A$1,$B112,W$5)</f>
        <v>0</v>
      </c>
      <c r="X112" s="55">
        <f>_xll.EQNXTDZ($A$1,$B112,X$5)</f>
        <v>0</v>
      </c>
      <c r="Y112" s="55">
        <f>_xll.EQNXTDZ($A$1,$B112,Y$5)</f>
        <v>0</v>
      </c>
      <c r="Z112" s="55">
        <f>_xll.EQNXTDZ($A$1,$B112,Z$5)</f>
        <v>75</v>
      </c>
      <c r="AA112" s="55">
        <f>_xll.EQNXTDZ($A$1,$B112,AA$5)</f>
        <v>75</v>
      </c>
      <c r="AB112" s="55">
        <f>_xll.EQNXTDZ($A$1,$B112,AB$5)</f>
        <v>70.44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0</v>
      </c>
      <c r="M113" s="55">
        <f>_xll.EQNXTDZ($A$1,$B113,M$5)</f>
        <v>0</v>
      </c>
      <c r="N113" s="55">
        <f>_xll.EQNXTDZ($A$1,$B113,N$5)</f>
        <v>0</v>
      </c>
      <c r="O113" s="55">
        <f>_xll.EQNXTDZ($A$1,$B113,O$5)</f>
        <v>0</v>
      </c>
      <c r="P113" s="55">
        <f>_xll.EQNXTDZ($A$1,$B113,P$5)</f>
        <v>0</v>
      </c>
      <c r="Q113" s="55">
        <f>_xll.EQNXTDZ($A$1,$B113,Q$5)</f>
        <v>0</v>
      </c>
      <c r="R113" s="55">
        <f>_xll.EQNXTDZ($A$1,$B113,R$5)</f>
        <v>0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100147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0</v>
      </c>
      <c r="ES5" cm="1">
        <f t="array" ref="ES5">_xll.EQNXTDZ($A$1,$B5,ES$1)</f>
        <v>0</v>
      </c>
      <c r="ET5" cm="1">
        <f t="array" ref="ET5">_xll.EQNXTDZ($A$1,$B5,ET$1)</f>
        <v>0</v>
      </c>
      <c r="EU5" cm="1">
        <f t="array" ref="EU5">_xll.EQNXTDZ($A$1,$B5,EU$1)</f>
        <v>0</v>
      </c>
      <c r="EV5" cm="1">
        <f t="array" ref="EV5">_xll.EQNXTDZ($A$1,$B5,EV$1)</f>
        <v>0</v>
      </c>
      <c r="EW5" cm="1">
        <f t="array" ref="EW5">_xll.EQNXTDZ($A$1,$B5,EW$1)</f>
        <v>0</v>
      </c>
      <c r="EX5" cm="1">
        <f t="array" ref="EX5">_xll.EQNXTDZ($A$1,$B5,EX$1)</f>
        <v>0</v>
      </c>
      <c r="EY5" cm="1">
        <f t="array" ref="EY5">_xll.EQNXTDZ($A$1,$B5,EY$1)</f>
        <v>0</v>
      </c>
      <c r="EZ5" cm="1">
        <f t="array" ref="EZ5">_xll.EQNXTDZ($A$1,$B5,EZ$1)</f>
        <v>0</v>
      </c>
      <c r="FA5" cm="1">
        <f t="array" ref="FA5">_xll.EQNXTDZ($A$1,$B5,FA$1)</f>
        <v>0</v>
      </c>
      <c r="FB5" cm="1">
        <f t="array" ref="FB5">_xll.EQNXTDZ($A$1,$B5,FB$1)</f>
        <v>0</v>
      </c>
      <c r="FC5" cm="1">
        <f t="array" ref="FC5">_xll.EQNXTDZ($A$1,$B5,FC$1)</f>
        <v>0</v>
      </c>
      <c r="FD5" cm="1">
        <f t="array" ref="FD5">_xll.EQNXTDZ($A$1,$B5,FD$1)</f>
        <v>0</v>
      </c>
      <c r="FE5" cm="1">
        <f t="array" ref="FE5">_xll.EQNXTDZ($A$1,$B5,FE$1)</f>
        <v>0</v>
      </c>
      <c r="FF5" cm="1">
        <f t="array" ref="FF5">_xll.EQNXTDZ($A$1,$B5,FF$1)</f>
        <v>0</v>
      </c>
      <c r="FG5" cm="1">
        <f t="array" ref="FG5">_xll.EQNXTDZ($A$1,$B5,FG$1)</f>
        <v>0</v>
      </c>
      <c r="FH5" cm="1">
        <f t="array" ref="FH5">_xll.EQNXTDZ($A$1,$B5,FH$1)</f>
        <v>0</v>
      </c>
      <c r="FI5" cm="1">
        <f t="array" ref="FI5">_xll.EQNXTDZ($A$1,$B5,FI$1)</f>
        <v>0</v>
      </c>
      <c r="FJ5" cm="1">
        <f t="array" ref="FJ5">_xll.EQNXTDZ($A$1,$B5,FJ$1)</f>
        <v>0</v>
      </c>
      <c r="FK5" cm="1">
        <f t="array" ref="FK5">_xll.EQNXTDZ($A$1,$B5,FK$1)</f>
        <v>0</v>
      </c>
      <c r="FL5" cm="1">
        <f t="array" ref="FL5">_xll.EQNXTDZ($A$1,$B5,FL$1)</f>
        <v>0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0</v>
      </c>
      <c r="ES6" cm="1">
        <f t="array" ref="ES6">_xll.EQNXTDZ($A$1,$B6,ES$1)</f>
        <v>0</v>
      </c>
      <c r="ET6" cm="1">
        <f t="array" ref="ET6">_xll.EQNXTDZ($A$1,$B6,ET$1)</f>
        <v>0</v>
      </c>
      <c r="EU6" cm="1">
        <f t="array" ref="EU6">_xll.EQNXTDZ($A$1,$B6,EU$1)</f>
        <v>0</v>
      </c>
      <c r="EV6" cm="1">
        <f t="array" ref="EV6">_xll.EQNXTDZ($A$1,$B6,EV$1)</f>
        <v>0</v>
      </c>
      <c r="EW6" cm="1">
        <f t="array" ref="EW6">_xll.EQNXTDZ($A$1,$B6,EW$1)</f>
        <v>0</v>
      </c>
      <c r="EX6" cm="1">
        <f t="array" ref="EX6">_xll.EQNXTDZ($A$1,$B6,EX$1)</f>
        <v>0</v>
      </c>
      <c r="EY6" cm="1">
        <f t="array" ref="EY6">_xll.EQNXTDZ($A$1,$B6,EY$1)</f>
        <v>0</v>
      </c>
      <c r="EZ6" cm="1">
        <f t="array" ref="EZ6">_xll.EQNXTDZ($A$1,$B6,EZ$1)</f>
        <v>0</v>
      </c>
      <c r="FA6" cm="1">
        <f t="array" ref="FA6">_xll.EQNXTDZ($A$1,$B6,FA$1)</f>
        <v>0</v>
      </c>
      <c r="FB6" cm="1">
        <f t="array" ref="FB6">_xll.EQNXTDZ($A$1,$B6,FB$1)</f>
        <v>0</v>
      </c>
      <c r="FC6" cm="1">
        <f t="array" ref="FC6">_xll.EQNXTDZ($A$1,$B6,FC$1)</f>
        <v>0</v>
      </c>
      <c r="FD6" cm="1">
        <f t="array" ref="FD6">_xll.EQNXTDZ($A$1,$B6,FD$1)</f>
        <v>0</v>
      </c>
      <c r="FE6" cm="1">
        <f t="array" ref="FE6">_xll.EQNXTDZ($A$1,$B6,FE$1)</f>
        <v>0</v>
      </c>
      <c r="FF6" cm="1">
        <f t="array" ref="FF6">_xll.EQNXTDZ($A$1,$B6,FF$1)</f>
        <v>0</v>
      </c>
      <c r="FG6" cm="1">
        <f t="array" ref="FG6">_xll.EQNXTDZ($A$1,$B6,FG$1)</f>
        <v>0</v>
      </c>
      <c r="FH6" cm="1">
        <f t="array" ref="FH6">_xll.EQNXTDZ($A$1,$B6,FH$1)</f>
        <v>0</v>
      </c>
      <c r="FI6" cm="1">
        <f t="array" ref="FI6">_xll.EQNXTDZ($A$1,$B6,FI$1)</f>
        <v>0</v>
      </c>
      <c r="FJ6" cm="1">
        <f t="array" ref="FJ6">_xll.EQNXTDZ($A$1,$B6,FJ$1)</f>
        <v>0</v>
      </c>
      <c r="FK6" cm="1">
        <f t="array" ref="FK6">_xll.EQNXTDZ($A$1,$B6,FK$1)</f>
        <v>0</v>
      </c>
      <c r="FL6" cm="1">
        <f t="array" ref="FL6">_xll.EQNXTDZ($A$1,$B6,FL$1)</f>
        <v>0</v>
      </c>
      <c r="FM6" cm="1">
        <f t="array" ref="FM6">_xll.EQNXTDZ($A$1,$B6,FM$1)</f>
        <v>5204.6000000000004</v>
      </c>
      <c r="FN6" cm="1">
        <f t="array" ref="FN6">_xll.EQNXTDZ($A$1,$B6,FN$1)</f>
        <v>5116</v>
      </c>
      <c r="FO6" cm="1">
        <f t="array" ref="FO6">_xll.EQNXTDZ($A$1,$B6,FO$1)</f>
        <v>7200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0</v>
      </c>
      <c r="D7" s="115" cm="1">
        <f t="array" ref="D7">_xll.EQNXTDZ($A$1,$B7,D$1)</f>
        <v>0</v>
      </c>
      <c r="E7" s="115" cm="1">
        <f t="array" ref="E7">_xll.EQNXTDZ($A$1,$B7,E$1)</f>
        <v>0</v>
      </c>
      <c r="F7" s="115" cm="1">
        <f t="array" ref="F7">_xll.EQNXTDZ($A$1,$B7,F$1)</f>
        <v>0</v>
      </c>
      <c r="G7" s="115" cm="1">
        <f t="array" ref="G7">_xll.EQNXTDZ($A$1,$B7,G$1)</f>
        <v>0</v>
      </c>
      <c r="H7" s="115" cm="1">
        <f t="array" ref="H7">_xll.EQNXTDZ($A$1,$B7,H$1)</f>
        <v>0</v>
      </c>
      <c r="I7" s="115" cm="1">
        <f t="array" ref="I7">_xll.EQNXTDZ($A$1,$B7,I$1)</f>
        <v>0</v>
      </c>
      <c r="J7" s="115" cm="1">
        <f t="array" ref="J7">_xll.EQNXTDZ($A$1,$B7,J$1)</f>
        <v>0</v>
      </c>
      <c r="K7" s="115" cm="1">
        <f t="array" ref="K7">_xll.EQNXTDZ($A$1,$B7,K$1)</f>
        <v>0</v>
      </c>
      <c r="L7" s="115" cm="1">
        <f t="array" ref="L7">_xll.EQNXTDZ($A$1,$B7,L$1)</f>
        <v>0</v>
      </c>
      <c r="M7" s="115" cm="1">
        <f t="array" ref="M7">_xll.EQNXTDZ($A$1,$B7,M$1)</f>
        <v>0</v>
      </c>
      <c r="N7" s="115" cm="1">
        <f t="array" ref="N7">_xll.EQNXTDZ($A$1,$B7,N$1)</f>
        <v>0</v>
      </c>
      <c r="O7" s="115" cm="1">
        <f t="array" ref="O7">_xll.EQNXTDZ($A$1,$B7,O$1)</f>
        <v>0</v>
      </c>
      <c r="P7" s="115" cm="1">
        <f t="array" ref="P7">_xll.EQNXTDZ($A$1,$B7,P$1)</f>
        <v>0</v>
      </c>
      <c r="Q7" s="115" cm="1">
        <f t="array" ref="Q7">_xll.EQNXTDZ($A$1,$B7,Q$1)</f>
        <v>0</v>
      </c>
      <c r="R7" s="115" cm="1">
        <f t="array" ref="R7">_xll.EQNXTDZ($A$1,$B7,R$1)</f>
        <v>0</v>
      </c>
      <c r="S7" s="115" cm="1">
        <f t="array" ref="S7">_xll.EQNXTDZ($A$1,$B7,S$1)</f>
        <v>0</v>
      </c>
      <c r="T7" s="115" cm="1">
        <f t="array" ref="T7">_xll.EQNXTDZ($A$1,$B7,T$1)</f>
        <v>0</v>
      </c>
      <c r="U7" s="115" cm="1">
        <f t="array" ref="U7">_xll.EQNXTDZ($A$1,$B7,U$1)</f>
        <v>0</v>
      </c>
      <c r="V7" s="115" cm="1">
        <f t="array" ref="V7">_xll.EQNXTDZ($A$1,$B7,V$1)</f>
        <v>0</v>
      </c>
      <c r="W7" s="115" cm="1">
        <f t="array" ref="W7">_xll.EQNXTDZ($A$1,$B7,W$1)</f>
        <v>0</v>
      </c>
      <c r="X7" s="115" cm="1">
        <f t="array" ref="X7">_xll.EQNXTDZ($A$1,$B7,X$1)</f>
        <v>0</v>
      </c>
      <c r="Y7" s="115" cm="1">
        <f t="array" ref="Y7">_xll.EQNXTDZ($A$1,$B7,Y$1)</f>
        <v>0</v>
      </c>
      <c r="Z7" s="115" cm="1">
        <f t="array" ref="Z7">_xll.EQNXTDZ($A$1,$B7,Z$1)</f>
        <v>0</v>
      </c>
      <c r="AA7" s="115" cm="1">
        <f t="array" ref="AA7">_xll.EQNXTDZ($A$1,$B7,AA$1)</f>
        <v>0</v>
      </c>
      <c r="AB7" s="115" cm="1">
        <f t="array" ref="AB7">_xll.EQNXTDZ($A$1,$B7,AB$1)</f>
        <v>0</v>
      </c>
      <c r="AC7" s="115" cm="1">
        <f t="array" ref="AC7">_xll.EQNXTDZ($A$1,$B7,AC$1)</f>
        <v>0</v>
      </c>
      <c r="AD7" s="115" cm="1">
        <f t="array" ref="AD7">_xll.EQNXTDZ($A$1,$B7,AD$1)</f>
        <v>0</v>
      </c>
      <c r="AE7" s="115" cm="1">
        <f t="array" ref="AE7">_xll.EQNXTDZ($A$1,$B7,AE$1)</f>
        <v>0</v>
      </c>
      <c r="AF7" s="115" cm="1">
        <f t="array" ref="AF7">_xll.EQNXTDZ($A$1,$B7,AF$1)</f>
        <v>0</v>
      </c>
      <c r="AG7" s="115" cm="1">
        <f t="array" ref="AG7">_xll.EQNXTDZ($A$1,$B7,AG$1)</f>
        <v>0</v>
      </c>
      <c r="AH7" s="115" cm="1">
        <f t="array" ref="AH7">_xll.EQNXTDZ($A$1,$B7,AH$1)</f>
        <v>0</v>
      </c>
      <c r="AI7" s="115" cm="1">
        <f t="array" ref="AI7">_xll.EQNXTDZ($A$1,$B7,AI$1)</f>
        <v>0</v>
      </c>
      <c r="AJ7" s="115" cm="1">
        <f t="array" ref="AJ7">_xll.EQNXTDZ($A$1,$B7,AJ$1)</f>
        <v>0</v>
      </c>
      <c r="AK7" s="115" cm="1">
        <f t="array" ref="AK7">_xll.EQNXTDZ($A$1,$B7,AK$1)</f>
        <v>0</v>
      </c>
      <c r="AL7" s="115" cm="1">
        <f t="array" ref="AL7">_xll.EQNXTDZ($A$1,$B7,AL$1)</f>
        <v>0</v>
      </c>
      <c r="AM7" s="115" cm="1">
        <f t="array" ref="AM7">_xll.EQNXTDZ($A$1,$B7,AM$1)</f>
        <v>0</v>
      </c>
      <c r="AN7" s="115" cm="1">
        <f t="array" ref="AN7">_xll.EQNXTDZ($A$1,$B7,AN$1)</f>
        <v>0</v>
      </c>
      <c r="AO7" s="115" cm="1">
        <f t="array" ref="AO7">_xll.EQNXTDZ($A$1,$B7,AO$1)</f>
        <v>0</v>
      </c>
      <c r="AP7" s="115" cm="1">
        <f t="array" ref="AP7">_xll.EQNXTDZ($A$1,$B7,AP$1)</f>
        <v>0</v>
      </c>
      <c r="AQ7" s="115" cm="1">
        <f t="array" ref="AQ7">_xll.EQNXTDZ($A$1,$B7,AQ$1)</f>
        <v>0</v>
      </c>
      <c r="AR7" s="115" cm="1">
        <f t="array" ref="AR7">_xll.EQNXTDZ($A$1,$B7,AR$1)</f>
        <v>0</v>
      </c>
      <c r="AS7" s="115" cm="1">
        <f t="array" ref="AS7">_xll.EQNXTDZ($A$1,$B7,AS$1)</f>
        <v>0</v>
      </c>
      <c r="AT7" s="115" cm="1">
        <f t="array" ref="AT7">_xll.EQNXTDZ($A$1,$B7,AT$1)</f>
        <v>0</v>
      </c>
      <c r="AU7" s="115" cm="1">
        <f t="array" ref="AU7">_xll.EQNXTDZ($A$1,$B7,AU$1)</f>
        <v>0</v>
      </c>
      <c r="AV7" s="115" cm="1">
        <f t="array" ref="AV7">_xll.EQNXTDZ($A$1,$B7,AV$1)</f>
        <v>0</v>
      </c>
      <c r="AW7" s="115" cm="1">
        <f t="array" ref="AW7">_xll.EQNXTDZ($A$1,$B7,AW$1)</f>
        <v>0</v>
      </c>
      <c r="AX7" s="115" cm="1">
        <f t="array" ref="AX7">_xll.EQNXTDZ($A$1,$B7,AX$1)</f>
        <v>0</v>
      </c>
      <c r="AY7" s="115" cm="1">
        <f t="array" ref="AY7">_xll.EQNXTDZ($A$1,$B7,AY$1)</f>
        <v>0</v>
      </c>
      <c r="AZ7" s="115" cm="1">
        <f t="array" ref="AZ7">_xll.EQNXTDZ($A$1,$B7,AZ$1)</f>
        <v>0</v>
      </c>
      <c r="BA7" s="115" cm="1">
        <f t="array" ref="BA7">_xll.EQNXTDZ($A$1,$B7,BA$1)</f>
        <v>0</v>
      </c>
      <c r="BB7" s="115" cm="1">
        <f t="array" ref="BB7">_xll.EQNXTDZ($A$1,$B7,BB$1)</f>
        <v>0</v>
      </c>
      <c r="BC7" s="115" cm="1">
        <f t="array" ref="BC7">_xll.EQNXTDZ($A$1,$B7,BC$1)</f>
        <v>0</v>
      </c>
      <c r="BD7" s="115" cm="1">
        <f t="array" ref="BD7">_xll.EQNXTDZ($A$1,$B7,BD$1)</f>
        <v>0</v>
      </c>
      <c r="BE7" s="115" cm="1">
        <f t="array" ref="BE7">_xll.EQNXTDZ($A$1,$B7,BE$1)</f>
        <v>0</v>
      </c>
      <c r="BF7" s="115" cm="1">
        <f t="array" ref="BF7">_xll.EQNXTDZ($A$1,$B7,BF$1)</f>
        <v>0</v>
      </c>
      <c r="BG7" s="115" cm="1">
        <f t="array" ref="BG7">_xll.EQNXTDZ($A$1,$B7,BG$1)</f>
        <v>0</v>
      </c>
      <c r="BH7" s="115" cm="1">
        <f t="array" ref="BH7">_xll.EQNXTDZ($A$1,$B7,BH$1)</f>
        <v>0</v>
      </c>
      <c r="BI7" s="115" cm="1">
        <f t="array" ref="BI7">_xll.EQNXTDZ($A$1,$B7,BI$1)</f>
        <v>0</v>
      </c>
      <c r="BJ7" s="115" cm="1">
        <f t="array" ref="BJ7">_xll.EQNXTDZ($A$1,$B7,BJ$1)</f>
        <v>0</v>
      </c>
      <c r="BK7" s="115" cm="1">
        <f t="array" ref="BK7">_xll.EQNXTDZ($A$1,$B7,BK$1)</f>
        <v>0</v>
      </c>
      <c r="BL7" s="115" cm="1">
        <f t="array" ref="BL7">_xll.EQNXTDZ($A$1,$B7,BL$1)</f>
        <v>0</v>
      </c>
      <c r="BM7" s="115" cm="1">
        <f t="array" ref="BM7">_xll.EQNXTDZ($A$1,$B7,BM$1)</f>
        <v>0</v>
      </c>
      <c r="BN7" s="115" cm="1">
        <f t="array" ref="BN7">_xll.EQNXTDZ($A$1,$B7,BN$1)</f>
        <v>0</v>
      </c>
      <c r="BO7" s="115" cm="1">
        <f t="array" ref="BO7">_xll.EQNXTDZ($A$1,$B7,BO$1)</f>
        <v>0</v>
      </c>
      <c r="BP7" s="115" cm="1">
        <f t="array" ref="BP7">_xll.EQNXTDZ($A$1,$B7,BP$1)</f>
        <v>0</v>
      </c>
      <c r="BQ7" s="115" cm="1">
        <f t="array" ref="BQ7">_xll.EQNXTDZ($A$1,$B7,BQ$1)</f>
        <v>0</v>
      </c>
      <c r="BR7" s="115" cm="1">
        <f t="array" ref="BR7">_xll.EQNXTDZ($A$1,$B7,BR$1)</f>
        <v>0</v>
      </c>
      <c r="BS7" s="115" cm="1">
        <f t="array" ref="BS7">_xll.EQNXTDZ($A$1,$B7,BS$1)</f>
        <v>0</v>
      </c>
      <c r="BT7" s="115" cm="1">
        <f t="array" ref="BT7">_xll.EQNXTDZ($A$1,$B7,BT$1)</f>
        <v>0</v>
      </c>
      <c r="BU7" s="115" cm="1">
        <f t="array" ref="BU7">_xll.EQNXTDZ($A$1,$B7,BU$1)</f>
        <v>0</v>
      </c>
      <c r="BV7" s="115" cm="1">
        <f t="array" ref="BV7">_xll.EQNXTDZ($A$1,$B7,BV$1)</f>
        <v>0</v>
      </c>
      <c r="BW7" s="115" cm="1">
        <f t="array" ref="BW7">_xll.EQNXTDZ($A$1,$B7,BW$1)</f>
        <v>0</v>
      </c>
      <c r="BX7" s="115" cm="1">
        <f t="array" ref="BX7">_xll.EQNXTDZ($A$1,$B7,BX$1)</f>
        <v>0</v>
      </c>
      <c r="BY7" s="115" cm="1">
        <f t="array" ref="BY7">_xll.EQNXTDZ($A$1,$B7,BY$1)</f>
        <v>0</v>
      </c>
      <c r="BZ7" s="115" cm="1">
        <f t="array" ref="BZ7">_xll.EQNXTDZ($A$1,$B7,BZ$1)</f>
        <v>0</v>
      </c>
      <c r="CA7" s="115" cm="1">
        <f t="array" ref="CA7">_xll.EQNXTDZ($A$1,$B7,CA$1)</f>
        <v>0</v>
      </c>
      <c r="CB7" s="115" cm="1">
        <f t="array" ref="CB7">_xll.EQNXTDZ($A$1,$B7,CB$1)</f>
        <v>0</v>
      </c>
      <c r="CC7" s="115" cm="1">
        <f t="array" ref="CC7">_xll.EQNXTDZ($A$1,$B7,CC$1)</f>
        <v>0</v>
      </c>
      <c r="CD7" s="115" cm="1">
        <f t="array" ref="CD7">_xll.EQNXTDZ($A$1,$B7,CD$1)</f>
        <v>0</v>
      </c>
      <c r="CE7" s="115" cm="1">
        <f t="array" ref="CE7">_xll.EQNXTDZ($A$1,$B7,CE$1)</f>
        <v>0</v>
      </c>
      <c r="CF7" s="115" cm="1">
        <f t="array" ref="CF7">_xll.EQNXTDZ($A$1,$B7,CF$1)</f>
        <v>0</v>
      </c>
      <c r="CG7" s="115" cm="1">
        <f t="array" ref="CG7">_xll.EQNXTDZ($A$1,$B7,CG$1)</f>
        <v>0</v>
      </c>
      <c r="CH7" s="115" cm="1">
        <f t="array" ref="CH7">_xll.EQNXTDZ($A$1,$B7,CH$1)</f>
        <v>0</v>
      </c>
      <c r="CI7" s="115" cm="1">
        <f t="array" ref="CI7">_xll.EQNXTDZ($A$1,$B7,CI$1)</f>
        <v>0</v>
      </c>
      <c r="CJ7" s="115" cm="1">
        <f t="array" ref="CJ7">_xll.EQNXTDZ($A$1,$B7,CJ$1)</f>
        <v>0</v>
      </c>
      <c r="CK7" s="115" cm="1">
        <f t="array" ref="CK7">_xll.EQNXTDZ($A$1,$B7,CK$1)</f>
        <v>0</v>
      </c>
      <c r="CL7" s="115" cm="1">
        <f t="array" ref="CL7">_xll.EQNXTDZ($A$1,$B7,CL$1)</f>
        <v>0</v>
      </c>
      <c r="CM7" s="115" cm="1">
        <f t="array" ref="CM7">_xll.EQNXTDZ($A$1,$B7,CM$1)</f>
        <v>0</v>
      </c>
      <c r="CN7" s="115" cm="1">
        <f t="array" ref="CN7">_xll.EQNXTDZ($A$1,$B7,CN$1)</f>
        <v>0</v>
      </c>
      <c r="CO7" s="115" cm="1">
        <f t="array" ref="CO7">_xll.EQNXTDZ($A$1,$B7,CO$1)</f>
        <v>0</v>
      </c>
      <c r="CP7" s="115" cm="1">
        <f t="array" ref="CP7">_xll.EQNXTDZ($A$1,$B7,CP$1)</f>
        <v>0</v>
      </c>
      <c r="CQ7" s="115" cm="1">
        <f t="array" ref="CQ7">_xll.EQNXTDZ($A$1,$B7,CQ$1)</f>
        <v>0</v>
      </c>
      <c r="CR7" s="115" cm="1">
        <f t="array" ref="CR7">_xll.EQNXTDZ($A$1,$B7,CR$1)</f>
        <v>0</v>
      </c>
      <c r="CS7" s="115" cm="1">
        <f t="array" ref="CS7">_xll.EQNXTDZ($A$1,$B7,CS$1)</f>
        <v>0</v>
      </c>
      <c r="CT7" s="115" cm="1">
        <f t="array" ref="CT7">_xll.EQNXTDZ($A$1,$B7,CT$1)</f>
        <v>0</v>
      </c>
      <c r="CU7" s="115" cm="1">
        <f t="array" ref="CU7">_xll.EQNXTDZ($A$1,$B7,CU$1)</f>
        <v>0</v>
      </c>
      <c r="CV7" s="115" cm="1">
        <f t="array" ref="CV7">_xll.EQNXTDZ($A$1,$B7,CV$1)</f>
        <v>0</v>
      </c>
      <c r="CW7" s="115" cm="1">
        <f t="array" ref="CW7">_xll.EQNXTDZ($A$1,$B7,CW$1)</f>
        <v>0</v>
      </c>
      <c r="CX7" s="115" cm="1">
        <f t="array" ref="CX7">_xll.EQNXTDZ($A$1,$B7,CX$1)</f>
        <v>0</v>
      </c>
      <c r="CY7" s="115" cm="1">
        <f t="array" ref="CY7">_xll.EQNXTDZ($A$1,$B7,CY$1)</f>
        <v>0</v>
      </c>
      <c r="CZ7" s="115" cm="1">
        <f t="array" ref="CZ7">_xll.EQNXTDZ($A$1,$B7,CZ$1)</f>
        <v>0</v>
      </c>
      <c r="DA7" s="115" cm="1">
        <f t="array" ref="DA7">_xll.EQNXTDZ($A$1,$B7,DA$1)</f>
        <v>0</v>
      </c>
      <c r="DB7" s="115" cm="1">
        <f t="array" ref="DB7">_xll.EQNXTDZ($A$1,$B7,DB$1)</f>
        <v>0</v>
      </c>
      <c r="DC7" s="115" cm="1">
        <f t="array" ref="DC7">_xll.EQNXTDZ($A$1,$B7,DC$1)</f>
        <v>0</v>
      </c>
      <c r="DD7" s="115" cm="1">
        <f t="array" ref="DD7">_xll.EQNXTDZ($A$1,$B7,DD$1)</f>
        <v>0</v>
      </c>
      <c r="DE7" s="115" cm="1">
        <f t="array" ref="DE7">_xll.EQNXTDZ($A$1,$B7,DE$1)</f>
        <v>0</v>
      </c>
      <c r="DF7" s="115" cm="1">
        <f t="array" ref="DF7">_xll.EQNXTDZ($A$1,$B7,DF$1)</f>
        <v>0</v>
      </c>
      <c r="DG7" s="115" cm="1">
        <f t="array" ref="DG7">_xll.EQNXTDZ($A$1,$B7,DG$1)</f>
        <v>0</v>
      </c>
      <c r="DH7" s="115" cm="1">
        <f t="array" ref="DH7">_xll.EQNXTDZ($A$1,$B7,DH$1)</f>
        <v>0</v>
      </c>
      <c r="DI7" s="115" cm="1">
        <f t="array" ref="DI7">_xll.EQNXTDZ($A$1,$B7,DI$1)</f>
        <v>0</v>
      </c>
      <c r="DJ7" s="115" cm="1">
        <f t="array" ref="DJ7">_xll.EQNXTDZ($A$1,$B7,DJ$1)</f>
        <v>0</v>
      </c>
      <c r="DK7" s="115" cm="1">
        <f t="array" ref="DK7">_xll.EQNXTDZ($A$1,$B7,DK$1)</f>
        <v>0</v>
      </c>
      <c r="DL7" s="115" cm="1">
        <f t="array" ref="DL7">_xll.EQNXTDZ($A$1,$B7,DL$1)</f>
        <v>0</v>
      </c>
      <c r="DM7" s="115" cm="1">
        <f t="array" ref="DM7">_xll.EQNXTDZ($A$1,$B7,DM$1)</f>
        <v>0</v>
      </c>
      <c r="DN7" s="115" cm="1">
        <f t="array" ref="DN7">_xll.EQNXTDZ($A$1,$B7,DN$1)</f>
        <v>0</v>
      </c>
      <c r="DO7" s="115" cm="1">
        <f t="array" ref="DO7">_xll.EQNXTDZ($A$1,$B7,DO$1)</f>
        <v>0</v>
      </c>
      <c r="DP7" s="115" cm="1">
        <f t="array" ref="DP7">_xll.EQNXTDZ($A$1,$B7,DP$1)</f>
        <v>0</v>
      </c>
      <c r="DQ7" s="115" cm="1">
        <f t="array" ref="DQ7">_xll.EQNXTDZ($A$1,$B7,DQ$1)</f>
        <v>0</v>
      </c>
      <c r="DR7" s="115" cm="1">
        <f t="array" ref="DR7">_xll.EQNXTDZ($A$1,$B7,DR$1)</f>
        <v>0</v>
      </c>
      <c r="DS7" s="115" cm="1">
        <f t="array" ref="DS7">_xll.EQNXTDZ($A$1,$B7,DS$1)</f>
        <v>0</v>
      </c>
      <c r="DT7" s="115" cm="1">
        <f t="array" ref="DT7">_xll.EQNXTDZ($A$1,$B7,DT$1)</f>
        <v>0</v>
      </c>
      <c r="DU7" s="115" cm="1">
        <f t="array" ref="DU7">_xll.EQNXTDZ($A$1,$B7,DU$1)</f>
        <v>0</v>
      </c>
      <c r="DV7" s="115" cm="1">
        <f t="array" ref="DV7">_xll.EQNXTDZ($A$1,$B7,DV$1)</f>
        <v>0</v>
      </c>
      <c r="DW7" s="115" cm="1">
        <f t="array" ref="DW7">_xll.EQNXTDZ($A$1,$B7,DW$1)</f>
        <v>0</v>
      </c>
      <c r="DX7" s="115" cm="1">
        <f t="array" ref="DX7">_xll.EQNXTDZ($A$1,$B7,DX$1)</f>
        <v>0</v>
      </c>
      <c r="DY7" s="115" cm="1">
        <f t="array" ref="DY7">_xll.EQNXTDZ($A$1,$B7,DY$1)</f>
        <v>0</v>
      </c>
      <c r="DZ7" s="115" cm="1">
        <f t="array" ref="DZ7">_xll.EQNXTDZ($A$1,$B7,DZ$1)</f>
        <v>0</v>
      </c>
      <c r="EA7" s="115" cm="1">
        <f t="array" ref="EA7">_xll.EQNXTDZ($A$1,$B7,EA$1)</f>
        <v>0</v>
      </c>
      <c r="EB7" s="115" cm="1">
        <f t="array" ref="EB7">_xll.EQNXTDZ($A$1,$B7,EB$1)</f>
        <v>0</v>
      </c>
      <c r="EC7" s="115" cm="1">
        <f t="array" ref="EC7">_xll.EQNXTDZ($A$1,$B7,EC$1)</f>
        <v>0</v>
      </c>
      <c r="ED7" s="115" cm="1">
        <f t="array" ref="ED7">_xll.EQNXTDZ($A$1,$B7,ED$1)</f>
        <v>0</v>
      </c>
      <c r="EE7" s="115" cm="1">
        <f t="array" ref="EE7">_xll.EQNXTDZ($A$1,$B7,EE$1)</f>
        <v>0</v>
      </c>
      <c r="EF7" s="115" cm="1">
        <f t="array" ref="EF7">_xll.EQNXTDZ($A$1,$B7,EF$1)</f>
        <v>0</v>
      </c>
      <c r="EG7" s="115" cm="1">
        <f t="array" ref="EG7">_xll.EQNXTDZ($A$1,$B7,EG$1)</f>
        <v>0</v>
      </c>
      <c r="EH7" s="115" cm="1">
        <f t="array" ref="EH7">_xll.EQNXTDZ($A$1,$B7,EH$1)</f>
        <v>0</v>
      </c>
      <c r="EI7" s="115" cm="1">
        <f t="array" ref="EI7">_xll.EQNXTDZ($A$1,$B7,EI$1)</f>
        <v>0</v>
      </c>
      <c r="EJ7" s="115" cm="1">
        <f t="array" ref="EJ7">_xll.EQNXTDZ($A$1,$B7,EJ$1)</f>
        <v>0</v>
      </c>
      <c r="EK7" s="115" cm="1">
        <f t="array" ref="EK7">_xll.EQNXTDZ($A$1,$B7,EK$1)</f>
        <v>0</v>
      </c>
      <c r="EL7" s="115" cm="1">
        <f t="array" ref="EL7">_xll.EQNXTDZ($A$1,$B7,EL$1)</f>
        <v>0</v>
      </c>
      <c r="EM7" s="115" cm="1">
        <f t="array" ref="EM7">_xll.EQNXTDZ($A$1,$B7,EM$1)</f>
        <v>0</v>
      </c>
      <c r="EN7" s="115" cm="1">
        <f t="array" ref="EN7">_xll.EQNXTDZ($A$1,$B7,EN$1)</f>
        <v>0</v>
      </c>
      <c r="EO7" s="115" cm="1">
        <f t="array" ref="EO7">_xll.EQNXTDZ($A$1,$B7,EO$1)</f>
        <v>0</v>
      </c>
      <c r="EP7" s="115" cm="1">
        <f t="array" ref="EP7">_xll.EQNXTDZ($A$1,$B7,EP$1)</f>
        <v>0</v>
      </c>
      <c r="EQ7" s="115" cm="1">
        <f t="array" ref="EQ7">_xll.EQNXTDZ($A$1,$B7,EQ$1)</f>
        <v>0</v>
      </c>
      <c r="ER7" s="115" cm="1">
        <f t="array" ref="ER7">_xll.EQNXTDZ($A$1,$B7,ER$1)</f>
        <v>0</v>
      </c>
      <c r="ES7" s="115" cm="1">
        <f t="array" ref="ES7">_xll.EQNXTDZ($A$1,$B7,ES$1)</f>
        <v>0</v>
      </c>
      <c r="ET7" s="115" cm="1">
        <f t="array" ref="ET7">_xll.EQNXTDZ($A$1,$B7,ET$1)</f>
        <v>0</v>
      </c>
      <c r="EU7" s="115" cm="1">
        <f t="array" ref="EU7">_xll.EQNXTDZ($A$1,$B7,EU$1)</f>
        <v>0</v>
      </c>
      <c r="EV7" s="115" cm="1">
        <f t="array" ref="EV7">_xll.EQNXTDZ($A$1,$B7,EV$1)</f>
        <v>0</v>
      </c>
      <c r="EW7" s="115" cm="1">
        <f t="array" ref="EW7">_xll.EQNXTDZ($A$1,$B7,EW$1)</f>
        <v>0</v>
      </c>
      <c r="EX7" s="115" cm="1">
        <f t="array" ref="EX7">_xll.EQNXTDZ($A$1,$B7,EX$1)</f>
        <v>0</v>
      </c>
      <c r="EY7" s="115" cm="1">
        <f t="array" ref="EY7">_xll.EQNXTDZ($A$1,$B7,EY$1)</f>
        <v>0</v>
      </c>
      <c r="EZ7" s="115" cm="1">
        <f t="array" ref="EZ7">_xll.EQNXTDZ($A$1,$B7,EZ$1)</f>
        <v>0</v>
      </c>
      <c r="FA7" s="115" cm="1">
        <f t="array" ref="FA7">_xll.EQNXTDZ($A$1,$B7,FA$1)</f>
        <v>0</v>
      </c>
      <c r="FB7" s="115" cm="1">
        <f t="array" ref="FB7">_xll.EQNXTDZ($A$1,$B7,FB$1)</f>
        <v>0</v>
      </c>
      <c r="FC7" s="115" cm="1">
        <f t="array" ref="FC7">_xll.EQNXTDZ($A$1,$B7,FC$1)</f>
        <v>0</v>
      </c>
      <c r="FD7" s="115" cm="1">
        <f t="array" ref="FD7">_xll.EQNXTDZ($A$1,$B7,FD$1)</f>
        <v>0</v>
      </c>
      <c r="FE7" s="115" cm="1">
        <f t="array" ref="FE7">_xll.EQNXTDZ($A$1,$B7,FE$1)</f>
        <v>0</v>
      </c>
      <c r="FF7" s="115" cm="1">
        <f t="array" ref="FF7">_xll.EQNXTDZ($A$1,$B7,FF$1)</f>
        <v>0</v>
      </c>
      <c r="FG7" s="115" cm="1">
        <f t="array" ref="FG7">_xll.EQNXTDZ($A$1,$B7,FG$1)</f>
        <v>0</v>
      </c>
      <c r="FH7" s="115" cm="1">
        <f t="array" ref="FH7">_xll.EQNXTDZ($A$1,$B7,FH$1)</f>
        <v>0</v>
      </c>
      <c r="FI7" s="115" cm="1">
        <f t="array" ref="FI7">_xll.EQNXTDZ($A$1,$B7,FI$1)</f>
        <v>0</v>
      </c>
      <c r="FJ7" s="115" cm="1">
        <f t="array" ref="FJ7">_xll.EQNXTDZ($A$1,$B7,FJ$1)</f>
        <v>0</v>
      </c>
      <c r="FK7" s="115" cm="1">
        <f t="array" ref="FK7">_xll.EQNXTDZ($A$1,$B7,FK$1)</f>
        <v>0</v>
      </c>
      <c r="FL7" s="115" cm="1">
        <f t="array" ref="FL7">_xll.EQNXTDZ($A$1,$B7,FL$1)</f>
        <v>0</v>
      </c>
      <c r="FM7" s="115" cm="1">
        <f t="array" ref="FM7">_xll.EQNXTDZ($A$1,$B7,FM$1)</f>
        <v>5293</v>
      </c>
      <c r="FN7" s="115" cm="1">
        <f t="array" ref="FN7">_xll.EQNXTDZ($A$1,$B7,FN$1)</f>
        <v>7400</v>
      </c>
      <c r="FO7" s="115" cm="1">
        <f t="array" ref="FO7">_xll.EQNXTDZ($A$1,$B7,FO$1)</f>
        <v>10871.5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0</v>
      </c>
      <c r="HQ7" s="115">
        <f>+MAX(G7:I7)</f>
        <v>0</v>
      </c>
      <c r="HR7" s="115">
        <f>+MAX(J7:L7)</f>
        <v>0</v>
      </c>
      <c r="HS7" s="115">
        <f>+MAX(M7:O7)</f>
        <v>0</v>
      </c>
      <c r="HT7" s="115">
        <f>+MAX(P7:R7)</f>
        <v>0</v>
      </c>
      <c r="HU7" s="115">
        <f>+MAX(S7:U7)</f>
        <v>0</v>
      </c>
      <c r="HV7" s="115">
        <f>+MAX(V7:X7)</f>
        <v>0</v>
      </c>
      <c r="HW7" s="115">
        <f>+MAX(Y7:AA7)</f>
        <v>0</v>
      </c>
      <c r="HX7" s="115">
        <f>+MAX(AB7:AD7)</f>
        <v>0</v>
      </c>
      <c r="HY7" s="115">
        <f>+MAX(AE7:AG7)</f>
        <v>0</v>
      </c>
      <c r="HZ7" s="115">
        <f>+MAX(AH7:AJ7)</f>
        <v>0</v>
      </c>
      <c r="IA7" s="115">
        <f>+MAX(AK7:AM7)</f>
        <v>0</v>
      </c>
      <c r="IB7" s="115">
        <f>+MAX(AN7:AP7)</f>
        <v>0</v>
      </c>
      <c r="IC7" s="115">
        <f>+MAX(AQ7:AS7)</f>
        <v>0</v>
      </c>
      <c r="ID7" s="115">
        <f>+MAX(AT7:AV7)</f>
        <v>0</v>
      </c>
      <c r="IE7" s="115">
        <f>+MAX(AW7:AY7)</f>
        <v>0</v>
      </c>
      <c r="IF7" s="115">
        <f>+MAX(AZ7:BB7)</f>
        <v>0</v>
      </c>
      <c r="IG7" s="115">
        <f>+MAX(BC7:BE7)</f>
        <v>0</v>
      </c>
      <c r="IH7" s="115">
        <f>+MAX(BF7:BH7)</f>
        <v>0</v>
      </c>
      <c r="II7" s="115">
        <f>+MAX(BI7:BK7)</f>
        <v>0</v>
      </c>
      <c r="IJ7" s="115">
        <f>+MAX(BL7:BN7)</f>
        <v>0</v>
      </c>
      <c r="IK7" s="115">
        <f>+MAX(BO7:BQ7)</f>
        <v>0</v>
      </c>
      <c r="IL7" s="115">
        <f>+MAX(BR7:BT7)</f>
        <v>0</v>
      </c>
      <c r="IM7" s="115">
        <f>+MAX(BU7:BW7)</f>
        <v>0</v>
      </c>
      <c r="IN7" s="115">
        <f>+MAX(BX7:BZ7)</f>
        <v>0</v>
      </c>
      <c r="IO7" s="115">
        <f>+MAX(CA7:CC7)</f>
        <v>0</v>
      </c>
      <c r="IP7" s="115">
        <f>+MAX(CD7:CF7)</f>
        <v>0</v>
      </c>
      <c r="IQ7" s="115">
        <f>+MAX(CG7:CI7)</f>
        <v>0</v>
      </c>
      <c r="IR7" s="115">
        <f>+MAX(CJ7:CL7)</f>
        <v>0</v>
      </c>
      <c r="IS7" s="115">
        <f>+MAX(CM7:CO7)</f>
        <v>0</v>
      </c>
      <c r="IT7" s="115">
        <f>+MAX(CP7:CR7)</f>
        <v>0</v>
      </c>
      <c r="IU7" s="115">
        <f>+MAX(CS7:CU7)</f>
        <v>0</v>
      </c>
      <c r="IV7" s="115">
        <f>+MAX(CV7:CX7)</f>
        <v>0</v>
      </c>
      <c r="IW7" s="115">
        <f>+MAX(CY7:DA7)</f>
        <v>0</v>
      </c>
      <c r="IX7" s="115">
        <f>+MAX(DB7:DD7)</f>
        <v>0</v>
      </c>
      <c r="IY7" s="115">
        <f>+MAX(DE7:DG7)</f>
        <v>0</v>
      </c>
      <c r="IZ7" s="115">
        <f>+MAX(DH7:DJ7)</f>
        <v>0</v>
      </c>
      <c r="JA7" s="115">
        <f>+MAX(DK7:DM7)</f>
        <v>0</v>
      </c>
      <c r="JB7" s="115">
        <f>+MAX(DN7:DP7)</f>
        <v>0</v>
      </c>
      <c r="JC7" s="115">
        <f>+MAX(DQ7:DS7)</f>
        <v>0</v>
      </c>
      <c r="JD7" s="115">
        <f>+MAX(DT7:DV7)</f>
        <v>0</v>
      </c>
      <c r="JE7" s="115">
        <f>+MAX(DW7:DY7)</f>
        <v>0</v>
      </c>
      <c r="JF7" s="115">
        <f>+MAX(DZ7:EB7)</f>
        <v>0</v>
      </c>
      <c r="JG7" s="115">
        <f>+MAX(EC7:EE7)</f>
        <v>0</v>
      </c>
      <c r="JH7" s="115">
        <f>+MAX(EF7:EH7)</f>
        <v>0</v>
      </c>
      <c r="JI7" s="115">
        <f>+MAX(EI7:EK7)</f>
        <v>0</v>
      </c>
      <c r="JJ7" s="115">
        <f>+MAX(EL7:EN7)</f>
        <v>0</v>
      </c>
      <c r="JK7" s="115">
        <f>MAX(EO7:EQ7)</f>
        <v>0</v>
      </c>
      <c r="JL7" s="115">
        <f>MAX(ER7:ET7)</f>
        <v>0</v>
      </c>
      <c r="JM7" s="115">
        <f>MAX(EU7:EW7)</f>
        <v>0</v>
      </c>
      <c r="JN7" s="115">
        <f>MAX(EX7:EZ7)</f>
        <v>0</v>
      </c>
      <c r="JO7" s="115">
        <f>MAX(FA7:FC7)</f>
        <v>0</v>
      </c>
      <c r="JP7" s="115">
        <f>MAX(FD7:FF7)</f>
        <v>0</v>
      </c>
      <c r="JQ7" s="115">
        <f>MAX(FG7:FI7)</f>
        <v>0</v>
      </c>
      <c r="JR7" s="115">
        <f>MAX(FJ7:FL7)</f>
        <v>0</v>
      </c>
      <c r="JS7" s="115">
        <f>MAX(FM7:FO7)</f>
        <v>10871.5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0</v>
      </c>
      <c r="D8" s="115" cm="1">
        <f t="array" ref="D8">_xll.EQNXTDZ($A$1,$B8,D$1)</f>
        <v>0</v>
      </c>
      <c r="E8" s="115" cm="1">
        <f t="array" ref="E8">_xll.EQNXTDZ($A$1,$B8,E$1)</f>
        <v>0</v>
      </c>
      <c r="F8" s="115" cm="1">
        <f t="array" ref="F8">_xll.EQNXTDZ($A$1,$B8,F$1)</f>
        <v>0</v>
      </c>
      <c r="G8" s="115" cm="1">
        <f t="array" ref="G8">_xll.EQNXTDZ($A$1,$B8,G$1)</f>
        <v>0</v>
      </c>
      <c r="H8" s="115" cm="1">
        <f t="array" ref="H8">_xll.EQNXTDZ($A$1,$B8,H$1)</f>
        <v>0</v>
      </c>
      <c r="I8" s="115" cm="1">
        <f t="array" ref="I8">_xll.EQNXTDZ($A$1,$B8,I$1)</f>
        <v>0</v>
      </c>
      <c r="J8" s="115" cm="1">
        <f t="array" ref="J8">_xll.EQNXTDZ($A$1,$B8,J$1)</f>
        <v>0</v>
      </c>
      <c r="K8" s="115" cm="1">
        <f t="array" ref="K8">_xll.EQNXTDZ($A$1,$B8,K$1)</f>
        <v>0</v>
      </c>
      <c r="L8" s="115" cm="1">
        <f t="array" ref="L8">_xll.EQNXTDZ($A$1,$B8,L$1)</f>
        <v>0</v>
      </c>
      <c r="M8" s="115" cm="1">
        <f t="array" ref="M8">_xll.EQNXTDZ($A$1,$B8,M$1)</f>
        <v>0</v>
      </c>
      <c r="N8" s="115" cm="1">
        <f t="array" ref="N8">_xll.EQNXTDZ($A$1,$B8,N$1)</f>
        <v>0</v>
      </c>
      <c r="O8" s="115" cm="1">
        <f t="array" ref="O8">_xll.EQNXTDZ($A$1,$B8,O$1)</f>
        <v>0</v>
      </c>
      <c r="P8" s="115" cm="1">
        <f t="array" ref="P8">_xll.EQNXTDZ($A$1,$B8,P$1)</f>
        <v>0</v>
      </c>
      <c r="Q8" s="115" cm="1">
        <f t="array" ref="Q8">_xll.EQNXTDZ($A$1,$B8,Q$1)</f>
        <v>0</v>
      </c>
      <c r="R8" s="115" cm="1">
        <f t="array" ref="R8">_xll.EQNXTDZ($A$1,$B8,R$1)</f>
        <v>0</v>
      </c>
      <c r="S8" s="115" cm="1">
        <f t="array" ref="S8">_xll.EQNXTDZ($A$1,$B8,S$1)</f>
        <v>0</v>
      </c>
      <c r="T8" s="115" cm="1">
        <f t="array" ref="T8">_xll.EQNXTDZ($A$1,$B8,T$1)</f>
        <v>0</v>
      </c>
      <c r="U8" s="115" cm="1">
        <f t="array" ref="U8">_xll.EQNXTDZ($A$1,$B8,U$1)</f>
        <v>0</v>
      </c>
      <c r="V8" s="115" cm="1">
        <f t="array" ref="V8">_xll.EQNXTDZ($A$1,$B8,V$1)</f>
        <v>0</v>
      </c>
      <c r="W8" s="115" cm="1">
        <f t="array" ref="W8">_xll.EQNXTDZ($A$1,$B8,W$1)</f>
        <v>0</v>
      </c>
      <c r="X8" s="115" cm="1">
        <f t="array" ref="X8">_xll.EQNXTDZ($A$1,$B8,X$1)</f>
        <v>0</v>
      </c>
      <c r="Y8" s="115" cm="1">
        <f t="array" ref="Y8">_xll.EQNXTDZ($A$1,$B8,Y$1)</f>
        <v>0</v>
      </c>
      <c r="Z8" s="115" cm="1">
        <f t="array" ref="Z8">_xll.EQNXTDZ($A$1,$B8,Z$1)</f>
        <v>0</v>
      </c>
      <c r="AA8" s="115" cm="1">
        <f t="array" ref="AA8">_xll.EQNXTDZ($A$1,$B8,AA$1)</f>
        <v>0</v>
      </c>
      <c r="AB8" s="115" cm="1">
        <f t="array" ref="AB8">_xll.EQNXTDZ($A$1,$B8,AB$1)</f>
        <v>0</v>
      </c>
      <c r="AC8" s="115" cm="1">
        <f t="array" ref="AC8">_xll.EQNXTDZ($A$1,$B8,AC$1)</f>
        <v>0</v>
      </c>
      <c r="AD8" s="115" cm="1">
        <f t="array" ref="AD8">_xll.EQNXTDZ($A$1,$B8,AD$1)</f>
        <v>0</v>
      </c>
      <c r="AE8" s="115" cm="1">
        <f t="array" ref="AE8">_xll.EQNXTDZ($A$1,$B8,AE$1)</f>
        <v>0</v>
      </c>
      <c r="AF8" s="115" cm="1">
        <f t="array" ref="AF8">_xll.EQNXTDZ($A$1,$B8,AF$1)</f>
        <v>0</v>
      </c>
      <c r="AG8" s="115" cm="1">
        <f t="array" ref="AG8">_xll.EQNXTDZ($A$1,$B8,AG$1)</f>
        <v>0</v>
      </c>
      <c r="AH8" s="115" cm="1">
        <f t="array" ref="AH8">_xll.EQNXTDZ($A$1,$B8,AH$1)</f>
        <v>0</v>
      </c>
      <c r="AI8" s="115" cm="1">
        <f t="array" ref="AI8">_xll.EQNXTDZ($A$1,$B8,AI$1)</f>
        <v>0</v>
      </c>
      <c r="AJ8" s="115" cm="1">
        <f t="array" ref="AJ8">_xll.EQNXTDZ($A$1,$B8,AJ$1)</f>
        <v>0</v>
      </c>
      <c r="AK8" s="115" cm="1">
        <f t="array" ref="AK8">_xll.EQNXTDZ($A$1,$B8,AK$1)</f>
        <v>0</v>
      </c>
      <c r="AL8" s="115" cm="1">
        <f t="array" ref="AL8">_xll.EQNXTDZ($A$1,$B8,AL$1)</f>
        <v>0</v>
      </c>
      <c r="AM8" s="115" cm="1">
        <f t="array" ref="AM8">_xll.EQNXTDZ($A$1,$B8,AM$1)</f>
        <v>0</v>
      </c>
      <c r="AN8" s="115" cm="1">
        <f t="array" ref="AN8">_xll.EQNXTDZ($A$1,$B8,AN$1)</f>
        <v>0</v>
      </c>
      <c r="AO8" s="115" cm="1">
        <f t="array" ref="AO8">_xll.EQNXTDZ($A$1,$B8,AO$1)</f>
        <v>0</v>
      </c>
      <c r="AP8" s="115" cm="1">
        <f t="array" ref="AP8">_xll.EQNXTDZ($A$1,$B8,AP$1)</f>
        <v>0</v>
      </c>
      <c r="AQ8" s="115" cm="1">
        <f t="array" ref="AQ8">_xll.EQNXTDZ($A$1,$B8,AQ$1)</f>
        <v>0</v>
      </c>
      <c r="AR8" s="115" cm="1">
        <f t="array" ref="AR8">_xll.EQNXTDZ($A$1,$B8,AR$1)</f>
        <v>0</v>
      </c>
      <c r="AS8" s="115" cm="1">
        <f t="array" ref="AS8">_xll.EQNXTDZ($A$1,$B8,AS$1)</f>
        <v>0</v>
      </c>
      <c r="AT8" s="115" cm="1">
        <f t="array" ref="AT8">_xll.EQNXTDZ($A$1,$B8,AT$1)</f>
        <v>0</v>
      </c>
      <c r="AU8" s="115" cm="1">
        <f t="array" ref="AU8">_xll.EQNXTDZ($A$1,$B8,AU$1)</f>
        <v>0</v>
      </c>
      <c r="AV8" s="115" cm="1">
        <f t="array" ref="AV8">_xll.EQNXTDZ($A$1,$B8,AV$1)</f>
        <v>0</v>
      </c>
      <c r="AW8" s="115" cm="1">
        <f t="array" ref="AW8">_xll.EQNXTDZ($A$1,$B8,AW$1)</f>
        <v>0</v>
      </c>
      <c r="AX8" s="115" cm="1">
        <f t="array" ref="AX8">_xll.EQNXTDZ($A$1,$B8,AX$1)</f>
        <v>0</v>
      </c>
      <c r="AY8" s="115" cm="1">
        <f t="array" ref="AY8">_xll.EQNXTDZ($A$1,$B8,AY$1)</f>
        <v>0</v>
      </c>
      <c r="AZ8" s="115" cm="1">
        <f t="array" ref="AZ8">_xll.EQNXTDZ($A$1,$B8,AZ$1)</f>
        <v>0</v>
      </c>
      <c r="BA8" s="115" cm="1">
        <f t="array" ref="BA8">_xll.EQNXTDZ($A$1,$B8,BA$1)</f>
        <v>0</v>
      </c>
      <c r="BB8" s="115" cm="1">
        <f t="array" ref="BB8">_xll.EQNXTDZ($A$1,$B8,BB$1)</f>
        <v>0</v>
      </c>
      <c r="BC8" s="115" cm="1">
        <f t="array" ref="BC8">_xll.EQNXTDZ($A$1,$B8,BC$1)</f>
        <v>0</v>
      </c>
      <c r="BD8" s="115" cm="1">
        <f t="array" ref="BD8">_xll.EQNXTDZ($A$1,$B8,BD$1)</f>
        <v>0</v>
      </c>
      <c r="BE8" s="115" cm="1">
        <f t="array" ref="BE8">_xll.EQNXTDZ($A$1,$B8,BE$1)</f>
        <v>0</v>
      </c>
      <c r="BF8" s="115" cm="1">
        <f t="array" ref="BF8">_xll.EQNXTDZ($A$1,$B8,BF$1)</f>
        <v>0</v>
      </c>
      <c r="BG8" s="115" cm="1">
        <f t="array" ref="BG8">_xll.EQNXTDZ($A$1,$B8,BG$1)</f>
        <v>0</v>
      </c>
      <c r="BH8" s="115" cm="1">
        <f t="array" ref="BH8">_xll.EQNXTDZ($A$1,$B8,BH$1)</f>
        <v>0</v>
      </c>
      <c r="BI8" s="115" cm="1">
        <f t="array" ref="BI8">_xll.EQNXTDZ($A$1,$B8,BI$1)</f>
        <v>0</v>
      </c>
      <c r="BJ8" s="115" cm="1">
        <f t="array" ref="BJ8">_xll.EQNXTDZ($A$1,$B8,BJ$1)</f>
        <v>0</v>
      </c>
      <c r="BK8" s="115" cm="1">
        <f t="array" ref="BK8">_xll.EQNXTDZ($A$1,$B8,BK$1)</f>
        <v>0</v>
      </c>
      <c r="BL8" s="115" cm="1">
        <f t="array" ref="BL8">_xll.EQNXTDZ($A$1,$B8,BL$1)</f>
        <v>0</v>
      </c>
      <c r="BM8" s="115" cm="1">
        <f t="array" ref="BM8">_xll.EQNXTDZ($A$1,$B8,BM$1)</f>
        <v>0</v>
      </c>
      <c r="BN8" s="115" cm="1">
        <f t="array" ref="BN8">_xll.EQNXTDZ($A$1,$B8,BN$1)</f>
        <v>0</v>
      </c>
      <c r="BO8" s="115" cm="1">
        <f t="array" ref="BO8">_xll.EQNXTDZ($A$1,$B8,BO$1)</f>
        <v>0</v>
      </c>
      <c r="BP8" s="115" cm="1">
        <f t="array" ref="BP8">_xll.EQNXTDZ($A$1,$B8,BP$1)</f>
        <v>0</v>
      </c>
      <c r="BQ8" s="115" cm="1">
        <f t="array" ref="BQ8">_xll.EQNXTDZ($A$1,$B8,BQ$1)</f>
        <v>0</v>
      </c>
      <c r="BR8" s="115" cm="1">
        <f t="array" ref="BR8">_xll.EQNXTDZ($A$1,$B8,BR$1)</f>
        <v>0</v>
      </c>
      <c r="BS8" s="115" cm="1">
        <f t="array" ref="BS8">_xll.EQNXTDZ($A$1,$B8,BS$1)</f>
        <v>0</v>
      </c>
      <c r="BT8" s="115" cm="1">
        <f t="array" ref="BT8">_xll.EQNXTDZ($A$1,$B8,BT$1)</f>
        <v>0</v>
      </c>
      <c r="BU8" s="115" cm="1">
        <f t="array" ref="BU8">_xll.EQNXTDZ($A$1,$B8,BU$1)</f>
        <v>0</v>
      </c>
      <c r="BV8" s="115" cm="1">
        <f t="array" ref="BV8">_xll.EQNXTDZ($A$1,$B8,BV$1)</f>
        <v>0</v>
      </c>
      <c r="BW8" s="115" cm="1">
        <f t="array" ref="BW8">_xll.EQNXTDZ($A$1,$B8,BW$1)</f>
        <v>0</v>
      </c>
      <c r="BX8" s="115" cm="1">
        <f t="array" ref="BX8">_xll.EQNXTDZ($A$1,$B8,BX$1)</f>
        <v>0</v>
      </c>
      <c r="BY8" s="115" cm="1">
        <f t="array" ref="BY8">_xll.EQNXTDZ($A$1,$B8,BY$1)</f>
        <v>0</v>
      </c>
      <c r="BZ8" s="115" cm="1">
        <f t="array" ref="BZ8">_xll.EQNXTDZ($A$1,$B8,BZ$1)</f>
        <v>0</v>
      </c>
      <c r="CA8" s="115" cm="1">
        <f t="array" ref="CA8">_xll.EQNXTDZ($A$1,$B8,CA$1)</f>
        <v>0</v>
      </c>
      <c r="CB8" s="115" cm="1">
        <f t="array" ref="CB8">_xll.EQNXTDZ($A$1,$B8,CB$1)</f>
        <v>0</v>
      </c>
      <c r="CC8" s="115" cm="1">
        <f t="array" ref="CC8">_xll.EQNXTDZ($A$1,$B8,CC$1)</f>
        <v>0</v>
      </c>
      <c r="CD8" s="115" cm="1">
        <f t="array" ref="CD8">_xll.EQNXTDZ($A$1,$B8,CD$1)</f>
        <v>0</v>
      </c>
      <c r="CE8" s="115" cm="1">
        <f t="array" ref="CE8">_xll.EQNXTDZ($A$1,$B8,CE$1)</f>
        <v>0</v>
      </c>
      <c r="CF8" s="115" cm="1">
        <f t="array" ref="CF8">_xll.EQNXTDZ($A$1,$B8,CF$1)</f>
        <v>0</v>
      </c>
      <c r="CG8" s="115" cm="1">
        <f t="array" ref="CG8">_xll.EQNXTDZ($A$1,$B8,CG$1)</f>
        <v>0</v>
      </c>
      <c r="CH8" s="115" cm="1">
        <f t="array" ref="CH8">_xll.EQNXTDZ($A$1,$B8,CH$1)</f>
        <v>0</v>
      </c>
      <c r="CI8" s="115" cm="1">
        <f t="array" ref="CI8">_xll.EQNXTDZ($A$1,$B8,CI$1)</f>
        <v>0</v>
      </c>
      <c r="CJ8" s="115" cm="1">
        <f t="array" ref="CJ8">_xll.EQNXTDZ($A$1,$B8,CJ$1)</f>
        <v>0</v>
      </c>
      <c r="CK8" s="115" cm="1">
        <f t="array" ref="CK8">_xll.EQNXTDZ($A$1,$B8,CK$1)</f>
        <v>0</v>
      </c>
      <c r="CL8" s="115" cm="1">
        <f t="array" ref="CL8">_xll.EQNXTDZ($A$1,$B8,CL$1)</f>
        <v>0</v>
      </c>
      <c r="CM8" s="115" cm="1">
        <f t="array" ref="CM8">_xll.EQNXTDZ($A$1,$B8,CM$1)</f>
        <v>0</v>
      </c>
      <c r="CN8" s="115" cm="1">
        <f t="array" ref="CN8">_xll.EQNXTDZ($A$1,$B8,CN$1)</f>
        <v>0</v>
      </c>
      <c r="CO8" s="115" cm="1">
        <f t="array" ref="CO8">_xll.EQNXTDZ($A$1,$B8,CO$1)</f>
        <v>0</v>
      </c>
      <c r="CP8" s="115" cm="1">
        <f t="array" ref="CP8">_xll.EQNXTDZ($A$1,$B8,CP$1)</f>
        <v>0</v>
      </c>
      <c r="CQ8" s="115" cm="1">
        <f t="array" ref="CQ8">_xll.EQNXTDZ($A$1,$B8,CQ$1)</f>
        <v>0</v>
      </c>
      <c r="CR8" s="115" cm="1">
        <f t="array" ref="CR8">_xll.EQNXTDZ($A$1,$B8,CR$1)</f>
        <v>0</v>
      </c>
      <c r="CS8" s="115" cm="1">
        <f t="array" ref="CS8">_xll.EQNXTDZ($A$1,$B8,CS$1)</f>
        <v>0</v>
      </c>
      <c r="CT8" s="115" cm="1">
        <f t="array" ref="CT8">_xll.EQNXTDZ($A$1,$B8,CT$1)</f>
        <v>0</v>
      </c>
      <c r="CU8" s="115" cm="1">
        <f t="array" ref="CU8">_xll.EQNXTDZ($A$1,$B8,CU$1)</f>
        <v>0</v>
      </c>
      <c r="CV8" s="115" cm="1">
        <f t="array" ref="CV8">_xll.EQNXTDZ($A$1,$B8,CV$1)</f>
        <v>0</v>
      </c>
      <c r="CW8" s="115" cm="1">
        <f t="array" ref="CW8">_xll.EQNXTDZ($A$1,$B8,CW$1)</f>
        <v>0</v>
      </c>
      <c r="CX8" s="115" cm="1">
        <f t="array" ref="CX8">_xll.EQNXTDZ($A$1,$B8,CX$1)</f>
        <v>0</v>
      </c>
      <c r="CY8" s="115" cm="1">
        <f t="array" ref="CY8">_xll.EQNXTDZ($A$1,$B8,CY$1)</f>
        <v>0</v>
      </c>
      <c r="CZ8" s="115" cm="1">
        <f t="array" ref="CZ8">_xll.EQNXTDZ($A$1,$B8,CZ$1)</f>
        <v>0</v>
      </c>
      <c r="DA8" s="115" cm="1">
        <f t="array" ref="DA8">_xll.EQNXTDZ($A$1,$B8,DA$1)</f>
        <v>0</v>
      </c>
      <c r="DB8" s="115" cm="1">
        <f t="array" ref="DB8">_xll.EQNXTDZ($A$1,$B8,DB$1)</f>
        <v>0</v>
      </c>
      <c r="DC8" s="115" cm="1">
        <f t="array" ref="DC8">_xll.EQNXTDZ($A$1,$B8,DC$1)</f>
        <v>0</v>
      </c>
      <c r="DD8" s="115" cm="1">
        <f t="array" ref="DD8">_xll.EQNXTDZ($A$1,$B8,DD$1)</f>
        <v>0</v>
      </c>
      <c r="DE8" s="115" cm="1">
        <f t="array" ref="DE8">_xll.EQNXTDZ($A$1,$B8,DE$1)</f>
        <v>0</v>
      </c>
      <c r="DF8" s="115" cm="1">
        <f t="array" ref="DF8">_xll.EQNXTDZ($A$1,$B8,DF$1)</f>
        <v>0</v>
      </c>
      <c r="DG8" s="115" cm="1">
        <f t="array" ref="DG8">_xll.EQNXTDZ($A$1,$B8,DG$1)</f>
        <v>0</v>
      </c>
      <c r="DH8" s="115" cm="1">
        <f t="array" ref="DH8">_xll.EQNXTDZ($A$1,$B8,DH$1)</f>
        <v>0</v>
      </c>
      <c r="DI8" s="115" cm="1">
        <f t="array" ref="DI8">_xll.EQNXTDZ($A$1,$B8,DI$1)</f>
        <v>0</v>
      </c>
      <c r="DJ8" s="115" cm="1">
        <f t="array" ref="DJ8">_xll.EQNXTDZ($A$1,$B8,DJ$1)</f>
        <v>0</v>
      </c>
      <c r="DK8" s="115" cm="1">
        <f t="array" ref="DK8">_xll.EQNXTDZ($A$1,$B8,DK$1)</f>
        <v>0</v>
      </c>
      <c r="DL8" s="115" cm="1">
        <f t="array" ref="DL8">_xll.EQNXTDZ($A$1,$B8,DL$1)</f>
        <v>0</v>
      </c>
      <c r="DM8" s="115" cm="1">
        <f t="array" ref="DM8">_xll.EQNXTDZ($A$1,$B8,DM$1)</f>
        <v>0</v>
      </c>
      <c r="DN8" s="115" cm="1">
        <f t="array" ref="DN8">_xll.EQNXTDZ($A$1,$B8,DN$1)</f>
        <v>0</v>
      </c>
      <c r="DO8" s="115" cm="1">
        <f t="array" ref="DO8">_xll.EQNXTDZ($A$1,$B8,DO$1)</f>
        <v>0</v>
      </c>
      <c r="DP8" s="115" cm="1">
        <f t="array" ref="DP8">_xll.EQNXTDZ($A$1,$B8,DP$1)</f>
        <v>0</v>
      </c>
      <c r="DQ8" s="115" cm="1">
        <f t="array" ref="DQ8">_xll.EQNXTDZ($A$1,$B8,DQ$1)</f>
        <v>0</v>
      </c>
      <c r="DR8" s="115" cm="1">
        <f t="array" ref="DR8">_xll.EQNXTDZ($A$1,$B8,DR$1)</f>
        <v>0</v>
      </c>
      <c r="DS8" s="115" cm="1">
        <f t="array" ref="DS8">_xll.EQNXTDZ($A$1,$B8,DS$1)</f>
        <v>0</v>
      </c>
      <c r="DT8" s="115" cm="1">
        <f t="array" ref="DT8">_xll.EQNXTDZ($A$1,$B8,DT$1)</f>
        <v>0</v>
      </c>
      <c r="DU8" s="115" cm="1">
        <f t="array" ref="DU8">_xll.EQNXTDZ($A$1,$B8,DU$1)</f>
        <v>0</v>
      </c>
      <c r="DV8" s="115" cm="1">
        <f t="array" ref="DV8">_xll.EQNXTDZ($A$1,$B8,DV$1)</f>
        <v>0</v>
      </c>
      <c r="DW8" s="115" cm="1">
        <f t="array" ref="DW8">_xll.EQNXTDZ($A$1,$B8,DW$1)</f>
        <v>0</v>
      </c>
      <c r="DX8" s="115" cm="1">
        <f t="array" ref="DX8">_xll.EQNXTDZ($A$1,$B8,DX$1)</f>
        <v>0</v>
      </c>
      <c r="DY8" s="115" cm="1">
        <f t="array" ref="DY8">_xll.EQNXTDZ($A$1,$B8,DY$1)</f>
        <v>0</v>
      </c>
      <c r="DZ8" s="115" cm="1">
        <f t="array" ref="DZ8">_xll.EQNXTDZ($A$1,$B8,DZ$1)</f>
        <v>0</v>
      </c>
      <c r="EA8" s="115" cm="1">
        <f t="array" ref="EA8">_xll.EQNXTDZ($A$1,$B8,EA$1)</f>
        <v>0</v>
      </c>
      <c r="EB8" s="115" cm="1">
        <f t="array" ref="EB8">_xll.EQNXTDZ($A$1,$B8,EB$1)</f>
        <v>0</v>
      </c>
      <c r="EC8" s="115" cm="1">
        <f t="array" ref="EC8">_xll.EQNXTDZ($A$1,$B8,EC$1)</f>
        <v>0</v>
      </c>
      <c r="ED8" s="115" cm="1">
        <f t="array" ref="ED8">_xll.EQNXTDZ($A$1,$B8,ED$1)</f>
        <v>0</v>
      </c>
      <c r="EE8" s="115" cm="1">
        <f t="array" ref="EE8">_xll.EQNXTDZ($A$1,$B8,EE$1)</f>
        <v>0</v>
      </c>
      <c r="EF8" s="115" cm="1">
        <f t="array" ref="EF8">_xll.EQNXTDZ($A$1,$B8,EF$1)</f>
        <v>0</v>
      </c>
      <c r="EG8" s="115" cm="1">
        <f t="array" ref="EG8">_xll.EQNXTDZ($A$1,$B8,EG$1)</f>
        <v>0</v>
      </c>
      <c r="EH8" s="115" cm="1">
        <f t="array" ref="EH8">_xll.EQNXTDZ($A$1,$B8,EH$1)</f>
        <v>0</v>
      </c>
      <c r="EI8" s="115" cm="1">
        <f t="array" ref="EI8">_xll.EQNXTDZ($A$1,$B8,EI$1)</f>
        <v>0</v>
      </c>
      <c r="EJ8" s="115" cm="1">
        <f t="array" ref="EJ8">_xll.EQNXTDZ($A$1,$B8,EJ$1)</f>
        <v>0</v>
      </c>
      <c r="EK8" s="115" cm="1">
        <f t="array" ref="EK8">_xll.EQNXTDZ($A$1,$B8,EK$1)</f>
        <v>0</v>
      </c>
      <c r="EL8" s="115" cm="1">
        <f t="array" ref="EL8">_xll.EQNXTDZ($A$1,$B8,EL$1)</f>
        <v>0</v>
      </c>
      <c r="EM8" s="115" cm="1">
        <f t="array" ref="EM8">_xll.EQNXTDZ($A$1,$B8,EM$1)</f>
        <v>0</v>
      </c>
      <c r="EN8" s="115" cm="1">
        <f t="array" ref="EN8">_xll.EQNXTDZ($A$1,$B8,EN$1)</f>
        <v>0</v>
      </c>
      <c r="EO8" s="115" cm="1">
        <f t="array" ref="EO8">_xll.EQNXTDZ($A$1,$B8,EO$1)</f>
        <v>0</v>
      </c>
      <c r="EP8" s="115" cm="1">
        <f t="array" ref="EP8">_xll.EQNXTDZ($A$1,$B8,EP$1)</f>
        <v>0</v>
      </c>
      <c r="EQ8" s="115" cm="1">
        <f t="array" ref="EQ8">_xll.EQNXTDZ($A$1,$B8,EQ$1)</f>
        <v>0</v>
      </c>
      <c r="ER8" s="115" cm="1">
        <f t="array" ref="ER8">_xll.EQNXTDZ($A$1,$B8,ER$1)</f>
        <v>0</v>
      </c>
      <c r="ES8" s="115" cm="1">
        <f t="array" ref="ES8">_xll.EQNXTDZ($A$1,$B8,ES$1)</f>
        <v>0</v>
      </c>
      <c r="ET8" s="115" cm="1">
        <f t="array" ref="ET8">_xll.EQNXTDZ($A$1,$B8,ET$1)</f>
        <v>0</v>
      </c>
      <c r="EU8" s="115" cm="1">
        <f t="array" ref="EU8">_xll.EQNXTDZ($A$1,$B8,EU$1)</f>
        <v>0</v>
      </c>
      <c r="EV8" s="115" cm="1">
        <f t="array" ref="EV8">_xll.EQNXTDZ($A$1,$B8,EV$1)</f>
        <v>0</v>
      </c>
      <c r="EW8" s="115" cm="1">
        <f t="array" ref="EW8">_xll.EQNXTDZ($A$1,$B8,EW$1)</f>
        <v>0</v>
      </c>
      <c r="EX8" s="115" cm="1">
        <f t="array" ref="EX8">_xll.EQNXTDZ($A$1,$B8,EX$1)</f>
        <v>0</v>
      </c>
      <c r="EY8" s="115" cm="1">
        <f t="array" ref="EY8">_xll.EQNXTDZ($A$1,$B8,EY$1)</f>
        <v>0</v>
      </c>
      <c r="EZ8" s="115" cm="1">
        <f t="array" ref="EZ8">_xll.EQNXTDZ($A$1,$B8,EZ$1)</f>
        <v>0</v>
      </c>
      <c r="FA8" s="115" cm="1">
        <f t="array" ref="FA8">_xll.EQNXTDZ($A$1,$B8,FA$1)</f>
        <v>0</v>
      </c>
      <c r="FB8" s="115" cm="1">
        <f t="array" ref="FB8">_xll.EQNXTDZ($A$1,$B8,FB$1)</f>
        <v>0</v>
      </c>
      <c r="FC8" s="115" cm="1">
        <f t="array" ref="FC8">_xll.EQNXTDZ($A$1,$B8,FC$1)</f>
        <v>0</v>
      </c>
      <c r="FD8" s="115" cm="1">
        <f t="array" ref="FD8">_xll.EQNXTDZ($A$1,$B8,FD$1)</f>
        <v>0</v>
      </c>
      <c r="FE8" s="115" cm="1">
        <f t="array" ref="FE8">_xll.EQNXTDZ($A$1,$B8,FE$1)</f>
        <v>0</v>
      </c>
      <c r="FF8" s="115" cm="1">
        <f t="array" ref="FF8">_xll.EQNXTDZ($A$1,$B8,FF$1)</f>
        <v>0</v>
      </c>
      <c r="FG8" s="115" cm="1">
        <f t="array" ref="FG8">_xll.EQNXTDZ($A$1,$B8,FG$1)</f>
        <v>0</v>
      </c>
      <c r="FH8" s="115" cm="1">
        <f t="array" ref="FH8">_xll.EQNXTDZ($A$1,$B8,FH$1)</f>
        <v>0</v>
      </c>
      <c r="FI8" s="115" cm="1">
        <f t="array" ref="FI8">_xll.EQNXTDZ($A$1,$B8,FI$1)</f>
        <v>0</v>
      </c>
      <c r="FJ8" s="115" cm="1">
        <f t="array" ref="FJ8">_xll.EQNXTDZ($A$1,$B8,FJ$1)</f>
        <v>0</v>
      </c>
      <c r="FK8" s="115" cm="1">
        <f t="array" ref="FK8">_xll.EQNXTDZ($A$1,$B8,FK$1)</f>
        <v>0</v>
      </c>
      <c r="FL8" s="115" cm="1">
        <f t="array" ref="FL8">_xll.EQNXTDZ($A$1,$B8,FL$1)</f>
        <v>0</v>
      </c>
      <c r="FM8" s="115" cm="1">
        <f t="array" ref="FM8">_xll.EQNXTDZ($A$1,$B8,FM$1)</f>
        <v>5015.25</v>
      </c>
      <c r="FN8" s="115" cm="1">
        <f t="array" ref="FN8">_xll.EQNXTDZ($A$1,$B8,FN$1)</f>
        <v>5060</v>
      </c>
      <c r="FO8" s="115" cm="1">
        <f t="array" ref="FO8">_xll.EQNXTDZ($A$1,$B8,FO$1)</f>
        <v>7196.5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0</v>
      </c>
      <c r="HQ8" s="115">
        <f>+MIN(G8:I8)</f>
        <v>0</v>
      </c>
      <c r="HR8" s="115">
        <f>+MIN(J8:L8)</f>
        <v>0</v>
      </c>
      <c r="HS8" s="115">
        <f>+MIN(M8:O8)</f>
        <v>0</v>
      </c>
      <c r="HT8" s="115">
        <f>+MIN(P8:R8)</f>
        <v>0</v>
      </c>
      <c r="HU8" s="115">
        <f>+MIN(S8:U8)</f>
        <v>0</v>
      </c>
      <c r="HV8" s="115">
        <f>+MIN(V8:X8)</f>
        <v>0</v>
      </c>
      <c r="HW8" s="115">
        <f>+MIN(Y8:AA8)</f>
        <v>0</v>
      </c>
      <c r="HX8" s="115">
        <f>+MIN(AB8:AD8)</f>
        <v>0</v>
      </c>
      <c r="HY8" s="115">
        <f>+MIN(AE8:AG8)</f>
        <v>0</v>
      </c>
      <c r="HZ8" s="115">
        <f>+MIN(AH8:AJ8)</f>
        <v>0</v>
      </c>
      <c r="IA8" s="115">
        <f>+MIN(AK8:AM8)</f>
        <v>0</v>
      </c>
      <c r="IB8" s="115">
        <f>+MIN(AN8:AP8)</f>
        <v>0</v>
      </c>
      <c r="IC8" s="115">
        <f>+MIN(AQ8:AS8)</f>
        <v>0</v>
      </c>
      <c r="ID8" s="115">
        <f>+MIN(AT8:AV8)</f>
        <v>0</v>
      </c>
      <c r="IE8" s="115">
        <f>+MIN(AW8:AY8)</f>
        <v>0</v>
      </c>
      <c r="IF8" s="115">
        <f>+MIN(AZ8:BB8)</f>
        <v>0</v>
      </c>
      <c r="IG8" s="115">
        <f>+MIN(BC8:BE8)</f>
        <v>0</v>
      </c>
      <c r="IH8" s="115">
        <f>+MIN(BF8:BH8)</f>
        <v>0</v>
      </c>
      <c r="II8" s="115">
        <f>+MIN(BI8:BK8)</f>
        <v>0</v>
      </c>
      <c r="IJ8" s="115">
        <f>+MIN(BL8:BN8)</f>
        <v>0</v>
      </c>
      <c r="IK8" s="115">
        <f>+MIN(BO8:BQ8)</f>
        <v>0</v>
      </c>
      <c r="IL8" s="115">
        <f>+MIN(BR8:BT8)</f>
        <v>0</v>
      </c>
      <c r="IM8" s="115">
        <f>+MIN(BU8:BW8)</f>
        <v>0</v>
      </c>
      <c r="IN8" s="115">
        <f>+MIN(BX8:BZ8)</f>
        <v>0</v>
      </c>
      <c r="IO8" s="115">
        <f>+MIN(CA8:CC8)</f>
        <v>0</v>
      </c>
      <c r="IP8" s="115">
        <f>+MIN(CD8:CF8)</f>
        <v>0</v>
      </c>
      <c r="IQ8" s="115">
        <f>+MIN(CG8:CI8)</f>
        <v>0</v>
      </c>
      <c r="IR8" s="115">
        <f>+MIN(CJ8:CL8)</f>
        <v>0</v>
      </c>
      <c r="IS8" s="115">
        <f>+MIN(CM8:CO8)</f>
        <v>0</v>
      </c>
      <c r="IT8" s="115">
        <f>+MIN(CP8:CR8)</f>
        <v>0</v>
      </c>
      <c r="IU8" s="115">
        <f>+MIN(CS8:CU8)</f>
        <v>0</v>
      </c>
      <c r="IV8" s="115">
        <f>+MIN(CV8:CX8)</f>
        <v>0</v>
      </c>
      <c r="IW8" s="115">
        <f>+MIN(CY8:DA8)</f>
        <v>0</v>
      </c>
      <c r="IX8" s="115">
        <f>+MIN(DB8:DD8)</f>
        <v>0</v>
      </c>
      <c r="IY8" s="115">
        <f>+MIN(DE8:DG8)</f>
        <v>0</v>
      </c>
      <c r="IZ8" s="115">
        <f>+MIN(DH8:DJ8)</f>
        <v>0</v>
      </c>
      <c r="JA8" s="115">
        <f>+MIN(DK8:DM8)</f>
        <v>0</v>
      </c>
      <c r="JB8" s="115">
        <f>+MIN(DN8:DP8)</f>
        <v>0</v>
      </c>
      <c r="JC8" s="115">
        <f>+MIN(DQ8:DS8)</f>
        <v>0</v>
      </c>
      <c r="JD8" s="115">
        <f>+MIN(DT8:DV8)</f>
        <v>0</v>
      </c>
      <c r="JE8" s="115">
        <f>+MIN(DW8:DY8)</f>
        <v>0</v>
      </c>
      <c r="JF8" s="115">
        <f>+MIN(DZ8:EB8)</f>
        <v>0</v>
      </c>
      <c r="JG8" s="115">
        <f>+MIN(EC8:EE8)</f>
        <v>0</v>
      </c>
      <c r="JH8" s="115">
        <f>+MIN(EF8:EH8)</f>
        <v>0</v>
      </c>
      <c r="JI8" s="115">
        <f>+MIN(EI8:EK8)</f>
        <v>0</v>
      </c>
      <c r="JJ8" s="115">
        <f>+MIN(EL8:EN8)</f>
        <v>0</v>
      </c>
      <c r="JK8" s="115">
        <f>MIN(EO8:EQ8)</f>
        <v>0</v>
      </c>
      <c r="JL8" s="115">
        <f>MIN(ER8:ET8)</f>
        <v>0</v>
      </c>
      <c r="JM8" s="115">
        <f>MIN(EU8:EW8)</f>
        <v>0</v>
      </c>
      <c r="JN8" s="115">
        <f>MIN(EX8:EZ8)</f>
        <v>0</v>
      </c>
      <c r="JO8" s="115">
        <f>MIN(FA8:FC8)</f>
        <v>0</v>
      </c>
      <c r="JP8" s="115">
        <f>MIN(FD8:FF8)</f>
        <v>0</v>
      </c>
      <c r="JQ8" s="115">
        <f>MIN(FG8:FI8)</f>
        <v>0</v>
      </c>
      <c r="JR8" s="115">
        <f>MIN(FJ8:FL8)</f>
        <v>0</v>
      </c>
      <c r="JS8" s="115">
        <f>MIN(FM8:FO8)</f>
        <v>5015.25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0</v>
      </c>
      <c r="D9" s="115" cm="1">
        <f t="array" ref="D9">_xll.EQNXTDZ($A$1,$B9,D$1)</f>
        <v>0</v>
      </c>
      <c r="E9" s="115" cm="1">
        <f t="array" ref="E9">_xll.EQNXTDZ($A$1,$B9,E$1)</f>
        <v>0</v>
      </c>
      <c r="F9" s="115" cm="1">
        <f t="array" ref="F9">_xll.EQNXTDZ($A$1,$B9,F$1)</f>
        <v>0</v>
      </c>
      <c r="G9" s="115" cm="1">
        <f t="array" ref="G9">_xll.EQNXTDZ($A$1,$B9,G$1)</f>
        <v>0</v>
      </c>
      <c r="H9" s="115" cm="1">
        <f t="array" ref="H9">_xll.EQNXTDZ($A$1,$B9,H$1)</f>
        <v>0</v>
      </c>
      <c r="I9" s="115" cm="1">
        <f t="array" ref="I9">_xll.EQNXTDZ($A$1,$B9,I$1)</f>
        <v>0</v>
      </c>
      <c r="J9" s="115" cm="1">
        <f t="array" ref="J9">_xll.EQNXTDZ($A$1,$B9,J$1)</f>
        <v>0</v>
      </c>
      <c r="K9" s="115" cm="1">
        <f t="array" ref="K9">_xll.EQNXTDZ($A$1,$B9,K$1)</f>
        <v>0</v>
      </c>
      <c r="L9" s="115" cm="1">
        <f t="array" ref="L9">_xll.EQNXTDZ($A$1,$B9,L$1)</f>
        <v>0</v>
      </c>
      <c r="M9" s="115" cm="1">
        <f t="array" ref="M9">_xll.EQNXTDZ($A$1,$B9,M$1)</f>
        <v>0</v>
      </c>
      <c r="N9" s="115" cm="1">
        <f t="array" ref="N9">_xll.EQNXTDZ($A$1,$B9,N$1)</f>
        <v>0</v>
      </c>
      <c r="O9" s="115" cm="1">
        <f t="array" ref="O9">_xll.EQNXTDZ($A$1,$B9,O$1)</f>
        <v>0</v>
      </c>
      <c r="P9" s="115" cm="1">
        <f t="array" ref="P9">_xll.EQNXTDZ($A$1,$B9,P$1)</f>
        <v>0</v>
      </c>
      <c r="Q9" s="115" cm="1">
        <f t="array" ref="Q9">_xll.EQNXTDZ($A$1,$B9,Q$1)</f>
        <v>0</v>
      </c>
      <c r="R9" s="115" cm="1">
        <f t="array" ref="R9">_xll.EQNXTDZ($A$1,$B9,R$1)</f>
        <v>0</v>
      </c>
      <c r="S9" s="115" cm="1">
        <f t="array" ref="S9">_xll.EQNXTDZ($A$1,$B9,S$1)</f>
        <v>0</v>
      </c>
      <c r="T9" s="115" cm="1">
        <f t="array" ref="T9">_xll.EQNXTDZ($A$1,$B9,T$1)</f>
        <v>0</v>
      </c>
      <c r="U9" s="115" cm="1">
        <f t="array" ref="U9">_xll.EQNXTDZ($A$1,$B9,U$1)</f>
        <v>0</v>
      </c>
      <c r="V9" s="115" cm="1">
        <f t="array" ref="V9">_xll.EQNXTDZ($A$1,$B9,V$1)</f>
        <v>0</v>
      </c>
      <c r="W9" s="115" cm="1">
        <f t="array" ref="W9">_xll.EQNXTDZ($A$1,$B9,W$1)</f>
        <v>0</v>
      </c>
      <c r="X9" s="115" cm="1">
        <f t="array" ref="X9">_xll.EQNXTDZ($A$1,$B9,X$1)</f>
        <v>0</v>
      </c>
      <c r="Y9" s="115" cm="1">
        <f t="array" ref="Y9">_xll.EQNXTDZ($A$1,$B9,Y$1)</f>
        <v>0</v>
      </c>
      <c r="Z9" s="115" cm="1">
        <f t="array" ref="Z9">_xll.EQNXTDZ($A$1,$B9,Z$1)</f>
        <v>0</v>
      </c>
      <c r="AA9" s="115" cm="1">
        <f t="array" ref="AA9">_xll.EQNXTDZ($A$1,$B9,AA$1)</f>
        <v>0</v>
      </c>
      <c r="AB9" s="115" cm="1">
        <f t="array" ref="AB9">_xll.EQNXTDZ($A$1,$B9,AB$1)</f>
        <v>0</v>
      </c>
      <c r="AC9" s="115" cm="1">
        <f t="array" ref="AC9">_xll.EQNXTDZ($A$1,$B9,AC$1)</f>
        <v>0</v>
      </c>
      <c r="AD9" s="115" cm="1">
        <f t="array" ref="AD9">_xll.EQNXTDZ($A$1,$B9,AD$1)</f>
        <v>0</v>
      </c>
      <c r="AE9" s="115" cm="1">
        <f t="array" ref="AE9">_xll.EQNXTDZ($A$1,$B9,AE$1)</f>
        <v>0</v>
      </c>
      <c r="AF9" s="115" cm="1">
        <f t="array" ref="AF9">_xll.EQNXTDZ($A$1,$B9,AF$1)</f>
        <v>0</v>
      </c>
      <c r="AG9" s="115" cm="1">
        <f t="array" ref="AG9">_xll.EQNXTDZ($A$1,$B9,AG$1)</f>
        <v>0</v>
      </c>
      <c r="AH9" s="115" cm="1">
        <f t="array" ref="AH9">_xll.EQNXTDZ($A$1,$B9,AH$1)</f>
        <v>0</v>
      </c>
      <c r="AI9" s="115" cm="1">
        <f t="array" ref="AI9">_xll.EQNXTDZ($A$1,$B9,AI$1)</f>
        <v>0</v>
      </c>
      <c r="AJ9" s="115" cm="1">
        <f t="array" ref="AJ9">_xll.EQNXTDZ($A$1,$B9,AJ$1)</f>
        <v>0</v>
      </c>
      <c r="AK9" s="115" cm="1">
        <f t="array" ref="AK9">_xll.EQNXTDZ($A$1,$B9,AK$1)</f>
        <v>0</v>
      </c>
      <c r="AL9" s="115" cm="1">
        <f t="array" ref="AL9">_xll.EQNXTDZ($A$1,$B9,AL$1)</f>
        <v>0</v>
      </c>
      <c r="AM9" s="115" cm="1">
        <f t="array" ref="AM9">_xll.EQNXTDZ($A$1,$B9,AM$1)</f>
        <v>0</v>
      </c>
      <c r="AN9" s="115" cm="1">
        <f t="array" ref="AN9">_xll.EQNXTDZ($A$1,$B9,AN$1)</f>
        <v>0</v>
      </c>
      <c r="AO9" s="115" cm="1">
        <f t="array" ref="AO9">_xll.EQNXTDZ($A$1,$B9,AO$1)</f>
        <v>0</v>
      </c>
      <c r="AP9" s="115" cm="1">
        <f t="array" ref="AP9">_xll.EQNXTDZ($A$1,$B9,AP$1)</f>
        <v>0</v>
      </c>
      <c r="AQ9" s="115" cm="1">
        <f t="array" ref="AQ9">_xll.EQNXTDZ($A$1,$B9,AQ$1)</f>
        <v>0</v>
      </c>
      <c r="AR9" s="115" cm="1">
        <f t="array" ref="AR9">_xll.EQNXTDZ($A$1,$B9,AR$1)</f>
        <v>0</v>
      </c>
      <c r="AS9" s="115" cm="1">
        <f t="array" ref="AS9">_xll.EQNXTDZ($A$1,$B9,AS$1)</f>
        <v>0</v>
      </c>
      <c r="AT9" s="115" cm="1">
        <f t="array" ref="AT9">_xll.EQNXTDZ($A$1,$B9,AT$1)</f>
        <v>0</v>
      </c>
      <c r="AU9" s="115" cm="1">
        <f t="array" ref="AU9">_xll.EQNXTDZ($A$1,$B9,AU$1)</f>
        <v>0</v>
      </c>
      <c r="AV9" s="115" cm="1">
        <f t="array" ref="AV9">_xll.EQNXTDZ($A$1,$B9,AV$1)</f>
        <v>0</v>
      </c>
      <c r="AW9" s="115" cm="1">
        <f t="array" ref="AW9">_xll.EQNXTDZ($A$1,$B9,AW$1)</f>
        <v>0</v>
      </c>
      <c r="AX9" s="115" cm="1">
        <f t="array" ref="AX9">_xll.EQNXTDZ($A$1,$B9,AX$1)</f>
        <v>0</v>
      </c>
      <c r="AY9" s="115" cm="1">
        <f t="array" ref="AY9">_xll.EQNXTDZ($A$1,$B9,AY$1)</f>
        <v>0</v>
      </c>
      <c r="AZ9" s="115" cm="1">
        <f t="array" ref="AZ9">_xll.EQNXTDZ($A$1,$B9,AZ$1)</f>
        <v>0</v>
      </c>
      <c r="BA9" s="115" cm="1">
        <f t="array" ref="BA9">_xll.EQNXTDZ($A$1,$B9,BA$1)</f>
        <v>0</v>
      </c>
      <c r="BB9" s="115" cm="1">
        <f t="array" ref="BB9">_xll.EQNXTDZ($A$1,$B9,BB$1)</f>
        <v>0</v>
      </c>
      <c r="BC9" s="115" cm="1">
        <f t="array" ref="BC9">_xll.EQNXTDZ($A$1,$B9,BC$1)</f>
        <v>0</v>
      </c>
      <c r="BD9" s="115" cm="1">
        <f t="array" ref="BD9">_xll.EQNXTDZ($A$1,$B9,BD$1)</f>
        <v>0</v>
      </c>
      <c r="BE9" s="115" cm="1">
        <f t="array" ref="BE9">_xll.EQNXTDZ($A$1,$B9,BE$1)</f>
        <v>0</v>
      </c>
      <c r="BF9" s="115" cm="1">
        <f t="array" ref="BF9">_xll.EQNXTDZ($A$1,$B9,BF$1)</f>
        <v>0</v>
      </c>
      <c r="BG9" s="115" cm="1">
        <f t="array" ref="BG9">_xll.EQNXTDZ($A$1,$B9,BG$1)</f>
        <v>0</v>
      </c>
      <c r="BH9" s="115" cm="1">
        <f t="array" ref="BH9">_xll.EQNXTDZ($A$1,$B9,BH$1)</f>
        <v>0</v>
      </c>
      <c r="BI9" s="115" cm="1">
        <f t="array" ref="BI9">_xll.EQNXTDZ($A$1,$B9,BI$1)</f>
        <v>0</v>
      </c>
      <c r="BJ9" s="115" cm="1">
        <f t="array" ref="BJ9">_xll.EQNXTDZ($A$1,$B9,BJ$1)</f>
        <v>0</v>
      </c>
      <c r="BK9" s="115" cm="1">
        <f t="array" ref="BK9">_xll.EQNXTDZ($A$1,$B9,BK$1)</f>
        <v>0</v>
      </c>
      <c r="BL9" s="115" cm="1">
        <f t="array" ref="BL9">_xll.EQNXTDZ($A$1,$B9,BL$1)</f>
        <v>0</v>
      </c>
      <c r="BM9" s="115" cm="1">
        <f t="array" ref="BM9">_xll.EQNXTDZ($A$1,$B9,BM$1)</f>
        <v>0</v>
      </c>
      <c r="BN9" s="115" cm="1">
        <f t="array" ref="BN9">_xll.EQNXTDZ($A$1,$B9,BN$1)</f>
        <v>0</v>
      </c>
      <c r="BO9" s="115" cm="1">
        <f t="array" ref="BO9">_xll.EQNXTDZ($A$1,$B9,BO$1)</f>
        <v>0</v>
      </c>
      <c r="BP9" s="115" cm="1">
        <f t="array" ref="BP9">_xll.EQNXTDZ($A$1,$B9,BP$1)</f>
        <v>0</v>
      </c>
      <c r="BQ9" s="115" cm="1">
        <f t="array" ref="BQ9">_xll.EQNXTDZ($A$1,$B9,BQ$1)</f>
        <v>0</v>
      </c>
      <c r="BR9" s="115" cm="1">
        <f t="array" ref="BR9">_xll.EQNXTDZ($A$1,$B9,BR$1)</f>
        <v>0</v>
      </c>
      <c r="BS9" s="115" cm="1">
        <f t="array" ref="BS9">_xll.EQNXTDZ($A$1,$B9,BS$1)</f>
        <v>0</v>
      </c>
      <c r="BT9" s="115" cm="1">
        <f t="array" ref="BT9">_xll.EQNXTDZ($A$1,$B9,BT$1)</f>
        <v>0</v>
      </c>
      <c r="BU9" s="115" cm="1">
        <f t="array" ref="BU9">_xll.EQNXTDZ($A$1,$B9,BU$1)</f>
        <v>0</v>
      </c>
      <c r="BV9" s="115" cm="1">
        <f t="array" ref="BV9">_xll.EQNXTDZ($A$1,$B9,BV$1)</f>
        <v>0</v>
      </c>
      <c r="BW9" s="115" cm="1">
        <f t="array" ref="BW9">_xll.EQNXTDZ($A$1,$B9,BW$1)</f>
        <v>0</v>
      </c>
      <c r="BX9" s="115" cm="1">
        <f t="array" ref="BX9">_xll.EQNXTDZ($A$1,$B9,BX$1)</f>
        <v>0</v>
      </c>
      <c r="BY9" s="115" cm="1">
        <f t="array" ref="BY9">_xll.EQNXTDZ($A$1,$B9,BY$1)</f>
        <v>0</v>
      </c>
      <c r="BZ9" s="115" cm="1">
        <f t="array" ref="BZ9">_xll.EQNXTDZ($A$1,$B9,BZ$1)</f>
        <v>0</v>
      </c>
      <c r="CA9" s="115" cm="1">
        <f t="array" ref="CA9">_xll.EQNXTDZ($A$1,$B9,CA$1)</f>
        <v>0</v>
      </c>
      <c r="CB9" s="115" cm="1">
        <f t="array" ref="CB9">_xll.EQNXTDZ($A$1,$B9,CB$1)</f>
        <v>0</v>
      </c>
      <c r="CC9" s="115" cm="1">
        <f t="array" ref="CC9">_xll.EQNXTDZ($A$1,$B9,CC$1)</f>
        <v>0</v>
      </c>
      <c r="CD9" s="115" cm="1">
        <f t="array" ref="CD9">_xll.EQNXTDZ($A$1,$B9,CD$1)</f>
        <v>0</v>
      </c>
      <c r="CE9" s="115" cm="1">
        <f t="array" ref="CE9">_xll.EQNXTDZ($A$1,$B9,CE$1)</f>
        <v>0</v>
      </c>
      <c r="CF9" s="115" cm="1">
        <f t="array" ref="CF9">_xll.EQNXTDZ($A$1,$B9,CF$1)</f>
        <v>0</v>
      </c>
      <c r="CG9" s="115" cm="1">
        <f t="array" ref="CG9">_xll.EQNXTDZ($A$1,$B9,CG$1)</f>
        <v>0</v>
      </c>
      <c r="CH9" s="115" cm="1">
        <f t="array" ref="CH9">_xll.EQNXTDZ($A$1,$B9,CH$1)</f>
        <v>0</v>
      </c>
      <c r="CI9" s="115" cm="1">
        <f t="array" ref="CI9">_xll.EQNXTDZ($A$1,$B9,CI$1)</f>
        <v>0</v>
      </c>
      <c r="CJ9" s="115" cm="1">
        <f t="array" ref="CJ9">_xll.EQNXTDZ($A$1,$B9,CJ$1)</f>
        <v>0</v>
      </c>
      <c r="CK9" s="115" cm="1">
        <f t="array" ref="CK9">_xll.EQNXTDZ($A$1,$B9,CK$1)</f>
        <v>0</v>
      </c>
      <c r="CL9" s="115" cm="1">
        <f t="array" ref="CL9">_xll.EQNXTDZ($A$1,$B9,CL$1)</f>
        <v>0</v>
      </c>
      <c r="CM9" s="115" cm="1">
        <f t="array" ref="CM9">_xll.EQNXTDZ($A$1,$B9,CM$1)</f>
        <v>0</v>
      </c>
      <c r="CN9" s="115" cm="1">
        <f t="array" ref="CN9">_xll.EQNXTDZ($A$1,$B9,CN$1)</f>
        <v>0</v>
      </c>
      <c r="CO9" s="115" cm="1">
        <f t="array" ref="CO9">_xll.EQNXTDZ($A$1,$B9,CO$1)</f>
        <v>0</v>
      </c>
      <c r="CP9" s="115" cm="1">
        <f t="array" ref="CP9">_xll.EQNXTDZ($A$1,$B9,CP$1)</f>
        <v>0</v>
      </c>
      <c r="CQ9" s="115" cm="1">
        <f t="array" ref="CQ9">_xll.EQNXTDZ($A$1,$B9,CQ$1)</f>
        <v>0</v>
      </c>
      <c r="CR9" s="115" cm="1">
        <f t="array" ref="CR9">_xll.EQNXTDZ($A$1,$B9,CR$1)</f>
        <v>0</v>
      </c>
      <c r="CS9" s="115" cm="1">
        <f t="array" ref="CS9">_xll.EQNXTDZ($A$1,$B9,CS$1)</f>
        <v>0</v>
      </c>
      <c r="CT9" s="115" cm="1">
        <f t="array" ref="CT9">_xll.EQNXTDZ($A$1,$B9,CT$1)</f>
        <v>0</v>
      </c>
      <c r="CU9" s="115" cm="1">
        <f t="array" ref="CU9">_xll.EQNXTDZ($A$1,$B9,CU$1)</f>
        <v>0</v>
      </c>
      <c r="CV9" s="115" cm="1">
        <f t="array" ref="CV9">_xll.EQNXTDZ($A$1,$B9,CV$1)</f>
        <v>0</v>
      </c>
      <c r="CW9" s="115" cm="1">
        <f t="array" ref="CW9">_xll.EQNXTDZ($A$1,$B9,CW$1)</f>
        <v>0</v>
      </c>
      <c r="CX9" s="115" cm="1">
        <f t="array" ref="CX9">_xll.EQNXTDZ($A$1,$B9,CX$1)</f>
        <v>0</v>
      </c>
      <c r="CY9" s="115" cm="1">
        <f t="array" ref="CY9">_xll.EQNXTDZ($A$1,$B9,CY$1)</f>
        <v>0</v>
      </c>
      <c r="CZ9" s="115" cm="1">
        <f t="array" ref="CZ9">_xll.EQNXTDZ($A$1,$B9,CZ$1)</f>
        <v>0</v>
      </c>
      <c r="DA9" s="115" cm="1">
        <f t="array" ref="DA9">_xll.EQNXTDZ($A$1,$B9,DA$1)</f>
        <v>0</v>
      </c>
      <c r="DB9" s="115" cm="1">
        <f t="array" ref="DB9">_xll.EQNXTDZ($A$1,$B9,DB$1)</f>
        <v>0</v>
      </c>
      <c r="DC9" s="115" cm="1">
        <f t="array" ref="DC9">_xll.EQNXTDZ($A$1,$B9,DC$1)</f>
        <v>0</v>
      </c>
      <c r="DD9" s="115" cm="1">
        <f t="array" ref="DD9">_xll.EQNXTDZ($A$1,$B9,DD$1)</f>
        <v>0</v>
      </c>
      <c r="DE9" s="115" cm="1">
        <f t="array" ref="DE9">_xll.EQNXTDZ($A$1,$B9,DE$1)</f>
        <v>0</v>
      </c>
      <c r="DF9" s="115" cm="1">
        <f t="array" ref="DF9">_xll.EQNXTDZ($A$1,$B9,DF$1)</f>
        <v>0</v>
      </c>
      <c r="DG9" s="115" cm="1">
        <f t="array" ref="DG9">_xll.EQNXTDZ($A$1,$B9,DG$1)</f>
        <v>0</v>
      </c>
      <c r="DH9" s="115" cm="1">
        <f t="array" ref="DH9">_xll.EQNXTDZ($A$1,$B9,DH$1)</f>
        <v>0</v>
      </c>
      <c r="DI9" s="115" cm="1">
        <f t="array" ref="DI9">_xll.EQNXTDZ($A$1,$B9,DI$1)</f>
        <v>0</v>
      </c>
      <c r="DJ9" s="115" cm="1">
        <f t="array" ref="DJ9">_xll.EQNXTDZ($A$1,$B9,DJ$1)</f>
        <v>0</v>
      </c>
      <c r="DK9" s="115" cm="1">
        <f t="array" ref="DK9">_xll.EQNXTDZ($A$1,$B9,DK$1)</f>
        <v>0</v>
      </c>
      <c r="DL9" s="115" cm="1">
        <f t="array" ref="DL9">_xll.EQNXTDZ($A$1,$B9,DL$1)</f>
        <v>0</v>
      </c>
      <c r="DM9" s="115" cm="1">
        <f t="array" ref="DM9">_xll.EQNXTDZ($A$1,$B9,DM$1)</f>
        <v>0</v>
      </c>
      <c r="DN9" s="115" cm="1">
        <f t="array" ref="DN9">_xll.EQNXTDZ($A$1,$B9,DN$1)</f>
        <v>0</v>
      </c>
      <c r="DO9" s="115" cm="1">
        <f t="array" ref="DO9">_xll.EQNXTDZ($A$1,$B9,DO$1)</f>
        <v>0</v>
      </c>
      <c r="DP9" s="115" cm="1">
        <f t="array" ref="DP9">_xll.EQNXTDZ($A$1,$B9,DP$1)</f>
        <v>0</v>
      </c>
      <c r="DQ9" s="115" cm="1">
        <f t="array" ref="DQ9">_xll.EQNXTDZ($A$1,$B9,DQ$1)</f>
        <v>0</v>
      </c>
      <c r="DR9" s="115" cm="1">
        <f t="array" ref="DR9">_xll.EQNXTDZ($A$1,$B9,DR$1)</f>
        <v>0</v>
      </c>
      <c r="DS9" s="115" cm="1">
        <f t="array" ref="DS9">_xll.EQNXTDZ($A$1,$B9,DS$1)</f>
        <v>0</v>
      </c>
      <c r="DT9" s="115" cm="1">
        <f t="array" ref="DT9">_xll.EQNXTDZ($A$1,$B9,DT$1)</f>
        <v>0</v>
      </c>
      <c r="DU9" s="115" cm="1">
        <f t="array" ref="DU9">_xll.EQNXTDZ($A$1,$B9,DU$1)</f>
        <v>0</v>
      </c>
      <c r="DV9" s="115" cm="1">
        <f t="array" ref="DV9">_xll.EQNXTDZ($A$1,$B9,DV$1)</f>
        <v>0</v>
      </c>
      <c r="DW9" s="115" cm="1">
        <f t="array" ref="DW9">_xll.EQNXTDZ($A$1,$B9,DW$1)</f>
        <v>0</v>
      </c>
      <c r="DX9" s="115" cm="1">
        <f t="array" ref="DX9">_xll.EQNXTDZ($A$1,$B9,DX$1)</f>
        <v>0</v>
      </c>
      <c r="DY9" s="115" cm="1">
        <f t="array" ref="DY9">_xll.EQNXTDZ($A$1,$B9,DY$1)</f>
        <v>0</v>
      </c>
      <c r="DZ9" s="115" cm="1">
        <f t="array" ref="DZ9">_xll.EQNXTDZ($A$1,$B9,DZ$1)</f>
        <v>0</v>
      </c>
      <c r="EA9" s="115" cm="1">
        <f t="array" ref="EA9">_xll.EQNXTDZ($A$1,$B9,EA$1)</f>
        <v>0</v>
      </c>
      <c r="EB9" s="115" cm="1">
        <f t="array" ref="EB9">_xll.EQNXTDZ($A$1,$B9,EB$1)</f>
        <v>0</v>
      </c>
      <c r="EC9" s="115" cm="1">
        <f t="array" ref="EC9">_xll.EQNXTDZ($A$1,$B9,EC$1)</f>
        <v>0</v>
      </c>
      <c r="ED9" s="115" cm="1">
        <f t="array" ref="ED9">_xll.EQNXTDZ($A$1,$B9,ED$1)</f>
        <v>0</v>
      </c>
      <c r="EE9" s="115" cm="1">
        <f t="array" ref="EE9">_xll.EQNXTDZ($A$1,$B9,EE$1)</f>
        <v>0</v>
      </c>
      <c r="EF9" s="115" cm="1">
        <f t="array" ref="EF9">_xll.EQNXTDZ($A$1,$B9,EF$1)</f>
        <v>0</v>
      </c>
      <c r="EG9" s="115" cm="1">
        <f t="array" ref="EG9">_xll.EQNXTDZ($A$1,$B9,EG$1)</f>
        <v>0</v>
      </c>
      <c r="EH9" s="115" cm="1">
        <f t="array" ref="EH9">_xll.EQNXTDZ($A$1,$B9,EH$1)</f>
        <v>0</v>
      </c>
      <c r="EI9" s="115" cm="1">
        <f t="array" ref="EI9">_xll.EQNXTDZ($A$1,$B9,EI$1)</f>
        <v>0</v>
      </c>
      <c r="EJ9" s="115" cm="1">
        <f t="array" ref="EJ9">_xll.EQNXTDZ($A$1,$B9,EJ$1)</f>
        <v>0</v>
      </c>
      <c r="EK9" s="115" cm="1">
        <f t="array" ref="EK9">_xll.EQNXTDZ($A$1,$B9,EK$1)</f>
        <v>0</v>
      </c>
      <c r="EL9" s="115" cm="1">
        <f t="array" ref="EL9">_xll.EQNXTDZ($A$1,$B9,EL$1)</f>
        <v>0</v>
      </c>
      <c r="EM9" s="115" cm="1">
        <f t="array" ref="EM9">_xll.EQNXTDZ($A$1,$B9,EM$1)</f>
        <v>0</v>
      </c>
      <c r="EN9" s="115" cm="1">
        <f t="array" ref="EN9">_xll.EQNXTDZ($A$1,$B9,EN$1)</f>
        <v>0</v>
      </c>
      <c r="EO9" s="115" cm="1">
        <f t="array" ref="EO9">_xll.EQNXTDZ($A$1,$B9,EO$1)</f>
        <v>0</v>
      </c>
      <c r="EP9" s="115" cm="1">
        <f t="array" ref="EP9">_xll.EQNXTDZ($A$1,$B9,EP$1)</f>
        <v>0</v>
      </c>
      <c r="EQ9" s="115" cm="1">
        <f t="array" ref="EQ9">_xll.EQNXTDZ($A$1,$B9,EQ$1)</f>
        <v>0</v>
      </c>
      <c r="ER9" s="115" cm="1">
        <f t="array" ref="ER9">_xll.EQNXTDZ($A$1,$B9,ER$1)</f>
        <v>0</v>
      </c>
      <c r="ES9" s="115" cm="1">
        <f t="array" ref="ES9">_xll.EQNXTDZ($A$1,$B9,ES$1)</f>
        <v>0</v>
      </c>
      <c r="ET9" s="115" cm="1">
        <f t="array" ref="ET9">_xll.EQNXTDZ($A$1,$B9,ET$1)</f>
        <v>0</v>
      </c>
      <c r="EU9" s="115" cm="1">
        <f t="array" ref="EU9">_xll.EQNXTDZ($A$1,$B9,EU$1)</f>
        <v>0</v>
      </c>
      <c r="EV9" s="115" cm="1">
        <f t="array" ref="EV9">_xll.EQNXTDZ($A$1,$B9,EV$1)</f>
        <v>0</v>
      </c>
      <c r="EW9" s="115" cm="1">
        <f t="array" ref="EW9">_xll.EQNXTDZ($A$1,$B9,EW$1)</f>
        <v>0</v>
      </c>
      <c r="EX9" s="115" cm="1">
        <f t="array" ref="EX9">_xll.EQNXTDZ($A$1,$B9,EX$1)</f>
        <v>0</v>
      </c>
      <c r="EY9" s="115" cm="1">
        <f t="array" ref="EY9">_xll.EQNXTDZ($A$1,$B9,EY$1)</f>
        <v>0</v>
      </c>
      <c r="EZ9" s="115" cm="1">
        <f t="array" ref="EZ9">_xll.EQNXTDZ($A$1,$B9,EZ$1)</f>
        <v>0</v>
      </c>
      <c r="FA9" s="115" cm="1">
        <f t="array" ref="FA9">_xll.EQNXTDZ($A$1,$B9,FA$1)</f>
        <v>0</v>
      </c>
      <c r="FB9" s="115" cm="1">
        <f t="array" ref="FB9">_xll.EQNXTDZ($A$1,$B9,FB$1)</f>
        <v>0</v>
      </c>
      <c r="FC9" s="115" cm="1">
        <f t="array" ref="FC9">_xll.EQNXTDZ($A$1,$B9,FC$1)</f>
        <v>0</v>
      </c>
      <c r="FD9" s="115" cm="1">
        <f t="array" ref="FD9">_xll.EQNXTDZ($A$1,$B9,FD$1)</f>
        <v>0</v>
      </c>
      <c r="FE9" s="115" cm="1">
        <f t="array" ref="FE9">_xll.EQNXTDZ($A$1,$B9,FE$1)</f>
        <v>0</v>
      </c>
      <c r="FF9" s="115" cm="1">
        <f t="array" ref="FF9">_xll.EQNXTDZ($A$1,$B9,FF$1)</f>
        <v>0</v>
      </c>
      <c r="FG9" s="115" cm="1">
        <f t="array" ref="FG9">_xll.EQNXTDZ($A$1,$B9,FG$1)</f>
        <v>0</v>
      </c>
      <c r="FH9" s="115" cm="1">
        <f t="array" ref="FH9">_xll.EQNXTDZ($A$1,$B9,FH$1)</f>
        <v>0</v>
      </c>
      <c r="FI9" s="115" cm="1">
        <f t="array" ref="FI9">_xll.EQNXTDZ($A$1,$B9,FI$1)</f>
        <v>0</v>
      </c>
      <c r="FJ9" s="115" cm="1">
        <f t="array" ref="FJ9">_xll.EQNXTDZ($A$1,$B9,FJ$1)</f>
        <v>0</v>
      </c>
      <c r="FK9" s="115" cm="1">
        <f t="array" ref="FK9">_xll.EQNXTDZ($A$1,$B9,FK$1)</f>
        <v>0</v>
      </c>
      <c r="FL9" s="115" cm="1">
        <f t="array" ref="FL9">_xll.EQNXTDZ($A$1,$B9,FL$1)</f>
        <v>0</v>
      </c>
      <c r="FM9" s="115" cm="1">
        <f t="array" ref="FM9">_xll.EQNXTDZ($A$1,$B9,FM$1)</f>
        <v>5115.5</v>
      </c>
      <c r="FN9" s="115" cm="1">
        <f t="array" ref="FN9">_xll.EQNXTDZ($A$1,$B9,FN$1)</f>
        <v>7076.5</v>
      </c>
      <c r="FO9" s="115" cm="1">
        <f t="array" ref="FO9">_xll.EQNXTDZ($A$1,$B9,FO$1)</f>
        <v>9283.5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0</v>
      </c>
      <c r="HQ9" s="115">
        <f>+I9</f>
        <v>0</v>
      </c>
      <c r="HR9" s="115">
        <f>+L9</f>
        <v>0</v>
      </c>
      <c r="HS9" s="115">
        <f>+O9</f>
        <v>0</v>
      </c>
      <c r="HT9" s="115">
        <f>+R9</f>
        <v>0</v>
      </c>
      <c r="HU9" s="115">
        <f>+U9</f>
        <v>0</v>
      </c>
      <c r="HV9" s="115">
        <f>+X9</f>
        <v>0</v>
      </c>
      <c r="HW9" s="115">
        <f>+AA9</f>
        <v>0</v>
      </c>
      <c r="HX9" s="115">
        <f>+AD9</f>
        <v>0</v>
      </c>
      <c r="HY9" s="115">
        <f>+AG9</f>
        <v>0</v>
      </c>
      <c r="HZ9" s="115">
        <f>+AJ9</f>
        <v>0</v>
      </c>
      <c r="IA9" s="115">
        <f>+AM9</f>
        <v>0</v>
      </c>
      <c r="IB9" s="115">
        <f>+AP9</f>
        <v>0</v>
      </c>
      <c r="IC9" s="115">
        <f>+AS9</f>
        <v>0</v>
      </c>
      <c r="ID9" s="115">
        <f>+AV9</f>
        <v>0</v>
      </c>
      <c r="IE9" s="115">
        <f>+AY9</f>
        <v>0</v>
      </c>
      <c r="IF9" s="115">
        <f>+BB9</f>
        <v>0</v>
      </c>
      <c r="IG9" s="115">
        <f>+BE9</f>
        <v>0</v>
      </c>
      <c r="IH9" s="115">
        <f>+BH9</f>
        <v>0</v>
      </c>
      <c r="II9" s="115">
        <f>+BK9</f>
        <v>0</v>
      </c>
      <c r="IJ9" s="115">
        <f>+BN9</f>
        <v>0</v>
      </c>
      <c r="IK9" s="115">
        <f>+BQ9</f>
        <v>0</v>
      </c>
      <c r="IL9" s="115">
        <f>+BT9</f>
        <v>0</v>
      </c>
      <c r="IM9" s="115">
        <f>+BW9</f>
        <v>0</v>
      </c>
      <c r="IN9" s="115">
        <f>+BZ9</f>
        <v>0</v>
      </c>
      <c r="IO9" s="115">
        <f>+CC9</f>
        <v>0</v>
      </c>
      <c r="IP9" s="115">
        <f>+CF9</f>
        <v>0</v>
      </c>
      <c r="IQ9" s="115">
        <f>+CI9</f>
        <v>0</v>
      </c>
      <c r="IR9" s="115">
        <f>+CL9</f>
        <v>0</v>
      </c>
      <c r="IS9" s="115">
        <f>+CO9</f>
        <v>0</v>
      </c>
      <c r="IT9" s="115">
        <f>+CR9</f>
        <v>0</v>
      </c>
      <c r="IU9" s="115">
        <f>+CU9</f>
        <v>0</v>
      </c>
      <c r="IV9" s="115">
        <f>+CX9</f>
        <v>0</v>
      </c>
      <c r="IW9" s="115">
        <f>+DA9</f>
        <v>0</v>
      </c>
      <c r="IX9" s="115">
        <f>+DD9</f>
        <v>0</v>
      </c>
      <c r="IY9" s="115">
        <f>+DG9</f>
        <v>0</v>
      </c>
      <c r="IZ9" s="115">
        <f>+DJ9</f>
        <v>0</v>
      </c>
      <c r="JA9" s="115">
        <f>+DM9</f>
        <v>0</v>
      </c>
      <c r="JB9" s="115">
        <f>+DP9</f>
        <v>0</v>
      </c>
      <c r="JC9" s="115">
        <f>+DS9</f>
        <v>0</v>
      </c>
      <c r="JD9" s="115">
        <f>+DV9</f>
        <v>0</v>
      </c>
      <c r="JE9" s="115">
        <f>+DY9</f>
        <v>0</v>
      </c>
      <c r="JF9" s="115">
        <f>+EB9</f>
        <v>0</v>
      </c>
      <c r="JG9" s="115">
        <f>+EE9</f>
        <v>0</v>
      </c>
      <c r="JH9" s="115">
        <f>+EH9</f>
        <v>0</v>
      </c>
      <c r="JI9" s="115">
        <f>+EK9</f>
        <v>0</v>
      </c>
      <c r="JJ9" s="115">
        <f>+EN9</f>
        <v>0</v>
      </c>
      <c r="JK9" s="115">
        <f>EQ9</f>
        <v>0</v>
      </c>
      <c r="JL9" s="115">
        <f>ET9</f>
        <v>0</v>
      </c>
      <c r="JM9" s="115">
        <f>EW9</f>
        <v>0</v>
      </c>
      <c r="JN9" s="115">
        <f>EZ9</f>
        <v>0</v>
      </c>
      <c r="JO9" s="115">
        <f>FC9</f>
        <v>0</v>
      </c>
      <c r="JP9" s="115">
        <f>FF9</f>
        <v>0</v>
      </c>
      <c r="JQ9" s="115">
        <f>FI9</f>
        <v>0</v>
      </c>
      <c r="JR9" s="115">
        <f>FL9</f>
        <v>0</v>
      </c>
      <c r="JS9" s="115">
        <f>FO9</f>
        <v>9283.5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642.04999999999995</v>
      </c>
      <c r="D13" cm="1">
        <f t="array" ref="D13">_xll.EQNXTDZ($A$1,$B13,D$1)</f>
        <v>797.9</v>
      </c>
      <c r="E13" cm="1">
        <f t="array" ref="E13">_xll.EQNXTDZ($A$1,$B13,E$1)</f>
        <v>763</v>
      </c>
      <c r="F13" cm="1">
        <f t="array" ref="F13">_xll.EQNXTDZ($A$1,$B13,F$1)</f>
        <v>691</v>
      </c>
      <c r="G13" cm="1">
        <f t="array" ref="G13">_xll.EQNXTDZ($A$1,$B13,G$1)</f>
        <v>703</v>
      </c>
      <c r="H13" cm="1">
        <f t="array" ref="H13">_xll.EQNXTDZ($A$1,$B13,H$1)</f>
        <v>739</v>
      </c>
      <c r="I13" cm="1">
        <f t="array" ref="I13">_xll.EQNXTDZ($A$1,$B13,I$1)</f>
        <v>654</v>
      </c>
      <c r="J13" cm="1">
        <f t="array" ref="J13">_xll.EQNXTDZ($A$1,$B13,J$1)</f>
        <v>650.1</v>
      </c>
      <c r="K13" cm="1">
        <f t="array" ref="K13">_xll.EQNXTDZ($A$1,$B13,K$1)</f>
        <v>602.75</v>
      </c>
      <c r="L13" cm="1">
        <f t="array" ref="L13">_xll.EQNXTDZ($A$1,$B13,L$1)</f>
        <v>474.7</v>
      </c>
      <c r="M13" cm="1">
        <f t="array" ref="M13">_xll.EQNXTDZ($A$1,$B13,M$1)</f>
        <v>390</v>
      </c>
      <c r="N13" cm="1">
        <f t="array" ref="N13">_xll.EQNXTDZ($A$1,$B13,N$1)</f>
        <v>390</v>
      </c>
      <c r="O13" cm="1">
        <f t="array" ref="O13">_xll.EQNXTDZ($A$1,$B13,O$1)</f>
        <v>332</v>
      </c>
      <c r="P13" cm="1">
        <f t="array" ref="P13">_xll.EQNXTDZ($A$1,$B13,P$1)</f>
        <v>330</v>
      </c>
      <c r="Q13" cm="1">
        <f t="array" ref="Q13">_xll.EQNXTDZ($A$1,$B13,Q$1)</f>
        <v>290</v>
      </c>
      <c r="R13" cm="1">
        <f t="array" ref="R13">_xll.EQNXTDZ($A$1,$B13,R$1)</f>
        <v>250</v>
      </c>
      <c r="S13" cm="1">
        <f t="array" ref="S13">_xll.EQNXTDZ($A$1,$B13,S$1)</f>
        <v>262</v>
      </c>
      <c r="T13" cm="1">
        <f t="array" ref="T13">_xll.EQNXTDZ($A$1,$B13,T$1)</f>
        <v>245</v>
      </c>
      <c r="U13" cm="1">
        <f t="array" ref="U13">_xll.EQNXTDZ($A$1,$B13,U$1)</f>
        <v>254.65</v>
      </c>
      <c r="V13" cm="1">
        <f t="array" ref="V13">_xll.EQNXTDZ($A$1,$B13,V$1)</f>
        <v>318</v>
      </c>
      <c r="W13" cm="1">
        <f t="array" ref="W13">_xll.EQNXTDZ($A$1,$B13,W$1)</f>
        <v>339.05</v>
      </c>
      <c r="X13" cm="1">
        <f t="array" ref="X13">_xll.EQNXTDZ($A$1,$B13,X$1)</f>
        <v>424</v>
      </c>
      <c r="Y13" cm="1">
        <f t="array" ref="Y13">_xll.EQNXTDZ($A$1,$B13,Y$1)</f>
        <v>454</v>
      </c>
      <c r="Z13" cm="1">
        <f t="array" ref="Z13">_xll.EQNXTDZ($A$1,$B13,Z$1)</f>
        <v>544</v>
      </c>
      <c r="AA13" cm="1">
        <f t="array" ref="AA13">_xll.EQNXTDZ($A$1,$B13,AA$1)</f>
        <v>532</v>
      </c>
      <c r="AB13" cm="1">
        <f t="array" ref="AB13">_xll.EQNXTDZ($A$1,$B13,AB$1)</f>
        <v>538.20000000000005</v>
      </c>
      <c r="AC13" cm="1">
        <f t="array" ref="AC13">_xll.EQNXTDZ($A$1,$B13,AC$1)</f>
        <v>475</v>
      </c>
      <c r="AD13" cm="1">
        <f t="array" ref="AD13">_xll.EQNXTDZ($A$1,$B13,AD$1)</f>
        <v>490</v>
      </c>
      <c r="AE13" cm="1">
        <f t="array" ref="AE13">_xll.EQNXTDZ($A$1,$B13,AE$1)</f>
        <v>455.1</v>
      </c>
      <c r="AF13" cm="1">
        <f t="array" ref="AF13">_xll.EQNXTDZ($A$1,$B13,AF$1)</f>
        <v>516.20000000000005</v>
      </c>
      <c r="AG13" cm="1">
        <f t="array" ref="AG13">_xll.EQNXTDZ($A$1,$B13,AG$1)</f>
        <v>451.75</v>
      </c>
      <c r="AH13" cm="1">
        <f t="array" ref="AH13">_xll.EQNXTDZ($A$1,$B13,AH$1)</f>
        <v>507</v>
      </c>
      <c r="AI13" cm="1">
        <f t="array" ref="AI13">_xll.EQNXTDZ($A$1,$B13,AI$1)</f>
        <v>495</v>
      </c>
      <c r="AJ13" cm="1">
        <f t="array" ref="AJ13">_xll.EQNXTDZ($A$1,$B13,AJ$1)</f>
        <v>405.1</v>
      </c>
      <c r="AK13" cm="1">
        <f t="array" ref="AK13">_xll.EQNXTDZ($A$1,$B13,AK$1)</f>
        <v>395.6</v>
      </c>
      <c r="AL13" cm="1">
        <f t="array" ref="AL13">_xll.EQNXTDZ($A$1,$B13,AL$1)</f>
        <v>431</v>
      </c>
      <c r="AM13" cm="1">
        <f t="array" ref="AM13">_xll.EQNXTDZ($A$1,$B13,AM$1)</f>
        <v>399</v>
      </c>
      <c r="AN13" cm="1">
        <f t="array" ref="AN13">_xll.EQNXTDZ($A$1,$B13,AN$1)</f>
        <v>395</v>
      </c>
      <c r="AO13" cm="1">
        <f t="array" ref="AO13">_xll.EQNXTDZ($A$1,$B13,AO$1)</f>
        <v>473.7</v>
      </c>
      <c r="AP13" cm="1">
        <f t="array" ref="AP13">_xll.EQNXTDZ($A$1,$B13,AP$1)</f>
        <v>450</v>
      </c>
      <c r="AQ13" cm="1">
        <f t="array" ref="AQ13">_xll.EQNXTDZ($A$1,$B13,AQ$1)</f>
        <v>407.2</v>
      </c>
      <c r="AR13" cm="1">
        <f t="array" ref="AR13">_xll.EQNXTDZ($A$1,$B13,AR$1)</f>
        <v>402</v>
      </c>
      <c r="AS13" cm="1">
        <f t="array" ref="AS13">_xll.EQNXTDZ($A$1,$B13,AS$1)</f>
        <v>398</v>
      </c>
      <c r="AT13" cm="1">
        <f t="array" ref="AT13">_xll.EQNXTDZ($A$1,$B13,AT$1)</f>
        <v>385.3</v>
      </c>
      <c r="AU13" cm="1">
        <f t="array" ref="AU13">_xll.EQNXTDZ($A$1,$B13,AU$1)</f>
        <v>445.5</v>
      </c>
      <c r="AV13" cm="1">
        <f t="array" ref="AV13">_xll.EQNXTDZ($A$1,$B13,AV$1)</f>
        <v>374.2</v>
      </c>
      <c r="AW13" cm="1">
        <f t="array" ref="AW13">_xll.EQNXTDZ($A$1,$B13,AW$1)</f>
        <v>422</v>
      </c>
      <c r="AX13" cm="1">
        <f t="array" ref="AX13">_xll.EQNXTDZ($A$1,$B13,AX$1)</f>
        <v>481</v>
      </c>
      <c r="AY13" cm="1">
        <f t="array" ref="AY13">_xll.EQNXTDZ($A$1,$B13,AY$1)</f>
        <v>410</v>
      </c>
      <c r="AZ13" cm="1">
        <f t="array" ref="AZ13">_xll.EQNXTDZ($A$1,$B13,AZ$1)</f>
        <v>400</v>
      </c>
      <c r="BA13" cm="1">
        <f t="array" ref="BA13">_xll.EQNXTDZ($A$1,$B13,BA$1)</f>
        <v>370.05</v>
      </c>
      <c r="BB13" cm="1">
        <f t="array" ref="BB13">_xll.EQNXTDZ($A$1,$B13,BB$1)</f>
        <v>409</v>
      </c>
      <c r="BC13" cm="1">
        <f t="array" ref="BC13">_xll.EQNXTDZ($A$1,$B13,BC$1)</f>
        <v>368.45</v>
      </c>
      <c r="BD13" cm="1">
        <f t="array" ref="BD13">_xll.EQNXTDZ($A$1,$B13,BD$1)</f>
        <v>445</v>
      </c>
      <c r="BE13" cm="1">
        <f t="array" ref="BE13">_xll.EQNXTDZ($A$1,$B13,BE$1)</f>
        <v>410.05</v>
      </c>
      <c r="BF13" cm="1">
        <f t="array" ref="BF13">_xll.EQNXTDZ($A$1,$B13,BF$1)</f>
        <v>435</v>
      </c>
      <c r="BG13" cm="1">
        <f t="array" ref="BG13">_xll.EQNXTDZ($A$1,$B13,BG$1)</f>
        <v>422</v>
      </c>
      <c r="BH13" cm="1">
        <f t="array" ref="BH13">_xll.EQNXTDZ($A$1,$B13,BH$1)</f>
        <v>635.5</v>
      </c>
      <c r="BI13" cm="1">
        <f t="array" ref="BI13">_xll.EQNXTDZ($A$1,$B13,BI$1)</f>
        <v>593</v>
      </c>
      <c r="BJ13" cm="1">
        <f t="array" ref="BJ13">_xll.EQNXTDZ($A$1,$B13,BJ$1)</f>
        <v>588.95000000000005</v>
      </c>
      <c r="BK13" cm="1">
        <f t="array" ref="BK13">_xll.EQNXTDZ($A$1,$B13,BK$1)</f>
        <v>518.15</v>
      </c>
      <c r="BL13" cm="1">
        <f t="array" ref="BL13">_xll.EQNXTDZ($A$1,$B13,BL$1)</f>
        <v>497</v>
      </c>
      <c r="BM13" cm="1">
        <f t="array" ref="BM13">_xll.EQNXTDZ($A$1,$B13,BM$1)</f>
        <v>528</v>
      </c>
      <c r="BN13" cm="1">
        <f t="array" ref="BN13">_xll.EQNXTDZ($A$1,$B13,BN$1)</f>
        <v>635</v>
      </c>
      <c r="BO13" cm="1">
        <f t="array" ref="BO13">_xll.EQNXTDZ($A$1,$B13,BO$1)</f>
        <v>895</v>
      </c>
      <c r="BP13" cm="1">
        <f t="array" ref="BP13">_xll.EQNXTDZ($A$1,$B13,BP$1)</f>
        <v>810</v>
      </c>
      <c r="BQ13" cm="1">
        <f t="array" ref="BQ13">_xll.EQNXTDZ($A$1,$B13,BQ$1)</f>
        <v>1030.05</v>
      </c>
      <c r="BR13" cm="1">
        <f t="array" ref="BR13">_xll.EQNXTDZ($A$1,$B13,BR$1)</f>
        <v>1298.5</v>
      </c>
      <c r="BS13" cm="1">
        <f t="array" ref="BS13">_xll.EQNXTDZ($A$1,$B13,BS$1)</f>
        <v>1177</v>
      </c>
      <c r="BT13" cm="1">
        <f t="array" ref="BT13">_xll.EQNXTDZ($A$1,$B13,BT$1)</f>
        <v>1000.05</v>
      </c>
      <c r="BU13" cm="1">
        <f t="array" ref="BU13">_xll.EQNXTDZ($A$1,$B13,BU$1)</f>
        <v>909.8</v>
      </c>
      <c r="BV13" cm="1">
        <f t="array" ref="BV13">_xll.EQNXTDZ($A$1,$B13,BV$1)</f>
        <v>930</v>
      </c>
      <c r="BW13" cm="1">
        <f t="array" ref="BW13">_xll.EQNXTDZ($A$1,$B13,BW$1)</f>
        <v>860</v>
      </c>
      <c r="BX13" cm="1">
        <f t="array" ref="BX13">_xll.EQNXTDZ($A$1,$B13,BX$1)</f>
        <v>746.05</v>
      </c>
      <c r="BY13" cm="1">
        <f t="array" ref="BY13">_xll.EQNXTDZ($A$1,$B13,BY$1)</f>
        <v>780</v>
      </c>
      <c r="BZ13" cm="1">
        <f t="array" ref="BZ13">_xll.EQNXTDZ($A$1,$B13,BZ$1)</f>
        <v>770</v>
      </c>
      <c r="CA13" cm="1">
        <f t="array" ref="CA13">_xll.EQNXTDZ($A$1,$B13,CA$1)</f>
        <v>670</v>
      </c>
      <c r="CB13" cm="1">
        <f t="array" ref="CB13">_xll.EQNXTDZ($A$1,$B13,CB$1)</f>
        <v>849</v>
      </c>
      <c r="CC13" cm="1">
        <f t="array" ref="CC13">_xll.EQNXTDZ($A$1,$B13,CC$1)</f>
        <v>935</v>
      </c>
      <c r="CD13" cm="1">
        <f t="array" ref="CD13">_xll.EQNXTDZ($A$1,$B13,CD$1)</f>
        <v>987</v>
      </c>
      <c r="CE13" cm="1">
        <f t="array" ref="CE13">_xll.EQNXTDZ($A$1,$B13,CE$1)</f>
        <v>1000</v>
      </c>
      <c r="CF13" cm="1">
        <f t="array" ref="CF13">_xll.EQNXTDZ($A$1,$B13,CF$1)</f>
        <v>1356.7</v>
      </c>
      <c r="CG13" cm="1">
        <f t="array" ref="CG13">_xll.EQNXTDZ($A$1,$B13,CG$1)</f>
        <v>1369.95</v>
      </c>
      <c r="CH13" cm="1">
        <f t="array" ref="CH13">_xll.EQNXTDZ($A$1,$B13,CH$1)</f>
        <v>1263.05</v>
      </c>
      <c r="CI13" cm="1">
        <f t="array" ref="CI13">_xll.EQNXTDZ($A$1,$B13,CI$1)</f>
        <v>1085.05</v>
      </c>
      <c r="CJ13" cm="1">
        <f t="array" ref="CJ13">_xll.EQNXTDZ($A$1,$B13,CJ$1)</f>
        <v>1111</v>
      </c>
      <c r="CK13" cm="1">
        <f t="array" ref="CK13">_xll.EQNXTDZ($A$1,$B13,CK$1)</f>
        <v>950</v>
      </c>
      <c r="CL13" cm="1">
        <f t="array" ref="CL13">_xll.EQNXTDZ($A$1,$B13,CL$1)</f>
        <v>766.1</v>
      </c>
      <c r="CM13" cm="1">
        <f t="array" ref="CM13">_xll.EQNXTDZ($A$1,$B13,CM$1)</f>
        <v>930</v>
      </c>
      <c r="CN13" cm="1">
        <f t="array" ref="CN13">_xll.EQNXTDZ($A$1,$B13,CN$1)</f>
        <v>900</v>
      </c>
      <c r="CO13" cm="1">
        <f t="array" ref="CO13">_xll.EQNXTDZ($A$1,$B13,CO$1)</f>
        <v>776.05</v>
      </c>
      <c r="CP13" cm="1">
        <f t="array" ref="CP13">_xll.EQNXTDZ($A$1,$B13,CP$1)</f>
        <v>964.95</v>
      </c>
      <c r="CQ13" cm="1">
        <f t="array" ref="CQ13">_xll.EQNXTDZ($A$1,$B13,CQ$1)</f>
        <v>926.85</v>
      </c>
      <c r="CR13" cm="1">
        <f t="array" ref="CR13">_xll.EQNXTDZ($A$1,$B13,CR$1)</f>
        <v>724</v>
      </c>
      <c r="CS13" cm="1">
        <f t="array" ref="CS13">_xll.EQNXTDZ($A$1,$B13,CS$1)</f>
        <v>455</v>
      </c>
      <c r="CT13" cm="1">
        <f t="array" ref="CT13">_xll.EQNXTDZ($A$1,$B13,CT$1)</f>
        <v>505</v>
      </c>
      <c r="CU13" cm="1">
        <f t="array" ref="CU13">_xll.EQNXTDZ($A$1,$B13,CU$1)</f>
        <v>446.05</v>
      </c>
      <c r="CV13" cm="1">
        <f t="array" ref="CV13">_xll.EQNXTDZ($A$1,$B13,CV$1)</f>
        <v>481</v>
      </c>
      <c r="CW13" cm="1">
        <f t="array" ref="CW13">_xll.EQNXTDZ($A$1,$B13,CW$1)</f>
        <v>535</v>
      </c>
      <c r="CX13" cm="1">
        <f t="array" ref="CX13">_xll.EQNXTDZ($A$1,$B13,CX$1)</f>
        <v>726.05</v>
      </c>
      <c r="CY13" cm="1">
        <f t="array" ref="CY13">_xll.EQNXTDZ($A$1,$B13,CY$1)</f>
        <v>824.95</v>
      </c>
      <c r="CZ13" cm="1">
        <f t="array" ref="CZ13">_xll.EQNXTDZ($A$1,$B13,CZ$1)</f>
        <v>773</v>
      </c>
      <c r="DA13" cm="1">
        <f t="array" ref="DA13">_xll.EQNXTDZ($A$1,$B13,DA$1)</f>
        <v>743</v>
      </c>
      <c r="DB13" cm="1">
        <f t="array" ref="DB13">_xll.EQNXTDZ($A$1,$B13,DB$1)</f>
        <v>790</v>
      </c>
      <c r="DC13" cm="1">
        <f t="array" ref="DC13">_xll.EQNXTDZ($A$1,$B13,DC$1)</f>
        <v>799.9</v>
      </c>
      <c r="DD13" cm="1">
        <f t="array" ref="DD13">_xll.EQNXTDZ($A$1,$B13,DD$1)</f>
        <v>825.95</v>
      </c>
      <c r="DE13" cm="1">
        <f t="array" ref="DE13">_xll.EQNXTDZ($A$1,$B13,DE$1)</f>
        <v>833.1</v>
      </c>
      <c r="DF13" cm="1">
        <f t="array" ref="DF13">_xll.EQNXTDZ($A$1,$B13,DF$1)</f>
        <v>848</v>
      </c>
      <c r="DG13" cm="1">
        <f t="array" ref="DG13">_xll.EQNXTDZ($A$1,$B13,DG$1)</f>
        <v>839.9</v>
      </c>
      <c r="DH13" cm="1">
        <f t="array" ref="DH13">_xll.EQNXTDZ($A$1,$B13,DH$1)</f>
        <v>925.05</v>
      </c>
      <c r="DI13" cm="1">
        <f t="array" ref="DI13">_xll.EQNXTDZ($A$1,$B13,DI$1)</f>
        <v>932</v>
      </c>
      <c r="DJ13" cm="1">
        <f t="array" ref="DJ13">_xll.EQNXTDZ($A$1,$B13,DJ$1)</f>
        <v>999.5</v>
      </c>
      <c r="DK13" cm="1">
        <f t="array" ref="DK13">_xll.EQNXTDZ($A$1,$B13,DK$1)</f>
        <v>926.9</v>
      </c>
      <c r="DL13" cm="1">
        <f t="array" ref="DL13">_xll.EQNXTDZ($A$1,$B13,DL$1)</f>
        <v>975</v>
      </c>
      <c r="DM13" cm="1">
        <f t="array" ref="DM13">_xll.EQNXTDZ($A$1,$B13,DM$1)</f>
        <v>991.85</v>
      </c>
      <c r="DN13" cm="1">
        <f t="array" ref="DN13">_xll.EQNXTDZ($A$1,$B13,DN$1)</f>
        <v>1050</v>
      </c>
      <c r="DO13" cm="1">
        <f t="array" ref="DO13">_xll.EQNXTDZ($A$1,$B13,DO$1)</f>
        <v>1399</v>
      </c>
      <c r="DP13" cm="1">
        <f t="array" ref="DP13">_xll.EQNXTDZ($A$1,$B13,DP$1)</f>
        <v>1487</v>
      </c>
      <c r="DQ13" cm="1">
        <f t="array" ref="DQ13">_xll.EQNXTDZ($A$1,$B13,DQ$1)</f>
        <v>1524</v>
      </c>
      <c r="DR13" cm="1">
        <f t="array" ref="DR13">_xll.EQNXTDZ($A$1,$B13,DR$1)</f>
        <v>1650</v>
      </c>
      <c r="DS13" cm="1">
        <f t="array" ref="DS13">_xll.EQNXTDZ($A$1,$B13,DS$1)</f>
        <v>1211.6500000000001</v>
      </c>
      <c r="DT13" cm="1">
        <f t="array" ref="DT13">_xll.EQNXTDZ($A$1,$B13,DT$1)</f>
        <v>1181.8499999999999</v>
      </c>
      <c r="DU13" cm="1">
        <f t="array" ref="DU13">_xll.EQNXTDZ($A$1,$B13,DU$1)</f>
        <v>1230</v>
      </c>
      <c r="DV13" cm="1">
        <f t="array" ref="DV13">_xll.EQNXTDZ($A$1,$B13,DV$1)</f>
        <v>1253</v>
      </c>
      <c r="DW13" cm="1">
        <f t="array" ref="DW13">_xll.EQNXTDZ($A$1,$B13,DW$1)</f>
        <v>1265</v>
      </c>
      <c r="DX13" cm="1">
        <f t="array" ref="DX13">_xll.EQNXTDZ($A$1,$B13,DX$1)</f>
        <v>1200</v>
      </c>
      <c r="DY13" cm="1">
        <f t="array" ref="DY13">_xll.EQNXTDZ($A$1,$B13,DY$1)</f>
        <v>1269</v>
      </c>
      <c r="DZ13" cm="1">
        <f t="array" ref="DZ13">_xll.EQNXTDZ($A$1,$B13,DZ$1)</f>
        <v>1309.1500000000001</v>
      </c>
      <c r="EA13" cm="1">
        <f t="array" ref="EA13">_xll.EQNXTDZ($A$1,$B13,EA$1)</f>
        <v>1595</v>
      </c>
      <c r="EB13" cm="1">
        <f t="array" ref="EB13">_xll.EQNXTDZ($A$1,$B13,EB$1)</f>
        <v>1430</v>
      </c>
      <c r="EC13" cm="1">
        <f t="array" ref="EC13">_xll.EQNXTDZ($A$1,$B13,EC$1)</f>
        <v>1446</v>
      </c>
      <c r="ED13" cm="1">
        <f t="array" ref="ED13">_xll.EQNXTDZ($A$1,$B13,ED$1)</f>
        <v>1500</v>
      </c>
      <c r="EE13" cm="1">
        <f t="array" ref="EE13">_xll.EQNXTDZ($A$1,$B13,EE$1)</f>
        <v>2094</v>
      </c>
      <c r="EF13" cm="1">
        <f t="array" ref="EF13">_xll.EQNXTDZ($A$1,$B13,EF$1)</f>
        <v>2998</v>
      </c>
      <c r="EG13" cm="1">
        <f t="array" ref="EG13">_xll.EQNXTDZ($A$1,$B13,EG$1)</f>
        <v>2691</v>
      </c>
      <c r="EH13" cm="1">
        <f t="array" ref="EH13">_xll.EQNXTDZ($A$1,$B13,EH$1)</f>
        <v>2973</v>
      </c>
      <c r="EI13" cm="1">
        <f t="array" ref="EI13">_xll.EQNXTDZ($A$1,$B13,EI$1)</f>
        <v>2879</v>
      </c>
      <c r="EJ13" cm="1">
        <f t="array" ref="EJ13">_xll.EQNXTDZ($A$1,$B13,EJ$1)</f>
        <v>2875</v>
      </c>
      <c r="EK13" cm="1">
        <f t="array" ref="EK13">_xll.EQNXTDZ($A$1,$B13,EK$1)</f>
        <v>3000.05</v>
      </c>
      <c r="EL13" cm="1">
        <f t="array" ref="EL13">_xll.EQNXTDZ($A$1,$B13,EL$1)</f>
        <v>3096.35</v>
      </c>
      <c r="EM13" cm="1">
        <f t="array" ref="EM13">_xll.EQNXTDZ($A$1,$B13,EM$1)</f>
        <v>3414</v>
      </c>
      <c r="EN13" cm="1">
        <f t="array" ref="EN13">_xll.EQNXTDZ($A$1,$B13,EN$1)</f>
        <v>3253.5</v>
      </c>
      <c r="EO13" cm="1">
        <f t="array" ref="EO13">_xll.EQNXTDZ($A$1,$B13,EO$1)</f>
        <v>3296.4</v>
      </c>
      <c r="EP13" cm="1">
        <f t="array" ref="EP13">_xll.EQNXTDZ($A$1,$B13,EP$1)</f>
        <v>3725</v>
      </c>
      <c r="EQ13" cm="1">
        <f t="array" ref="EQ13">_xll.EQNXTDZ($A$1,$B13,EQ$1)</f>
        <v>3712</v>
      </c>
      <c r="ER13" cm="1">
        <f t="array" ref="ER13">_xll.EQNXTDZ($A$1,$B13,ER$1)</f>
        <v>5999.95</v>
      </c>
      <c r="ES13" cm="1">
        <f t="array" ref="ES13">_xll.EQNXTDZ($A$1,$B13,ES$1)</f>
        <v>5623</v>
      </c>
      <c r="ET13" cm="1">
        <f t="array" ref="ET13">_xll.EQNXTDZ($A$1,$B13,ET$1)</f>
        <v>5075</v>
      </c>
      <c r="EU13" cm="1">
        <f t="array" ref="EU13">_xll.EQNXTDZ($A$1,$B13,EU$1)</f>
        <v>5744.6</v>
      </c>
      <c r="EV13" cm="1">
        <f t="array" ref="EV13">_xll.EQNXTDZ($A$1,$B13,EV$1)</f>
        <v>5168</v>
      </c>
      <c r="EW13" cm="1">
        <f t="array" ref="EW13">_xll.EQNXTDZ($A$1,$B13,EW$1)</f>
        <v>4855</v>
      </c>
      <c r="EX13" cm="1">
        <f t="array" ref="EX13">_xll.EQNXTDZ($A$1,$B13,EX$1)</f>
        <v>4229</v>
      </c>
      <c r="EY13" cm="1">
        <f t="array" ref="EY13">_xll.EQNXTDZ($A$1,$B13,EY$1)</f>
        <v>3757.95</v>
      </c>
      <c r="EZ13" cm="1">
        <f t="array" ref="EZ13">_xll.EQNXTDZ($A$1,$B13,EZ$1)</f>
        <v>2615</v>
      </c>
      <c r="FA13" cm="1">
        <f t="array" ref="FA13">_xll.EQNXTDZ($A$1,$B13,FA$1)</f>
        <v>2997</v>
      </c>
      <c r="FB13" cm="1">
        <f t="array" ref="FB13">_xll.EQNXTDZ($A$1,$B13,FB$1)</f>
        <v>2850</v>
      </c>
      <c r="FC13" cm="1">
        <f t="array" ref="FC13">_xll.EQNXTDZ($A$1,$B13,FC$1)</f>
        <v>3700</v>
      </c>
      <c r="FD13" cm="1">
        <f t="array" ref="FD13">_xll.EQNXTDZ($A$1,$B13,FD$1)</f>
        <v>3479.85</v>
      </c>
      <c r="FE13" cm="1">
        <f t="array" ref="FE13">_xll.EQNXTDZ($A$1,$B13,FE$1)</f>
        <v>4305.8500000000004</v>
      </c>
      <c r="FF13" cm="1">
        <f t="array" ref="FF13">_xll.EQNXTDZ($A$1,$B13,FF$1)</f>
        <v>4388.55</v>
      </c>
      <c r="FG13" cm="1">
        <f t="array" ref="FG13">_xll.EQNXTDZ($A$1,$B13,FG$1)</f>
        <v>5837</v>
      </c>
      <c r="FH13" cm="1">
        <f t="array" ref="FH13">_xll.EQNXTDZ($A$1,$B13,FH$1)</f>
        <v>5250</v>
      </c>
      <c r="FI13" cm="1">
        <f t="array" ref="FI13">_xll.EQNXTDZ($A$1,$B13,FI$1)</f>
        <v>5117.95</v>
      </c>
      <c r="FJ13" cm="1">
        <f t="array" ref="FJ13">_xll.EQNXTDZ($A$1,$B13,FJ$1)</f>
        <v>5334.65</v>
      </c>
      <c r="FK13" cm="1">
        <f t="array" ref="FK13">_xll.EQNXTDZ($A$1,$B13,FK$1)</f>
        <v>4716</v>
      </c>
      <c r="FL13" cm="1">
        <f t="array" ref="FL13">_xll.EQNXTDZ($A$1,$B13,FL$1)</f>
        <v>4751</v>
      </c>
      <c r="FM13" cm="1">
        <f t="array" ref="FM13">_xll.EQNXTDZ($A$1,$B13,FM$1)</f>
        <v>4205.1000000000004</v>
      </c>
      <c r="FN13" cm="1">
        <f t="array" ref="FN13">_xll.EQNXTDZ($A$1,$B13,FN$1)</f>
        <v>5111.1499999999996</v>
      </c>
      <c r="FO13" cm="1">
        <f t="array" ref="FO13">_xll.EQNXTDZ($A$1,$B13,FO$1)</f>
        <v>7290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880</v>
      </c>
      <c r="D14" s="115" cm="1">
        <f t="array" ref="D14">_xll.EQNXTDZ($A$1,$B14,D$1)</f>
        <v>807.85</v>
      </c>
      <c r="E14" s="115" cm="1">
        <f t="array" ref="E14">_xll.EQNXTDZ($A$1,$B14,E$1)</f>
        <v>775</v>
      </c>
      <c r="F14" s="115" cm="1">
        <f t="array" ref="F14">_xll.EQNXTDZ($A$1,$B14,F$1)</f>
        <v>824.4</v>
      </c>
      <c r="G14" s="115" cm="1">
        <f t="array" ref="G14">_xll.EQNXTDZ($A$1,$B14,G$1)</f>
        <v>832</v>
      </c>
      <c r="H14" s="115" cm="1">
        <f t="array" ref="H14">_xll.EQNXTDZ($A$1,$B14,H$1)</f>
        <v>764.4</v>
      </c>
      <c r="I14" s="115" cm="1">
        <f t="array" ref="I14">_xll.EQNXTDZ($A$1,$B14,I$1)</f>
        <v>734.9</v>
      </c>
      <c r="J14" s="115" cm="1">
        <f t="array" ref="J14">_xll.EQNXTDZ($A$1,$B14,J$1)</f>
        <v>668</v>
      </c>
      <c r="K14" s="115" cm="1">
        <f t="array" ref="K14">_xll.EQNXTDZ($A$1,$B14,K$1)</f>
        <v>630.79999999999995</v>
      </c>
      <c r="L14" s="115" cm="1">
        <f t="array" ref="L14">_xll.EQNXTDZ($A$1,$B14,L$1)</f>
        <v>539.85</v>
      </c>
      <c r="M14" s="115" cm="1">
        <f t="array" ref="M14">_xll.EQNXTDZ($A$1,$B14,M$1)</f>
        <v>399.95</v>
      </c>
      <c r="N14" s="115" cm="1">
        <f t="array" ref="N14">_xll.EQNXTDZ($A$1,$B14,N$1)</f>
        <v>424.9</v>
      </c>
      <c r="O14" s="115" cm="1">
        <f t="array" ref="O14">_xll.EQNXTDZ($A$1,$B14,O$1)</f>
        <v>399.75</v>
      </c>
      <c r="P14" s="115" cm="1">
        <f t="array" ref="P14">_xll.EQNXTDZ($A$1,$B14,P$1)</f>
        <v>337</v>
      </c>
      <c r="Q14" s="115" cm="1">
        <f t="array" ref="Q14">_xll.EQNXTDZ($A$1,$B14,Q$1)</f>
        <v>290</v>
      </c>
      <c r="R14" s="115" cm="1">
        <f t="array" ref="R14">_xll.EQNXTDZ($A$1,$B14,R$1)</f>
        <v>263</v>
      </c>
      <c r="S14" s="115" cm="1">
        <f t="array" ref="S14">_xll.EQNXTDZ($A$1,$B14,S$1)</f>
        <v>262</v>
      </c>
      <c r="T14" s="115" cm="1">
        <f t="array" ref="T14">_xll.EQNXTDZ($A$1,$B14,T$1)</f>
        <v>260.8</v>
      </c>
      <c r="U14" s="115" cm="1">
        <f t="array" ref="U14">_xll.EQNXTDZ($A$1,$B14,U$1)</f>
        <v>320</v>
      </c>
      <c r="V14" s="115" cm="1">
        <f t="array" ref="V14">_xll.EQNXTDZ($A$1,$B14,V$1)</f>
        <v>385.5</v>
      </c>
      <c r="W14" s="115" cm="1">
        <f t="array" ref="W14">_xll.EQNXTDZ($A$1,$B14,W$1)</f>
        <v>466.5</v>
      </c>
      <c r="X14" s="115" cm="1">
        <f t="array" ref="X14">_xll.EQNXTDZ($A$1,$B14,X$1)</f>
        <v>453</v>
      </c>
      <c r="Y14" s="115" cm="1">
        <f t="array" ref="Y14">_xll.EQNXTDZ($A$1,$B14,Y$1)</f>
        <v>598</v>
      </c>
      <c r="Z14" s="115" cm="1">
        <f t="array" ref="Z14">_xll.EQNXTDZ($A$1,$B14,Z$1)</f>
        <v>580</v>
      </c>
      <c r="AA14" s="115" cm="1">
        <f t="array" ref="AA14">_xll.EQNXTDZ($A$1,$B14,AA$1)</f>
        <v>535</v>
      </c>
      <c r="AB14" s="115" cm="1">
        <f t="array" ref="AB14">_xll.EQNXTDZ($A$1,$B14,AB$1)</f>
        <v>593.35</v>
      </c>
      <c r="AC14" s="115" cm="1">
        <f t="array" ref="AC14">_xll.EQNXTDZ($A$1,$B14,AC$1)</f>
        <v>514.79999999999995</v>
      </c>
      <c r="AD14" s="115" cm="1">
        <f t="array" ref="AD14">_xll.EQNXTDZ($A$1,$B14,AD$1)</f>
        <v>510</v>
      </c>
      <c r="AE14" s="115" cm="1">
        <f t="array" ref="AE14">_xll.EQNXTDZ($A$1,$B14,AE$1)</f>
        <v>596.95000000000005</v>
      </c>
      <c r="AF14" s="115" cm="1">
        <f t="array" ref="AF14">_xll.EQNXTDZ($A$1,$B14,AF$1)</f>
        <v>535</v>
      </c>
      <c r="AG14" s="115" cm="1">
        <f t="array" ref="AG14">_xll.EQNXTDZ($A$1,$B14,AG$1)</f>
        <v>508.9</v>
      </c>
      <c r="AH14" s="115" cm="1">
        <f t="array" ref="AH14">_xll.EQNXTDZ($A$1,$B14,AH$1)</f>
        <v>544</v>
      </c>
      <c r="AI14" s="115" cm="1">
        <f t="array" ref="AI14">_xll.EQNXTDZ($A$1,$B14,AI$1)</f>
        <v>500</v>
      </c>
      <c r="AJ14" s="115" cm="1">
        <f t="array" ref="AJ14">_xll.EQNXTDZ($A$1,$B14,AJ$1)</f>
        <v>500</v>
      </c>
      <c r="AK14" s="115" cm="1">
        <f t="array" ref="AK14">_xll.EQNXTDZ($A$1,$B14,AK$1)</f>
        <v>557</v>
      </c>
      <c r="AL14" s="115" cm="1">
        <f t="array" ref="AL14">_xll.EQNXTDZ($A$1,$B14,AL$1)</f>
        <v>454</v>
      </c>
      <c r="AM14" s="115" cm="1">
        <f t="array" ref="AM14">_xll.EQNXTDZ($A$1,$B14,AM$1)</f>
        <v>399</v>
      </c>
      <c r="AN14" s="115" cm="1">
        <f t="array" ref="AN14">_xll.EQNXTDZ($A$1,$B14,AN$1)</f>
        <v>535</v>
      </c>
      <c r="AO14" s="115" cm="1">
        <f t="array" ref="AO14">_xll.EQNXTDZ($A$1,$B14,AO$1)</f>
        <v>549</v>
      </c>
      <c r="AP14" s="115" cm="1">
        <f t="array" ref="AP14">_xll.EQNXTDZ($A$1,$B14,AP$1)</f>
        <v>450</v>
      </c>
      <c r="AQ14" s="115" cm="1">
        <f t="array" ref="AQ14">_xll.EQNXTDZ($A$1,$B14,AQ$1)</f>
        <v>449</v>
      </c>
      <c r="AR14" s="115" cm="1">
        <f t="array" ref="AR14">_xll.EQNXTDZ($A$1,$B14,AR$1)</f>
        <v>407</v>
      </c>
      <c r="AS14" s="115" cm="1">
        <f t="array" ref="AS14">_xll.EQNXTDZ($A$1,$B14,AS$1)</f>
        <v>456</v>
      </c>
      <c r="AT14" s="115" cm="1">
        <f t="array" ref="AT14">_xll.EQNXTDZ($A$1,$B14,AT$1)</f>
        <v>484.9</v>
      </c>
      <c r="AU14" s="115" cm="1">
        <f t="array" ref="AU14">_xll.EQNXTDZ($A$1,$B14,AU$1)</f>
        <v>460</v>
      </c>
      <c r="AV14" s="115" cm="1">
        <f t="array" ref="AV14">_xll.EQNXTDZ($A$1,$B14,AV$1)</f>
        <v>428</v>
      </c>
      <c r="AW14" s="115" cm="1">
        <f t="array" ref="AW14">_xll.EQNXTDZ($A$1,$B14,AW$1)</f>
        <v>484</v>
      </c>
      <c r="AX14" s="115" cm="1">
        <f t="array" ref="AX14">_xll.EQNXTDZ($A$1,$B14,AX$1)</f>
        <v>557</v>
      </c>
      <c r="AY14" s="115" cm="1">
        <f t="array" ref="AY14">_xll.EQNXTDZ($A$1,$B14,AY$1)</f>
        <v>425.8</v>
      </c>
      <c r="AZ14" s="115" cm="1">
        <f t="array" ref="AZ14">_xll.EQNXTDZ($A$1,$B14,AZ$1)</f>
        <v>430</v>
      </c>
      <c r="BA14" s="115" cm="1">
        <f t="array" ref="BA14">_xll.EQNXTDZ($A$1,$B14,BA$1)</f>
        <v>430</v>
      </c>
      <c r="BB14" s="115" cm="1">
        <f t="array" ref="BB14">_xll.EQNXTDZ($A$1,$B14,BB$1)</f>
        <v>409</v>
      </c>
      <c r="BC14" s="115" cm="1">
        <f t="array" ref="BC14">_xll.EQNXTDZ($A$1,$B14,BC$1)</f>
        <v>444.9</v>
      </c>
      <c r="BD14" s="115" cm="1">
        <f t="array" ref="BD14">_xll.EQNXTDZ($A$1,$B14,BD$1)</f>
        <v>454</v>
      </c>
      <c r="BE14" s="115" cm="1">
        <f t="array" ref="BE14">_xll.EQNXTDZ($A$1,$B14,BE$1)</f>
        <v>508</v>
      </c>
      <c r="BF14" s="115" cm="1">
        <f t="array" ref="BF14">_xll.EQNXTDZ($A$1,$B14,BF$1)</f>
        <v>460</v>
      </c>
      <c r="BG14" s="115" cm="1">
        <f t="array" ref="BG14">_xll.EQNXTDZ($A$1,$B14,BG$1)</f>
        <v>699</v>
      </c>
      <c r="BH14" s="115" cm="1">
        <f t="array" ref="BH14">_xll.EQNXTDZ($A$1,$B14,BH$1)</f>
        <v>650</v>
      </c>
      <c r="BI14" s="115" cm="1">
        <f t="array" ref="BI14">_xll.EQNXTDZ($A$1,$B14,BI$1)</f>
        <v>595</v>
      </c>
      <c r="BJ14" s="115" cm="1">
        <f t="array" ref="BJ14">_xll.EQNXTDZ($A$1,$B14,BJ$1)</f>
        <v>601</v>
      </c>
      <c r="BK14" s="115" cm="1">
        <f t="array" ref="BK14">_xll.EQNXTDZ($A$1,$B14,BK$1)</f>
        <v>519</v>
      </c>
      <c r="BL14" s="115" cm="1">
        <f t="array" ref="BL14">_xll.EQNXTDZ($A$1,$B14,BL$1)</f>
        <v>570</v>
      </c>
      <c r="BM14" s="115" cm="1">
        <f t="array" ref="BM14">_xll.EQNXTDZ($A$1,$B14,BM$1)</f>
        <v>693.9</v>
      </c>
      <c r="BN14" s="115" cm="1">
        <f t="array" ref="BN14">_xll.EQNXTDZ($A$1,$B14,BN$1)</f>
        <v>999</v>
      </c>
      <c r="BO14" s="115" cm="1">
        <f t="array" ref="BO14">_xll.EQNXTDZ($A$1,$B14,BO$1)</f>
        <v>1000</v>
      </c>
      <c r="BP14" s="115" cm="1">
        <f t="array" ref="BP14">_xll.EQNXTDZ($A$1,$B14,BP$1)</f>
        <v>1166</v>
      </c>
      <c r="BQ14" s="115" cm="1">
        <f t="array" ref="BQ14">_xll.EQNXTDZ($A$1,$B14,BQ$1)</f>
        <v>1360</v>
      </c>
      <c r="BR14" s="115" cm="1">
        <f t="array" ref="BR14">_xll.EQNXTDZ($A$1,$B14,BR$1)</f>
        <v>1389</v>
      </c>
      <c r="BS14" s="115" cm="1">
        <f t="array" ref="BS14">_xll.EQNXTDZ($A$1,$B14,BS$1)</f>
        <v>1199.9000000000001</v>
      </c>
      <c r="BT14" s="115" cm="1">
        <f t="array" ref="BT14">_xll.EQNXTDZ($A$1,$B14,BT$1)</f>
        <v>1012.5</v>
      </c>
      <c r="BU14" s="115" cm="1">
        <f t="array" ref="BU14">_xll.EQNXTDZ($A$1,$B14,BU$1)</f>
        <v>1019.5</v>
      </c>
      <c r="BV14" s="115" cm="1">
        <f t="array" ref="BV14">_xll.EQNXTDZ($A$1,$B14,BV$1)</f>
        <v>1049</v>
      </c>
      <c r="BW14" s="115" cm="1">
        <f t="array" ref="BW14">_xll.EQNXTDZ($A$1,$B14,BW$1)</f>
        <v>888.95</v>
      </c>
      <c r="BX14" s="115" cm="1">
        <f t="array" ref="BX14">_xll.EQNXTDZ($A$1,$B14,BX$1)</f>
        <v>849</v>
      </c>
      <c r="BY14" s="115" cm="1">
        <f t="array" ref="BY14">_xll.EQNXTDZ($A$1,$B14,BY$1)</f>
        <v>783.95</v>
      </c>
      <c r="BZ14" s="115" cm="1">
        <f t="array" ref="BZ14">_xll.EQNXTDZ($A$1,$B14,BZ$1)</f>
        <v>814.4</v>
      </c>
      <c r="CA14" s="115" cm="1">
        <f t="array" ref="CA14">_xll.EQNXTDZ($A$1,$B14,CA$1)</f>
        <v>798.65</v>
      </c>
      <c r="CB14" s="115" cm="1">
        <f t="array" ref="CB14">_xll.EQNXTDZ($A$1,$B14,CB$1)</f>
        <v>985.95</v>
      </c>
      <c r="CC14" s="115" cm="1">
        <f t="array" ref="CC14">_xll.EQNXTDZ($A$1,$B14,CC$1)</f>
        <v>1035</v>
      </c>
      <c r="CD14" s="115" cm="1">
        <f t="array" ref="CD14">_xll.EQNXTDZ($A$1,$B14,CD$1)</f>
        <v>1074.5</v>
      </c>
      <c r="CE14" s="115" cm="1">
        <f t="array" ref="CE14">_xll.EQNXTDZ($A$1,$B14,CE$1)</f>
        <v>1421.95</v>
      </c>
      <c r="CF14" s="115" cm="1">
        <f t="array" ref="CF14">_xll.EQNXTDZ($A$1,$B14,CF$1)</f>
        <v>1439.75</v>
      </c>
      <c r="CG14" s="115" cm="1">
        <f t="array" ref="CG14">_xll.EQNXTDZ($A$1,$B14,CG$1)</f>
        <v>1369.95</v>
      </c>
      <c r="CH14" s="115" cm="1">
        <f t="array" ref="CH14">_xll.EQNXTDZ($A$1,$B14,CH$1)</f>
        <v>1280</v>
      </c>
      <c r="CI14" s="115" cm="1">
        <f t="array" ref="CI14">_xll.EQNXTDZ($A$1,$B14,CI$1)</f>
        <v>1214</v>
      </c>
      <c r="CJ14" s="115" cm="1">
        <f t="array" ref="CJ14">_xll.EQNXTDZ($A$1,$B14,CJ$1)</f>
        <v>1158.95</v>
      </c>
      <c r="CK14" s="115" cm="1">
        <f t="array" ref="CK14">_xll.EQNXTDZ($A$1,$B14,CK$1)</f>
        <v>960</v>
      </c>
      <c r="CL14" s="115" cm="1">
        <f t="array" ref="CL14">_xll.EQNXTDZ($A$1,$B14,CL$1)</f>
        <v>996</v>
      </c>
      <c r="CM14" s="115" cm="1">
        <f t="array" ref="CM14">_xll.EQNXTDZ($A$1,$B14,CM$1)</f>
        <v>959</v>
      </c>
      <c r="CN14" s="115" cm="1">
        <f t="array" ref="CN14">_xll.EQNXTDZ($A$1,$B14,CN$1)</f>
        <v>960</v>
      </c>
      <c r="CO14" s="115" cm="1">
        <f t="array" ref="CO14">_xll.EQNXTDZ($A$1,$B14,CO$1)</f>
        <v>995</v>
      </c>
      <c r="CP14" s="115" cm="1">
        <f t="array" ref="CP14">_xll.EQNXTDZ($A$1,$B14,CP$1)</f>
        <v>1050</v>
      </c>
      <c r="CQ14" s="115" cm="1">
        <f t="array" ref="CQ14">_xll.EQNXTDZ($A$1,$B14,CQ$1)</f>
        <v>969.5</v>
      </c>
      <c r="CR14" s="115" cm="1">
        <f t="array" ref="CR14">_xll.EQNXTDZ($A$1,$B14,CR$1)</f>
        <v>724</v>
      </c>
      <c r="CS14" s="115" cm="1">
        <f t="array" ref="CS14">_xll.EQNXTDZ($A$1,$B14,CS$1)</f>
        <v>600</v>
      </c>
      <c r="CT14" s="115" cm="1">
        <f t="array" ref="CT14">_xll.EQNXTDZ($A$1,$B14,CT$1)</f>
        <v>520</v>
      </c>
      <c r="CU14" s="115" cm="1">
        <f t="array" ref="CU14">_xll.EQNXTDZ($A$1,$B14,CU$1)</f>
        <v>570</v>
      </c>
      <c r="CV14" s="115" cm="1">
        <f t="array" ref="CV14">_xll.EQNXTDZ($A$1,$B14,CV$1)</f>
        <v>580</v>
      </c>
      <c r="CW14" s="115" cm="1">
        <f t="array" ref="CW14">_xll.EQNXTDZ($A$1,$B14,CW$1)</f>
        <v>837.95</v>
      </c>
      <c r="CX14" s="115" cm="1">
        <f t="array" ref="CX14">_xll.EQNXTDZ($A$1,$B14,CX$1)</f>
        <v>877</v>
      </c>
      <c r="CY14" s="115" cm="1">
        <f t="array" ref="CY14">_xll.EQNXTDZ($A$1,$B14,CY$1)</f>
        <v>880</v>
      </c>
      <c r="CZ14" s="115" cm="1">
        <f t="array" ref="CZ14">_xll.EQNXTDZ($A$1,$B14,CZ$1)</f>
        <v>841</v>
      </c>
      <c r="DA14" s="115" cm="1">
        <f t="array" ref="DA14">_xll.EQNXTDZ($A$1,$B14,DA$1)</f>
        <v>813</v>
      </c>
      <c r="DB14" s="115" cm="1">
        <f t="array" ref="DB14">_xll.EQNXTDZ($A$1,$B14,DB$1)</f>
        <v>859.95</v>
      </c>
      <c r="DC14" s="115" cm="1">
        <f t="array" ref="DC14">_xll.EQNXTDZ($A$1,$B14,DC$1)</f>
        <v>857.95</v>
      </c>
      <c r="DD14" s="115" cm="1">
        <f t="array" ref="DD14">_xll.EQNXTDZ($A$1,$B14,DD$1)</f>
        <v>862</v>
      </c>
      <c r="DE14" s="115" cm="1">
        <f t="array" ref="DE14">_xll.EQNXTDZ($A$1,$B14,DE$1)</f>
        <v>875</v>
      </c>
      <c r="DF14" s="115" cm="1">
        <f t="array" ref="DF14">_xll.EQNXTDZ($A$1,$B14,DF$1)</f>
        <v>990</v>
      </c>
      <c r="DG14" s="115" cm="1">
        <f t="array" ref="DG14">_xll.EQNXTDZ($A$1,$B14,DG$1)</f>
        <v>965</v>
      </c>
      <c r="DH14" s="115" cm="1">
        <f t="array" ref="DH14">_xll.EQNXTDZ($A$1,$B14,DH$1)</f>
        <v>960</v>
      </c>
      <c r="DI14" s="115" cm="1">
        <f t="array" ref="DI14">_xll.EQNXTDZ($A$1,$B14,DI$1)</f>
        <v>1160</v>
      </c>
      <c r="DJ14" s="115" cm="1">
        <f t="array" ref="DJ14">_xll.EQNXTDZ($A$1,$B14,DJ$1)</f>
        <v>1043</v>
      </c>
      <c r="DK14" s="115" cm="1">
        <f t="array" ref="DK14">_xll.EQNXTDZ($A$1,$B14,DK$1)</f>
        <v>1015</v>
      </c>
      <c r="DL14" s="115" cm="1">
        <f t="array" ref="DL14">_xll.EQNXTDZ($A$1,$B14,DL$1)</f>
        <v>1055.5</v>
      </c>
      <c r="DM14" s="115" cm="1">
        <f t="array" ref="DM14">_xll.EQNXTDZ($A$1,$B14,DM$1)</f>
        <v>1472.95</v>
      </c>
      <c r="DN14" s="115" cm="1">
        <f t="array" ref="DN14">_xll.EQNXTDZ($A$1,$B14,DN$1)</f>
        <v>1525</v>
      </c>
      <c r="DO14" s="115" cm="1">
        <f t="array" ref="DO14">_xll.EQNXTDZ($A$1,$B14,DO$1)</f>
        <v>1750</v>
      </c>
      <c r="DP14" s="115" cm="1">
        <f t="array" ref="DP14">_xll.EQNXTDZ($A$1,$B14,DP$1)</f>
        <v>1749.9</v>
      </c>
      <c r="DQ14" s="115" cm="1">
        <f t="array" ref="DQ14">_xll.EQNXTDZ($A$1,$B14,DQ$1)</f>
        <v>1835</v>
      </c>
      <c r="DR14" s="115" cm="1">
        <f t="array" ref="DR14">_xll.EQNXTDZ($A$1,$B14,DR$1)</f>
        <v>1674</v>
      </c>
      <c r="DS14" s="115" cm="1">
        <f t="array" ref="DS14">_xll.EQNXTDZ($A$1,$B14,DS$1)</f>
        <v>1305</v>
      </c>
      <c r="DT14" s="115" cm="1">
        <f t="array" ref="DT14">_xll.EQNXTDZ($A$1,$B14,DT$1)</f>
        <v>1239.8</v>
      </c>
      <c r="DU14" s="115" cm="1">
        <f t="array" ref="DU14">_xll.EQNXTDZ($A$1,$B14,DU$1)</f>
        <v>1308</v>
      </c>
      <c r="DV14" s="115" cm="1">
        <f t="array" ref="DV14">_xll.EQNXTDZ($A$1,$B14,DV$1)</f>
        <v>1438</v>
      </c>
      <c r="DW14" s="115" cm="1">
        <f t="array" ref="DW14">_xll.EQNXTDZ($A$1,$B14,DW$1)</f>
        <v>1300</v>
      </c>
      <c r="DX14" s="115" cm="1">
        <f t="array" ref="DX14">_xll.EQNXTDZ($A$1,$B14,DX$1)</f>
        <v>1356</v>
      </c>
      <c r="DY14" s="115" cm="1">
        <f t="array" ref="DY14">_xll.EQNXTDZ($A$1,$B14,DY$1)</f>
        <v>1375.9</v>
      </c>
      <c r="DZ14" s="115" cm="1">
        <f t="array" ref="DZ14">_xll.EQNXTDZ($A$1,$B14,DZ$1)</f>
        <v>1512</v>
      </c>
      <c r="EA14" s="115" cm="1">
        <f t="array" ref="EA14">_xll.EQNXTDZ($A$1,$B14,EA$1)</f>
        <v>1615</v>
      </c>
      <c r="EB14" s="115" cm="1">
        <f t="array" ref="EB14">_xll.EQNXTDZ($A$1,$B14,EB$1)</f>
        <v>1520</v>
      </c>
      <c r="EC14" s="115" cm="1">
        <f t="array" ref="EC14">_xll.EQNXTDZ($A$1,$B14,EC$1)</f>
        <v>1530</v>
      </c>
      <c r="ED14" s="115" cm="1">
        <f t="array" ref="ED14">_xll.EQNXTDZ($A$1,$B14,ED$1)</f>
        <v>2325</v>
      </c>
      <c r="EE14" s="115" cm="1">
        <f t="array" ref="EE14">_xll.EQNXTDZ($A$1,$B14,EE$1)</f>
        <v>3009</v>
      </c>
      <c r="EF14" s="115" cm="1">
        <f t="array" ref="EF14">_xll.EQNXTDZ($A$1,$B14,EF$1)</f>
        <v>3005</v>
      </c>
      <c r="EG14" s="115" cm="1">
        <f t="array" ref="EG14">_xll.EQNXTDZ($A$1,$B14,EG$1)</f>
        <v>3030</v>
      </c>
      <c r="EH14" s="115" cm="1">
        <f t="array" ref="EH14">_xll.EQNXTDZ($A$1,$B14,EH$1)</f>
        <v>2989.8</v>
      </c>
      <c r="EI14" s="115" cm="1">
        <f t="array" ref="EI14">_xll.EQNXTDZ($A$1,$B14,EI$1)</f>
        <v>3290</v>
      </c>
      <c r="EJ14" s="115" cm="1">
        <f t="array" ref="EJ14">_xll.EQNXTDZ($A$1,$B14,EJ$1)</f>
        <v>3250</v>
      </c>
      <c r="EK14" s="115" cm="1">
        <f t="array" ref="EK14">_xll.EQNXTDZ($A$1,$B14,EK$1)</f>
        <v>3275</v>
      </c>
      <c r="EL14" s="115" cm="1">
        <f t="array" ref="EL14">_xll.EQNXTDZ($A$1,$B14,EL$1)</f>
        <v>3659</v>
      </c>
      <c r="EM14" s="115" cm="1">
        <f t="array" ref="EM14">_xll.EQNXTDZ($A$1,$B14,EM$1)</f>
        <v>3570</v>
      </c>
      <c r="EN14" s="115" cm="1">
        <f t="array" ref="EN14">_xll.EQNXTDZ($A$1,$B14,EN$1)</f>
        <v>3510</v>
      </c>
      <c r="EO14" s="115" cm="1">
        <f t="array" ref="EO14">_xll.EQNXTDZ($A$1,$B14,EO$1)</f>
        <v>3759.6</v>
      </c>
      <c r="EP14" s="115" cm="1">
        <f t="array" ref="EP14">_xll.EQNXTDZ($A$1,$B14,EP$1)</f>
        <v>4064</v>
      </c>
      <c r="EQ14" s="115" cm="1">
        <f t="array" ref="EQ14">_xll.EQNXTDZ($A$1,$B14,EQ$1)</f>
        <v>6443</v>
      </c>
      <c r="ER14" s="115" cm="1">
        <f t="array" ref="ER14">_xll.EQNXTDZ($A$1,$B14,ER$1)</f>
        <v>6399</v>
      </c>
      <c r="ES14" s="115" cm="1">
        <f t="array" ref="ES14">_xll.EQNXTDZ($A$1,$B14,ES$1)</f>
        <v>5624</v>
      </c>
      <c r="ET14" s="115" cm="1">
        <f t="array" ref="ET14">_xll.EQNXTDZ($A$1,$B14,ET$1)</f>
        <v>6300</v>
      </c>
      <c r="EU14" s="115" cm="1">
        <f t="array" ref="EU14">_xll.EQNXTDZ($A$1,$B14,EU$1)</f>
        <v>6100</v>
      </c>
      <c r="EV14" s="115" cm="1">
        <f t="array" ref="EV14">_xll.EQNXTDZ($A$1,$B14,EV$1)</f>
        <v>5438.9</v>
      </c>
      <c r="EW14" s="115" cm="1">
        <f t="array" ref="EW14">_xll.EQNXTDZ($A$1,$B14,EW$1)</f>
        <v>5039</v>
      </c>
      <c r="EX14" s="115" cm="1">
        <f t="array" ref="EX14">_xll.EQNXTDZ($A$1,$B14,EX$1)</f>
        <v>4376</v>
      </c>
      <c r="EY14" s="115" cm="1">
        <f t="array" ref="EY14">_xll.EQNXTDZ($A$1,$B14,EY$1)</f>
        <v>3758</v>
      </c>
      <c r="EZ14" s="115" cm="1">
        <f t="array" ref="EZ14">_xll.EQNXTDZ($A$1,$B14,EZ$1)</f>
        <v>3280.05</v>
      </c>
      <c r="FA14" s="115" cm="1">
        <f t="array" ref="FA14">_xll.EQNXTDZ($A$1,$B14,FA$1)</f>
        <v>3110.05</v>
      </c>
      <c r="FB14" s="115" cm="1">
        <f t="array" ref="FB14">_xll.EQNXTDZ($A$1,$B14,FB$1)</f>
        <v>3727</v>
      </c>
      <c r="FC14" s="115" cm="1">
        <f t="array" ref="FC14">_xll.EQNXTDZ($A$1,$B14,FC$1)</f>
        <v>3990</v>
      </c>
      <c r="FD14" s="115" cm="1">
        <f t="array" ref="FD14">_xll.EQNXTDZ($A$1,$B14,FD$1)</f>
        <v>5319.9</v>
      </c>
      <c r="FE14" s="115" cm="1">
        <f t="array" ref="FE14">_xll.EQNXTDZ($A$1,$B14,FE$1)</f>
        <v>4795</v>
      </c>
      <c r="FF14" s="115" cm="1">
        <f t="array" ref="FF14">_xll.EQNXTDZ($A$1,$B14,FF$1)</f>
        <v>6385.85</v>
      </c>
      <c r="FG14" s="115" cm="1">
        <f t="array" ref="FG14">_xll.EQNXTDZ($A$1,$B14,FG$1)</f>
        <v>6660</v>
      </c>
      <c r="FH14" s="115" cm="1">
        <f t="array" ref="FH14">_xll.EQNXTDZ($A$1,$B14,FH$1)</f>
        <v>5944</v>
      </c>
      <c r="FI14" s="115" cm="1">
        <f t="array" ref="FI14">_xll.EQNXTDZ($A$1,$B14,FI$1)</f>
        <v>5612</v>
      </c>
      <c r="FJ14" s="115" cm="1">
        <f t="array" ref="FJ14">_xll.EQNXTDZ($A$1,$B14,FJ$1)</f>
        <v>5940</v>
      </c>
      <c r="FK14" s="115" cm="1">
        <f t="array" ref="FK14">_xll.EQNXTDZ($A$1,$B14,FK$1)</f>
        <v>5240</v>
      </c>
      <c r="FL14" s="115" cm="1">
        <f t="array" ref="FL14">_xll.EQNXTDZ($A$1,$B14,FL$1)</f>
        <v>4994.95</v>
      </c>
      <c r="FM14" s="115" cm="1">
        <f t="array" ref="FM14">_xll.EQNXTDZ($A$1,$B14,FM$1)</f>
        <v>5408.95</v>
      </c>
      <c r="FN14" s="115" cm="1">
        <f t="array" ref="FN14">_xll.EQNXTDZ($A$1,$B14,FN$1)</f>
        <v>7404</v>
      </c>
      <c r="FO14" s="115" cm="1">
        <f t="array" ref="FO14">_xll.EQNXTDZ($A$1,$B14,FO$1)</f>
        <v>10846.15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824.4</v>
      </c>
      <c r="HQ14" s="115">
        <f>+MAX(G14:I14)</f>
        <v>832</v>
      </c>
      <c r="HR14" s="115">
        <f>+MAX(J14:L14)</f>
        <v>668</v>
      </c>
      <c r="HS14" s="115">
        <f>+MAX(M14:O14)</f>
        <v>424.9</v>
      </c>
      <c r="HT14" s="115">
        <f>+MAX(P14:R14)</f>
        <v>337</v>
      </c>
      <c r="HU14" s="115">
        <f>+MAX(S14:U14)</f>
        <v>320</v>
      </c>
      <c r="HV14" s="115">
        <f>+MAX(V14:X14)</f>
        <v>466.5</v>
      </c>
      <c r="HW14" s="115">
        <f>+MAX(Y14:AA14)</f>
        <v>598</v>
      </c>
      <c r="HX14" s="115">
        <f>+MAX(AB14:AD14)</f>
        <v>593.35</v>
      </c>
      <c r="HY14" s="115">
        <f>+MAX(AE14:AG14)</f>
        <v>596.95000000000005</v>
      </c>
      <c r="HZ14" s="115">
        <f>+MAX(AH14:AJ14)</f>
        <v>544</v>
      </c>
      <c r="IA14" s="115">
        <f>+MAX(AK14:AM14)</f>
        <v>557</v>
      </c>
      <c r="IB14" s="115">
        <f>+MAX(AN14:AP14)</f>
        <v>549</v>
      </c>
      <c r="IC14" s="115">
        <f>+MAX(AQ14:AS14)</f>
        <v>456</v>
      </c>
      <c r="ID14" s="115">
        <f>+MAX(AT14:AV14)</f>
        <v>484.9</v>
      </c>
      <c r="IE14" s="115">
        <f>+MAX(AW14:AY14)</f>
        <v>557</v>
      </c>
      <c r="IF14" s="115">
        <f>+MAX(AZ14:BB14)</f>
        <v>430</v>
      </c>
      <c r="IG14" s="115">
        <f>+MAX(BC14:BE14)</f>
        <v>508</v>
      </c>
      <c r="IH14" s="115">
        <f>+MAX(BF14:BH14)</f>
        <v>699</v>
      </c>
      <c r="II14" s="115">
        <f>+MAX(BI14:BK14)</f>
        <v>601</v>
      </c>
      <c r="IJ14" s="115">
        <f>+MAX(BL14:BN14)</f>
        <v>999</v>
      </c>
      <c r="IK14" s="115">
        <f>+MAX(BO14:BQ14)</f>
        <v>1360</v>
      </c>
      <c r="IL14" s="115">
        <f>+MAX(BR14:BT14)</f>
        <v>1389</v>
      </c>
      <c r="IM14" s="115">
        <f>+MAX(BU14:BW14)</f>
        <v>1049</v>
      </c>
      <c r="IN14" s="115">
        <f>+MAX(BX14:BZ14)</f>
        <v>849</v>
      </c>
      <c r="IO14" s="115">
        <f>+MAX(CA14:CC14)</f>
        <v>1035</v>
      </c>
      <c r="IP14" s="115">
        <f>+MAX(CD14:CF14)</f>
        <v>1439.75</v>
      </c>
      <c r="IQ14" s="115">
        <f>+MAX(CG14:CI14)</f>
        <v>1369.95</v>
      </c>
      <c r="IR14" s="115">
        <f>+MAX(CJ14:CL14)</f>
        <v>1158.95</v>
      </c>
      <c r="IS14" s="115">
        <f>+MAX(CM14:CO14)</f>
        <v>995</v>
      </c>
      <c r="IT14" s="115">
        <f>+MAX(CP14:CR14)</f>
        <v>1050</v>
      </c>
      <c r="IU14" s="115">
        <f>+MAX(CS14:CU14)</f>
        <v>600</v>
      </c>
      <c r="IV14" s="115">
        <f>+MAX(CV14:CX14)</f>
        <v>877</v>
      </c>
      <c r="IW14" s="115">
        <f>+MAX(CY14:DA14)</f>
        <v>880</v>
      </c>
      <c r="IX14" s="115">
        <f>+MAX(DB14:DD14)</f>
        <v>862</v>
      </c>
      <c r="IY14" s="115">
        <f>+MAX(DE14:DG14)</f>
        <v>990</v>
      </c>
      <c r="IZ14" s="115">
        <f>+MAX(DH14:DJ14)</f>
        <v>1160</v>
      </c>
      <c r="JA14" s="115">
        <f>+MAX(DK14:DM14)</f>
        <v>1472.95</v>
      </c>
      <c r="JB14" s="115">
        <f>+MAX(DN14:DP14)</f>
        <v>1750</v>
      </c>
      <c r="JC14" s="115">
        <f>+MAX(DQ14:DS14)</f>
        <v>1835</v>
      </c>
      <c r="JD14" s="115">
        <f>+MAX(DT14:DV14)</f>
        <v>1438</v>
      </c>
      <c r="JE14" s="115">
        <f>+MAX(DW14:DY14)</f>
        <v>1375.9</v>
      </c>
      <c r="JF14" s="115">
        <f>+MAX(DZ14:EB14)</f>
        <v>1615</v>
      </c>
      <c r="JG14" s="115">
        <f>+MAX(EC14:EE14)</f>
        <v>3009</v>
      </c>
      <c r="JH14" s="115">
        <f>+MAX(EF14:EH14)</f>
        <v>3030</v>
      </c>
      <c r="JI14" s="115">
        <f>+MAX(EI14:EK14)</f>
        <v>3290</v>
      </c>
      <c r="JJ14" s="115">
        <f>+MAX(EL14:EN14)</f>
        <v>3659</v>
      </c>
      <c r="JK14" s="115">
        <f>MAX(EO14:EQ14)</f>
        <v>6443</v>
      </c>
      <c r="JL14" s="115">
        <f>MAX(ER14:ET14)</f>
        <v>6399</v>
      </c>
      <c r="JM14" s="115">
        <f>MAX(EU14:EW14)</f>
        <v>6100</v>
      </c>
      <c r="JN14" s="115">
        <f>MAX(EX14:EZ14)</f>
        <v>4376</v>
      </c>
      <c r="JO14" s="115">
        <f>MAX(FA14:FC14)</f>
        <v>3990</v>
      </c>
      <c r="JP14" s="115">
        <f>MAX(FD14:FF14)</f>
        <v>6385.85</v>
      </c>
      <c r="JQ14" s="115">
        <f>MAX(FG14:FI14)</f>
        <v>6660</v>
      </c>
      <c r="JR14" s="115">
        <f>MAX(FJ14:FL14)</f>
        <v>5940</v>
      </c>
      <c r="JS14" s="115">
        <f>MAX(FM14:FO14)</f>
        <v>10846.15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626</v>
      </c>
      <c r="D15" s="115" cm="1">
        <f t="array" ref="D15">_xll.EQNXTDZ($A$1,$B15,D$1)</f>
        <v>702</v>
      </c>
      <c r="E15" s="115" cm="1">
        <f t="array" ref="E15">_xll.EQNXTDZ($A$1,$B15,E$1)</f>
        <v>680</v>
      </c>
      <c r="F15" s="115" cm="1">
        <f t="array" ref="F15">_xll.EQNXTDZ($A$1,$B15,F$1)</f>
        <v>651</v>
      </c>
      <c r="G15" s="115" cm="1">
        <f t="array" ref="G15">_xll.EQNXTDZ($A$1,$B15,G$1)</f>
        <v>680</v>
      </c>
      <c r="H15" s="115" cm="1">
        <f t="array" ref="H15">_xll.EQNXTDZ($A$1,$B15,H$1)</f>
        <v>644</v>
      </c>
      <c r="I15" s="115" cm="1">
        <f t="array" ref="I15">_xll.EQNXTDZ($A$1,$B15,I$1)</f>
        <v>640</v>
      </c>
      <c r="J15" s="115" cm="1">
        <f t="array" ref="J15">_xll.EQNXTDZ($A$1,$B15,J$1)</f>
        <v>602</v>
      </c>
      <c r="K15" s="115" cm="1">
        <f t="array" ref="K15">_xll.EQNXTDZ($A$1,$B15,K$1)</f>
        <v>451</v>
      </c>
      <c r="L15" s="115" cm="1">
        <f t="array" ref="L15">_xll.EQNXTDZ($A$1,$B15,L$1)</f>
        <v>361.1</v>
      </c>
      <c r="M15" s="115" cm="1">
        <f t="array" ref="M15">_xll.EQNXTDZ($A$1,$B15,M$1)</f>
        <v>331</v>
      </c>
      <c r="N15" s="115" cm="1">
        <f t="array" ref="N15">_xll.EQNXTDZ($A$1,$B15,N$1)</f>
        <v>350</v>
      </c>
      <c r="O15" s="115" cm="1">
        <f t="array" ref="O15">_xll.EQNXTDZ($A$1,$B15,O$1)</f>
        <v>318.25</v>
      </c>
      <c r="P15" s="115" cm="1">
        <f t="array" ref="P15">_xll.EQNXTDZ($A$1,$B15,P$1)</f>
        <v>290</v>
      </c>
      <c r="Q15" s="115" cm="1">
        <f t="array" ref="Q15">_xll.EQNXTDZ($A$1,$B15,Q$1)</f>
        <v>221</v>
      </c>
      <c r="R15" s="115" cm="1">
        <f t="array" ref="R15">_xll.EQNXTDZ($A$1,$B15,R$1)</f>
        <v>207.2</v>
      </c>
      <c r="S15" s="115" cm="1">
        <f t="array" ref="S15">_xll.EQNXTDZ($A$1,$B15,S$1)</f>
        <v>232</v>
      </c>
      <c r="T15" s="115" cm="1">
        <f t="array" ref="T15">_xll.EQNXTDZ($A$1,$B15,T$1)</f>
        <v>231</v>
      </c>
      <c r="U15" s="115" cm="1">
        <f t="array" ref="U15">_xll.EQNXTDZ($A$1,$B15,U$1)</f>
        <v>247.5</v>
      </c>
      <c r="V15" s="115" cm="1">
        <f t="array" ref="V15">_xll.EQNXTDZ($A$1,$B15,V$1)</f>
        <v>305.5</v>
      </c>
      <c r="W15" s="115" cm="1">
        <f t="array" ref="W15">_xll.EQNXTDZ($A$1,$B15,W$1)</f>
        <v>339.05</v>
      </c>
      <c r="X15" s="115" cm="1">
        <f t="array" ref="X15">_xll.EQNXTDZ($A$1,$B15,X$1)</f>
        <v>385</v>
      </c>
      <c r="Y15" s="115" cm="1">
        <f t="array" ref="Y15">_xll.EQNXTDZ($A$1,$B15,Y$1)</f>
        <v>451.25</v>
      </c>
      <c r="Z15" s="115" cm="1">
        <f t="array" ref="Z15">_xll.EQNXTDZ($A$1,$B15,Z$1)</f>
        <v>451</v>
      </c>
      <c r="AA15" s="115" cm="1">
        <f t="array" ref="AA15">_xll.EQNXTDZ($A$1,$B15,AA$1)</f>
        <v>460.1</v>
      </c>
      <c r="AB15" s="115" cm="1">
        <f t="array" ref="AB15">_xll.EQNXTDZ($A$1,$B15,AB$1)</f>
        <v>475.5</v>
      </c>
      <c r="AC15" s="115" cm="1">
        <f t="array" ref="AC15">_xll.EQNXTDZ($A$1,$B15,AC$1)</f>
        <v>405.05</v>
      </c>
      <c r="AD15" s="115" cm="1">
        <f t="array" ref="AD15">_xll.EQNXTDZ($A$1,$B15,AD$1)</f>
        <v>400.05</v>
      </c>
      <c r="AE15" s="115" cm="1">
        <f t="array" ref="AE15">_xll.EQNXTDZ($A$1,$B15,AE$1)</f>
        <v>440</v>
      </c>
      <c r="AF15" s="115" cm="1">
        <f t="array" ref="AF15">_xll.EQNXTDZ($A$1,$B15,AF$1)</f>
        <v>435.25</v>
      </c>
      <c r="AG15" s="115" cm="1">
        <f t="array" ref="AG15">_xll.EQNXTDZ($A$1,$B15,AG$1)</f>
        <v>420</v>
      </c>
      <c r="AH15" s="115" cm="1">
        <f t="array" ref="AH15">_xll.EQNXTDZ($A$1,$B15,AH$1)</f>
        <v>475</v>
      </c>
      <c r="AI15" s="115" cm="1">
        <f t="array" ref="AI15">_xll.EQNXTDZ($A$1,$B15,AI$1)</f>
        <v>365</v>
      </c>
      <c r="AJ15" s="115" cm="1">
        <f t="array" ref="AJ15">_xll.EQNXTDZ($A$1,$B15,AJ$1)</f>
        <v>340.2</v>
      </c>
      <c r="AK15" s="115" cm="1">
        <f t="array" ref="AK15">_xll.EQNXTDZ($A$1,$B15,AK$1)</f>
        <v>340</v>
      </c>
      <c r="AL15" s="115" cm="1">
        <f t="array" ref="AL15">_xll.EQNXTDZ($A$1,$B15,AL$1)</f>
        <v>360.1</v>
      </c>
      <c r="AM15" s="115" cm="1">
        <f t="array" ref="AM15">_xll.EQNXTDZ($A$1,$B15,AM$1)</f>
        <v>355</v>
      </c>
      <c r="AN15" s="115" cm="1">
        <f t="array" ref="AN15">_xll.EQNXTDZ($A$1,$B15,AN$1)</f>
        <v>392</v>
      </c>
      <c r="AO15" s="115" cm="1">
        <f t="array" ref="AO15">_xll.EQNXTDZ($A$1,$B15,AO$1)</f>
        <v>415</v>
      </c>
      <c r="AP15" s="115" cm="1">
        <f t="array" ref="AP15">_xll.EQNXTDZ($A$1,$B15,AP$1)</f>
        <v>385</v>
      </c>
      <c r="AQ15" s="115" cm="1">
        <f t="array" ref="AQ15">_xll.EQNXTDZ($A$1,$B15,AQ$1)</f>
        <v>395</v>
      </c>
      <c r="AR15" s="115" cm="1">
        <f t="array" ref="AR15">_xll.EQNXTDZ($A$1,$B15,AR$1)</f>
        <v>340</v>
      </c>
      <c r="AS15" s="115" cm="1">
        <f t="array" ref="AS15">_xll.EQNXTDZ($A$1,$B15,AS$1)</f>
        <v>370</v>
      </c>
      <c r="AT15" s="115" cm="1">
        <f t="array" ref="AT15">_xll.EQNXTDZ($A$1,$B15,AT$1)</f>
        <v>345.2</v>
      </c>
      <c r="AU15" s="115" cm="1">
        <f t="array" ref="AU15">_xll.EQNXTDZ($A$1,$B15,AU$1)</f>
        <v>353.1</v>
      </c>
      <c r="AV15" s="115" cm="1">
        <f t="array" ref="AV15">_xll.EQNXTDZ($A$1,$B15,AV$1)</f>
        <v>370</v>
      </c>
      <c r="AW15" s="115" cm="1">
        <f t="array" ref="AW15">_xll.EQNXTDZ($A$1,$B15,AW$1)</f>
        <v>401.5</v>
      </c>
      <c r="AX15" s="115" cm="1">
        <f t="array" ref="AX15">_xll.EQNXTDZ($A$1,$B15,AX$1)</f>
        <v>370</v>
      </c>
      <c r="AY15" s="115" cm="1">
        <f t="array" ref="AY15">_xll.EQNXTDZ($A$1,$B15,AY$1)</f>
        <v>380</v>
      </c>
      <c r="AZ15" s="115" cm="1">
        <f t="array" ref="AZ15">_xll.EQNXTDZ($A$1,$B15,AZ$1)</f>
        <v>352</v>
      </c>
      <c r="BA15" s="115" cm="1">
        <f t="array" ref="BA15">_xll.EQNXTDZ($A$1,$B15,BA$1)</f>
        <v>360</v>
      </c>
      <c r="BB15" s="115" cm="1">
        <f t="array" ref="BB15">_xll.EQNXTDZ($A$1,$B15,BB$1)</f>
        <v>365</v>
      </c>
      <c r="BC15" s="115" cm="1">
        <f t="array" ref="BC15">_xll.EQNXTDZ($A$1,$B15,BC$1)</f>
        <v>368.45</v>
      </c>
      <c r="BD15" s="115" cm="1">
        <f t="array" ref="BD15">_xll.EQNXTDZ($A$1,$B15,BD$1)</f>
        <v>354</v>
      </c>
      <c r="BE15" s="115" cm="1">
        <f t="array" ref="BE15">_xll.EQNXTDZ($A$1,$B15,BE$1)</f>
        <v>383</v>
      </c>
      <c r="BF15" s="115" cm="1">
        <f t="array" ref="BF15">_xll.EQNXTDZ($A$1,$B15,BF$1)</f>
        <v>416.55</v>
      </c>
      <c r="BG15" s="115" cm="1">
        <f t="array" ref="BG15">_xll.EQNXTDZ($A$1,$B15,BG$1)</f>
        <v>408.5</v>
      </c>
      <c r="BH15" s="115" cm="1">
        <f t="array" ref="BH15">_xll.EQNXTDZ($A$1,$B15,BH$1)</f>
        <v>568.04999999999995</v>
      </c>
      <c r="BI15" s="115" cm="1">
        <f t="array" ref="BI15">_xll.EQNXTDZ($A$1,$B15,BI$1)</f>
        <v>557</v>
      </c>
      <c r="BJ15" s="115" cm="1">
        <f t="array" ref="BJ15">_xll.EQNXTDZ($A$1,$B15,BJ$1)</f>
        <v>545.4</v>
      </c>
      <c r="BK15" s="115" cm="1">
        <f t="array" ref="BK15">_xll.EQNXTDZ($A$1,$B15,BK$1)</f>
        <v>470.1</v>
      </c>
      <c r="BL15" s="115" cm="1">
        <f t="array" ref="BL15">_xll.EQNXTDZ($A$1,$B15,BL$1)</f>
        <v>484.6</v>
      </c>
      <c r="BM15" s="115" cm="1">
        <f t="array" ref="BM15">_xll.EQNXTDZ($A$1,$B15,BM$1)</f>
        <v>516.5</v>
      </c>
      <c r="BN15" s="115" cm="1">
        <f t="array" ref="BN15">_xll.EQNXTDZ($A$1,$B15,BN$1)</f>
        <v>635</v>
      </c>
      <c r="BO15" s="115" cm="1">
        <f t="array" ref="BO15">_xll.EQNXTDZ($A$1,$B15,BO$1)</f>
        <v>770</v>
      </c>
      <c r="BP15" s="115" cm="1">
        <f t="array" ref="BP15">_xll.EQNXTDZ($A$1,$B15,BP$1)</f>
        <v>800.05</v>
      </c>
      <c r="BQ15" s="115" cm="1">
        <f t="array" ref="BQ15">_xll.EQNXTDZ($A$1,$B15,BQ$1)</f>
        <v>892</v>
      </c>
      <c r="BR15" s="115" cm="1">
        <f t="array" ref="BR15">_xll.EQNXTDZ($A$1,$B15,BR$1)</f>
        <v>1125.05</v>
      </c>
      <c r="BS15" s="115" cm="1">
        <f t="array" ref="BS15">_xll.EQNXTDZ($A$1,$B15,BS$1)</f>
        <v>889</v>
      </c>
      <c r="BT15" s="115" cm="1">
        <f t="array" ref="BT15">_xll.EQNXTDZ($A$1,$B15,BT$1)</f>
        <v>830</v>
      </c>
      <c r="BU15" s="115" cm="1">
        <f t="array" ref="BU15">_xll.EQNXTDZ($A$1,$B15,BU$1)</f>
        <v>865.3</v>
      </c>
      <c r="BV15" s="115" cm="1">
        <f t="array" ref="BV15">_xll.EQNXTDZ($A$1,$B15,BV$1)</f>
        <v>837</v>
      </c>
      <c r="BW15" s="115" cm="1">
        <f t="array" ref="BW15">_xll.EQNXTDZ($A$1,$B15,BW$1)</f>
        <v>751</v>
      </c>
      <c r="BX15" s="115" cm="1">
        <f t="array" ref="BX15">_xll.EQNXTDZ($A$1,$B15,BX$1)</f>
        <v>697</v>
      </c>
      <c r="BY15" s="115" cm="1">
        <f t="array" ref="BY15">_xll.EQNXTDZ($A$1,$B15,BY$1)</f>
        <v>715</v>
      </c>
      <c r="BZ15" s="115" cm="1">
        <f t="array" ref="BZ15">_xll.EQNXTDZ($A$1,$B15,BZ$1)</f>
        <v>650</v>
      </c>
      <c r="CA15" s="115" cm="1">
        <f t="array" ref="CA15">_xll.EQNXTDZ($A$1,$B15,CA$1)</f>
        <v>627.1</v>
      </c>
      <c r="CB15" s="115" cm="1">
        <f t="array" ref="CB15">_xll.EQNXTDZ($A$1,$B15,CB$1)</f>
        <v>801.5</v>
      </c>
      <c r="CC15" s="115" cm="1">
        <f t="array" ref="CC15">_xll.EQNXTDZ($A$1,$B15,CC$1)</f>
        <v>824</v>
      </c>
      <c r="CD15" s="115" cm="1">
        <f t="array" ref="CD15">_xll.EQNXTDZ($A$1,$B15,CD$1)</f>
        <v>970</v>
      </c>
      <c r="CE15" s="115" cm="1">
        <f t="array" ref="CE15">_xll.EQNXTDZ($A$1,$B15,CE$1)</f>
        <v>980.25</v>
      </c>
      <c r="CF15" s="115" cm="1">
        <f t="array" ref="CF15">_xll.EQNXTDZ($A$1,$B15,CF$1)</f>
        <v>1185</v>
      </c>
      <c r="CG15" s="115" cm="1">
        <f t="array" ref="CG15">_xll.EQNXTDZ($A$1,$B15,CG$1)</f>
        <v>1250.1500000000001</v>
      </c>
      <c r="CH15" s="115" cm="1">
        <f t="array" ref="CH15">_xll.EQNXTDZ($A$1,$B15,CH$1)</f>
        <v>992.05</v>
      </c>
      <c r="CI15" s="115" cm="1">
        <f t="array" ref="CI15">_xll.EQNXTDZ($A$1,$B15,CI$1)</f>
        <v>1034.05</v>
      </c>
      <c r="CJ15" s="115" cm="1">
        <f t="array" ref="CJ15">_xll.EQNXTDZ($A$1,$B15,CJ$1)</f>
        <v>878</v>
      </c>
      <c r="CK15" s="115" cm="1">
        <f t="array" ref="CK15">_xll.EQNXTDZ($A$1,$B15,CK$1)</f>
        <v>740.05</v>
      </c>
      <c r="CL15" s="115" cm="1">
        <f t="array" ref="CL15">_xll.EQNXTDZ($A$1,$B15,CL$1)</f>
        <v>761.35</v>
      </c>
      <c r="CM15" s="115" cm="1">
        <f t="array" ref="CM15">_xll.EQNXTDZ($A$1,$B15,CM$1)</f>
        <v>740</v>
      </c>
      <c r="CN15" s="115" cm="1">
        <f t="array" ref="CN15">_xll.EQNXTDZ($A$1,$B15,CN$1)</f>
        <v>767.05</v>
      </c>
      <c r="CO15" s="115" cm="1">
        <f t="array" ref="CO15">_xll.EQNXTDZ($A$1,$B15,CO$1)</f>
        <v>757.05</v>
      </c>
      <c r="CP15" s="115" cm="1">
        <f t="array" ref="CP15">_xll.EQNXTDZ($A$1,$B15,CP$1)</f>
        <v>840</v>
      </c>
      <c r="CQ15" s="115" cm="1">
        <f t="array" ref="CQ15">_xll.EQNXTDZ($A$1,$B15,CQ$1)</f>
        <v>680.5</v>
      </c>
      <c r="CR15" s="115" cm="1">
        <f t="array" ref="CR15">_xll.EQNXTDZ($A$1,$B15,CR$1)</f>
        <v>340</v>
      </c>
      <c r="CS15" s="115" cm="1">
        <f t="array" ref="CS15">_xll.EQNXTDZ($A$1,$B15,CS$1)</f>
        <v>402</v>
      </c>
      <c r="CT15" s="115" cm="1">
        <f t="array" ref="CT15">_xll.EQNXTDZ($A$1,$B15,CT$1)</f>
        <v>432</v>
      </c>
      <c r="CU15" s="115" cm="1">
        <f t="array" ref="CU15">_xll.EQNXTDZ($A$1,$B15,CU$1)</f>
        <v>446.05</v>
      </c>
      <c r="CV15" s="115" cm="1">
        <f t="array" ref="CV15">_xll.EQNXTDZ($A$1,$B15,CV$1)</f>
        <v>480</v>
      </c>
      <c r="CW15" s="115" cm="1">
        <f t="array" ref="CW15">_xll.EQNXTDZ($A$1,$B15,CW$1)</f>
        <v>500</v>
      </c>
      <c r="CX15" s="115" cm="1">
        <f t="array" ref="CX15">_xll.EQNXTDZ($A$1,$B15,CX$1)</f>
        <v>667.25</v>
      </c>
      <c r="CY15" s="115" cm="1">
        <f t="array" ref="CY15">_xll.EQNXTDZ($A$1,$B15,CY$1)</f>
        <v>701.05</v>
      </c>
      <c r="CZ15" s="115" cm="1">
        <f t="array" ref="CZ15">_xll.EQNXTDZ($A$1,$B15,CZ$1)</f>
        <v>700</v>
      </c>
      <c r="DA15" s="115" cm="1">
        <f t="array" ref="DA15">_xll.EQNXTDZ($A$1,$B15,DA$1)</f>
        <v>700</v>
      </c>
      <c r="DB15" s="115" cm="1">
        <f t="array" ref="DB15">_xll.EQNXTDZ($A$1,$B15,DB$1)</f>
        <v>779</v>
      </c>
      <c r="DC15" s="115" cm="1">
        <f t="array" ref="DC15">_xll.EQNXTDZ($A$1,$B15,DC$1)</f>
        <v>780.55</v>
      </c>
      <c r="DD15" s="115" cm="1">
        <f t="array" ref="DD15">_xll.EQNXTDZ($A$1,$B15,DD$1)</f>
        <v>750</v>
      </c>
      <c r="DE15" s="115" cm="1">
        <f t="array" ref="DE15">_xll.EQNXTDZ($A$1,$B15,DE$1)</f>
        <v>795.05</v>
      </c>
      <c r="DF15" s="115" cm="1">
        <f t="array" ref="DF15">_xll.EQNXTDZ($A$1,$B15,DF$1)</f>
        <v>800</v>
      </c>
      <c r="DG15" s="115" cm="1">
        <f t="array" ref="DG15">_xll.EQNXTDZ($A$1,$B15,DG$1)</f>
        <v>765</v>
      </c>
      <c r="DH15" s="115" cm="1">
        <f t="array" ref="DH15">_xll.EQNXTDZ($A$1,$B15,DH$1)</f>
        <v>852.05</v>
      </c>
      <c r="DI15" s="115" cm="1">
        <f t="array" ref="DI15">_xll.EQNXTDZ($A$1,$B15,DI$1)</f>
        <v>901.5</v>
      </c>
      <c r="DJ15" s="115" cm="1">
        <f t="array" ref="DJ15">_xll.EQNXTDZ($A$1,$B15,DJ$1)</f>
        <v>925</v>
      </c>
      <c r="DK15" s="115" cm="1">
        <f t="array" ref="DK15">_xll.EQNXTDZ($A$1,$B15,DK$1)</f>
        <v>862.85</v>
      </c>
      <c r="DL15" s="115" cm="1">
        <f t="array" ref="DL15">_xll.EQNXTDZ($A$1,$B15,DL$1)</f>
        <v>925.25</v>
      </c>
      <c r="DM15" s="115" cm="1">
        <f t="array" ref="DM15">_xll.EQNXTDZ($A$1,$B15,DM$1)</f>
        <v>970</v>
      </c>
      <c r="DN15" s="115" cm="1">
        <f t="array" ref="DN15">_xll.EQNXTDZ($A$1,$B15,DN$1)</f>
        <v>1045.05</v>
      </c>
      <c r="DO15" s="115" cm="1">
        <f t="array" ref="DO15">_xll.EQNXTDZ($A$1,$B15,DO$1)</f>
        <v>1330</v>
      </c>
      <c r="DP15" s="115" cm="1">
        <f t="array" ref="DP15">_xll.EQNXTDZ($A$1,$B15,DP$1)</f>
        <v>1485.1</v>
      </c>
      <c r="DQ15" s="115" cm="1">
        <f t="array" ref="DQ15">_xll.EQNXTDZ($A$1,$B15,DQ$1)</f>
        <v>1524</v>
      </c>
      <c r="DR15" s="115" cm="1">
        <f t="array" ref="DR15">_xll.EQNXTDZ($A$1,$B15,DR$1)</f>
        <v>1160.5</v>
      </c>
      <c r="DS15" s="115" cm="1">
        <f t="array" ref="DS15">_xll.EQNXTDZ($A$1,$B15,DS$1)</f>
        <v>1000</v>
      </c>
      <c r="DT15" s="115" cm="1">
        <f t="array" ref="DT15">_xll.EQNXTDZ($A$1,$B15,DT$1)</f>
        <v>1145</v>
      </c>
      <c r="DU15" s="115" cm="1">
        <f t="array" ref="DU15">_xll.EQNXTDZ($A$1,$B15,DU$1)</f>
        <v>1043.05</v>
      </c>
      <c r="DV15" s="115" cm="1">
        <f t="array" ref="DV15">_xll.EQNXTDZ($A$1,$B15,DV$1)</f>
        <v>1164</v>
      </c>
      <c r="DW15" s="115" cm="1">
        <f t="array" ref="DW15">_xll.EQNXTDZ($A$1,$B15,DW$1)</f>
        <v>1132.4000000000001</v>
      </c>
      <c r="DX15" s="115" cm="1">
        <f t="array" ref="DX15">_xll.EQNXTDZ($A$1,$B15,DX$1)</f>
        <v>1135.6500000000001</v>
      </c>
      <c r="DY15" s="115" cm="1">
        <f t="array" ref="DY15">_xll.EQNXTDZ($A$1,$B15,DY$1)</f>
        <v>1161</v>
      </c>
      <c r="DZ15" s="115" cm="1">
        <f t="array" ref="DZ15">_xll.EQNXTDZ($A$1,$B15,DZ$1)</f>
        <v>1266.05</v>
      </c>
      <c r="EA15" s="115" cm="1">
        <f t="array" ref="EA15">_xll.EQNXTDZ($A$1,$B15,EA$1)</f>
        <v>1370</v>
      </c>
      <c r="EB15" s="115" cm="1">
        <f t="array" ref="EB15">_xll.EQNXTDZ($A$1,$B15,EB$1)</f>
        <v>1385.1</v>
      </c>
      <c r="EC15" s="115" cm="1">
        <f t="array" ref="EC15">_xll.EQNXTDZ($A$1,$B15,EC$1)</f>
        <v>1420</v>
      </c>
      <c r="ED15" s="115" cm="1">
        <f t="array" ref="ED15">_xll.EQNXTDZ($A$1,$B15,ED$1)</f>
        <v>1500</v>
      </c>
      <c r="EE15" s="115" cm="1">
        <f t="array" ref="EE15">_xll.EQNXTDZ($A$1,$B15,EE$1)</f>
        <v>1998.9</v>
      </c>
      <c r="EF15" s="115" cm="1">
        <f t="array" ref="EF15">_xll.EQNXTDZ($A$1,$B15,EF$1)</f>
        <v>2700</v>
      </c>
      <c r="EG15" s="115" cm="1">
        <f t="array" ref="EG15">_xll.EQNXTDZ($A$1,$B15,EG$1)</f>
        <v>2500</v>
      </c>
      <c r="EH15" s="115" cm="1">
        <f t="array" ref="EH15">_xll.EQNXTDZ($A$1,$B15,EH$1)</f>
        <v>2374</v>
      </c>
      <c r="EI15" s="115" cm="1">
        <f t="array" ref="EI15">_xll.EQNXTDZ($A$1,$B15,EI$1)</f>
        <v>2660</v>
      </c>
      <c r="EJ15" s="115" cm="1">
        <f t="array" ref="EJ15">_xll.EQNXTDZ($A$1,$B15,EJ$1)</f>
        <v>2750</v>
      </c>
      <c r="EK15" s="115" cm="1">
        <f t="array" ref="EK15">_xll.EQNXTDZ($A$1,$B15,EK$1)</f>
        <v>2933.3</v>
      </c>
      <c r="EL15" s="115" cm="1">
        <f t="array" ref="EL15">_xll.EQNXTDZ($A$1,$B15,EL$1)</f>
        <v>2910</v>
      </c>
      <c r="EM15" s="115" cm="1">
        <f t="array" ref="EM15">_xll.EQNXTDZ($A$1,$B15,EM$1)</f>
        <v>3051.25</v>
      </c>
      <c r="EN15" s="115" cm="1">
        <f t="array" ref="EN15">_xll.EQNXTDZ($A$1,$B15,EN$1)</f>
        <v>3150</v>
      </c>
      <c r="EO15" s="115" cm="1">
        <f t="array" ref="EO15">_xll.EQNXTDZ($A$1,$B15,EO$1)</f>
        <v>3201</v>
      </c>
      <c r="EP15" s="115" cm="1">
        <f t="array" ref="EP15">_xll.EQNXTDZ($A$1,$B15,EP$1)</f>
        <v>3126.1</v>
      </c>
      <c r="EQ15" s="115" cm="1">
        <f t="array" ref="EQ15">_xll.EQNXTDZ($A$1,$B15,EQ$1)</f>
        <v>3250.5</v>
      </c>
      <c r="ER15" s="115" cm="1">
        <f t="array" ref="ER15">_xll.EQNXTDZ($A$1,$B15,ER$1)</f>
        <v>5500.05</v>
      </c>
      <c r="ES15" s="115" cm="1">
        <f t="array" ref="ES15">_xll.EQNXTDZ($A$1,$B15,ES$1)</f>
        <v>4551</v>
      </c>
      <c r="ET15" s="115" cm="1">
        <f t="array" ref="ET15">_xll.EQNXTDZ($A$1,$B15,ET$1)</f>
        <v>5000</v>
      </c>
      <c r="EU15" s="115" cm="1">
        <f t="array" ref="EU15">_xll.EQNXTDZ($A$1,$B15,EU$1)</f>
        <v>4650.05</v>
      </c>
      <c r="EV15" s="115" cm="1">
        <f t="array" ref="EV15">_xll.EQNXTDZ($A$1,$B15,EV$1)</f>
        <v>4600</v>
      </c>
      <c r="EW15" s="115" cm="1">
        <f t="array" ref="EW15">_xll.EQNXTDZ($A$1,$B15,EW$1)</f>
        <v>4105</v>
      </c>
      <c r="EX15" s="115" cm="1">
        <f t="array" ref="EX15">_xll.EQNXTDZ($A$1,$B15,EX$1)</f>
        <v>3300</v>
      </c>
      <c r="EY15" s="115" cm="1">
        <f t="array" ref="EY15">_xll.EQNXTDZ($A$1,$B15,EY$1)</f>
        <v>2383</v>
      </c>
      <c r="EZ15" s="115" cm="1">
        <f t="array" ref="EZ15">_xll.EQNXTDZ($A$1,$B15,EZ$1)</f>
        <v>2425.0500000000002</v>
      </c>
      <c r="FA15" s="115" cm="1">
        <f t="array" ref="FA15">_xll.EQNXTDZ($A$1,$B15,FA$1)</f>
        <v>2645</v>
      </c>
      <c r="FB15" s="115" cm="1">
        <f t="array" ref="FB15">_xll.EQNXTDZ($A$1,$B15,FB$1)</f>
        <v>2619.9</v>
      </c>
      <c r="FC15" s="115" cm="1">
        <f t="array" ref="FC15">_xll.EQNXTDZ($A$1,$B15,FC$1)</f>
        <v>3150</v>
      </c>
      <c r="FD15" s="115" cm="1">
        <f t="array" ref="FD15">_xll.EQNXTDZ($A$1,$B15,FD$1)</f>
        <v>3402.1</v>
      </c>
      <c r="FE15" s="115" cm="1">
        <f t="array" ref="FE15">_xll.EQNXTDZ($A$1,$B15,FE$1)</f>
        <v>4012.15</v>
      </c>
      <c r="FF15" s="115" cm="1">
        <f t="array" ref="FF15">_xll.EQNXTDZ($A$1,$B15,FF$1)</f>
        <v>4321</v>
      </c>
      <c r="FG15" s="115" cm="1">
        <f t="array" ref="FG15">_xll.EQNXTDZ($A$1,$B15,FG$1)</f>
        <v>5052.05</v>
      </c>
      <c r="FH15" s="115" cm="1">
        <f t="array" ref="FH15">_xll.EQNXTDZ($A$1,$B15,FH$1)</f>
        <v>5012</v>
      </c>
      <c r="FI15" s="115" cm="1">
        <f t="array" ref="FI15">_xll.EQNXTDZ($A$1,$B15,FI$1)</f>
        <v>4525</v>
      </c>
      <c r="FJ15" s="115" cm="1">
        <f t="array" ref="FJ15">_xll.EQNXTDZ($A$1,$B15,FJ$1)</f>
        <v>4781</v>
      </c>
      <c r="FK15" s="115" cm="1">
        <f t="array" ref="FK15">_xll.EQNXTDZ($A$1,$B15,FK$1)</f>
        <v>4610.1000000000004</v>
      </c>
      <c r="FL15" s="115" cm="1">
        <f t="array" ref="FL15">_xll.EQNXTDZ($A$1,$B15,FL$1)</f>
        <v>4041.05</v>
      </c>
      <c r="FM15" s="115" cm="1">
        <f t="array" ref="FM15">_xll.EQNXTDZ($A$1,$B15,FM$1)</f>
        <v>4152</v>
      </c>
      <c r="FN15" s="115" cm="1">
        <f t="array" ref="FN15">_xll.EQNXTDZ($A$1,$B15,FN$1)</f>
        <v>5050</v>
      </c>
      <c r="FO15" s="115" cm="1">
        <f t="array" ref="FO15">_xll.EQNXTDZ($A$1,$B15,FO$1)</f>
        <v>7200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651</v>
      </c>
      <c r="HQ15" s="115">
        <f>+MIN(G15:I15)</f>
        <v>640</v>
      </c>
      <c r="HR15" s="115">
        <f>+MIN(J15:L15)</f>
        <v>361.1</v>
      </c>
      <c r="HS15" s="115">
        <f>+MIN(M15:O15)</f>
        <v>318.25</v>
      </c>
      <c r="HT15" s="115">
        <f>+MIN(P15:R15)</f>
        <v>207.2</v>
      </c>
      <c r="HU15" s="115">
        <f>+MIN(S15:U15)</f>
        <v>231</v>
      </c>
      <c r="HV15" s="115">
        <f>+MIN(V15:X15)</f>
        <v>305.5</v>
      </c>
      <c r="HW15" s="115">
        <f>+MIN(Y15:AA15)</f>
        <v>451</v>
      </c>
      <c r="HX15" s="115">
        <f>+MIN(AB15:AD15)</f>
        <v>400.05</v>
      </c>
      <c r="HY15" s="115">
        <f>+MIN(AE15:AG15)</f>
        <v>420</v>
      </c>
      <c r="HZ15" s="115">
        <f>+MIN(AH15:AJ15)</f>
        <v>340.2</v>
      </c>
      <c r="IA15" s="115">
        <f>+MIN(AK15:AM15)</f>
        <v>340</v>
      </c>
      <c r="IB15" s="115">
        <f>+MIN(AN15:AP15)</f>
        <v>385</v>
      </c>
      <c r="IC15" s="115">
        <f>+MIN(AQ15:AS15)</f>
        <v>340</v>
      </c>
      <c r="ID15" s="115">
        <f>+MIN(AT15:AV15)</f>
        <v>345.2</v>
      </c>
      <c r="IE15" s="115">
        <f>+MIN(AW15:AY15)</f>
        <v>370</v>
      </c>
      <c r="IF15" s="115">
        <f>+MIN(AZ15:BB15)</f>
        <v>352</v>
      </c>
      <c r="IG15" s="115">
        <f>+MIN(BC15:BE15)</f>
        <v>354</v>
      </c>
      <c r="IH15" s="115">
        <f>+MIN(BF15:BH15)</f>
        <v>408.5</v>
      </c>
      <c r="II15" s="115">
        <f>+MIN(BI15:BK15)</f>
        <v>470.1</v>
      </c>
      <c r="IJ15" s="115">
        <f>+MIN(BL15:BN15)</f>
        <v>484.6</v>
      </c>
      <c r="IK15" s="115">
        <f>+MIN(BO15:BQ15)</f>
        <v>770</v>
      </c>
      <c r="IL15" s="115">
        <f>+MIN(BR15:BT15)</f>
        <v>830</v>
      </c>
      <c r="IM15" s="115">
        <f>+MIN(BU15:BW15)</f>
        <v>751</v>
      </c>
      <c r="IN15" s="115">
        <f>+MIN(BX15:BZ15)</f>
        <v>650</v>
      </c>
      <c r="IO15" s="115">
        <f>+MIN(CA15:CC15)</f>
        <v>627.1</v>
      </c>
      <c r="IP15" s="115">
        <f>+MIN(CD15:CF15)</f>
        <v>970</v>
      </c>
      <c r="IQ15" s="115">
        <f>+MIN(CG15:CI15)</f>
        <v>992.05</v>
      </c>
      <c r="IR15" s="115">
        <f>+MIN(CJ15:CL15)</f>
        <v>740.05</v>
      </c>
      <c r="IS15" s="115">
        <f>+MIN(CM15:CO15)</f>
        <v>740</v>
      </c>
      <c r="IT15" s="115">
        <f>+MIN(CP15:CR15)</f>
        <v>340</v>
      </c>
      <c r="IU15" s="115">
        <f>+MIN(CS15:CU15)</f>
        <v>402</v>
      </c>
      <c r="IV15" s="115">
        <f>+MIN(CV15:CX15)</f>
        <v>480</v>
      </c>
      <c r="IW15" s="115">
        <f>+MIN(CY15:DA15)</f>
        <v>700</v>
      </c>
      <c r="IX15" s="115">
        <f>+MIN(DB15:DD15)</f>
        <v>750</v>
      </c>
      <c r="IY15" s="115">
        <f>+MIN(DE15:DG15)</f>
        <v>765</v>
      </c>
      <c r="IZ15" s="115">
        <f>+MIN(DH15:DJ15)</f>
        <v>852.05</v>
      </c>
      <c r="JA15" s="115">
        <f>+MIN(DK15:DM15)</f>
        <v>862.85</v>
      </c>
      <c r="JB15" s="115">
        <f>+MIN(DN15:DP15)</f>
        <v>1045.05</v>
      </c>
      <c r="JC15" s="115">
        <f>+MIN(DQ15:DS15)</f>
        <v>1000</v>
      </c>
      <c r="JD15" s="115">
        <f>+MIN(DT15:DV15)</f>
        <v>1043.05</v>
      </c>
      <c r="JE15" s="115">
        <f>+MIN(DW15:DY15)</f>
        <v>1132.4000000000001</v>
      </c>
      <c r="JF15" s="115">
        <f>+MIN(DZ15:EB15)</f>
        <v>1266.05</v>
      </c>
      <c r="JG15" s="115">
        <f>+MIN(EC15:EE15)</f>
        <v>1420</v>
      </c>
      <c r="JH15" s="115">
        <f>+MIN(EF15:EH15)</f>
        <v>2374</v>
      </c>
      <c r="JI15" s="115">
        <f>+MIN(EI15:EK15)</f>
        <v>2660</v>
      </c>
      <c r="JJ15" s="115">
        <f>+MIN(EL15:EN15)</f>
        <v>2910</v>
      </c>
      <c r="JK15" s="115">
        <f>MIN(EO15:EQ15)</f>
        <v>3126.1</v>
      </c>
      <c r="JL15" s="115">
        <f>MIN(ER15:ET15)</f>
        <v>4551</v>
      </c>
      <c r="JM15" s="115">
        <f>MIN(EU15:EW15)</f>
        <v>4105</v>
      </c>
      <c r="JN15" s="115">
        <f>MIN(EX15:EZ15)</f>
        <v>2383</v>
      </c>
      <c r="JO15" s="115">
        <f>MIN(FA15:FC15)</f>
        <v>2619.9</v>
      </c>
      <c r="JP15" s="115">
        <f>MIN(FD15:FF15)</f>
        <v>3402.1</v>
      </c>
      <c r="JQ15" s="115">
        <f>MIN(FG15:FI15)</f>
        <v>4525</v>
      </c>
      <c r="JR15" s="115">
        <f>MIN(FJ15:FL15)</f>
        <v>4041.05</v>
      </c>
      <c r="JS15" s="115">
        <f>MIN(FM15:FO15)</f>
        <v>4152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763.65</v>
      </c>
      <c r="D16" s="115" cm="1">
        <f t="array" ref="D16">_xll.EQNXTDZ($A$1,$B16,D$1)</f>
        <v>715</v>
      </c>
      <c r="E16" s="115" cm="1">
        <f t="array" ref="E16">_xll.EQNXTDZ($A$1,$B16,E$1)</f>
        <v>688.05</v>
      </c>
      <c r="F16" s="115" cm="1">
        <f t="array" ref="F16">_xll.EQNXTDZ($A$1,$B16,F$1)</f>
        <v>705.5</v>
      </c>
      <c r="G16" s="115" cm="1">
        <f t="array" ref="G16">_xll.EQNXTDZ($A$1,$B16,G$1)</f>
        <v>748.45</v>
      </c>
      <c r="H16" s="115" cm="1">
        <f t="array" ref="H16">_xll.EQNXTDZ($A$1,$B16,H$1)</f>
        <v>666</v>
      </c>
      <c r="I16" s="115" cm="1">
        <f t="array" ref="I16">_xll.EQNXTDZ($A$1,$B16,I$1)</f>
        <v>660</v>
      </c>
      <c r="J16" s="115" cm="1">
        <f t="array" ref="J16">_xll.EQNXTDZ($A$1,$B16,J$1)</f>
        <v>612.70000000000005</v>
      </c>
      <c r="K16" s="115" cm="1">
        <f t="array" ref="K16">_xll.EQNXTDZ($A$1,$B16,K$1)</f>
        <v>504.2</v>
      </c>
      <c r="L16" s="115" cm="1">
        <f t="array" ref="L16">_xll.EQNXTDZ($A$1,$B16,L$1)</f>
        <v>372.95</v>
      </c>
      <c r="M16" s="115" cm="1">
        <f t="array" ref="M16">_xll.EQNXTDZ($A$1,$B16,M$1)</f>
        <v>399.9</v>
      </c>
      <c r="N16" s="115" cm="1">
        <f t="array" ref="N16">_xll.EQNXTDZ($A$1,$B16,N$1)</f>
        <v>350</v>
      </c>
      <c r="O16" s="115" cm="1">
        <f t="array" ref="O16">_xll.EQNXTDZ($A$1,$B16,O$1)</f>
        <v>330</v>
      </c>
      <c r="P16" s="115" cm="1">
        <f t="array" ref="P16">_xll.EQNXTDZ($A$1,$B16,P$1)</f>
        <v>290</v>
      </c>
      <c r="Q16" s="115" cm="1">
        <f t="array" ref="Q16">_xll.EQNXTDZ($A$1,$B16,Q$1)</f>
        <v>239.9</v>
      </c>
      <c r="R16" s="115" cm="1">
        <f t="array" ref="R16">_xll.EQNXTDZ($A$1,$B16,R$1)</f>
        <v>263</v>
      </c>
      <c r="S16" s="115" cm="1">
        <f t="array" ref="S16">_xll.EQNXTDZ($A$1,$B16,S$1)</f>
        <v>245</v>
      </c>
      <c r="T16" s="115" cm="1">
        <f t="array" ref="T16">_xll.EQNXTDZ($A$1,$B16,T$1)</f>
        <v>242.55</v>
      </c>
      <c r="U16" s="115" cm="1">
        <f t="array" ref="U16">_xll.EQNXTDZ($A$1,$B16,U$1)</f>
        <v>314.39999999999998</v>
      </c>
      <c r="V16" s="115" cm="1">
        <f t="array" ref="V16">_xll.EQNXTDZ($A$1,$B16,V$1)</f>
        <v>355</v>
      </c>
      <c r="W16" s="115" cm="1">
        <f t="array" ref="W16">_xll.EQNXTDZ($A$1,$B16,W$1)</f>
        <v>425.05</v>
      </c>
      <c r="X16" s="115" cm="1">
        <f t="array" ref="X16">_xll.EQNXTDZ($A$1,$B16,X$1)</f>
        <v>445</v>
      </c>
      <c r="Y16" s="115" cm="1">
        <f t="array" ref="Y16">_xll.EQNXTDZ($A$1,$B16,Y$1)</f>
        <v>560.85</v>
      </c>
      <c r="Z16" s="115" cm="1">
        <f t="array" ref="Z16">_xll.EQNXTDZ($A$1,$B16,Z$1)</f>
        <v>507</v>
      </c>
      <c r="AA16" s="115" cm="1">
        <f t="array" ref="AA16">_xll.EQNXTDZ($A$1,$B16,AA$1)</f>
        <v>512.6</v>
      </c>
      <c r="AB16" s="115" cm="1">
        <f t="array" ref="AB16">_xll.EQNXTDZ($A$1,$B16,AB$1)</f>
        <v>475.95</v>
      </c>
      <c r="AC16" s="115" cm="1">
        <f t="array" ref="AC16">_xll.EQNXTDZ($A$1,$B16,AC$1)</f>
        <v>499.7</v>
      </c>
      <c r="AD16" s="115" cm="1">
        <f t="array" ref="AD16">_xll.EQNXTDZ($A$1,$B16,AD$1)</f>
        <v>461</v>
      </c>
      <c r="AE16" s="115" cm="1">
        <f t="array" ref="AE16">_xll.EQNXTDZ($A$1,$B16,AE$1)</f>
        <v>516.20000000000005</v>
      </c>
      <c r="AF16" s="115" cm="1">
        <f t="array" ref="AF16">_xll.EQNXTDZ($A$1,$B16,AF$1)</f>
        <v>449.9</v>
      </c>
      <c r="AG16" s="115" cm="1">
        <f t="array" ref="AG16">_xll.EQNXTDZ($A$1,$B16,AG$1)</f>
        <v>505</v>
      </c>
      <c r="AH16" s="115" cm="1">
        <f t="array" ref="AH16">_xll.EQNXTDZ($A$1,$B16,AH$1)</f>
        <v>500.7</v>
      </c>
      <c r="AI16" s="115" cm="1">
        <f t="array" ref="AI16">_xll.EQNXTDZ($A$1,$B16,AI$1)</f>
        <v>412</v>
      </c>
      <c r="AJ16" s="115" cm="1">
        <f t="array" ref="AJ16">_xll.EQNXTDZ($A$1,$B16,AJ$1)</f>
        <v>398</v>
      </c>
      <c r="AK16" s="115" cm="1">
        <f t="array" ref="AK16">_xll.EQNXTDZ($A$1,$B16,AK$1)</f>
        <v>426.5</v>
      </c>
      <c r="AL16" s="115" cm="1">
        <f t="array" ref="AL16">_xll.EQNXTDZ($A$1,$B16,AL$1)</f>
        <v>382</v>
      </c>
      <c r="AM16" s="115" cm="1">
        <f t="array" ref="AM16">_xll.EQNXTDZ($A$1,$B16,AM$1)</f>
        <v>380</v>
      </c>
      <c r="AN16" s="115" cm="1">
        <f t="array" ref="AN16">_xll.EQNXTDZ($A$1,$B16,AN$1)</f>
        <v>473.8</v>
      </c>
      <c r="AO16" s="115" cm="1">
        <f t="array" ref="AO16">_xll.EQNXTDZ($A$1,$B16,AO$1)</f>
        <v>458.3</v>
      </c>
      <c r="AP16" s="115" cm="1">
        <f t="array" ref="AP16">_xll.EQNXTDZ($A$1,$B16,AP$1)</f>
        <v>407.2</v>
      </c>
      <c r="AQ16" s="115" cm="1">
        <f t="array" ref="AQ16">_xll.EQNXTDZ($A$1,$B16,AQ$1)</f>
        <v>421.2</v>
      </c>
      <c r="AR16" s="115" cm="1">
        <f t="array" ref="AR16">_xll.EQNXTDZ($A$1,$B16,AR$1)</f>
        <v>395.1</v>
      </c>
      <c r="AS16" s="115" cm="1">
        <f t="array" ref="AS16">_xll.EQNXTDZ($A$1,$B16,AS$1)</f>
        <v>387.5</v>
      </c>
      <c r="AT16" s="115" cm="1">
        <f t="array" ref="AT16">_xll.EQNXTDZ($A$1,$B16,AT$1)</f>
        <v>447</v>
      </c>
      <c r="AU16" s="115" cm="1">
        <f t="array" ref="AU16">_xll.EQNXTDZ($A$1,$B16,AU$1)</f>
        <v>381.8</v>
      </c>
      <c r="AV16" s="115" cm="1">
        <f t="array" ref="AV16">_xll.EQNXTDZ($A$1,$B16,AV$1)</f>
        <v>408.1</v>
      </c>
      <c r="AW16" s="115" cm="1">
        <f t="array" ref="AW16">_xll.EQNXTDZ($A$1,$B16,AW$1)</f>
        <v>468.3</v>
      </c>
      <c r="AX16" s="115" cm="1">
        <f t="array" ref="AX16">_xll.EQNXTDZ($A$1,$B16,AX$1)</f>
        <v>401.5</v>
      </c>
      <c r="AY16" s="115" cm="1">
        <f t="array" ref="AY16">_xll.EQNXTDZ($A$1,$B16,AY$1)</f>
        <v>400</v>
      </c>
      <c r="AZ16" s="115" cm="1">
        <f t="array" ref="AZ16">_xll.EQNXTDZ($A$1,$B16,AZ$1)</f>
        <v>377.3</v>
      </c>
      <c r="BA16" s="115" cm="1">
        <f t="array" ref="BA16">_xll.EQNXTDZ($A$1,$B16,BA$1)</f>
        <v>399.95</v>
      </c>
      <c r="BB16" s="115" cm="1">
        <f t="array" ref="BB16">_xll.EQNXTDZ($A$1,$B16,BB$1)</f>
        <v>376</v>
      </c>
      <c r="BC16" s="115" cm="1">
        <f t="array" ref="BC16">_xll.EQNXTDZ($A$1,$B16,BC$1)</f>
        <v>430.2</v>
      </c>
      <c r="BD16" s="115" cm="1">
        <f t="array" ref="BD16">_xll.EQNXTDZ($A$1,$B16,BD$1)</f>
        <v>425.7</v>
      </c>
      <c r="BE16" s="115" cm="1">
        <f t="array" ref="BE16">_xll.EQNXTDZ($A$1,$B16,BE$1)</f>
        <v>434.05</v>
      </c>
      <c r="BF16" s="115" cm="1">
        <f t="array" ref="BF16">_xll.EQNXTDZ($A$1,$B16,BF$1)</f>
        <v>419.25</v>
      </c>
      <c r="BG16" s="115" cm="1">
        <f t="array" ref="BG16">_xll.EQNXTDZ($A$1,$B16,BG$1)</f>
        <v>647.4</v>
      </c>
      <c r="BH16" s="115" cm="1">
        <f t="array" ref="BH16">_xll.EQNXTDZ($A$1,$B16,BH$1)</f>
        <v>585.29999999999995</v>
      </c>
      <c r="BI16" s="115" cm="1">
        <f t="array" ref="BI16">_xll.EQNXTDZ($A$1,$B16,BI$1)</f>
        <v>574</v>
      </c>
      <c r="BJ16" s="115" cm="1">
        <f t="array" ref="BJ16">_xll.EQNXTDZ($A$1,$B16,BJ$1)</f>
        <v>545.4</v>
      </c>
      <c r="BK16" s="115" cm="1">
        <f t="array" ref="BK16">_xll.EQNXTDZ($A$1,$B16,BK$1)</f>
        <v>498</v>
      </c>
      <c r="BL16" s="115" cm="1">
        <f t="array" ref="BL16">_xll.EQNXTDZ($A$1,$B16,BL$1)</f>
        <v>528.35</v>
      </c>
      <c r="BM16" s="115" cm="1">
        <f t="array" ref="BM16">_xll.EQNXTDZ($A$1,$B16,BM$1)</f>
        <v>634.5</v>
      </c>
      <c r="BN16" s="115" cm="1">
        <f t="array" ref="BN16">_xll.EQNXTDZ($A$1,$B16,BN$1)</f>
        <v>899.85</v>
      </c>
      <c r="BO16" s="115" cm="1">
        <f t="array" ref="BO16">_xll.EQNXTDZ($A$1,$B16,BO$1)</f>
        <v>807</v>
      </c>
      <c r="BP16" s="115" cm="1">
        <f t="array" ref="BP16">_xll.EQNXTDZ($A$1,$B16,BP$1)</f>
        <v>1049.05</v>
      </c>
      <c r="BQ16" s="115" cm="1">
        <f t="array" ref="BQ16">_xll.EQNXTDZ($A$1,$B16,BQ$1)</f>
        <v>1274.0999999999999</v>
      </c>
      <c r="BR16" s="115" cm="1">
        <f t="array" ref="BR16">_xll.EQNXTDZ($A$1,$B16,BR$1)</f>
        <v>1174.9000000000001</v>
      </c>
      <c r="BS16" s="115" cm="1">
        <f t="array" ref="BS16">_xll.EQNXTDZ($A$1,$B16,BS$1)</f>
        <v>1000.8</v>
      </c>
      <c r="BT16" s="115" cm="1">
        <f t="array" ref="BT16">_xll.EQNXTDZ($A$1,$B16,BT$1)</f>
        <v>872.55</v>
      </c>
      <c r="BU16" s="115" cm="1">
        <f t="array" ref="BU16">_xll.EQNXTDZ($A$1,$B16,BU$1)</f>
        <v>930.25</v>
      </c>
      <c r="BV16" s="115" cm="1">
        <f t="array" ref="BV16">_xll.EQNXTDZ($A$1,$B16,BV$1)</f>
        <v>890.55</v>
      </c>
      <c r="BW16" s="115" cm="1">
        <f t="array" ref="BW16">_xll.EQNXTDZ($A$1,$B16,BW$1)</f>
        <v>777.15</v>
      </c>
      <c r="BX16" s="115" cm="1">
        <f t="array" ref="BX16">_xll.EQNXTDZ($A$1,$B16,BX$1)</f>
        <v>781.85</v>
      </c>
      <c r="BY16" s="115" cm="1">
        <f t="array" ref="BY16">_xll.EQNXTDZ($A$1,$B16,BY$1)</f>
        <v>770</v>
      </c>
      <c r="BZ16" s="115" cm="1">
        <f t="array" ref="BZ16">_xll.EQNXTDZ($A$1,$B16,BZ$1)</f>
        <v>670</v>
      </c>
      <c r="CA16" s="115" cm="1">
        <f t="array" ref="CA16">_xll.EQNXTDZ($A$1,$B16,CA$1)</f>
        <v>798.65</v>
      </c>
      <c r="CB16" s="115" cm="1">
        <f t="array" ref="CB16">_xll.EQNXTDZ($A$1,$B16,CB$1)</f>
        <v>926</v>
      </c>
      <c r="CC16" s="115" cm="1">
        <f t="array" ref="CC16">_xll.EQNXTDZ($A$1,$B16,CC$1)</f>
        <v>987.65</v>
      </c>
      <c r="CD16" s="115" cm="1">
        <f t="array" ref="CD16">_xll.EQNXTDZ($A$1,$B16,CD$1)</f>
        <v>982.25</v>
      </c>
      <c r="CE16" s="115" cm="1">
        <f t="array" ref="CE16">_xll.EQNXTDZ($A$1,$B16,CE$1)</f>
        <v>1356.7</v>
      </c>
      <c r="CF16" s="115" cm="1">
        <f t="array" ref="CF16">_xll.EQNXTDZ($A$1,$B16,CF$1)</f>
        <v>1338.8</v>
      </c>
      <c r="CG16" s="115" cm="1">
        <f t="array" ref="CG16">_xll.EQNXTDZ($A$1,$B16,CG$1)</f>
        <v>1280</v>
      </c>
      <c r="CH16" s="115" cm="1">
        <f t="array" ref="CH16">_xll.EQNXTDZ($A$1,$B16,CH$1)</f>
        <v>1112.8499999999999</v>
      </c>
      <c r="CI16" s="115" cm="1">
        <f t="array" ref="CI16">_xll.EQNXTDZ($A$1,$B16,CI$1)</f>
        <v>1099.6500000000001</v>
      </c>
      <c r="CJ16" s="115" cm="1">
        <f t="array" ref="CJ16">_xll.EQNXTDZ($A$1,$B16,CJ$1)</f>
        <v>938.15</v>
      </c>
      <c r="CK16" s="115" cm="1">
        <f t="array" ref="CK16">_xll.EQNXTDZ($A$1,$B16,CK$1)</f>
        <v>784.9</v>
      </c>
      <c r="CL16" s="115" cm="1">
        <f t="array" ref="CL16">_xll.EQNXTDZ($A$1,$B16,CL$1)</f>
        <v>939.95</v>
      </c>
      <c r="CM16" s="115" cm="1">
        <f t="array" ref="CM16">_xll.EQNXTDZ($A$1,$B16,CM$1)</f>
        <v>893.75</v>
      </c>
      <c r="CN16" s="115" cm="1">
        <f t="array" ref="CN16">_xll.EQNXTDZ($A$1,$B16,CN$1)</f>
        <v>790.25</v>
      </c>
      <c r="CO16" s="115" cm="1">
        <f t="array" ref="CO16">_xll.EQNXTDZ($A$1,$B16,CO$1)</f>
        <v>938.35</v>
      </c>
      <c r="CP16" s="115" cm="1">
        <f t="array" ref="CP16">_xll.EQNXTDZ($A$1,$B16,CP$1)</f>
        <v>950.6</v>
      </c>
      <c r="CQ16" s="115" cm="1">
        <f t="array" ref="CQ16">_xll.EQNXTDZ($A$1,$B16,CQ$1)</f>
        <v>686.8</v>
      </c>
      <c r="CR16" s="115" cm="1">
        <f t="array" ref="CR16">_xll.EQNXTDZ($A$1,$B16,CR$1)</f>
        <v>417.25</v>
      </c>
      <c r="CS16" s="115" cm="1">
        <f t="array" ref="CS16">_xll.EQNXTDZ($A$1,$B16,CS$1)</f>
        <v>505</v>
      </c>
      <c r="CT16" s="115" cm="1">
        <f t="array" ref="CT16">_xll.EQNXTDZ($A$1,$B16,CT$1)</f>
        <v>480</v>
      </c>
      <c r="CU16" s="115" cm="1">
        <f t="array" ref="CU16">_xll.EQNXTDZ($A$1,$B16,CU$1)</f>
        <v>481.15</v>
      </c>
      <c r="CV16" s="115" cm="1">
        <f t="array" ref="CV16">_xll.EQNXTDZ($A$1,$B16,CV$1)</f>
        <v>534</v>
      </c>
      <c r="CW16" s="115" cm="1">
        <f t="array" ref="CW16">_xll.EQNXTDZ($A$1,$B16,CW$1)</f>
        <v>725.6</v>
      </c>
      <c r="CX16" s="115" cm="1">
        <f t="array" ref="CX16">_xll.EQNXTDZ($A$1,$B16,CX$1)</f>
        <v>798.05</v>
      </c>
      <c r="CY16" s="115" cm="1">
        <f t="array" ref="CY16">_xll.EQNXTDZ($A$1,$B16,CY$1)</f>
        <v>772.85</v>
      </c>
      <c r="CZ16" s="115" cm="1">
        <f t="array" ref="CZ16">_xll.EQNXTDZ($A$1,$B16,CZ$1)</f>
        <v>716.55</v>
      </c>
      <c r="DA16" s="115" cm="1">
        <f t="array" ref="DA16">_xll.EQNXTDZ($A$1,$B16,DA$1)</f>
        <v>787.5</v>
      </c>
      <c r="DB16" s="115" cm="1">
        <f t="array" ref="DB16">_xll.EQNXTDZ($A$1,$B16,DB$1)</f>
        <v>784.9</v>
      </c>
      <c r="DC16" s="115" cm="1">
        <f t="array" ref="DC16">_xll.EQNXTDZ($A$1,$B16,DC$1)</f>
        <v>792.55</v>
      </c>
      <c r="DD16" s="115" cm="1">
        <f t="array" ref="DD16">_xll.EQNXTDZ($A$1,$B16,DD$1)</f>
        <v>833.1</v>
      </c>
      <c r="DE16" s="115" cm="1">
        <f t="array" ref="DE16">_xll.EQNXTDZ($A$1,$B16,DE$1)</f>
        <v>850</v>
      </c>
      <c r="DF16" s="115" cm="1">
        <f t="array" ref="DF16">_xll.EQNXTDZ($A$1,$B16,DF$1)</f>
        <v>810.8</v>
      </c>
      <c r="DG16" s="115" cm="1">
        <f t="array" ref="DG16">_xll.EQNXTDZ($A$1,$B16,DG$1)</f>
        <v>925.05</v>
      </c>
      <c r="DH16" s="115" cm="1">
        <f t="array" ref="DH16">_xll.EQNXTDZ($A$1,$B16,DH$1)</f>
        <v>931.95</v>
      </c>
      <c r="DI16" s="115" cm="1">
        <f t="array" ref="DI16">_xll.EQNXTDZ($A$1,$B16,DI$1)</f>
        <v>981.7</v>
      </c>
      <c r="DJ16" s="115" cm="1">
        <f t="array" ref="DJ16">_xll.EQNXTDZ($A$1,$B16,DJ$1)</f>
        <v>926.9</v>
      </c>
      <c r="DK16" s="115" cm="1">
        <f t="array" ref="DK16">_xll.EQNXTDZ($A$1,$B16,DK$1)</f>
        <v>966.5</v>
      </c>
      <c r="DL16" s="115" cm="1">
        <f t="array" ref="DL16">_xll.EQNXTDZ($A$1,$B16,DL$1)</f>
        <v>1019</v>
      </c>
      <c r="DM16" s="115" cm="1">
        <f t="array" ref="DM16">_xll.EQNXTDZ($A$1,$B16,DM$1)</f>
        <v>1029.75</v>
      </c>
      <c r="DN16" s="115" cm="1">
        <f t="array" ref="DN16">_xll.EQNXTDZ($A$1,$B16,DN$1)</f>
        <v>1322.55</v>
      </c>
      <c r="DO16" s="115" cm="1">
        <f t="array" ref="DO16">_xll.EQNXTDZ($A$1,$B16,DO$1)</f>
        <v>1547.85</v>
      </c>
      <c r="DP16" s="115" cm="1">
        <f t="array" ref="DP16">_xll.EQNXTDZ($A$1,$B16,DP$1)</f>
        <v>1556.9</v>
      </c>
      <c r="DQ16" s="115" cm="1">
        <f t="array" ref="DQ16">_xll.EQNXTDZ($A$1,$B16,DQ$1)</f>
        <v>1679.45</v>
      </c>
      <c r="DR16" s="115" cm="1">
        <f t="array" ref="DR16">_xll.EQNXTDZ($A$1,$B16,DR$1)</f>
        <v>1211.6500000000001</v>
      </c>
      <c r="DS16" s="115" cm="1">
        <f t="array" ref="DS16">_xll.EQNXTDZ($A$1,$B16,DS$1)</f>
        <v>1158.95</v>
      </c>
      <c r="DT16" s="115" cm="1">
        <f t="array" ref="DT16">_xll.EQNXTDZ($A$1,$B16,DT$1)</f>
        <v>1214.4000000000001</v>
      </c>
      <c r="DU16" s="115" cm="1">
        <f t="array" ref="DU16">_xll.EQNXTDZ($A$1,$B16,DU$1)</f>
        <v>1287</v>
      </c>
      <c r="DV16" s="115" cm="1">
        <f t="array" ref="DV16">_xll.EQNXTDZ($A$1,$B16,DV$1)</f>
        <v>1260.05</v>
      </c>
      <c r="DW16" s="115" cm="1">
        <f t="array" ref="DW16">_xll.EQNXTDZ($A$1,$B16,DW$1)</f>
        <v>1206.8</v>
      </c>
      <c r="DX16" s="115" cm="1">
        <f t="array" ref="DX16">_xll.EQNXTDZ($A$1,$B16,DX$1)</f>
        <v>1269.95</v>
      </c>
      <c r="DY16" s="115" cm="1">
        <f t="array" ref="DY16">_xll.EQNXTDZ($A$1,$B16,DY$1)</f>
        <v>1309.1500000000001</v>
      </c>
      <c r="DZ16" s="115" cm="1">
        <f t="array" ref="DZ16">_xll.EQNXTDZ($A$1,$B16,DZ$1)</f>
        <v>1490.7</v>
      </c>
      <c r="EA16" s="115" cm="1">
        <f t="array" ref="EA16">_xll.EQNXTDZ($A$1,$B16,EA$1)</f>
        <v>1416.15</v>
      </c>
      <c r="EB16" s="115" cm="1">
        <f t="array" ref="EB16">_xll.EQNXTDZ($A$1,$B16,EB$1)</f>
        <v>1451.95</v>
      </c>
      <c r="EC16" s="115" cm="1">
        <f t="array" ref="EC16">_xll.EQNXTDZ($A$1,$B16,EC$1)</f>
        <v>1516.55</v>
      </c>
      <c r="ED16" s="115" cm="1">
        <f t="array" ref="ED16">_xll.EQNXTDZ($A$1,$B16,ED$1)</f>
        <v>2068.15</v>
      </c>
      <c r="EE16" s="115" cm="1">
        <f t="array" ref="EE16">_xll.EQNXTDZ($A$1,$B16,EE$1)</f>
        <v>2947.45</v>
      </c>
      <c r="EF16" s="115" cm="1">
        <f t="array" ref="EF16">_xll.EQNXTDZ($A$1,$B16,EF$1)</f>
        <v>2716.7</v>
      </c>
      <c r="EG16" s="115" cm="1">
        <f t="array" ref="EG16">_xll.EQNXTDZ($A$1,$B16,EG$1)</f>
        <v>2972.25</v>
      </c>
      <c r="EH16" s="115" cm="1">
        <f t="array" ref="EH16">_xll.EQNXTDZ($A$1,$B16,EH$1)</f>
        <v>2879</v>
      </c>
      <c r="EI16" s="115" cm="1">
        <f t="array" ref="EI16">_xll.EQNXTDZ($A$1,$B16,EI$1)</f>
        <v>2868.15</v>
      </c>
      <c r="EJ16" s="115" cm="1">
        <f t="array" ref="EJ16">_xll.EQNXTDZ($A$1,$B16,EJ$1)</f>
        <v>2997.8</v>
      </c>
      <c r="EK16" s="115" cm="1">
        <f t="array" ref="EK16">_xll.EQNXTDZ($A$1,$B16,EK$1)</f>
        <v>3066.75</v>
      </c>
      <c r="EL16" s="115" cm="1">
        <f t="array" ref="EL16">_xll.EQNXTDZ($A$1,$B16,EL$1)</f>
        <v>3384.45</v>
      </c>
      <c r="EM16" s="115" cm="1">
        <f t="array" ref="EM16">_xll.EQNXTDZ($A$1,$B16,EM$1)</f>
        <v>3235.55</v>
      </c>
      <c r="EN16" s="115" cm="1">
        <f t="array" ref="EN16">_xll.EQNXTDZ($A$1,$B16,EN$1)</f>
        <v>3296.45</v>
      </c>
      <c r="EO16" s="115" cm="1">
        <f t="array" ref="EO16">_xll.EQNXTDZ($A$1,$B16,EO$1)</f>
        <v>3709.15</v>
      </c>
      <c r="EP16" s="115" cm="1">
        <f t="array" ref="EP16">_xll.EQNXTDZ($A$1,$B16,EP$1)</f>
        <v>3639.15</v>
      </c>
      <c r="EQ16" s="115" cm="1">
        <f t="array" ref="EQ16">_xll.EQNXTDZ($A$1,$B16,EQ$1)</f>
        <v>5998.15</v>
      </c>
      <c r="ER16" s="115" cm="1">
        <f t="array" ref="ER16">_xll.EQNXTDZ($A$1,$B16,ER$1)</f>
        <v>5909.25</v>
      </c>
      <c r="ES16" s="115" cm="1">
        <f t="array" ref="ES16">_xll.EQNXTDZ($A$1,$B16,ES$1)</f>
        <v>5084.7</v>
      </c>
      <c r="ET16" s="115" cm="1">
        <f t="array" ref="ET16">_xll.EQNXTDZ($A$1,$B16,ET$1)</f>
        <v>5744.6</v>
      </c>
      <c r="EU16" s="115" cm="1">
        <f t="array" ref="EU16">_xll.EQNXTDZ($A$1,$B16,EU$1)</f>
        <v>5011.8</v>
      </c>
      <c r="EV16" s="115" cm="1">
        <f t="array" ref="EV16">_xll.EQNXTDZ($A$1,$B16,EV$1)</f>
        <v>4891</v>
      </c>
      <c r="EW16" s="115" cm="1">
        <f t="array" ref="EW16">_xll.EQNXTDZ($A$1,$B16,EW$1)</f>
        <v>4184.5</v>
      </c>
      <c r="EX16" s="115" cm="1">
        <f t="array" ref="EX16">_xll.EQNXTDZ($A$1,$B16,EX$1)</f>
        <v>3677.45</v>
      </c>
      <c r="EY16" s="115" cm="1">
        <f t="array" ref="EY16">_xll.EQNXTDZ($A$1,$B16,EY$1)</f>
        <v>2597.85</v>
      </c>
      <c r="EZ16" s="115" cm="1">
        <f t="array" ref="EZ16">_xll.EQNXTDZ($A$1,$B16,EZ$1)</f>
        <v>2876</v>
      </c>
      <c r="FA16" s="115" cm="1">
        <f t="array" ref="FA16">_xll.EQNXTDZ($A$1,$B16,FA$1)</f>
        <v>2837.8</v>
      </c>
      <c r="FB16" s="115" cm="1">
        <f t="array" ref="FB16">_xll.EQNXTDZ($A$1,$B16,FB$1)</f>
        <v>3629.85</v>
      </c>
      <c r="FC16" s="115" cm="1">
        <f t="array" ref="FC16">_xll.EQNXTDZ($A$1,$B16,FC$1)</f>
        <v>3432.1</v>
      </c>
      <c r="FD16" s="115" cm="1">
        <f t="array" ref="FD16">_xll.EQNXTDZ($A$1,$B16,FD$1)</f>
        <v>4305.8500000000004</v>
      </c>
      <c r="FE16" s="115" cm="1">
        <f t="array" ref="FE16">_xll.EQNXTDZ($A$1,$B16,FE$1)</f>
        <v>4345.1000000000004</v>
      </c>
      <c r="FF16" s="115" cm="1">
        <f t="array" ref="FF16">_xll.EQNXTDZ($A$1,$B16,FF$1)</f>
        <v>5927.35</v>
      </c>
      <c r="FG16" s="115" cm="1">
        <f t="array" ref="FG16">_xll.EQNXTDZ($A$1,$B16,FG$1)</f>
        <v>5214.25</v>
      </c>
      <c r="FH16" s="115" cm="1">
        <f t="array" ref="FH16">_xll.EQNXTDZ($A$1,$B16,FH$1)</f>
        <v>5118.3500000000004</v>
      </c>
      <c r="FI16" s="115" cm="1">
        <f t="array" ref="FI16">_xll.EQNXTDZ($A$1,$B16,FI$1)</f>
        <v>5268.95</v>
      </c>
      <c r="FJ16" s="115" cm="1">
        <f t="array" ref="FJ16">_xll.EQNXTDZ($A$1,$B16,FJ$1)</f>
        <v>4793.8500000000004</v>
      </c>
      <c r="FK16" s="115" cm="1">
        <f t="array" ref="FK16">_xll.EQNXTDZ($A$1,$B16,FK$1)</f>
        <v>5099.2</v>
      </c>
      <c r="FL16" s="115" cm="1">
        <f t="array" ref="FL16">_xll.EQNXTDZ($A$1,$B16,FL$1)</f>
        <v>4082.2</v>
      </c>
      <c r="FM16" s="115" cm="1">
        <f t="array" ref="FM16">_xll.EQNXTDZ($A$1,$B16,FM$1)</f>
        <v>5106.7</v>
      </c>
      <c r="FN16" s="115" cm="1">
        <f t="array" ref="FN16">_xll.EQNXTDZ($A$1,$B16,FN$1)</f>
        <v>7050.6</v>
      </c>
      <c r="FO16" s="115" cm="1">
        <f t="array" ref="FO16">_xll.EQNXTDZ($A$1,$B16,FO$1)</f>
        <v>9296.5499999999993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705.5</v>
      </c>
      <c r="HQ16" s="115">
        <f>+I16</f>
        <v>660</v>
      </c>
      <c r="HR16" s="115">
        <f>+L16</f>
        <v>372.95</v>
      </c>
      <c r="HS16" s="115">
        <f>+O16</f>
        <v>330</v>
      </c>
      <c r="HT16" s="115">
        <f>+R16</f>
        <v>263</v>
      </c>
      <c r="HU16" s="115">
        <f>+U16</f>
        <v>314.39999999999998</v>
      </c>
      <c r="HV16" s="115">
        <f>+X16</f>
        <v>445</v>
      </c>
      <c r="HW16" s="115">
        <f>+AA16</f>
        <v>512.6</v>
      </c>
      <c r="HX16" s="115">
        <f>+AD16</f>
        <v>461</v>
      </c>
      <c r="HY16" s="115">
        <f>+AG16</f>
        <v>505</v>
      </c>
      <c r="HZ16" s="115">
        <f>+AJ16</f>
        <v>398</v>
      </c>
      <c r="IA16" s="115">
        <f>+AM16</f>
        <v>380</v>
      </c>
      <c r="IB16" s="115">
        <f>+AP16</f>
        <v>407.2</v>
      </c>
      <c r="IC16" s="115">
        <f>+AS16</f>
        <v>387.5</v>
      </c>
      <c r="ID16" s="115">
        <f>+AV16</f>
        <v>408.1</v>
      </c>
      <c r="IE16" s="115">
        <f>+AY16</f>
        <v>400</v>
      </c>
      <c r="IF16" s="115">
        <f>+BB16</f>
        <v>376</v>
      </c>
      <c r="IG16" s="115">
        <f>+BE16</f>
        <v>434.05</v>
      </c>
      <c r="IH16" s="115">
        <f>+BH16</f>
        <v>585.29999999999995</v>
      </c>
      <c r="II16" s="115">
        <f>+BK16</f>
        <v>498</v>
      </c>
      <c r="IJ16" s="115">
        <f>+BN16</f>
        <v>899.85</v>
      </c>
      <c r="IK16" s="115">
        <f>+BQ16</f>
        <v>1274.0999999999999</v>
      </c>
      <c r="IL16" s="115">
        <f>+BT16</f>
        <v>872.55</v>
      </c>
      <c r="IM16" s="115">
        <f>+BW16</f>
        <v>777.15</v>
      </c>
      <c r="IN16" s="115">
        <f>+BZ16</f>
        <v>670</v>
      </c>
      <c r="IO16" s="115">
        <f>+CC16</f>
        <v>987.65</v>
      </c>
      <c r="IP16" s="115">
        <f>+CF16</f>
        <v>1338.8</v>
      </c>
      <c r="IQ16" s="115">
        <f>+CI16</f>
        <v>1099.6500000000001</v>
      </c>
      <c r="IR16" s="115">
        <f>+CL16</f>
        <v>939.95</v>
      </c>
      <c r="IS16" s="115">
        <f>+CO16</f>
        <v>938.35</v>
      </c>
      <c r="IT16" s="115">
        <f>+CR16</f>
        <v>417.25</v>
      </c>
      <c r="IU16" s="115">
        <f>+CU16</f>
        <v>481.15</v>
      </c>
      <c r="IV16" s="115">
        <f>+CX16</f>
        <v>798.05</v>
      </c>
      <c r="IW16" s="115">
        <f>+DA16</f>
        <v>787.5</v>
      </c>
      <c r="IX16" s="115">
        <f>+DD16</f>
        <v>833.1</v>
      </c>
      <c r="IY16" s="115">
        <f>+DG16</f>
        <v>925.05</v>
      </c>
      <c r="IZ16" s="115">
        <f>+DJ16</f>
        <v>926.9</v>
      </c>
      <c r="JA16" s="115">
        <f>+DM16</f>
        <v>1029.75</v>
      </c>
      <c r="JB16" s="115">
        <f>+DP16</f>
        <v>1556.9</v>
      </c>
      <c r="JC16" s="115">
        <f>+DS16</f>
        <v>1158.95</v>
      </c>
      <c r="JD16" s="115">
        <f>+DV16</f>
        <v>1260.05</v>
      </c>
      <c r="JE16" s="115">
        <f>+DY16</f>
        <v>1309.1500000000001</v>
      </c>
      <c r="JF16" s="115">
        <f>+EB16</f>
        <v>1451.95</v>
      </c>
      <c r="JG16" s="115">
        <f>+EE16</f>
        <v>2947.45</v>
      </c>
      <c r="JH16" s="115">
        <f>+EH16</f>
        <v>2879</v>
      </c>
      <c r="JI16" s="115">
        <f>+EK16</f>
        <v>3066.75</v>
      </c>
      <c r="JJ16" s="115">
        <f>+EN16</f>
        <v>3296.45</v>
      </c>
      <c r="JK16" s="115">
        <f>EQ16</f>
        <v>5998.15</v>
      </c>
      <c r="JL16" s="115">
        <f>ET16</f>
        <v>5744.6</v>
      </c>
      <c r="JM16" s="115">
        <f>EW16</f>
        <v>4184.5</v>
      </c>
      <c r="JN16" s="115">
        <f>EZ16</f>
        <v>2876</v>
      </c>
      <c r="JO16" s="115">
        <f>FC16</f>
        <v>3432.1</v>
      </c>
      <c r="JP16" s="115">
        <f>FF16</f>
        <v>5927.35</v>
      </c>
      <c r="JQ16" s="115">
        <f>FI16</f>
        <v>5268.95</v>
      </c>
      <c r="JR16" s="115">
        <f>FL16</f>
        <v>4082.2</v>
      </c>
      <c r="JS16" s="115">
        <f>FO16</f>
        <v>9296.5499999999993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824.4</v>
      </c>
      <c r="HQ19" s="115">
        <f t="shared" ref="HQ19:JI21" si="0">+IF(HQ14=0,HQ7,HQ14)</f>
        <v>832</v>
      </c>
      <c r="HR19" s="115">
        <f t="shared" si="0"/>
        <v>668</v>
      </c>
      <c r="HS19" s="115">
        <f t="shared" si="0"/>
        <v>424.9</v>
      </c>
      <c r="HT19" s="115">
        <f t="shared" si="0"/>
        <v>337</v>
      </c>
      <c r="HU19" s="115">
        <f t="shared" si="0"/>
        <v>320</v>
      </c>
      <c r="HV19" s="115">
        <f t="shared" si="0"/>
        <v>466.5</v>
      </c>
      <c r="HW19" s="115">
        <f t="shared" si="0"/>
        <v>598</v>
      </c>
      <c r="HX19" s="115">
        <f t="shared" si="0"/>
        <v>593.35</v>
      </c>
      <c r="HY19" s="115">
        <f t="shared" si="0"/>
        <v>596.95000000000005</v>
      </c>
      <c r="HZ19" s="115">
        <f t="shared" si="0"/>
        <v>544</v>
      </c>
      <c r="IA19" s="115">
        <f t="shared" si="0"/>
        <v>557</v>
      </c>
      <c r="IB19" s="115">
        <f t="shared" si="0"/>
        <v>549</v>
      </c>
      <c r="IC19" s="115">
        <f t="shared" si="0"/>
        <v>456</v>
      </c>
      <c r="ID19" s="115">
        <f t="shared" si="0"/>
        <v>484.9</v>
      </c>
      <c r="IE19" s="115">
        <f t="shared" si="0"/>
        <v>557</v>
      </c>
      <c r="IF19" s="115">
        <f t="shared" si="0"/>
        <v>430</v>
      </c>
      <c r="IG19" s="115">
        <f t="shared" si="0"/>
        <v>508</v>
      </c>
      <c r="IH19" s="115">
        <f t="shared" si="0"/>
        <v>699</v>
      </c>
      <c r="II19" s="115">
        <f t="shared" si="0"/>
        <v>601</v>
      </c>
      <c r="IJ19" s="115">
        <f t="shared" si="0"/>
        <v>999</v>
      </c>
      <c r="IK19" s="115">
        <f t="shared" si="0"/>
        <v>1360</v>
      </c>
      <c r="IL19" s="115">
        <f t="shared" si="0"/>
        <v>1389</v>
      </c>
      <c r="IM19" s="115">
        <f t="shared" si="0"/>
        <v>1049</v>
      </c>
      <c r="IN19" s="115">
        <f t="shared" si="0"/>
        <v>849</v>
      </c>
      <c r="IO19" s="115">
        <f t="shared" si="0"/>
        <v>1035</v>
      </c>
      <c r="IP19" s="115">
        <f t="shared" si="0"/>
        <v>1439.75</v>
      </c>
      <c r="IQ19" s="115">
        <f t="shared" si="0"/>
        <v>1369.95</v>
      </c>
      <c r="IR19" s="115">
        <f t="shared" si="0"/>
        <v>1158.95</v>
      </c>
      <c r="IS19" s="115">
        <f t="shared" si="0"/>
        <v>995</v>
      </c>
      <c r="IT19" s="115">
        <f t="shared" si="0"/>
        <v>1050</v>
      </c>
      <c r="IU19" s="115">
        <f t="shared" si="0"/>
        <v>600</v>
      </c>
      <c r="IV19" s="115">
        <f t="shared" si="0"/>
        <v>877</v>
      </c>
      <c r="IW19" s="115">
        <f t="shared" si="0"/>
        <v>880</v>
      </c>
      <c r="IX19" s="115">
        <f t="shared" si="0"/>
        <v>862</v>
      </c>
      <c r="IY19" s="115">
        <f t="shared" si="0"/>
        <v>990</v>
      </c>
      <c r="IZ19" s="115">
        <f t="shared" si="0"/>
        <v>1160</v>
      </c>
      <c r="JA19" s="115">
        <f t="shared" si="0"/>
        <v>1472.95</v>
      </c>
      <c r="JB19" s="115">
        <f t="shared" si="0"/>
        <v>1750</v>
      </c>
      <c r="JC19" s="115">
        <f t="shared" si="0"/>
        <v>1835</v>
      </c>
      <c r="JD19" s="115">
        <f t="shared" si="0"/>
        <v>1438</v>
      </c>
      <c r="JE19" s="115">
        <f t="shared" si="0"/>
        <v>1375.9</v>
      </c>
      <c r="JF19" s="115">
        <f t="shared" si="0"/>
        <v>1615</v>
      </c>
      <c r="JG19" s="115">
        <f t="shared" si="0"/>
        <v>3009</v>
      </c>
      <c r="JH19" s="115">
        <f t="shared" si="0"/>
        <v>3030</v>
      </c>
      <c r="JI19" s="115">
        <f t="shared" si="0"/>
        <v>3290</v>
      </c>
      <c r="JJ19" s="115">
        <f t="shared" ref="JJ19:JJ21" si="1">+IF(JJ14=0,JJ7,JJ14)</f>
        <v>3659</v>
      </c>
      <c r="JK19" s="115">
        <f t="shared" ref="JK19" si="2">+IF(JK14=0,JK7,JK14)</f>
        <v>6443</v>
      </c>
      <c r="JL19" s="115">
        <f t="shared" ref="JL19:JM19" si="3">+IF(JL14=0,JL7,JL14)</f>
        <v>6399</v>
      </c>
      <c r="JM19" s="115">
        <f t="shared" si="3"/>
        <v>6100</v>
      </c>
      <c r="JN19" s="115">
        <f t="shared" ref="JN19:JO19" si="4">+IF(JN14=0,JN7,JN14)</f>
        <v>4376</v>
      </c>
      <c r="JO19" s="115">
        <f t="shared" si="4"/>
        <v>3990</v>
      </c>
      <c r="JP19" s="115">
        <f t="shared" ref="JP19:KH21" si="5">+IF(JP14=0,JP7,JP14)</f>
        <v>6385.85</v>
      </c>
      <c r="JQ19" s="115">
        <f t="shared" si="5"/>
        <v>6660</v>
      </c>
      <c r="JR19" s="115">
        <f t="shared" si="5"/>
        <v>5940</v>
      </c>
      <c r="JS19" s="115">
        <f t="shared" si="5"/>
        <v>10846.15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651</v>
      </c>
      <c r="HQ20" s="115">
        <f t="shared" si="6"/>
        <v>640</v>
      </c>
      <c r="HR20" s="115">
        <f t="shared" si="6"/>
        <v>361.1</v>
      </c>
      <c r="HS20" s="115">
        <f t="shared" si="6"/>
        <v>318.25</v>
      </c>
      <c r="HT20" s="115">
        <f t="shared" si="6"/>
        <v>207.2</v>
      </c>
      <c r="HU20" s="115">
        <f t="shared" si="6"/>
        <v>231</v>
      </c>
      <c r="HV20" s="115">
        <f t="shared" si="6"/>
        <v>305.5</v>
      </c>
      <c r="HW20" s="115">
        <f t="shared" si="6"/>
        <v>451</v>
      </c>
      <c r="HX20" s="115">
        <f t="shared" si="6"/>
        <v>400.05</v>
      </c>
      <c r="HY20" s="115">
        <f t="shared" si="6"/>
        <v>420</v>
      </c>
      <c r="HZ20" s="115">
        <f t="shared" si="6"/>
        <v>340.2</v>
      </c>
      <c r="IA20" s="115">
        <f t="shared" si="6"/>
        <v>340</v>
      </c>
      <c r="IB20" s="115">
        <f t="shared" si="6"/>
        <v>385</v>
      </c>
      <c r="IC20" s="115">
        <f t="shared" si="6"/>
        <v>340</v>
      </c>
      <c r="ID20" s="115">
        <f t="shared" si="6"/>
        <v>345.2</v>
      </c>
      <c r="IE20" s="115">
        <f t="shared" si="6"/>
        <v>370</v>
      </c>
      <c r="IF20" s="115">
        <f t="shared" si="0"/>
        <v>352</v>
      </c>
      <c r="IG20" s="115">
        <f t="shared" si="0"/>
        <v>354</v>
      </c>
      <c r="IH20" s="115">
        <f t="shared" si="0"/>
        <v>408.5</v>
      </c>
      <c r="II20" s="115">
        <f t="shared" si="0"/>
        <v>470.1</v>
      </c>
      <c r="IJ20" s="115">
        <f t="shared" si="0"/>
        <v>484.6</v>
      </c>
      <c r="IK20" s="115">
        <f t="shared" si="0"/>
        <v>770</v>
      </c>
      <c r="IL20" s="115">
        <f t="shared" si="0"/>
        <v>830</v>
      </c>
      <c r="IM20" s="115">
        <f t="shared" si="0"/>
        <v>751</v>
      </c>
      <c r="IN20" s="115">
        <f t="shared" si="0"/>
        <v>650</v>
      </c>
      <c r="IO20" s="115">
        <f t="shared" si="0"/>
        <v>627.1</v>
      </c>
      <c r="IP20" s="115">
        <f t="shared" si="0"/>
        <v>970</v>
      </c>
      <c r="IQ20" s="115">
        <f t="shared" si="0"/>
        <v>992.05</v>
      </c>
      <c r="IR20" s="115">
        <f t="shared" si="0"/>
        <v>740.05</v>
      </c>
      <c r="IS20" s="115">
        <f t="shared" si="0"/>
        <v>740</v>
      </c>
      <c r="IT20" s="115">
        <f t="shared" si="0"/>
        <v>340</v>
      </c>
      <c r="IU20" s="115">
        <f t="shared" si="0"/>
        <v>402</v>
      </c>
      <c r="IV20" s="115">
        <f t="shared" si="0"/>
        <v>480</v>
      </c>
      <c r="IW20" s="115">
        <f t="shared" si="0"/>
        <v>700</v>
      </c>
      <c r="IX20" s="115">
        <f t="shared" si="0"/>
        <v>750</v>
      </c>
      <c r="IY20" s="115">
        <f t="shared" si="0"/>
        <v>765</v>
      </c>
      <c r="IZ20" s="115">
        <f t="shared" si="0"/>
        <v>852.05</v>
      </c>
      <c r="JA20" s="115">
        <f t="shared" si="0"/>
        <v>862.85</v>
      </c>
      <c r="JB20" s="115">
        <f t="shared" si="0"/>
        <v>1045.05</v>
      </c>
      <c r="JC20" s="115">
        <f t="shared" si="0"/>
        <v>1000</v>
      </c>
      <c r="JD20" s="115">
        <f t="shared" si="0"/>
        <v>1043.05</v>
      </c>
      <c r="JE20" s="115">
        <f t="shared" si="0"/>
        <v>1132.4000000000001</v>
      </c>
      <c r="JF20" s="115">
        <f t="shared" si="0"/>
        <v>1266.05</v>
      </c>
      <c r="JG20" s="115">
        <f t="shared" si="0"/>
        <v>1420</v>
      </c>
      <c r="JH20" s="115">
        <f t="shared" si="0"/>
        <v>2374</v>
      </c>
      <c r="JI20" s="115">
        <f t="shared" si="0"/>
        <v>2660</v>
      </c>
      <c r="JJ20" s="115">
        <f t="shared" si="1"/>
        <v>2910</v>
      </c>
      <c r="JK20" s="115">
        <f t="shared" ref="JK20" si="7">+IF(JK15=0,JK8,JK15)</f>
        <v>3126.1</v>
      </c>
      <c r="JL20" s="115">
        <f t="shared" ref="JL20:JM20" si="8">+IF(JL15=0,JL8,JL15)</f>
        <v>4551</v>
      </c>
      <c r="JM20" s="115">
        <f t="shared" si="8"/>
        <v>4105</v>
      </c>
      <c r="JN20" s="115">
        <f t="shared" ref="JN20:JO20" si="9">+IF(JN15=0,JN8,JN15)</f>
        <v>2383</v>
      </c>
      <c r="JO20" s="115">
        <f t="shared" si="9"/>
        <v>2619.9</v>
      </c>
      <c r="JP20" s="115">
        <f t="shared" ref="JP20" si="10">+IF(JP15=0,JP8,JP15)</f>
        <v>3402.1</v>
      </c>
      <c r="JQ20" s="115">
        <f t="shared" si="5"/>
        <v>4525</v>
      </c>
      <c r="JR20" s="115">
        <f t="shared" si="5"/>
        <v>4041.05</v>
      </c>
      <c r="JS20" s="115">
        <f t="shared" si="5"/>
        <v>4152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705.5</v>
      </c>
      <c r="HQ21" s="115">
        <f t="shared" si="0"/>
        <v>660</v>
      </c>
      <c r="HR21" s="115">
        <f t="shared" si="0"/>
        <v>372.95</v>
      </c>
      <c r="HS21" s="115">
        <f t="shared" si="0"/>
        <v>330</v>
      </c>
      <c r="HT21" s="115">
        <f t="shared" si="0"/>
        <v>263</v>
      </c>
      <c r="HU21" s="115">
        <f t="shared" si="0"/>
        <v>314.39999999999998</v>
      </c>
      <c r="HV21" s="115">
        <f t="shared" si="0"/>
        <v>445</v>
      </c>
      <c r="HW21" s="115">
        <f t="shared" si="0"/>
        <v>512.6</v>
      </c>
      <c r="HX21" s="115">
        <f t="shared" si="0"/>
        <v>461</v>
      </c>
      <c r="HY21" s="115">
        <f t="shared" si="0"/>
        <v>505</v>
      </c>
      <c r="HZ21" s="115">
        <f t="shared" si="0"/>
        <v>398</v>
      </c>
      <c r="IA21" s="115">
        <f t="shared" si="0"/>
        <v>380</v>
      </c>
      <c r="IB21" s="115">
        <f t="shared" si="0"/>
        <v>407.2</v>
      </c>
      <c r="IC21" s="115">
        <f t="shared" si="0"/>
        <v>387.5</v>
      </c>
      <c r="ID21" s="115">
        <f t="shared" si="0"/>
        <v>408.1</v>
      </c>
      <c r="IE21" s="115">
        <f t="shared" si="0"/>
        <v>400</v>
      </c>
      <c r="IF21" s="115">
        <f t="shared" si="0"/>
        <v>376</v>
      </c>
      <c r="IG21" s="115">
        <f t="shared" si="0"/>
        <v>434.05</v>
      </c>
      <c r="IH21" s="115">
        <f t="shared" si="0"/>
        <v>585.29999999999995</v>
      </c>
      <c r="II21" s="115">
        <f t="shared" si="0"/>
        <v>498</v>
      </c>
      <c r="IJ21" s="115">
        <f t="shared" si="0"/>
        <v>899.85</v>
      </c>
      <c r="IK21" s="115">
        <f t="shared" si="0"/>
        <v>1274.0999999999999</v>
      </c>
      <c r="IL21" s="115">
        <f t="shared" si="0"/>
        <v>872.55</v>
      </c>
      <c r="IM21" s="115">
        <f t="shared" si="0"/>
        <v>777.15</v>
      </c>
      <c r="IN21" s="115">
        <f t="shared" si="0"/>
        <v>670</v>
      </c>
      <c r="IO21" s="115">
        <f t="shared" si="0"/>
        <v>987.65</v>
      </c>
      <c r="IP21" s="115">
        <f t="shared" si="0"/>
        <v>1338.8</v>
      </c>
      <c r="IQ21" s="115">
        <f t="shared" si="0"/>
        <v>1099.6500000000001</v>
      </c>
      <c r="IR21" s="115">
        <f t="shared" si="0"/>
        <v>939.95</v>
      </c>
      <c r="IS21" s="115">
        <f t="shared" si="0"/>
        <v>938.35</v>
      </c>
      <c r="IT21" s="115">
        <f t="shared" si="0"/>
        <v>417.25</v>
      </c>
      <c r="IU21" s="115">
        <f t="shared" si="0"/>
        <v>481.15</v>
      </c>
      <c r="IV21" s="115">
        <f t="shared" si="0"/>
        <v>798.05</v>
      </c>
      <c r="IW21" s="115">
        <f t="shared" si="0"/>
        <v>787.5</v>
      </c>
      <c r="IX21" s="115">
        <f t="shared" si="0"/>
        <v>833.1</v>
      </c>
      <c r="IY21" s="115">
        <f t="shared" si="0"/>
        <v>925.05</v>
      </c>
      <c r="IZ21" s="115">
        <f t="shared" si="0"/>
        <v>926.9</v>
      </c>
      <c r="JA21" s="115">
        <f t="shared" si="0"/>
        <v>1029.75</v>
      </c>
      <c r="JB21" s="115">
        <f t="shared" si="0"/>
        <v>1556.9</v>
      </c>
      <c r="JC21" s="115">
        <f t="shared" si="0"/>
        <v>1158.95</v>
      </c>
      <c r="JD21" s="115">
        <f t="shared" si="0"/>
        <v>1260.05</v>
      </c>
      <c r="JE21" s="115">
        <f t="shared" si="0"/>
        <v>1309.1500000000001</v>
      </c>
      <c r="JF21" s="115">
        <f t="shared" si="0"/>
        <v>1451.95</v>
      </c>
      <c r="JG21" s="115">
        <f t="shared" si="0"/>
        <v>2947.45</v>
      </c>
      <c r="JH21" s="115">
        <f t="shared" si="0"/>
        <v>2879</v>
      </c>
      <c r="JI21" s="115">
        <f t="shared" si="0"/>
        <v>3066.75</v>
      </c>
      <c r="JJ21" s="115">
        <f t="shared" si="1"/>
        <v>3296.45</v>
      </c>
      <c r="JK21" s="115">
        <f t="shared" ref="JK21" si="11">+IF(JK16=0,JK9,JK16)</f>
        <v>5998.15</v>
      </c>
      <c r="JL21" s="115">
        <f t="shared" ref="JL21:JM21" si="12">+IF(JL16=0,JL9,JL16)</f>
        <v>5744.6</v>
      </c>
      <c r="JM21" s="115">
        <f t="shared" si="12"/>
        <v>4184.5</v>
      </c>
      <c r="JN21" s="115">
        <f t="shared" ref="JN21:JO21" si="13">+IF(JN16=0,JN9,JN16)</f>
        <v>2876</v>
      </c>
      <c r="JO21" s="115">
        <f t="shared" si="13"/>
        <v>3432.1</v>
      </c>
      <c r="JP21" s="115">
        <f t="shared" ref="JP21" si="14">+IF(JP16=0,JP9,JP16)</f>
        <v>5927.35</v>
      </c>
      <c r="JQ21" s="115">
        <f t="shared" si="5"/>
        <v>5268.95</v>
      </c>
      <c r="JR21" s="115">
        <f t="shared" si="5"/>
        <v>4082.2</v>
      </c>
      <c r="JS21" s="115">
        <f t="shared" si="5"/>
        <v>9296.5499999999993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100147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4937813</v>
      </c>
      <c r="D6" cm="1">
        <f t="array" ref="D6">_xll.EQNXTDZ($A$1,$B6,D$1)</f>
        <v>4937813</v>
      </c>
      <c r="E6" cm="1">
        <f t="array" ref="E6">_xll.EQNXTDZ($A$1,$B6,E$1)</f>
        <v>4937813</v>
      </c>
      <c r="F6" cm="1">
        <f t="array" ref="F6">_xll.EQNXTDZ($A$1,$B6,F$1)</f>
        <v>4937815</v>
      </c>
      <c r="G6" cm="1">
        <f t="array" ref="G6">_xll.EQNXTDZ($A$1,$B6,G$1)</f>
        <v>4937813</v>
      </c>
      <c r="H6" cm="1">
        <f t="array" ref="H6">_xll.EQNXTDZ($A$1,$B6,H$1)</f>
        <v>4937813</v>
      </c>
      <c r="I6" cm="1">
        <f t="array" ref="I6">_xll.EQNXTDZ($A$1,$B6,I$1)</f>
        <v>4937813</v>
      </c>
      <c r="J6" cm="1">
        <f t="array" ref="J6">_xll.EQNXTDZ($A$1,$B6,J$1)</f>
        <v>4937813</v>
      </c>
      <c r="K6" cm="1">
        <f t="array" ref="K6">_xll.EQNXTDZ($A$1,$B6,K$1)</f>
        <v>4937813</v>
      </c>
      <c r="L6" cm="1">
        <f t="array" ref="L6">_xll.EQNXTDZ($A$1,$B6,L$1)</f>
        <v>4937813</v>
      </c>
      <c r="M6" cm="1">
        <f t="array" ref="M6">_xll.EQNXTDZ($A$1,$B6,M$1)</f>
        <v>4937813</v>
      </c>
      <c r="N6" cm="1">
        <f t="array" ref="N6">_xll.EQNXTDZ($A$1,$B6,N$1)</f>
        <v>4937813</v>
      </c>
      <c r="O6" cm="1">
        <f t="array" ref="O6">_xll.EQNXTDZ($A$1,$B6,O$1)</f>
        <v>4937813</v>
      </c>
      <c r="P6" cm="1">
        <f t="array" ref="P6">_xll.EQNXTDZ($A$1,$B6,P$1)</f>
        <v>4937813</v>
      </c>
      <c r="Q6" cm="1">
        <f t="array" ref="Q6">_xll.EQNXTDZ($A$1,$B6,Q$1)</f>
        <v>4937813</v>
      </c>
      <c r="R6" cm="1">
        <f t="array" ref="R6">_xll.EQNXTDZ($A$1,$B6,R$1)</f>
        <v>4937813</v>
      </c>
      <c r="S6" cm="1">
        <f t="array" ref="S6">_xll.EQNXTDZ($A$1,$B6,S$1)</f>
        <v>4937813</v>
      </c>
      <c r="T6" cm="1">
        <f t="array" ref="T6">_xll.EQNXTDZ($A$1,$B6,T$1)</f>
        <v>4937813</v>
      </c>
      <c r="U6" cm="1">
        <f t="array" ref="U6">_xll.EQNXTDZ($A$1,$B6,U$1)</f>
        <v>4937813</v>
      </c>
      <c r="V6" cm="1">
        <f t="array" ref="V6">_xll.EQNXTDZ($A$1,$B6,V$1)</f>
        <v>4937813</v>
      </c>
      <c r="W6" cm="1">
        <f t="array" ref="W6">_xll.EQNXTDZ($A$1,$B6,W$1)</f>
        <v>4937813</v>
      </c>
      <c r="X6" cm="1">
        <f t="array" ref="X6">_xll.EQNXTDZ($A$1,$B6,X$1)</f>
        <v>4937813</v>
      </c>
      <c r="Y6" cm="1">
        <f t="array" ref="Y6">_xll.EQNXTDZ($A$1,$B6,Y$1)</f>
        <v>4937813</v>
      </c>
      <c r="Z6" cm="1">
        <f t="array" ref="Z6">_xll.EQNXTDZ($A$1,$B6,Z$1)</f>
        <v>4937813</v>
      </c>
      <c r="AA6" cm="1">
        <f t="array" ref="AA6">_xll.EQNXTDZ($A$1,$B6,AA$1)</f>
        <v>4937813</v>
      </c>
      <c r="AB6" cm="1">
        <f t="array" ref="AB6">_xll.EQNXTDZ($A$1,$B6,AB$1)</f>
        <v>4937813</v>
      </c>
      <c r="AC6" cm="1">
        <f t="array" ref="AC6">_xll.EQNXTDZ($A$1,$B6,AC$1)</f>
        <v>4937813</v>
      </c>
      <c r="AD6" cm="1">
        <f t="array" ref="AD6">_xll.EQNXTDZ($A$1,$B6,AD$1)</f>
        <v>4937813</v>
      </c>
      <c r="AE6" cm="1">
        <f t="array" ref="AE6">_xll.EQNXTDZ($A$1,$B6,AE$1)</f>
        <v>4937813</v>
      </c>
      <c r="AF6" cm="1">
        <f t="array" ref="AF6">_xll.EQNXTDZ($A$1,$B6,AF$1)</f>
        <v>4937813</v>
      </c>
      <c r="AG6" cm="1">
        <f t="array" ref="AG6">_xll.EQNXTDZ($A$1,$B6,AG$1)</f>
        <v>4937813</v>
      </c>
      <c r="AH6" cm="1">
        <f t="array" ref="AH6">_xll.EQNXTDZ($A$1,$B6,AH$1)</f>
        <v>4937813</v>
      </c>
      <c r="AI6" cm="1">
        <f t="array" ref="AI6">_xll.EQNXTDZ($A$1,$B6,AI$1)</f>
        <v>4937813</v>
      </c>
      <c r="AJ6" cm="1">
        <f t="array" ref="AJ6">_xll.EQNXTDZ($A$1,$B6,AJ$1)</f>
        <v>4937813</v>
      </c>
      <c r="AK6" cm="1">
        <f t="array" ref="AK6">_xll.EQNXTDZ($A$1,$B6,AK$1)</f>
        <v>4937813</v>
      </c>
      <c r="AL6" cm="1">
        <f t="array" ref="AL6">_xll.EQNXTDZ($A$1,$B6,AL$1)</f>
        <v>4937813</v>
      </c>
      <c r="AM6" cm="1">
        <f t="array" ref="AM6">_xll.EQNXTDZ($A$1,$B6,AM$1)</f>
        <v>4937813</v>
      </c>
      <c r="AN6" cm="1">
        <f t="array" ref="AN6">_xll.EQNXTDZ($A$1,$B6,AN$1)</f>
        <v>4937813</v>
      </c>
      <c r="AO6" cm="1">
        <f t="array" ref="AO6">_xll.EQNXTDZ($A$1,$B6,AO$1)</f>
        <v>4937813</v>
      </c>
      <c r="AP6" cm="1">
        <f t="array" ref="AP6">_xll.EQNXTDZ($A$1,$B6,AP$1)</f>
        <v>4937813</v>
      </c>
      <c r="AQ6" cm="1">
        <f t="array" ref="AQ6">_xll.EQNXTDZ($A$1,$B6,AQ$1)</f>
        <v>4937813</v>
      </c>
      <c r="AR6" cm="1">
        <f t="array" ref="AR6">_xll.EQNXTDZ($A$1,$B6,AR$1)</f>
        <v>4937813</v>
      </c>
      <c r="AS6" cm="1">
        <f t="array" ref="AS6">_xll.EQNXTDZ($A$1,$B6,AS$1)</f>
        <v>4937813</v>
      </c>
      <c r="AT6" cm="1">
        <f t="array" ref="AT6">_xll.EQNXTDZ($A$1,$B6,AT$1)</f>
        <v>4937813</v>
      </c>
      <c r="AU6" cm="1">
        <f t="array" ref="AU6">_xll.EQNXTDZ($A$1,$B6,AU$1)</f>
        <v>4937813</v>
      </c>
      <c r="AV6" cm="1">
        <f t="array" ref="AV6">_xll.EQNXTDZ($A$1,$B6,AV$1)</f>
        <v>4937813</v>
      </c>
      <c r="AW6" cm="1">
        <f t="array" ref="AW6">_xll.EQNXTDZ($A$1,$B6,AW$1)</f>
        <v>4937813</v>
      </c>
      <c r="AX6" cm="1">
        <f t="array" ref="AX6">_xll.EQNXTDZ($A$1,$B6,AX$1)</f>
        <v>4937813</v>
      </c>
      <c r="AY6" cm="1">
        <f t="array" ref="AY6">_xll.EQNXTDZ($A$1,$B6,AY$1)</f>
        <v>4937813</v>
      </c>
    </row>
    <row r="7" spans="1:51" x14ac:dyDescent="0.25">
      <c r="B7" t="s">
        <v>429</v>
      </c>
      <c r="C7" s="99">
        <f>+C6/10^7</f>
        <v>0.49378129999999998</v>
      </c>
      <c r="D7" s="99">
        <f t="shared" ref="D7:X7" si="0">+D6/10^7</f>
        <v>0.49378129999999998</v>
      </c>
      <c r="E7" s="99">
        <f t="shared" si="0"/>
        <v>0.49378129999999998</v>
      </c>
      <c r="F7" s="99">
        <f t="shared" si="0"/>
        <v>0.49378149999999998</v>
      </c>
      <c r="G7" s="99">
        <f t="shared" si="0"/>
        <v>0.49378129999999998</v>
      </c>
      <c r="H7" s="99">
        <f t="shared" si="0"/>
        <v>0.49378129999999998</v>
      </c>
      <c r="I7" s="99">
        <f t="shared" si="0"/>
        <v>0.49378129999999998</v>
      </c>
      <c r="J7" s="99">
        <f t="shared" si="0"/>
        <v>0.49378129999999998</v>
      </c>
      <c r="K7" s="99">
        <f t="shared" si="0"/>
        <v>0.49378129999999998</v>
      </c>
      <c r="L7" s="99">
        <f t="shared" si="0"/>
        <v>0.49378129999999998</v>
      </c>
      <c r="M7" s="99">
        <f t="shared" si="0"/>
        <v>0.49378129999999998</v>
      </c>
      <c r="N7" s="99">
        <f t="shared" si="0"/>
        <v>0.49378129999999998</v>
      </c>
      <c r="O7" s="99">
        <f t="shared" si="0"/>
        <v>0.49378129999999998</v>
      </c>
      <c r="P7" s="99">
        <f t="shared" si="0"/>
        <v>0.49378129999999998</v>
      </c>
      <c r="Q7" s="99">
        <f t="shared" si="0"/>
        <v>0.49378129999999998</v>
      </c>
      <c r="R7" s="99">
        <f t="shared" si="0"/>
        <v>0.49378129999999998</v>
      </c>
      <c r="S7" s="99">
        <f t="shared" si="0"/>
        <v>0.49378129999999998</v>
      </c>
      <c r="T7" s="99">
        <f t="shared" si="0"/>
        <v>0.49378129999999998</v>
      </c>
      <c r="U7" s="99">
        <f t="shared" si="0"/>
        <v>0.49378129999999998</v>
      </c>
      <c r="V7" s="99">
        <f t="shared" si="0"/>
        <v>0.49378129999999998</v>
      </c>
      <c r="W7" s="99">
        <f t="shared" si="0"/>
        <v>0.49378129999999998</v>
      </c>
      <c r="X7" s="99">
        <f t="shared" si="0"/>
        <v>0.49378129999999998</v>
      </c>
      <c r="Y7" s="99">
        <f t="shared" ref="Y7:AS7" si="1">+Y6/10^7</f>
        <v>0.49378129999999998</v>
      </c>
      <c r="Z7" s="99">
        <f t="shared" si="1"/>
        <v>0.49378129999999998</v>
      </c>
      <c r="AA7" s="99">
        <f t="shared" si="1"/>
        <v>0.49378129999999998</v>
      </c>
      <c r="AB7" s="99">
        <f t="shared" si="1"/>
        <v>0.49378129999999998</v>
      </c>
      <c r="AC7" s="99">
        <f t="shared" si="1"/>
        <v>0.49378129999999998</v>
      </c>
      <c r="AD7" s="99">
        <f t="shared" si="1"/>
        <v>0.49378129999999998</v>
      </c>
      <c r="AE7" s="99">
        <f t="shared" si="1"/>
        <v>0.49378129999999998</v>
      </c>
      <c r="AF7" s="99">
        <f t="shared" si="1"/>
        <v>0.49378129999999998</v>
      </c>
      <c r="AG7" s="99">
        <f t="shared" si="1"/>
        <v>0.49378129999999998</v>
      </c>
      <c r="AH7" s="99">
        <f t="shared" si="1"/>
        <v>0.49378129999999998</v>
      </c>
      <c r="AI7" s="99">
        <f t="shared" si="1"/>
        <v>0.49378129999999998</v>
      </c>
      <c r="AJ7" s="99">
        <f t="shared" si="1"/>
        <v>0.49378129999999998</v>
      </c>
      <c r="AK7" s="99">
        <f t="shared" si="1"/>
        <v>0.49378129999999998</v>
      </c>
      <c r="AL7" s="99">
        <f t="shared" si="1"/>
        <v>0.49378129999999998</v>
      </c>
      <c r="AM7" s="99">
        <f t="shared" si="1"/>
        <v>0.49378129999999998</v>
      </c>
      <c r="AN7" s="99">
        <f t="shared" si="1"/>
        <v>0.49378129999999998</v>
      </c>
      <c r="AO7" s="99">
        <f t="shared" si="1"/>
        <v>0.49378129999999998</v>
      </c>
      <c r="AP7" s="99">
        <f t="shared" si="1"/>
        <v>0.49378129999999998</v>
      </c>
      <c r="AQ7" s="99">
        <f t="shared" si="1"/>
        <v>0.49378129999999998</v>
      </c>
      <c r="AR7" s="99">
        <f t="shared" si="1"/>
        <v>0.49378129999999998</v>
      </c>
      <c r="AS7" s="99">
        <f t="shared" si="1"/>
        <v>0.49378129999999998</v>
      </c>
      <c r="AT7" s="99">
        <f t="shared" ref="AT7:AX7" si="2">+AT6/10^7</f>
        <v>0.49378129999999998</v>
      </c>
      <c r="AU7" s="99">
        <f t="shared" si="2"/>
        <v>0.49378129999999998</v>
      </c>
      <c r="AV7" s="99">
        <f t="shared" si="2"/>
        <v>0.49378129999999998</v>
      </c>
      <c r="AW7" s="99">
        <f t="shared" si="2"/>
        <v>0.49378129999999998</v>
      </c>
      <c r="AX7" s="99">
        <f t="shared" si="2"/>
        <v>0.49378129999999998</v>
      </c>
      <c r="AY7" s="99">
        <f t="shared" ref="AY7" si="3">+AY6/10^7</f>
        <v>0.49378129999999998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100147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0" t="s">
        <v>558</v>
      </c>
      <c r="L2" s="160" t="s">
        <v>558</v>
      </c>
    </row>
    <row r="3" spans="1:18" x14ac:dyDescent="0.25">
      <c r="A3" s="161" t="s">
        <v>515</v>
      </c>
      <c r="B3" s="162" t="s">
        <v>517</v>
      </c>
      <c r="C3" s="162" t="s">
        <v>516</v>
      </c>
      <c r="D3" s="162" t="s">
        <v>518</v>
      </c>
      <c r="E3" s="162" t="s">
        <v>519</v>
      </c>
      <c r="F3" s="162" t="s">
        <v>520</v>
      </c>
      <c r="G3" s="162" t="s">
        <v>521</v>
      </c>
      <c r="H3" s="162"/>
      <c r="I3" s="162"/>
      <c r="J3" s="162"/>
      <c r="K3" s="162"/>
      <c r="L3" s="161" t="s">
        <v>515</v>
      </c>
      <c r="M3" s="163" t="s">
        <v>516</v>
      </c>
      <c r="N3" s="163" t="s">
        <v>517</v>
      </c>
      <c r="O3" s="163" t="s">
        <v>518</v>
      </c>
      <c r="P3" s="163" t="s">
        <v>519</v>
      </c>
      <c r="Q3" s="163" t="s">
        <v>520</v>
      </c>
      <c r="R3" s="162" t="s">
        <v>521</v>
      </c>
    </row>
    <row r="4" spans="1:18" x14ac:dyDescent="0.25">
      <c r="A4" s="160">
        <v>42005</v>
      </c>
      <c r="B4" s="115">
        <v>525</v>
      </c>
      <c r="C4" s="115">
        <v>523.1</v>
      </c>
      <c r="D4" s="115">
        <v>502.05</v>
      </c>
      <c r="E4" s="115">
        <v>507</v>
      </c>
      <c r="F4" s="115">
        <v>523.1</v>
      </c>
      <c r="G4">
        <v>1023</v>
      </c>
      <c r="H4" s="115"/>
      <c r="I4" s="115"/>
      <c r="L4" s="160">
        <v>46133</v>
      </c>
      <c r="M4" s="115">
        <v>5212.6499999999996</v>
      </c>
      <c r="N4" s="115">
        <v>5286.75</v>
      </c>
      <c r="O4" s="115">
        <v>5161</v>
      </c>
      <c r="P4" s="115">
        <v>5204.6000000000004</v>
      </c>
      <c r="Q4" s="115">
        <v>5212.6499999999996</v>
      </c>
      <c r="R4">
        <v>862</v>
      </c>
    </row>
    <row r="5" spans="1:18" x14ac:dyDescent="0.25">
      <c r="A5" s="160">
        <v>42006</v>
      </c>
      <c r="B5" s="115">
        <v>529</v>
      </c>
      <c r="C5" s="115">
        <v>522.1</v>
      </c>
      <c r="D5" s="115">
        <v>498</v>
      </c>
      <c r="E5" s="115">
        <v>498</v>
      </c>
      <c r="F5" s="115">
        <v>522.1</v>
      </c>
      <c r="G5">
        <v>885</v>
      </c>
      <c r="H5" s="115"/>
      <c r="I5" s="115"/>
      <c r="L5" s="160">
        <v>46134</v>
      </c>
      <c r="M5" s="115">
        <v>5277.35</v>
      </c>
      <c r="N5" s="115">
        <v>5293</v>
      </c>
      <c r="O5" s="115">
        <v>5207</v>
      </c>
      <c r="P5" s="115">
        <v>5224.95</v>
      </c>
      <c r="Q5" s="115">
        <v>5277.35</v>
      </c>
      <c r="R5">
        <v>2861</v>
      </c>
    </row>
    <row r="6" spans="1:18" x14ac:dyDescent="0.25">
      <c r="A6" s="160">
        <v>42009</v>
      </c>
      <c r="B6" s="115">
        <v>516.5</v>
      </c>
      <c r="C6" s="115">
        <v>504.05</v>
      </c>
      <c r="D6" s="115">
        <v>501.2</v>
      </c>
      <c r="E6" s="115">
        <v>510.05</v>
      </c>
      <c r="F6" s="115">
        <v>504.05</v>
      </c>
      <c r="G6">
        <v>1722</v>
      </c>
      <c r="H6" s="115"/>
      <c r="I6" s="115"/>
      <c r="L6" s="160">
        <v>46135</v>
      </c>
      <c r="M6" s="115">
        <v>5213.95</v>
      </c>
      <c r="N6" s="115">
        <v>5292.95</v>
      </c>
      <c r="O6" s="115">
        <v>5108.1499999999996</v>
      </c>
      <c r="P6" s="115">
        <v>5292.95</v>
      </c>
      <c r="Q6" s="115">
        <v>5213.95</v>
      </c>
      <c r="R6">
        <v>1792</v>
      </c>
    </row>
    <row r="7" spans="1:18" x14ac:dyDescent="0.25">
      <c r="A7" s="160">
        <v>42010</v>
      </c>
      <c r="B7" s="115">
        <v>500</v>
      </c>
      <c r="C7" s="115">
        <v>485.95</v>
      </c>
      <c r="D7" s="115">
        <v>480</v>
      </c>
      <c r="E7" s="115">
        <v>480</v>
      </c>
      <c r="F7" s="115">
        <v>485.95</v>
      </c>
      <c r="G7">
        <v>271</v>
      </c>
      <c r="H7" s="115"/>
      <c r="I7" s="115"/>
      <c r="L7" s="160">
        <v>46136</v>
      </c>
      <c r="M7" s="115">
        <v>5136.7</v>
      </c>
      <c r="N7" s="115">
        <v>5238.05</v>
      </c>
      <c r="O7" s="115">
        <v>5015.25</v>
      </c>
      <c r="P7" s="115">
        <v>5160</v>
      </c>
      <c r="Q7" s="115">
        <v>5136.7</v>
      </c>
      <c r="R7">
        <v>1213</v>
      </c>
    </row>
    <row r="8" spans="1:18" x14ac:dyDescent="0.25">
      <c r="A8" s="160">
        <v>42011</v>
      </c>
      <c r="B8" s="115">
        <v>527</v>
      </c>
      <c r="C8" s="115">
        <v>489.7</v>
      </c>
      <c r="D8" s="115">
        <v>475</v>
      </c>
      <c r="E8" s="115">
        <v>527</v>
      </c>
      <c r="F8" s="115">
        <v>489.7</v>
      </c>
      <c r="G8">
        <v>909</v>
      </c>
      <c r="H8" s="115"/>
      <c r="I8" s="115"/>
      <c r="L8" s="160">
        <v>46139</v>
      </c>
      <c r="M8" s="115">
        <v>5173.45</v>
      </c>
      <c r="N8" s="115">
        <v>5265</v>
      </c>
      <c r="O8" s="115">
        <v>5100</v>
      </c>
      <c r="P8" s="115">
        <v>5265</v>
      </c>
      <c r="Q8" s="115">
        <v>5173.45</v>
      </c>
      <c r="R8">
        <v>1202</v>
      </c>
    </row>
    <row r="9" spans="1:18" x14ac:dyDescent="0.25">
      <c r="A9" s="160">
        <v>42012</v>
      </c>
      <c r="B9" s="115">
        <v>513</v>
      </c>
      <c r="C9" s="115">
        <v>505</v>
      </c>
      <c r="D9" s="115">
        <v>498</v>
      </c>
      <c r="E9" s="115">
        <v>513</v>
      </c>
      <c r="F9" s="115">
        <v>505</v>
      </c>
      <c r="G9">
        <v>288</v>
      </c>
      <c r="H9" s="115"/>
      <c r="I9" s="115"/>
      <c r="L9" s="160">
        <v>46140</v>
      </c>
      <c r="M9" s="115">
        <v>5156.5</v>
      </c>
      <c r="N9" s="115">
        <v>5255</v>
      </c>
      <c r="O9" s="115">
        <v>5149.8999999999996</v>
      </c>
      <c r="P9" s="115">
        <v>5250.85</v>
      </c>
      <c r="Q9" s="115">
        <v>5156.5</v>
      </c>
      <c r="R9">
        <v>1836</v>
      </c>
    </row>
    <row r="10" spans="1:18" x14ac:dyDescent="0.25">
      <c r="A10" s="160">
        <v>42013</v>
      </c>
      <c r="B10" s="115">
        <v>529</v>
      </c>
      <c r="C10" s="115">
        <v>508.45</v>
      </c>
      <c r="D10" s="115">
        <v>506.05</v>
      </c>
      <c r="E10" s="115">
        <v>519.9</v>
      </c>
      <c r="F10" s="115">
        <v>508.45</v>
      </c>
      <c r="G10">
        <v>798</v>
      </c>
      <c r="H10" s="115"/>
      <c r="I10" s="115"/>
      <c r="L10" s="160">
        <v>46141</v>
      </c>
      <c r="M10" s="115">
        <v>5174.3999999999996</v>
      </c>
      <c r="N10" s="115">
        <v>5265</v>
      </c>
      <c r="O10" s="115">
        <v>5141.05</v>
      </c>
      <c r="P10" s="115">
        <v>5240.3500000000004</v>
      </c>
      <c r="Q10" s="115">
        <v>5174.3999999999996</v>
      </c>
      <c r="R10">
        <v>1236</v>
      </c>
    </row>
    <row r="11" spans="1:18" x14ac:dyDescent="0.25">
      <c r="A11" s="160">
        <v>42016</v>
      </c>
      <c r="B11" s="115">
        <v>528.9</v>
      </c>
      <c r="C11" s="115">
        <v>525.9</v>
      </c>
      <c r="D11" s="115">
        <v>503.25</v>
      </c>
      <c r="E11" s="115">
        <v>515</v>
      </c>
      <c r="F11" s="115">
        <v>525.9</v>
      </c>
      <c r="G11">
        <v>1396</v>
      </c>
      <c r="H11" s="115"/>
      <c r="I11" s="115"/>
      <c r="L11" s="160">
        <v>46142</v>
      </c>
      <c r="M11" s="115">
        <v>5115.5</v>
      </c>
      <c r="N11" s="115">
        <v>5205.95</v>
      </c>
      <c r="O11" s="115">
        <v>5100</v>
      </c>
      <c r="P11" s="115">
        <v>5205</v>
      </c>
      <c r="Q11" s="115">
        <v>5115.5</v>
      </c>
      <c r="R11">
        <v>1649</v>
      </c>
    </row>
    <row r="12" spans="1:18" x14ac:dyDescent="0.25">
      <c r="A12" s="160">
        <v>42017</v>
      </c>
      <c r="B12" s="115">
        <v>531.9</v>
      </c>
      <c r="C12" s="115">
        <v>522.5</v>
      </c>
      <c r="D12" s="115">
        <v>514</v>
      </c>
      <c r="E12" s="115">
        <v>529</v>
      </c>
      <c r="F12" s="115">
        <v>522.5</v>
      </c>
      <c r="G12">
        <v>2552</v>
      </c>
      <c r="H12" s="115"/>
      <c r="I12" s="115"/>
      <c r="L12" s="160">
        <v>46146</v>
      </c>
      <c r="M12" s="115">
        <v>5086.5</v>
      </c>
      <c r="N12" s="115">
        <v>5169.5</v>
      </c>
      <c r="O12" s="115">
        <v>5061.5</v>
      </c>
      <c r="P12" s="115">
        <v>5116</v>
      </c>
      <c r="Q12" s="115">
        <v>5086.5</v>
      </c>
      <c r="R12">
        <v>2327</v>
      </c>
    </row>
    <row r="13" spans="1:18" x14ac:dyDescent="0.25">
      <c r="A13" s="160">
        <v>42018</v>
      </c>
      <c r="B13" s="115">
        <v>538.79999999999995</v>
      </c>
      <c r="C13" s="115">
        <v>513.79999999999995</v>
      </c>
      <c r="D13" s="115">
        <v>509.75</v>
      </c>
      <c r="E13" s="115">
        <v>538.79999999999995</v>
      </c>
      <c r="F13" s="115">
        <v>513.79999999999995</v>
      </c>
      <c r="G13">
        <v>301</v>
      </c>
      <c r="H13" s="115"/>
      <c r="I13" s="115"/>
      <c r="L13" s="160">
        <v>46147</v>
      </c>
      <c r="M13" s="115">
        <v>5193.5</v>
      </c>
      <c r="N13" s="115">
        <v>5229</v>
      </c>
      <c r="O13" s="115">
        <v>5060</v>
      </c>
      <c r="P13" s="115">
        <v>5060</v>
      </c>
      <c r="Q13" s="115">
        <v>5193.5</v>
      </c>
      <c r="R13">
        <v>1557</v>
      </c>
    </row>
    <row r="14" spans="1:18" x14ac:dyDescent="0.25">
      <c r="A14" s="160">
        <v>42019</v>
      </c>
      <c r="B14" s="115">
        <v>530</v>
      </c>
      <c r="C14" s="115">
        <v>529.9</v>
      </c>
      <c r="D14" s="115">
        <v>515</v>
      </c>
      <c r="E14" s="115">
        <v>515</v>
      </c>
      <c r="F14" s="115">
        <v>529.9</v>
      </c>
      <c r="G14">
        <v>347</v>
      </c>
      <c r="H14" s="115"/>
      <c r="I14" s="115"/>
      <c r="L14" s="160">
        <v>46148</v>
      </c>
      <c r="M14" s="115">
        <v>5191</v>
      </c>
      <c r="N14" s="115">
        <v>5295</v>
      </c>
      <c r="O14" s="115">
        <v>5102</v>
      </c>
      <c r="P14" s="115">
        <v>5250</v>
      </c>
      <c r="Q14" s="115">
        <v>5191</v>
      </c>
      <c r="R14">
        <v>3085</v>
      </c>
    </row>
    <row r="15" spans="1:18" x14ac:dyDescent="0.25">
      <c r="A15" s="160">
        <v>42020</v>
      </c>
      <c r="B15" s="115">
        <v>530</v>
      </c>
      <c r="C15" s="115">
        <v>516.65</v>
      </c>
      <c r="D15" s="115">
        <v>504</v>
      </c>
      <c r="E15" s="115">
        <v>504</v>
      </c>
      <c r="F15" s="115">
        <v>516.65</v>
      </c>
      <c r="G15">
        <v>336</v>
      </c>
      <c r="H15" s="115"/>
      <c r="I15" s="115"/>
      <c r="L15" s="160">
        <v>46149</v>
      </c>
      <c r="M15" s="115">
        <v>5579.5</v>
      </c>
      <c r="N15" s="115">
        <v>5635.5</v>
      </c>
      <c r="O15" s="115">
        <v>5150</v>
      </c>
      <c r="P15" s="115">
        <v>5189</v>
      </c>
      <c r="Q15" s="115">
        <v>5579.5</v>
      </c>
      <c r="R15">
        <v>12923</v>
      </c>
    </row>
    <row r="16" spans="1:18" x14ac:dyDescent="0.25">
      <c r="A16" s="160">
        <v>42023</v>
      </c>
      <c r="B16" s="115">
        <v>537</v>
      </c>
      <c r="C16" s="115">
        <v>527.25</v>
      </c>
      <c r="D16" s="115">
        <v>521</v>
      </c>
      <c r="E16" s="115">
        <v>521</v>
      </c>
      <c r="F16" s="115">
        <v>527.25</v>
      </c>
      <c r="G16">
        <v>393</v>
      </c>
      <c r="H16" s="115"/>
      <c r="I16" s="115"/>
      <c r="L16" s="160">
        <v>46150</v>
      </c>
      <c r="M16" s="115">
        <v>5540.5</v>
      </c>
      <c r="N16" s="115">
        <v>5715</v>
      </c>
      <c r="O16" s="115">
        <v>5479.5</v>
      </c>
      <c r="P16" s="115">
        <v>5596.5</v>
      </c>
      <c r="Q16" s="115">
        <v>5540.5</v>
      </c>
      <c r="R16">
        <v>4622</v>
      </c>
    </row>
    <row r="17" spans="1:18" x14ac:dyDescent="0.25">
      <c r="A17" s="160">
        <v>42024</v>
      </c>
      <c r="B17" s="115">
        <v>544</v>
      </c>
      <c r="C17" s="115">
        <v>536.25</v>
      </c>
      <c r="D17" s="115">
        <v>521</v>
      </c>
      <c r="E17" s="115">
        <v>544</v>
      </c>
      <c r="F17" s="115">
        <v>536.25</v>
      </c>
      <c r="G17">
        <v>581</v>
      </c>
      <c r="H17" s="115"/>
      <c r="I17" s="115"/>
      <c r="L17" s="160">
        <v>46153</v>
      </c>
      <c r="M17" s="115">
        <v>5197.5</v>
      </c>
      <c r="N17" s="115">
        <v>5575</v>
      </c>
      <c r="O17" s="115">
        <v>5121</v>
      </c>
      <c r="P17" s="115">
        <v>5575</v>
      </c>
      <c r="Q17" s="115">
        <v>5197.5</v>
      </c>
      <c r="R17">
        <v>5461</v>
      </c>
    </row>
    <row r="18" spans="1:18" x14ac:dyDescent="0.25">
      <c r="A18" s="160">
        <v>42025</v>
      </c>
      <c r="B18" s="115">
        <v>531</v>
      </c>
      <c r="C18" s="115">
        <v>509.05</v>
      </c>
      <c r="D18" s="115">
        <v>502.1</v>
      </c>
      <c r="E18" s="115">
        <v>520</v>
      </c>
      <c r="F18" s="115">
        <v>509.05</v>
      </c>
      <c r="G18">
        <v>1127</v>
      </c>
      <c r="H18" s="115"/>
      <c r="I18" s="115"/>
      <c r="L18" s="160">
        <v>46154</v>
      </c>
      <c r="M18" s="115">
        <v>5152.5</v>
      </c>
      <c r="N18" s="115">
        <v>5309.5</v>
      </c>
      <c r="O18" s="115">
        <v>5126</v>
      </c>
      <c r="P18" s="115">
        <v>5247</v>
      </c>
      <c r="Q18" s="115">
        <v>5152.5</v>
      </c>
      <c r="R18">
        <v>2742</v>
      </c>
    </row>
    <row r="19" spans="1:18" x14ac:dyDescent="0.25">
      <c r="A19" s="160">
        <v>42026</v>
      </c>
      <c r="B19" s="115">
        <v>509.05</v>
      </c>
      <c r="C19" s="115">
        <v>507.05</v>
      </c>
      <c r="D19" s="115">
        <v>505.3</v>
      </c>
      <c r="E19" s="115">
        <v>509.05</v>
      </c>
      <c r="F19" s="115">
        <v>507.05</v>
      </c>
      <c r="G19">
        <v>269</v>
      </c>
      <c r="H19" s="115"/>
      <c r="I19" s="115"/>
      <c r="L19" s="160">
        <v>46155</v>
      </c>
      <c r="M19" s="115">
        <v>5278.5</v>
      </c>
      <c r="N19" s="115">
        <v>5350</v>
      </c>
      <c r="O19" s="115">
        <v>5113</v>
      </c>
      <c r="P19" s="115">
        <v>5252</v>
      </c>
      <c r="Q19" s="115">
        <v>5278.5</v>
      </c>
      <c r="R19">
        <v>4933</v>
      </c>
    </row>
    <row r="20" spans="1:18" x14ac:dyDescent="0.25">
      <c r="A20" s="160">
        <v>42027</v>
      </c>
      <c r="B20" s="115">
        <v>512</v>
      </c>
      <c r="C20" s="115">
        <v>505.05</v>
      </c>
      <c r="D20" s="115">
        <v>496</v>
      </c>
      <c r="E20" s="115">
        <v>512</v>
      </c>
      <c r="F20" s="115">
        <v>505.05</v>
      </c>
      <c r="G20">
        <v>1486</v>
      </c>
      <c r="H20" s="115"/>
      <c r="I20" s="115"/>
      <c r="L20" s="160">
        <v>46156</v>
      </c>
      <c r="M20" s="115">
        <v>5271.5</v>
      </c>
      <c r="N20" s="115">
        <v>5349.5</v>
      </c>
      <c r="O20" s="115">
        <v>5220.5</v>
      </c>
      <c r="P20" s="115">
        <v>5300</v>
      </c>
      <c r="Q20" s="115">
        <v>5271.5</v>
      </c>
      <c r="R20">
        <v>1392</v>
      </c>
    </row>
    <row r="21" spans="1:18" x14ac:dyDescent="0.25">
      <c r="A21" s="160">
        <v>42031</v>
      </c>
      <c r="B21" s="115">
        <v>505.05</v>
      </c>
      <c r="C21" s="115">
        <v>502.1</v>
      </c>
      <c r="D21" s="115">
        <v>502.05</v>
      </c>
      <c r="E21" s="115">
        <v>505.05</v>
      </c>
      <c r="F21" s="115">
        <v>502.1</v>
      </c>
      <c r="G21">
        <v>131</v>
      </c>
      <c r="H21" s="115"/>
      <c r="I21" s="115"/>
      <c r="L21" s="160">
        <v>46157</v>
      </c>
      <c r="M21" s="115">
        <v>5280</v>
      </c>
      <c r="N21" s="115">
        <v>5340</v>
      </c>
      <c r="O21" s="115">
        <v>5180</v>
      </c>
      <c r="P21" s="115">
        <v>5253.5</v>
      </c>
      <c r="Q21" s="115">
        <v>5280</v>
      </c>
      <c r="R21">
        <v>2480</v>
      </c>
    </row>
    <row r="22" spans="1:18" x14ac:dyDescent="0.25">
      <c r="A22" s="160">
        <v>42032</v>
      </c>
      <c r="B22" s="115">
        <v>524</v>
      </c>
      <c r="C22" s="115">
        <v>507.75</v>
      </c>
      <c r="D22" s="115">
        <v>505</v>
      </c>
      <c r="E22" s="115">
        <v>524</v>
      </c>
      <c r="F22" s="115">
        <v>507.75</v>
      </c>
      <c r="G22">
        <v>478</v>
      </c>
      <c r="H22" s="115"/>
      <c r="I22" s="115"/>
      <c r="L22" s="160">
        <v>46160</v>
      </c>
      <c r="M22" s="115">
        <v>5665.5</v>
      </c>
      <c r="N22" s="115">
        <v>5699.5</v>
      </c>
      <c r="O22" s="115">
        <v>5404.5</v>
      </c>
      <c r="P22" s="115">
        <v>5404.5</v>
      </c>
      <c r="Q22" s="115">
        <v>5665.5</v>
      </c>
      <c r="R22">
        <v>20373</v>
      </c>
    </row>
    <row r="23" spans="1:18" x14ac:dyDescent="0.25">
      <c r="A23" s="160">
        <v>42033</v>
      </c>
      <c r="B23" s="115">
        <v>508.1</v>
      </c>
      <c r="C23" s="115">
        <v>508</v>
      </c>
      <c r="D23" s="115">
        <v>508</v>
      </c>
      <c r="E23" s="115">
        <v>508.1</v>
      </c>
      <c r="F23" s="115">
        <v>508</v>
      </c>
      <c r="G23">
        <v>191</v>
      </c>
      <c r="H23" s="115"/>
      <c r="I23" s="115"/>
      <c r="L23" s="160">
        <v>46161</v>
      </c>
      <c r="M23" s="115">
        <v>5408</v>
      </c>
      <c r="N23" s="115">
        <v>5700</v>
      </c>
      <c r="O23" s="115">
        <v>5365.5</v>
      </c>
      <c r="P23" s="115">
        <v>5700</v>
      </c>
      <c r="Q23" s="115">
        <v>5408</v>
      </c>
      <c r="R23">
        <v>7627</v>
      </c>
    </row>
    <row r="24" spans="1:18" x14ac:dyDescent="0.25">
      <c r="A24" s="160">
        <v>42034</v>
      </c>
      <c r="B24" s="115">
        <v>540</v>
      </c>
      <c r="C24" s="115">
        <v>500.7</v>
      </c>
      <c r="D24" s="115">
        <v>487</v>
      </c>
      <c r="E24" s="115">
        <v>517.5</v>
      </c>
      <c r="F24" s="115">
        <v>500.7</v>
      </c>
      <c r="G24">
        <v>1003</v>
      </c>
      <c r="H24" s="115"/>
      <c r="I24" s="115"/>
      <c r="L24" s="160">
        <v>46162</v>
      </c>
      <c r="M24" s="115">
        <v>5473.5</v>
      </c>
      <c r="N24" s="115">
        <v>5607</v>
      </c>
      <c r="O24" s="115">
        <v>5410</v>
      </c>
      <c r="P24" s="115">
        <v>5442</v>
      </c>
      <c r="Q24" s="115">
        <v>5473.5</v>
      </c>
      <c r="R24">
        <v>6642</v>
      </c>
    </row>
    <row r="25" spans="1:18" x14ac:dyDescent="0.25">
      <c r="A25" s="160">
        <v>42037</v>
      </c>
      <c r="B25" s="115">
        <v>500</v>
      </c>
      <c r="C25" s="115">
        <v>466.9</v>
      </c>
      <c r="D25" s="115">
        <v>463.1</v>
      </c>
      <c r="E25" s="115">
        <v>495</v>
      </c>
      <c r="F25" s="115">
        <v>466.9</v>
      </c>
      <c r="G25">
        <v>1660</v>
      </c>
      <c r="H25" s="115"/>
      <c r="I25" s="115"/>
      <c r="L25" s="160">
        <v>46163</v>
      </c>
      <c r="M25" s="115">
        <v>5373</v>
      </c>
      <c r="N25" s="115">
        <v>5600</v>
      </c>
      <c r="O25" s="115">
        <v>5350.5</v>
      </c>
      <c r="P25" s="115">
        <v>5523</v>
      </c>
      <c r="Q25" s="115">
        <v>5373</v>
      </c>
      <c r="R25">
        <v>2987</v>
      </c>
    </row>
    <row r="26" spans="1:18" x14ac:dyDescent="0.25">
      <c r="A26" s="160">
        <v>42038</v>
      </c>
      <c r="B26" s="115">
        <v>474.95</v>
      </c>
      <c r="C26" s="115">
        <v>461.15</v>
      </c>
      <c r="D26" s="115">
        <v>445.6</v>
      </c>
      <c r="E26" s="115">
        <v>474</v>
      </c>
      <c r="F26" s="115">
        <v>461.15</v>
      </c>
      <c r="G26">
        <v>523</v>
      </c>
      <c r="H26" s="115"/>
      <c r="I26" s="115"/>
      <c r="L26" s="160">
        <v>46164</v>
      </c>
      <c r="M26" s="115">
        <v>6181.5</v>
      </c>
      <c r="N26" s="115">
        <v>6300</v>
      </c>
      <c r="O26" s="115">
        <v>5426.5</v>
      </c>
      <c r="P26" s="115">
        <v>5426.5</v>
      </c>
      <c r="Q26" s="115">
        <v>6181.5</v>
      </c>
      <c r="R26">
        <v>83684</v>
      </c>
    </row>
    <row r="27" spans="1:18" x14ac:dyDescent="0.25">
      <c r="A27" s="160">
        <v>42039</v>
      </c>
      <c r="B27" s="115">
        <v>472.7</v>
      </c>
      <c r="C27" s="115">
        <v>451.6</v>
      </c>
      <c r="D27" s="115">
        <v>442.05</v>
      </c>
      <c r="E27" s="115">
        <v>465</v>
      </c>
      <c r="F27" s="115">
        <v>451.6</v>
      </c>
      <c r="G27">
        <v>1387</v>
      </c>
      <c r="H27" s="115"/>
      <c r="I27" s="115"/>
      <c r="L27" s="160">
        <v>46167</v>
      </c>
      <c r="M27" s="115">
        <v>6544</v>
      </c>
      <c r="N27" s="115">
        <v>6599.5</v>
      </c>
      <c r="O27" s="115">
        <v>6229</v>
      </c>
      <c r="P27" s="115">
        <v>6240.5</v>
      </c>
      <c r="Q27" s="115">
        <v>6544</v>
      </c>
      <c r="R27">
        <v>30320</v>
      </c>
    </row>
    <row r="28" spans="1:18" x14ac:dyDescent="0.25">
      <c r="A28" s="160">
        <v>42040</v>
      </c>
      <c r="B28" s="115">
        <v>452.2</v>
      </c>
      <c r="C28" s="115">
        <v>428.35</v>
      </c>
      <c r="D28" s="115">
        <v>425</v>
      </c>
      <c r="E28" s="115">
        <v>452.2</v>
      </c>
      <c r="F28" s="115">
        <v>428.35</v>
      </c>
      <c r="G28">
        <v>1662</v>
      </c>
      <c r="H28" s="115"/>
      <c r="I28" s="115"/>
      <c r="L28" s="160">
        <v>46168</v>
      </c>
      <c r="M28" s="115">
        <v>6382</v>
      </c>
      <c r="N28" s="115">
        <v>6650</v>
      </c>
      <c r="O28" s="115">
        <v>6336</v>
      </c>
      <c r="P28" s="115">
        <v>6544</v>
      </c>
      <c r="Q28" s="115">
        <v>6382</v>
      </c>
      <c r="R28">
        <v>11584</v>
      </c>
    </row>
    <row r="29" spans="1:18" x14ac:dyDescent="0.25">
      <c r="A29" s="160">
        <v>42041</v>
      </c>
      <c r="B29" s="115">
        <v>458.95</v>
      </c>
      <c r="C29" s="115">
        <v>430</v>
      </c>
      <c r="D29" s="115">
        <v>425</v>
      </c>
      <c r="E29" s="115">
        <v>458.95</v>
      </c>
      <c r="F29" s="115">
        <v>430</v>
      </c>
      <c r="G29">
        <v>132</v>
      </c>
      <c r="H29" s="115"/>
      <c r="I29" s="115"/>
      <c r="L29" s="160">
        <v>46169</v>
      </c>
      <c r="M29" s="115">
        <v>6764</v>
      </c>
      <c r="N29" s="115">
        <v>6800</v>
      </c>
      <c r="O29" s="115">
        <v>6395.5</v>
      </c>
      <c r="P29" s="115">
        <v>6400</v>
      </c>
      <c r="Q29" s="115">
        <v>6764</v>
      </c>
      <c r="R29">
        <v>24609</v>
      </c>
    </row>
    <row r="30" spans="1:18" x14ac:dyDescent="0.25">
      <c r="A30" s="160">
        <v>42044</v>
      </c>
      <c r="B30" s="115">
        <v>425</v>
      </c>
      <c r="C30" s="115">
        <v>418.3</v>
      </c>
      <c r="D30" s="115">
        <v>410</v>
      </c>
      <c r="E30" s="115">
        <v>421</v>
      </c>
      <c r="F30" s="115">
        <v>418.3</v>
      </c>
      <c r="G30">
        <v>599</v>
      </c>
      <c r="H30" s="115"/>
      <c r="I30" s="115"/>
      <c r="L30" s="160">
        <v>46171</v>
      </c>
      <c r="M30" s="115">
        <v>7076.5</v>
      </c>
      <c r="N30" s="115">
        <v>7400</v>
      </c>
      <c r="O30" s="115">
        <v>6870</v>
      </c>
      <c r="P30" s="115">
        <v>6886</v>
      </c>
      <c r="Q30" s="115">
        <v>7076.5</v>
      </c>
      <c r="R30">
        <v>31441</v>
      </c>
    </row>
    <row r="31" spans="1:18" x14ac:dyDescent="0.25">
      <c r="A31" s="160">
        <v>42045</v>
      </c>
      <c r="B31" s="115">
        <v>444</v>
      </c>
      <c r="C31" s="115">
        <v>413</v>
      </c>
      <c r="D31" s="115">
        <v>391</v>
      </c>
      <c r="E31" s="115">
        <v>400</v>
      </c>
      <c r="F31" s="115">
        <v>413</v>
      </c>
      <c r="G31">
        <v>62</v>
      </c>
      <c r="H31" s="115"/>
      <c r="I31" s="115"/>
      <c r="L31" s="160">
        <v>46174</v>
      </c>
      <c r="M31" s="115">
        <v>7540.5</v>
      </c>
      <c r="N31" s="115">
        <v>7629</v>
      </c>
      <c r="O31" s="115">
        <v>7196.5</v>
      </c>
      <c r="P31" s="115">
        <v>7200</v>
      </c>
      <c r="Q31" s="115">
        <v>7540.5</v>
      </c>
      <c r="R31">
        <v>32448</v>
      </c>
    </row>
    <row r="32" spans="1:18" x14ac:dyDescent="0.25">
      <c r="A32" s="160">
        <v>42046</v>
      </c>
      <c r="B32" s="115">
        <v>444.8</v>
      </c>
      <c r="C32" s="115">
        <v>414.75</v>
      </c>
      <c r="D32" s="115">
        <v>409.25</v>
      </c>
      <c r="E32" s="115">
        <v>409.3</v>
      </c>
      <c r="F32" s="115">
        <v>414.75</v>
      </c>
      <c r="G32">
        <v>726</v>
      </c>
      <c r="H32" s="115"/>
      <c r="I32" s="115"/>
      <c r="L32" s="160">
        <v>46175</v>
      </c>
      <c r="M32" s="115">
        <v>7593.5</v>
      </c>
      <c r="N32" s="115">
        <v>8085.5</v>
      </c>
      <c r="O32" s="115">
        <v>7475</v>
      </c>
      <c r="P32" s="115">
        <v>7600</v>
      </c>
      <c r="Q32" s="115">
        <v>7593.5</v>
      </c>
      <c r="R32">
        <v>41440</v>
      </c>
    </row>
    <row r="33" spans="1:18" x14ac:dyDescent="0.25">
      <c r="A33" s="160">
        <v>42047</v>
      </c>
      <c r="B33" s="115">
        <v>420</v>
      </c>
      <c r="C33" s="115">
        <v>417.9</v>
      </c>
      <c r="D33" s="115">
        <v>410.25</v>
      </c>
      <c r="E33" s="115">
        <v>415.1</v>
      </c>
      <c r="F33" s="115">
        <v>417.9</v>
      </c>
      <c r="G33">
        <v>253</v>
      </c>
      <c r="H33" s="115"/>
      <c r="I33" s="115"/>
      <c r="L33" s="160">
        <v>46176</v>
      </c>
      <c r="M33" s="115">
        <v>9112</v>
      </c>
      <c r="N33" s="115">
        <v>9112</v>
      </c>
      <c r="O33" s="115">
        <v>7660</v>
      </c>
      <c r="P33" s="115">
        <v>8200</v>
      </c>
      <c r="Q33" s="115">
        <v>9112</v>
      </c>
      <c r="R33">
        <v>250401</v>
      </c>
    </row>
    <row r="34" spans="1:18" x14ac:dyDescent="0.25">
      <c r="A34" s="160">
        <v>42048</v>
      </c>
      <c r="B34" s="115">
        <v>420</v>
      </c>
      <c r="C34" s="115">
        <v>414.05</v>
      </c>
      <c r="D34" s="115">
        <v>365</v>
      </c>
      <c r="E34" s="115">
        <v>365</v>
      </c>
      <c r="F34" s="115">
        <v>414.05</v>
      </c>
      <c r="G34">
        <v>805</v>
      </c>
      <c r="H34" s="115"/>
      <c r="I34" s="115"/>
      <c r="L34" s="160">
        <v>46177</v>
      </c>
      <c r="M34" s="115">
        <v>9316.5</v>
      </c>
      <c r="N34" s="115">
        <v>10023</v>
      </c>
      <c r="O34" s="115">
        <v>9007.5</v>
      </c>
      <c r="P34" s="115">
        <v>9400</v>
      </c>
      <c r="Q34" s="115">
        <v>9316.5</v>
      </c>
      <c r="R34">
        <v>161709</v>
      </c>
    </row>
    <row r="35" spans="1:18" x14ac:dyDescent="0.25">
      <c r="A35" s="160">
        <v>42053</v>
      </c>
      <c r="B35" s="115">
        <v>430</v>
      </c>
      <c r="C35" s="115">
        <v>415</v>
      </c>
      <c r="D35" s="115">
        <v>414</v>
      </c>
      <c r="E35" s="115">
        <v>415</v>
      </c>
      <c r="F35" s="115">
        <v>415</v>
      </c>
      <c r="G35">
        <v>404</v>
      </c>
      <c r="H35" s="115"/>
      <c r="I35" s="115"/>
      <c r="L35" s="160">
        <v>46178</v>
      </c>
      <c r="M35" s="115">
        <v>9164.5</v>
      </c>
      <c r="N35" s="115">
        <v>9500</v>
      </c>
      <c r="O35" s="115">
        <v>9012.5</v>
      </c>
      <c r="P35" s="115">
        <v>9149</v>
      </c>
      <c r="Q35" s="115">
        <v>9164.5</v>
      </c>
      <c r="R35">
        <v>37795</v>
      </c>
    </row>
    <row r="36" spans="1:18" x14ac:dyDescent="0.25">
      <c r="A36" s="160">
        <v>42054</v>
      </c>
      <c r="B36" s="115">
        <v>430</v>
      </c>
      <c r="C36" s="115">
        <v>421.5</v>
      </c>
      <c r="D36" s="115">
        <v>407.9</v>
      </c>
      <c r="E36" s="115">
        <v>407.9</v>
      </c>
      <c r="F36" s="115">
        <v>421.5</v>
      </c>
      <c r="G36">
        <v>501</v>
      </c>
      <c r="H36" s="115"/>
      <c r="I36" s="115"/>
      <c r="L36" s="160">
        <v>46181</v>
      </c>
      <c r="M36" s="115">
        <v>9101.5</v>
      </c>
      <c r="N36" s="115">
        <v>9676.5</v>
      </c>
      <c r="O36" s="115">
        <v>8823.5</v>
      </c>
      <c r="P36" s="115">
        <v>8985</v>
      </c>
      <c r="Q36" s="115">
        <v>9101.5</v>
      </c>
      <c r="R36">
        <v>48305</v>
      </c>
    </row>
    <row r="37" spans="1:18" x14ac:dyDescent="0.25">
      <c r="A37" s="160">
        <v>42055</v>
      </c>
      <c r="B37" s="115">
        <v>445</v>
      </c>
      <c r="C37" s="115">
        <v>422.3</v>
      </c>
      <c r="D37" s="115">
        <v>411</v>
      </c>
      <c r="E37" s="115">
        <v>420.1</v>
      </c>
      <c r="F37" s="115">
        <v>422.3</v>
      </c>
      <c r="G37">
        <v>1062</v>
      </c>
      <c r="H37" s="115"/>
      <c r="I37" s="115"/>
      <c r="L37" s="160">
        <v>46182</v>
      </c>
      <c r="M37" s="115">
        <v>9883.5</v>
      </c>
      <c r="N37" s="115">
        <v>10011.5</v>
      </c>
      <c r="O37" s="115">
        <v>9101</v>
      </c>
      <c r="P37" s="115">
        <v>9190</v>
      </c>
      <c r="Q37" s="115">
        <v>9883.5</v>
      </c>
      <c r="R37">
        <v>48768</v>
      </c>
    </row>
    <row r="38" spans="1:18" x14ac:dyDescent="0.25">
      <c r="A38" s="160">
        <v>42058</v>
      </c>
      <c r="B38" s="115">
        <v>431</v>
      </c>
      <c r="C38" s="115">
        <v>416.5</v>
      </c>
      <c r="D38" s="115">
        <v>415.1</v>
      </c>
      <c r="E38" s="115">
        <v>417.2</v>
      </c>
      <c r="F38" s="115">
        <v>416.5</v>
      </c>
      <c r="G38">
        <v>272</v>
      </c>
      <c r="H38" s="115"/>
      <c r="I38" s="115"/>
      <c r="L38" s="160">
        <v>46183</v>
      </c>
      <c r="M38" s="115">
        <v>10290.5</v>
      </c>
      <c r="N38" s="115">
        <v>10871.5</v>
      </c>
      <c r="O38" s="115">
        <v>10012</v>
      </c>
      <c r="P38" s="115">
        <v>10012</v>
      </c>
      <c r="Q38" s="115">
        <v>10290.5</v>
      </c>
      <c r="R38">
        <v>92584</v>
      </c>
    </row>
    <row r="39" spans="1:18" x14ac:dyDescent="0.25">
      <c r="A39" s="160">
        <v>42059</v>
      </c>
      <c r="B39" s="115">
        <v>435.1</v>
      </c>
      <c r="C39" s="115">
        <v>425</v>
      </c>
      <c r="D39" s="115">
        <v>417</v>
      </c>
      <c r="E39" s="115">
        <v>429.5</v>
      </c>
      <c r="F39" s="115">
        <v>425</v>
      </c>
      <c r="G39">
        <v>442</v>
      </c>
      <c r="H39" s="115"/>
      <c r="I39" s="115"/>
      <c r="L39" s="160">
        <v>46184</v>
      </c>
      <c r="M39" s="115">
        <v>9605</v>
      </c>
      <c r="N39" s="115">
        <v>10599.5</v>
      </c>
      <c r="O39" s="115">
        <v>9306.5</v>
      </c>
      <c r="P39" s="115">
        <v>10290</v>
      </c>
      <c r="Q39" s="115">
        <v>9605</v>
      </c>
      <c r="R39">
        <v>59060</v>
      </c>
    </row>
    <row r="40" spans="1:18" x14ac:dyDescent="0.25">
      <c r="A40" s="160">
        <v>42060</v>
      </c>
      <c r="B40" s="115">
        <v>415.1</v>
      </c>
      <c r="C40" s="115">
        <v>410.3</v>
      </c>
      <c r="D40" s="115">
        <v>407.9</v>
      </c>
      <c r="E40" s="115">
        <v>415.1</v>
      </c>
      <c r="F40" s="115">
        <v>410.3</v>
      </c>
      <c r="G40">
        <v>929</v>
      </c>
      <c r="H40" s="115"/>
      <c r="I40" s="115"/>
      <c r="L40" s="160">
        <v>46185</v>
      </c>
      <c r="M40" s="115">
        <v>10011</v>
      </c>
      <c r="N40" s="115">
        <v>10207</v>
      </c>
      <c r="O40" s="115">
        <v>9641</v>
      </c>
      <c r="P40" s="115">
        <v>9900</v>
      </c>
      <c r="Q40" s="115">
        <v>10011</v>
      </c>
      <c r="R40">
        <v>33826</v>
      </c>
    </row>
    <row r="41" spans="1:18" x14ac:dyDescent="0.25">
      <c r="A41" s="160">
        <v>42061</v>
      </c>
      <c r="B41" s="115">
        <v>411</v>
      </c>
      <c r="C41" s="115">
        <v>408.6</v>
      </c>
      <c r="D41" s="115">
        <v>408</v>
      </c>
      <c r="E41" s="115">
        <v>410.8</v>
      </c>
      <c r="F41" s="115">
        <v>408.6</v>
      </c>
      <c r="G41">
        <v>207</v>
      </c>
      <c r="H41" s="115"/>
      <c r="I41" s="115"/>
      <c r="L41" s="160">
        <v>46188</v>
      </c>
      <c r="M41" s="115">
        <v>9325</v>
      </c>
      <c r="N41" s="115">
        <v>10489</v>
      </c>
      <c r="O41" s="115">
        <v>9127</v>
      </c>
      <c r="P41" s="115">
        <v>10461</v>
      </c>
      <c r="Q41" s="115">
        <v>9325</v>
      </c>
      <c r="R41">
        <v>42864</v>
      </c>
    </row>
    <row r="42" spans="1:18" x14ac:dyDescent="0.25">
      <c r="A42" s="160">
        <v>42062</v>
      </c>
      <c r="B42" s="115">
        <v>419</v>
      </c>
      <c r="C42" s="115">
        <v>412</v>
      </c>
      <c r="D42" s="115">
        <v>409.9</v>
      </c>
      <c r="E42" s="115">
        <v>410</v>
      </c>
      <c r="F42" s="115">
        <v>412</v>
      </c>
      <c r="G42">
        <v>466</v>
      </c>
      <c r="H42" s="115"/>
      <c r="I42" s="115"/>
      <c r="L42" s="160">
        <v>46189</v>
      </c>
      <c r="M42" s="115">
        <v>9283.5</v>
      </c>
      <c r="N42" s="115">
        <v>9550</v>
      </c>
      <c r="O42" s="115">
        <v>9212</v>
      </c>
      <c r="P42" s="115">
        <v>9349</v>
      </c>
      <c r="Q42" s="115">
        <v>9283.5</v>
      </c>
      <c r="R42">
        <v>17647</v>
      </c>
    </row>
    <row r="43" spans="1:18" x14ac:dyDescent="0.25">
      <c r="A43" s="160">
        <v>42065</v>
      </c>
      <c r="B43" s="115">
        <v>412</v>
      </c>
      <c r="C43" s="115">
        <v>412</v>
      </c>
      <c r="D43" s="115">
        <v>405.1</v>
      </c>
      <c r="E43" s="115">
        <v>405.1</v>
      </c>
      <c r="F43" s="115">
        <v>412</v>
      </c>
      <c r="G43">
        <v>147</v>
      </c>
      <c r="H43" s="115"/>
      <c r="I43" s="115"/>
      <c r="L43" s="160">
        <v>46190</v>
      </c>
      <c r="M43" s="115">
        <v>9239.5</v>
      </c>
      <c r="N43" s="115">
        <v>9497</v>
      </c>
      <c r="O43" s="115">
        <v>9150.5</v>
      </c>
      <c r="P43" s="115">
        <v>9380</v>
      </c>
      <c r="Q43" s="115">
        <v>9239.5</v>
      </c>
      <c r="R43">
        <v>15554</v>
      </c>
    </row>
    <row r="44" spans="1:18" x14ac:dyDescent="0.25">
      <c r="A44" s="160">
        <v>42066</v>
      </c>
      <c r="B44" s="115">
        <v>424.5</v>
      </c>
      <c r="C44" s="115">
        <v>412.1</v>
      </c>
      <c r="D44" s="115">
        <v>406</v>
      </c>
      <c r="E44" s="115">
        <v>406</v>
      </c>
      <c r="F44" s="115">
        <v>412.1</v>
      </c>
      <c r="G44">
        <v>247</v>
      </c>
      <c r="H44" s="115"/>
      <c r="I44" s="115"/>
      <c r="L44" s="160"/>
    </row>
    <row r="45" spans="1:18" x14ac:dyDescent="0.25">
      <c r="A45" s="160">
        <v>42067</v>
      </c>
      <c r="B45" s="115">
        <v>439</v>
      </c>
      <c r="C45" s="115">
        <v>409.4</v>
      </c>
      <c r="D45" s="115">
        <v>401.2</v>
      </c>
      <c r="E45" s="115">
        <v>401.2</v>
      </c>
      <c r="F45" s="115">
        <v>409.4</v>
      </c>
      <c r="G45">
        <v>709</v>
      </c>
      <c r="H45" s="115"/>
      <c r="I45" s="115"/>
      <c r="L45" s="160"/>
    </row>
    <row r="46" spans="1:18" x14ac:dyDescent="0.25">
      <c r="A46" s="160">
        <v>42068</v>
      </c>
      <c r="B46" s="115">
        <v>410</v>
      </c>
      <c r="C46" s="115">
        <v>408.1</v>
      </c>
      <c r="D46" s="115">
        <v>406</v>
      </c>
      <c r="E46" s="115">
        <v>406</v>
      </c>
      <c r="F46" s="115">
        <v>408.1</v>
      </c>
      <c r="G46">
        <v>331</v>
      </c>
      <c r="H46" s="115"/>
      <c r="I46" s="115"/>
      <c r="L46" s="160"/>
    </row>
    <row r="47" spans="1:18" x14ac:dyDescent="0.25">
      <c r="A47" s="160">
        <v>42072</v>
      </c>
      <c r="B47" s="115">
        <v>419.6</v>
      </c>
      <c r="C47" s="115">
        <v>412.7</v>
      </c>
      <c r="D47" s="115">
        <v>400.1</v>
      </c>
      <c r="E47" s="115">
        <v>404</v>
      </c>
      <c r="F47" s="115">
        <v>412.7</v>
      </c>
      <c r="G47">
        <v>717</v>
      </c>
      <c r="H47" s="115"/>
      <c r="I47" s="115"/>
      <c r="L47" s="160"/>
    </row>
    <row r="48" spans="1:18" x14ac:dyDescent="0.25">
      <c r="A48" s="160">
        <v>42073</v>
      </c>
      <c r="B48" s="115">
        <v>420</v>
      </c>
      <c r="C48" s="115">
        <v>413.1</v>
      </c>
      <c r="D48" s="115">
        <v>402.4</v>
      </c>
      <c r="E48" s="115">
        <v>402.4</v>
      </c>
      <c r="F48" s="115">
        <v>413.1</v>
      </c>
      <c r="G48">
        <v>310</v>
      </c>
      <c r="H48" s="115"/>
      <c r="I48" s="115"/>
      <c r="L48" s="160"/>
    </row>
    <row r="49" spans="1:12" x14ac:dyDescent="0.25">
      <c r="A49" s="160">
        <v>42074</v>
      </c>
      <c r="B49" s="115">
        <v>434</v>
      </c>
      <c r="C49" s="115">
        <v>410</v>
      </c>
      <c r="D49" s="115">
        <v>402</v>
      </c>
      <c r="E49" s="115">
        <v>434</v>
      </c>
      <c r="F49" s="115">
        <v>410</v>
      </c>
      <c r="G49">
        <v>48</v>
      </c>
      <c r="H49" s="115"/>
      <c r="I49" s="115"/>
      <c r="L49" s="160"/>
    </row>
    <row r="50" spans="1:12" x14ac:dyDescent="0.25">
      <c r="A50" s="160">
        <v>42075</v>
      </c>
      <c r="B50" s="115">
        <v>411</v>
      </c>
      <c r="C50" s="115">
        <v>407</v>
      </c>
      <c r="D50" s="115">
        <v>404.4</v>
      </c>
      <c r="E50" s="115">
        <v>404.4</v>
      </c>
      <c r="F50" s="115">
        <v>407</v>
      </c>
      <c r="G50">
        <v>213</v>
      </c>
      <c r="H50" s="115"/>
      <c r="I50" s="115"/>
      <c r="L50" s="160"/>
    </row>
    <row r="51" spans="1:12" x14ac:dyDescent="0.25">
      <c r="A51" s="160">
        <v>42076</v>
      </c>
      <c r="B51" s="115">
        <v>488.4</v>
      </c>
      <c r="C51" s="115">
        <v>474.7</v>
      </c>
      <c r="D51" s="115">
        <v>405.6</v>
      </c>
      <c r="E51" s="115">
        <v>429</v>
      </c>
      <c r="F51" s="115">
        <v>474.7</v>
      </c>
      <c r="G51">
        <v>3129</v>
      </c>
      <c r="H51" s="115"/>
      <c r="I51" s="115"/>
      <c r="L51" s="160"/>
    </row>
    <row r="52" spans="1:12" x14ac:dyDescent="0.25">
      <c r="A52" s="160">
        <v>42079</v>
      </c>
      <c r="B52" s="115">
        <v>500</v>
      </c>
      <c r="C52" s="115">
        <v>471.2</v>
      </c>
      <c r="D52" s="115">
        <v>437</v>
      </c>
      <c r="E52" s="115">
        <v>472.9</v>
      </c>
      <c r="F52" s="115">
        <v>471.2</v>
      </c>
      <c r="G52">
        <v>53294</v>
      </c>
      <c r="H52" s="115"/>
      <c r="I52" s="115"/>
      <c r="L52" s="160"/>
    </row>
    <row r="53" spans="1:12" x14ac:dyDescent="0.25">
      <c r="A53" s="160">
        <v>42080</v>
      </c>
      <c r="B53" s="115">
        <v>484.7</v>
      </c>
      <c r="C53" s="115">
        <v>444.1</v>
      </c>
      <c r="D53" s="115">
        <v>441.9</v>
      </c>
      <c r="E53" s="115">
        <v>484.7</v>
      </c>
      <c r="F53" s="115">
        <v>444.1</v>
      </c>
      <c r="G53">
        <v>1228</v>
      </c>
      <c r="H53" s="115"/>
      <c r="I53" s="115"/>
      <c r="L53" s="160"/>
    </row>
    <row r="54" spans="1:12" x14ac:dyDescent="0.25">
      <c r="A54" s="160">
        <v>42081</v>
      </c>
      <c r="B54" s="115">
        <v>450</v>
      </c>
      <c r="C54" s="115">
        <v>447.7</v>
      </c>
      <c r="D54" s="115">
        <v>437.1</v>
      </c>
      <c r="E54" s="115">
        <v>450</v>
      </c>
      <c r="F54" s="115">
        <v>447.7</v>
      </c>
      <c r="G54">
        <v>1577</v>
      </c>
      <c r="H54" s="115"/>
      <c r="I54" s="115"/>
      <c r="L54" s="160"/>
    </row>
    <row r="55" spans="1:12" x14ac:dyDescent="0.25">
      <c r="A55" s="160">
        <v>42082</v>
      </c>
      <c r="B55" s="115">
        <v>461.5</v>
      </c>
      <c r="C55" s="115">
        <v>419.7</v>
      </c>
      <c r="D55" s="115">
        <v>418</v>
      </c>
      <c r="E55" s="115">
        <v>421</v>
      </c>
      <c r="F55" s="115">
        <v>419.7</v>
      </c>
      <c r="G55">
        <v>1623</v>
      </c>
      <c r="H55" s="115"/>
      <c r="I55" s="115"/>
      <c r="L55" s="160"/>
    </row>
    <row r="56" spans="1:12" x14ac:dyDescent="0.25">
      <c r="A56" s="160">
        <v>42083</v>
      </c>
      <c r="B56" s="115">
        <v>418.4</v>
      </c>
      <c r="C56" s="115">
        <v>400.6</v>
      </c>
      <c r="D56" s="115">
        <v>340.2</v>
      </c>
      <c r="E56" s="115">
        <v>405</v>
      </c>
      <c r="F56" s="115">
        <v>400.6</v>
      </c>
      <c r="G56">
        <v>1864</v>
      </c>
      <c r="H56" s="115"/>
      <c r="I56" s="115"/>
      <c r="L56" s="160"/>
    </row>
    <row r="57" spans="1:12" x14ac:dyDescent="0.25">
      <c r="A57" s="160">
        <v>42086</v>
      </c>
      <c r="B57" s="115">
        <v>412</v>
      </c>
      <c r="C57" s="115">
        <v>395</v>
      </c>
      <c r="D57" s="115">
        <v>388.2</v>
      </c>
      <c r="E57" s="115">
        <v>388.2</v>
      </c>
      <c r="F57" s="115">
        <v>395</v>
      </c>
      <c r="G57">
        <v>183</v>
      </c>
      <c r="H57" s="115"/>
      <c r="I57" s="115"/>
      <c r="L57" s="160"/>
    </row>
    <row r="58" spans="1:12" x14ac:dyDescent="0.25">
      <c r="A58" s="160">
        <v>42087</v>
      </c>
      <c r="B58" s="115">
        <v>409.9</v>
      </c>
      <c r="C58" s="115">
        <v>397</v>
      </c>
      <c r="D58" s="115">
        <v>386.5</v>
      </c>
      <c r="E58" s="115">
        <v>386.5</v>
      </c>
      <c r="F58" s="115">
        <v>397</v>
      </c>
      <c r="G58">
        <v>451</v>
      </c>
      <c r="H58" s="115"/>
      <c r="I58" s="115"/>
      <c r="L58" s="160"/>
    </row>
    <row r="59" spans="1:12" x14ac:dyDescent="0.25">
      <c r="A59" s="160">
        <v>42088</v>
      </c>
      <c r="B59" s="115">
        <v>405.4</v>
      </c>
      <c r="C59" s="115">
        <v>405</v>
      </c>
      <c r="D59" s="115">
        <v>390.1</v>
      </c>
      <c r="E59" s="115">
        <v>390.1</v>
      </c>
      <c r="F59" s="115">
        <v>405</v>
      </c>
      <c r="G59">
        <v>632</v>
      </c>
      <c r="H59" s="115"/>
      <c r="I59" s="115"/>
      <c r="L59" s="160"/>
    </row>
    <row r="60" spans="1:12" x14ac:dyDescent="0.25">
      <c r="A60" s="160">
        <v>42089</v>
      </c>
      <c r="B60" s="115">
        <v>402.1</v>
      </c>
      <c r="C60" s="115">
        <v>402.1</v>
      </c>
      <c r="D60" s="115">
        <v>402</v>
      </c>
      <c r="E60" s="115">
        <v>402.1</v>
      </c>
      <c r="F60" s="115">
        <v>402.1</v>
      </c>
      <c r="G60">
        <v>128</v>
      </c>
      <c r="H60" s="115"/>
      <c r="I60" s="115"/>
      <c r="L60" s="160"/>
    </row>
    <row r="61" spans="1:12" x14ac:dyDescent="0.25">
      <c r="A61" s="160">
        <v>42090</v>
      </c>
      <c r="B61" s="115">
        <v>410</v>
      </c>
      <c r="C61" s="115">
        <v>401.6</v>
      </c>
      <c r="D61" s="115">
        <v>386</v>
      </c>
      <c r="E61" s="115">
        <v>386</v>
      </c>
      <c r="F61" s="115">
        <v>401.6</v>
      </c>
      <c r="G61">
        <v>690</v>
      </c>
      <c r="H61" s="115"/>
      <c r="I61" s="115"/>
      <c r="L61" s="160"/>
    </row>
    <row r="62" spans="1:12" x14ac:dyDescent="0.25">
      <c r="A62" s="160">
        <v>42093</v>
      </c>
      <c r="B62" s="115">
        <v>401.9</v>
      </c>
      <c r="C62" s="115">
        <v>393.1</v>
      </c>
      <c r="D62" s="115">
        <v>380.1</v>
      </c>
      <c r="E62" s="115">
        <v>380.1</v>
      </c>
      <c r="F62" s="115">
        <v>393.1</v>
      </c>
      <c r="G62">
        <v>580</v>
      </c>
      <c r="H62" s="115"/>
      <c r="I62" s="115"/>
      <c r="L62" s="160"/>
    </row>
    <row r="63" spans="1:12" x14ac:dyDescent="0.25">
      <c r="A63" s="160">
        <v>42094</v>
      </c>
      <c r="B63" s="115">
        <v>398</v>
      </c>
      <c r="C63" s="115">
        <v>398</v>
      </c>
      <c r="D63" s="115">
        <v>398</v>
      </c>
      <c r="E63" s="115">
        <v>398</v>
      </c>
      <c r="F63" s="115">
        <v>398</v>
      </c>
      <c r="G63">
        <v>17</v>
      </c>
      <c r="H63" s="115"/>
      <c r="I63" s="115"/>
      <c r="L63" s="160"/>
    </row>
    <row r="64" spans="1:12" x14ac:dyDescent="0.25">
      <c r="A64" s="160">
        <v>42095</v>
      </c>
      <c r="B64" s="115">
        <v>400</v>
      </c>
      <c r="C64" s="115">
        <v>396.2</v>
      </c>
      <c r="D64" s="115">
        <v>340</v>
      </c>
      <c r="E64" s="115">
        <v>395.6</v>
      </c>
      <c r="F64" s="115">
        <v>396.2</v>
      </c>
      <c r="G64">
        <v>3294</v>
      </c>
      <c r="H64" s="115"/>
      <c r="I64" s="115"/>
      <c r="L64" s="160"/>
    </row>
    <row r="65" spans="1:12" x14ac:dyDescent="0.25">
      <c r="A65" s="160">
        <v>42100</v>
      </c>
      <c r="B65" s="115">
        <v>419</v>
      </c>
      <c r="C65" s="115">
        <v>407.3</v>
      </c>
      <c r="D65" s="115">
        <v>392.1</v>
      </c>
      <c r="E65" s="115">
        <v>396.2</v>
      </c>
      <c r="F65" s="115">
        <v>407.3</v>
      </c>
      <c r="G65">
        <v>339</v>
      </c>
      <c r="H65" s="115"/>
      <c r="I65" s="115"/>
      <c r="L65" s="160"/>
    </row>
    <row r="66" spans="1:12" x14ac:dyDescent="0.25">
      <c r="A66" s="160">
        <v>42101</v>
      </c>
      <c r="B66" s="115">
        <v>410</v>
      </c>
      <c r="C66" s="115">
        <v>407.7</v>
      </c>
      <c r="D66" s="115">
        <v>400</v>
      </c>
      <c r="E66" s="115">
        <v>400</v>
      </c>
      <c r="F66" s="115">
        <v>407.7</v>
      </c>
      <c r="G66">
        <v>101</v>
      </c>
      <c r="H66" s="115"/>
      <c r="I66" s="115"/>
      <c r="L66" s="160"/>
    </row>
    <row r="67" spans="1:12" x14ac:dyDescent="0.25">
      <c r="A67" s="160">
        <v>42102</v>
      </c>
      <c r="B67" s="115">
        <v>405.5</v>
      </c>
      <c r="C67" s="115">
        <v>397.3</v>
      </c>
      <c r="D67" s="115">
        <v>392</v>
      </c>
      <c r="E67" s="115">
        <v>395.1</v>
      </c>
      <c r="F67" s="115">
        <v>397.3</v>
      </c>
      <c r="G67">
        <v>290</v>
      </c>
      <c r="H67" s="115"/>
      <c r="I67" s="115"/>
      <c r="L67" s="160"/>
    </row>
    <row r="68" spans="1:12" x14ac:dyDescent="0.25">
      <c r="A68" s="160">
        <v>42103</v>
      </c>
      <c r="B68" s="115">
        <v>424</v>
      </c>
      <c r="C68" s="115">
        <v>399</v>
      </c>
      <c r="D68" s="115">
        <v>391.5</v>
      </c>
      <c r="E68" s="115">
        <v>395.1</v>
      </c>
      <c r="F68" s="115">
        <v>399</v>
      </c>
      <c r="G68">
        <v>2601</v>
      </c>
      <c r="H68" s="115"/>
      <c r="I68" s="115"/>
      <c r="L68" s="160"/>
    </row>
    <row r="69" spans="1:12" x14ac:dyDescent="0.25">
      <c r="A69" s="160">
        <v>42107</v>
      </c>
      <c r="B69" s="115">
        <v>478.8</v>
      </c>
      <c r="C69" s="115">
        <v>474.1</v>
      </c>
      <c r="D69" s="115">
        <v>397</v>
      </c>
      <c r="E69" s="115">
        <v>405</v>
      </c>
      <c r="F69" s="115">
        <v>474.1</v>
      </c>
      <c r="G69">
        <v>4890</v>
      </c>
      <c r="H69" s="115"/>
      <c r="I69" s="115"/>
      <c r="L69" s="160"/>
    </row>
    <row r="70" spans="1:12" x14ac:dyDescent="0.25">
      <c r="A70" s="160">
        <v>42109</v>
      </c>
      <c r="B70" s="115">
        <v>557</v>
      </c>
      <c r="C70" s="115">
        <v>522.20000000000005</v>
      </c>
      <c r="D70" s="115">
        <v>442.1</v>
      </c>
      <c r="E70" s="115">
        <v>470</v>
      </c>
      <c r="F70" s="115">
        <v>522.20000000000005</v>
      </c>
      <c r="G70">
        <v>13973</v>
      </c>
      <c r="H70" s="115"/>
      <c r="I70" s="115"/>
      <c r="L70" s="160"/>
    </row>
    <row r="71" spans="1:12" x14ac:dyDescent="0.25">
      <c r="A71" s="160">
        <v>42110</v>
      </c>
      <c r="B71" s="115">
        <v>550</v>
      </c>
      <c r="C71" s="115">
        <v>506.5</v>
      </c>
      <c r="D71" s="115">
        <v>465</v>
      </c>
      <c r="E71" s="115">
        <v>483.5</v>
      </c>
      <c r="F71" s="115">
        <v>506.5</v>
      </c>
      <c r="G71">
        <v>50606</v>
      </c>
      <c r="H71" s="115"/>
      <c r="I71" s="115"/>
      <c r="L71" s="160"/>
    </row>
    <row r="72" spans="1:12" x14ac:dyDescent="0.25">
      <c r="A72" s="160">
        <v>42111</v>
      </c>
      <c r="B72" s="115">
        <v>530</v>
      </c>
      <c r="C72" s="115">
        <v>496</v>
      </c>
      <c r="D72" s="115">
        <v>475.1</v>
      </c>
      <c r="E72" s="115">
        <v>475.1</v>
      </c>
      <c r="F72" s="115">
        <v>496</v>
      </c>
      <c r="G72">
        <v>1484</v>
      </c>
      <c r="H72" s="115"/>
      <c r="I72" s="115"/>
      <c r="L72" s="160"/>
    </row>
    <row r="73" spans="1:12" x14ac:dyDescent="0.25">
      <c r="A73" s="160">
        <v>42114</v>
      </c>
      <c r="B73" s="115">
        <v>490</v>
      </c>
      <c r="C73" s="115">
        <v>456</v>
      </c>
      <c r="D73" s="115">
        <v>455</v>
      </c>
      <c r="E73" s="115">
        <v>490</v>
      </c>
      <c r="F73" s="115">
        <v>456</v>
      </c>
      <c r="G73">
        <v>838</v>
      </c>
      <c r="H73" s="115"/>
      <c r="I73" s="115"/>
      <c r="L73" s="160"/>
    </row>
    <row r="74" spans="1:12" x14ac:dyDescent="0.25">
      <c r="A74" s="160">
        <v>42115</v>
      </c>
      <c r="B74" s="115">
        <v>485.5</v>
      </c>
      <c r="C74" s="115">
        <v>439.5</v>
      </c>
      <c r="D74" s="115">
        <v>434</v>
      </c>
      <c r="E74" s="115">
        <v>450</v>
      </c>
      <c r="F74" s="115">
        <v>439.5</v>
      </c>
      <c r="G74">
        <v>471</v>
      </c>
      <c r="H74" s="115"/>
      <c r="I74" s="115"/>
      <c r="L74" s="160"/>
    </row>
    <row r="75" spans="1:12" x14ac:dyDescent="0.25">
      <c r="A75" s="160">
        <v>42116</v>
      </c>
      <c r="B75" s="115">
        <v>444</v>
      </c>
      <c r="C75" s="115">
        <v>426.7</v>
      </c>
      <c r="D75" s="115">
        <v>413</v>
      </c>
      <c r="E75" s="115">
        <v>435.8</v>
      </c>
      <c r="F75" s="115">
        <v>426.7</v>
      </c>
      <c r="G75">
        <v>1105</v>
      </c>
      <c r="H75" s="115"/>
      <c r="I75" s="115"/>
      <c r="L75" s="160"/>
    </row>
    <row r="76" spans="1:12" x14ac:dyDescent="0.25">
      <c r="A76" s="160">
        <v>42117</v>
      </c>
      <c r="B76" s="115">
        <v>444</v>
      </c>
      <c r="C76" s="115">
        <v>436.2</v>
      </c>
      <c r="D76" s="115">
        <v>420.1</v>
      </c>
      <c r="E76" s="115">
        <v>437.5</v>
      </c>
      <c r="F76" s="115">
        <v>436.2</v>
      </c>
      <c r="G76">
        <v>540</v>
      </c>
      <c r="H76" s="115"/>
      <c r="I76" s="115"/>
      <c r="L76" s="160"/>
    </row>
    <row r="77" spans="1:12" x14ac:dyDescent="0.25">
      <c r="A77" s="160">
        <v>42118</v>
      </c>
      <c r="B77" s="115">
        <v>470</v>
      </c>
      <c r="C77" s="115">
        <v>464.9</v>
      </c>
      <c r="D77" s="115">
        <v>447</v>
      </c>
      <c r="E77" s="115">
        <v>447</v>
      </c>
      <c r="F77" s="115">
        <v>464.9</v>
      </c>
      <c r="G77">
        <v>1869</v>
      </c>
      <c r="H77" s="115"/>
      <c r="I77" s="115"/>
      <c r="L77" s="160"/>
    </row>
    <row r="78" spans="1:12" x14ac:dyDescent="0.25">
      <c r="A78" s="160">
        <v>42121</v>
      </c>
      <c r="B78" s="115">
        <v>455.7</v>
      </c>
      <c r="C78" s="115">
        <v>434.8</v>
      </c>
      <c r="D78" s="115">
        <v>430</v>
      </c>
      <c r="E78" s="115">
        <v>435.1</v>
      </c>
      <c r="F78" s="115">
        <v>434.8</v>
      </c>
      <c r="G78">
        <v>314</v>
      </c>
      <c r="H78" s="115"/>
      <c r="I78" s="115"/>
      <c r="L78" s="160"/>
    </row>
    <row r="79" spans="1:12" x14ac:dyDescent="0.25">
      <c r="A79" s="160">
        <v>42122</v>
      </c>
      <c r="B79" s="115">
        <v>439.7</v>
      </c>
      <c r="C79" s="115">
        <v>435.4</v>
      </c>
      <c r="D79" s="115">
        <v>428.1</v>
      </c>
      <c r="E79" s="115">
        <v>430</v>
      </c>
      <c r="F79" s="115">
        <v>435.4</v>
      </c>
      <c r="G79">
        <v>212</v>
      </c>
      <c r="H79" s="115"/>
      <c r="I79" s="115"/>
      <c r="L79" s="160"/>
    </row>
    <row r="80" spans="1:12" x14ac:dyDescent="0.25">
      <c r="A80" s="160">
        <v>42123</v>
      </c>
      <c r="B80" s="115">
        <v>445</v>
      </c>
      <c r="C80" s="115">
        <v>435.7</v>
      </c>
      <c r="D80" s="115">
        <v>428.1</v>
      </c>
      <c r="E80" s="115">
        <v>428.3</v>
      </c>
      <c r="F80" s="115">
        <v>435.7</v>
      </c>
      <c r="G80">
        <v>566</v>
      </c>
      <c r="H80" s="115"/>
      <c r="I80" s="115"/>
      <c r="L80" s="160"/>
    </row>
    <row r="81" spans="1:12" x14ac:dyDescent="0.25">
      <c r="A81" s="160">
        <v>42124</v>
      </c>
      <c r="B81" s="115">
        <v>426.5</v>
      </c>
      <c r="C81" s="115">
        <v>426.5</v>
      </c>
      <c r="D81" s="115">
        <v>425.8</v>
      </c>
      <c r="E81" s="115">
        <v>426</v>
      </c>
      <c r="F81" s="115">
        <v>426.5</v>
      </c>
      <c r="G81">
        <v>3</v>
      </c>
      <c r="H81" s="115"/>
      <c r="I81" s="115"/>
      <c r="L81" s="160"/>
    </row>
    <row r="82" spans="1:12" x14ac:dyDescent="0.25">
      <c r="A82" s="160">
        <v>42128</v>
      </c>
      <c r="B82" s="115">
        <v>440</v>
      </c>
      <c r="C82" s="115">
        <v>428</v>
      </c>
      <c r="D82" s="115">
        <v>418</v>
      </c>
      <c r="E82" s="115">
        <v>431</v>
      </c>
      <c r="F82" s="115">
        <v>428</v>
      </c>
      <c r="G82">
        <v>1749</v>
      </c>
      <c r="H82" s="115"/>
      <c r="I82" s="115"/>
      <c r="L82" s="160"/>
    </row>
    <row r="83" spans="1:12" x14ac:dyDescent="0.25">
      <c r="A83" s="160">
        <v>42129</v>
      </c>
      <c r="B83" s="115">
        <v>454</v>
      </c>
      <c r="C83" s="115">
        <v>422.2</v>
      </c>
      <c r="D83" s="115">
        <v>415.1</v>
      </c>
      <c r="E83" s="115">
        <v>433.9</v>
      </c>
      <c r="F83" s="115">
        <v>422.2</v>
      </c>
      <c r="G83">
        <v>1223</v>
      </c>
      <c r="H83" s="115"/>
      <c r="I83" s="115"/>
      <c r="L83" s="160"/>
    </row>
    <row r="84" spans="1:12" x14ac:dyDescent="0.25">
      <c r="A84" s="160">
        <v>42130</v>
      </c>
      <c r="B84" s="115">
        <v>418.1</v>
      </c>
      <c r="C84" s="115">
        <v>415.9</v>
      </c>
      <c r="D84" s="115">
        <v>410</v>
      </c>
      <c r="E84" s="115">
        <v>417</v>
      </c>
      <c r="F84" s="115">
        <v>415.9</v>
      </c>
      <c r="G84">
        <v>194</v>
      </c>
      <c r="H84" s="115"/>
      <c r="I84" s="115"/>
      <c r="L84" s="160"/>
    </row>
    <row r="85" spans="1:12" x14ac:dyDescent="0.25">
      <c r="A85" s="160">
        <v>42131</v>
      </c>
      <c r="B85" s="115">
        <v>422</v>
      </c>
      <c r="C85" s="115">
        <v>400</v>
      </c>
      <c r="D85" s="115">
        <v>400</v>
      </c>
      <c r="E85" s="115">
        <v>409.1</v>
      </c>
      <c r="F85" s="115">
        <v>400</v>
      </c>
      <c r="G85">
        <v>313</v>
      </c>
      <c r="H85" s="115"/>
      <c r="I85" s="115"/>
      <c r="L85" s="160"/>
    </row>
    <row r="86" spans="1:12" x14ac:dyDescent="0.25">
      <c r="A86" s="160">
        <v>42132</v>
      </c>
      <c r="B86" s="115">
        <v>435</v>
      </c>
      <c r="C86" s="115">
        <v>432.3</v>
      </c>
      <c r="D86" s="115">
        <v>402.1</v>
      </c>
      <c r="E86" s="115">
        <v>402.1</v>
      </c>
      <c r="F86" s="115">
        <v>432.3</v>
      </c>
      <c r="G86">
        <v>108</v>
      </c>
      <c r="H86" s="115"/>
      <c r="I86" s="115"/>
      <c r="L86" s="160"/>
    </row>
    <row r="87" spans="1:12" x14ac:dyDescent="0.25">
      <c r="A87" s="160">
        <v>42135</v>
      </c>
      <c r="B87" s="115">
        <v>425</v>
      </c>
      <c r="C87" s="115">
        <v>424.4</v>
      </c>
      <c r="D87" s="115">
        <v>413.1</v>
      </c>
      <c r="E87" s="115">
        <v>413.1</v>
      </c>
      <c r="F87" s="115">
        <v>424.4</v>
      </c>
      <c r="G87">
        <v>123</v>
      </c>
      <c r="H87" s="115"/>
      <c r="I87" s="115"/>
      <c r="L87" s="160"/>
    </row>
    <row r="88" spans="1:12" x14ac:dyDescent="0.25">
      <c r="A88" s="160">
        <v>42136</v>
      </c>
      <c r="B88" s="115">
        <v>420</v>
      </c>
      <c r="C88" s="115">
        <v>411.2</v>
      </c>
      <c r="D88" s="115">
        <v>408.1</v>
      </c>
      <c r="E88" s="115">
        <v>408.1</v>
      </c>
      <c r="F88" s="115">
        <v>411.2</v>
      </c>
      <c r="G88">
        <v>7</v>
      </c>
      <c r="H88" s="115"/>
      <c r="I88" s="115"/>
      <c r="L88" s="160"/>
    </row>
    <row r="89" spans="1:12" x14ac:dyDescent="0.25">
      <c r="A89" s="160">
        <v>42137</v>
      </c>
      <c r="B89" s="115">
        <v>423.7</v>
      </c>
      <c r="C89" s="115">
        <v>412.9</v>
      </c>
      <c r="D89" s="115">
        <v>406.5</v>
      </c>
      <c r="E89" s="115">
        <v>406.5</v>
      </c>
      <c r="F89" s="115">
        <v>412.9</v>
      </c>
      <c r="G89">
        <v>151</v>
      </c>
      <c r="H89" s="115"/>
      <c r="I89" s="115"/>
      <c r="L89" s="160"/>
    </row>
    <row r="90" spans="1:12" x14ac:dyDescent="0.25">
      <c r="A90" s="160">
        <v>42138</v>
      </c>
      <c r="B90" s="115">
        <v>425</v>
      </c>
      <c r="C90" s="115">
        <v>418.9</v>
      </c>
      <c r="D90" s="115">
        <v>404</v>
      </c>
      <c r="E90" s="115">
        <v>420</v>
      </c>
      <c r="F90" s="115">
        <v>418.9</v>
      </c>
      <c r="G90">
        <v>285</v>
      </c>
      <c r="H90" s="115"/>
      <c r="I90" s="115"/>
      <c r="L90" s="160"/>
    </row>
    <row r="91" spans="1:12" x14ac:dyDescent="0.25">
      <c r="A91" s="160">
        <v>42139</v>
      </c>
      <c r="B91" s="115">
        <v>420</v>
      </c>
      <c r="C91" s="115">
        <v>397</v>
      </c>
      <c r="D91" s="115">
        <v>393</v>
      </c>
      <c r="E91" s="115">
        <v>420</v>
      </c>
      <c r="F91" s="115">
        <v>397</v>
      </c>
      <c r="G91">
        <v>6173</v>
      </c>
      <c r="H91" s="115"/>
      <c r="I91" s="115"/>
      <c r="L91" s="160"/>
    </row>
    <row r="92" spans="1:12" x14ac:dyDescent="0.25">
      <c r="A92" s="160">
        <v>42142</v>
      </c>
      <c r="B92" s="115">
        <v>410</v>
      </c>
      <c r="C92" s="115">
        <v>399.1</v>
      </c>
      <c r="D92" s="115">
        <v>395.1</v>
      </c>
      <c r="E92" s="115">
        <v>408</v>
      </c>
      <c r="F92" s="115">
        <v>399.1</v>
      </c>
      <c r="G92">
        <v>2323</v>
      </c>
      <c r="H92" s="115"/>
      <c r="I92" s="115"/>
      <c r="L92" s="160"/>
    </row>
    <row r="93" spans="1:12" x14ac:dyDescent="0.25">
      <c r="A93" s="160">
        <v>42143</v>
      </c>
      <c r="B93" s="115">
        <v>405</v>
      </c>
      <c r="C93" s="115">
        <v>400</v>
      </c>
      <c r="D93" s="115">
        <v>397</v>
      </c>
      <c r="E93" s="115">
        <v>405</v>
      </c>
      <c r="F93" s="115">
        <v>400</v>
      </c>
      <c r="G93">
        <v>2400</v>
      </c>
      <c r="H93" s="115"/>
      <c r="I93" s="115"/>
      <c r="L93" s="160"/>
    </row>
    <row r="94" spans="1:12" x14ac:dyDescent="0.25">
      <c r="A94" s="160">
        <v>42144</v>
      </c>
      <c r="B94" s="115">
        <v>403.9</v>
      </c>
      <c r="C94" s="115">
        <v>400</v>
      </c>
      <c r="D94" s="115">
        <v>396</v>
      </c>
      <c r="E94" s="115">
        <v>400</v>
      </c>
      <c r="F94" s="115">
        <v>400</v>
      </c>
      <c r="G94">
        <v>240</v>
      </c>
      <c r="H94" s="115"/>
      <c r="I94" s="115"/>
      <c r="L94" s="160"/>
    </row>
    <row r="95" spans="1:12" x14ac:dyDescent="0.25">
      <c r="A95" s="160">
        <v>42145</v>
      </c>
      <c r="B95" s="115">
        <v>415</v>
      </c>
      <c r="C95" s="115">
        <v>402.8</v>
      </c>
      <c r="D95" s="115">
        <v>394</v>
      </c>
      <c r="E95" s="115">
        <v>394</v>
      </c>
      <c r="F95" s="115">
        <v>402.8</v>
      </c>
      <c r="G95">
        <v>782</v>
      </c>
      <c r="H95" s="115"/>
      <c r="I95" s="115"/>
      <c r="L95" s="160"/>
    </row>
    <row r="96" spans="1:12" x14ac:dyDescent="0.25">
      <c r="A96" s="160">
        <v>42146</v>
      </c>
      <c r="B96" s="115">
        <v>400.5</v>
      </c>
      <c r="C96" s="115">
        <v>399.1</v>
      </c>
      <c r="D96" s="115">
        <v>390.2</v>
      </c>
      <c r="E96" s="115">
        <v>400.5</v>
      </c>
      <c r="F96" s="115">
        <v>399.1</v>
      </c>
      <c r="G96">
        <v>785</v>
      </c>
      <c r="H96" s="115"/>
      <c r="I96" s="115"/>
      <c r="L96" s="160"/>
    </row>
    <row r="97" spans="1:12" x14ac:dyDescent="0.25">
      <c r="A97" s="160">
        <v>42149</v>
      </c>
      <c r="B97" s="115">
        <v>409.5</v>
      </c>
      <c r="C97" s="115">
        <v>407.9</v>
      </c>
      <c r="D97" s="115">
        <v>395.1</v>
      </c>
      <c r="E97" s="115">
        <v>400</v>
      </c>
      <c r="F97" s="115">
        <v>407.9</v>
      </c>
      <c r="G97">
        <v>158</v>
      </c>
      <c r="H97" s="115"/>
      <c r="I97" s="115"/>
      <c r="L97" s="160"/>
    </row>
    <row r="98" spans="1:12" x14ac:dyDescent="0.25">
      <c r="A98" s="160">
        <v>42150</v>
      </c>
      <c r="B98" s="115">
        <v>401.4</v>
      </c>
      <c r="C98" s="115">
        <v>399.5</v>
      </c>
      <c r="D98" s="115">
        <v>391.1</v>
      </c>
      <c r="E98" s="115">
        <v>400.3</v>
      </c>
      <c r="F98" s="115">
        <v>399.5</v>
      </c>
      <c r="G98">
        <v>1323</v>
      </c>
      <c r="H98" s="115"/>
      <c r="I98" s="115"/>
      <c r="L98" s="160"/>
    </row>
    <row r="99" spans="1:12" x14ac:dyDescent="0.25">
      <c r="A99" s="160">
        <v>42151</v>
      </c>
      <c r="B99" s="115">
        <v>440</v>
      </c>
      <c r="C99" s="115">
        <v>398.7</v>
      </c>
      <c r="D99" s="115">
        <v>386.1</v>
      </c>
      <c r="E99" s="115">
        <v>400</v>
      </c>
      <c r="F99" s="115">
        <v>398.7</v>
      </c>
      <c r="G99">
        <v>9187</v>
      </c>
      <c r="H99" s="115"/>
      <c r="I99" s="115"/>
      <c r="L99" s="160"/>
    </row>
    <row r="100" spans="1:12" x14ac:dyDescent="0.25">
      <c r="A100" s="160">
        <v>42152</v>
      </c>
      <c r="B100" s="115">
        <v>435</v>
      </c>
      <c r="C100" s="115">
        <v>377.4</v>
      </c>
      <c r="D100" s="115">
        <v>360.1</v>
      </c>
      <c r="E100" s="115">
        <v>397</v>
      </c>
      <c r="F100" s="115">
        <v>377.4</v>
      </c>
      <c r="G100">
        <v>28070</v>
      </c>
      <c r="H100" s="115"/>
      <c r="I100" s="115"/>
      <c r="L100" s="160"/>
    </row>
    <row r="101" spans="1:12" x14ac:dyDescent="0.25">
      <c r="A101" s="160">
        <v>42153</v>
      </c>
      <c r="B101" s="115">
        <v>388</v>
      </c>
      <c r="C101" s="115">
        <v>382</v>
      </c>
      <c r="D101" s="115">
        <v>370.2</v>
      </c>
      <c r="E101" s="115">
        <v>370.2</v>
      </c>
      <c r="F101" s="115">
        <v>382</v>
      </c>
      <c r="G101">
        <v>4817</v>
      </c>
      <c r="H101" s="115"/>
      <c r="I101" s="115"/>
      <c r="L101" s="160"/>
    </row>
    <row r="102" spans="1:12" x14ac:dyDescent="0.25">
      <c r="A102" s="160">
        <v>42156</v>
      </c>
      <c r="B102" s="115">
        <v>399</v>
      </c>
      <c r="C102" s="115">
        <v>386.2</v>
      </c>
      <c r="D102" s="115">
        <v>385.1</v>
      </c>
      <c r="E102" s="115">
        <v>399</v>
      </c>
      <c r="F102" s="115">
        <v>386.2</v>
      </c>
      <c r="G102">
        <v>5493</v>
      </c>
      <c r="H102" s="115"/>
      <c r="I102" s="115"/>
      <c r="L102" s="160"/>
    </row>
    <row r="103" spans="1:12" x14ac:dyDescent="0.25">
      <c r="A103" s="160">
        <v>42157</v>
      </c>
      <c r="B103" s="115">
        <v>392</v>
      </c>
      <c r="C103" s="115">
        <v>376.4</v>
      </c>
      <c r="D103" s="115">
        <v>375</v>
      </c>
      <c r="E103" s="115">
        <v>392</v>
      </c>
      <c r="F103" s="115">
        <v>376.4</v>
      </c>
      <c r="G103">
        <v>1612</v>
      </c>
      <c r="H103" s="115"/>
      <c r="I103" s="115"/>
      <c r="L103" s="160"/>
    </row>
    <row r="104" spans="1:12" x14ac:dyDescent="0.25">
      <c r="A104" s="160">
        <v>42158</v>
      </c>
      <c r="B104" s="115">
        <v>384</v>
      </c>
      <c r="C104" s="115">
        <v>374</v>
      </c>
      <c r="D104" s="115">
        <v>362.7</v>
      </c>
      <c r="E104" s="115">
        <v>384</v>
      </c>
      <c r="F104" s="115">
        <v>374</v>
      </c>
      <c r="G104">
        <v>1626</v>
      </c>
      <c r="H104" s="115"/>
      <c r="I104" s="115"/>
      <c r="L104" s="160"/>
    </row>
    <row r="105" spans="1:12" x14ac:dyDescent="0.25">
      <c r="A105" s="160">
        <v>42159</v>
      </c>
      <c r="B105" s="115">
        <v>369.9</v>
      </c>
      <c r="C105" s="115">
        <v>365.8</v>
      </c>
      <c r="D105" s="115">
        <v>358</v>
      </c>
      <c r="E105" s="115">
        <v>361</v>
      </c>
      <c r="F105" s="115">
        <v>365.8</v>
      </c>
      <c r="G105">
        <v>1713</v>
      </c>
      <c r="H105" s="115"/>
      <c r="I105" s="115"/>
      <c r="L105" s="160"/>
    </row>
    <row r="106" spans="1:12" x14ac:dyDescent="0.25">
      <c r="A106" s="160">
        <v>42160</v>
      </c>
      <c r="B106" s="115">
        <v>382</v>
      </c>
      <c r="C106" s="115">
        <v>379.8</v>
      </c>
      <c r="D106" s="115">
        <v>355</v>
      </c>
      <c r="E106" s="115">
        <v>369</v>
      </c>
      <c r="F106" s="115">
        <v>379.8</v>
      </c>
      <c r="G106">
        <v>1940</v>
      </c>
      <c r="H106" s="115"/>
      <c r="I106" s="115"/>
      <c r="L106" s="160"/>
    </row>
    <row r="107" spans="1:12" x14ac:dyDescent="0.25">
      <c r="A107" s="160">
        <v>42163</v>
      </c>
      <c r="B107" s="115">
        <v>383.3</v>
      </c>
      <c r="C107" s="115">
        <v>378.7</v>
      </c>
      <c r="D107" s="115">
        <v>373.1</v>
      </c>
      <c r="E107" s="115">
        <v>380.1</v>
      </c>
      <c r="F107" s="115">
        <v>378.7</v>
      </c>
      <c r="G107">
        <v>1277</v>
      </c>
      <c r="H107" s="115"/>
      <c r="I107" s="115"/>
      <c r="L107" s="160"/>
    </row>
    <row r="108" spans="1:12" x14ac:dyDescent="0.25">
      <c r="A108" s="160">
        <v>42164</v>
      </c>
      <c r="B108" s="115">
        <v>380</v>
      </c>
      <c r="C108" s="115">
        <v>371.2</v>
      </c>
      <c r="D108" s="115">
        <v>371.2</v>
      </c>
      <c r="E108" s="115">
        <v>380</v>
      </c>
      <c r="F108" s="115">
        <v>371.2</v>
      </c>
      <c r="G108">
        <v>403</v>
      </c>
      <c r="H108" s="115"/>
      <c r="I108" s="115"/>
      <c r="L108" s="160"/>
    </row>
    <row r="109" spans="1:12" x14ac:dyDescent="0.25">
      <c r="A109" s="160">
        <v>42165</v>
      </c>
      <c r="B109" s="115">
        <v>390</v>
      </c>
      <c r="C109" s="115">
        <v>379.2</v>
      </c>
      <c r="D109" s="115">
        <v>377</v>
      </c>
      <c r="E109" s="115">
        <v>378</v>
      </c>
      <c r="F109" s="115">
        <v>379.2</v>
      </c>
      <c r="G109">
        <v>820</v>
      </c>
      <c r="H109" s="115"/>
      <c r="I109" s="115"/>
      <c r="L109" s="160"/>
    </row>
    <row r="110" spans="1:12" x14ac:dyDescent="0.25">
      <c r="A110" s="160">
        <v>42166</v>
      </c>
      <c r="B110" s="115">
        <v>380</v>
      </c>
      <c r="C110" s="115">
        <v>371.3</v>
      </c>
      <c r="D110" s="115">
        <v>371.3</v>
      </c>
      <c r="E110" s="115">
        <v>380</v>
      </c>
      <c r="F110" s="115">
        <v>371.3</v>
      </c>
      <c r="G110">
        <v>845</v>
      </c>
      <c r="H110" s="115"/>
      <c r="I110" s="115"/>
      <c r="L110" s="160"/>
    </row>
    <row r="111" spans="1:12" x14ac:dyDescent="0.25">
      <c r="A111" s="160">
        <v>42167</v>
      </c>
      <c r="B111" s="115">
        <v>370.3</v>
      </c>
      <c r="C111" s="115">
        <v>365.4</v>
      </c>
      <c r="D111" s="115">
        <v>361.1</v>
      </c>
      <c r="E111" s="115">
        <v>361.3</v>
      </c>
      <c r="F111" s="115">
        <v>365.4</v>
      </c>
      <c r="G111">
        <v>1064</v>
      </c>
      <c r="H111" s="115"/>
      <c r="I111" s="115"/>
      <c r="L111" s="160"/>
    </row>
    <row r="112" spans="1:12" x14ac:dyDescent="0.25">
      <c r="A112" s="160">
        <v>42170</v>
      </c>
      <c r="B112" s="115">
        <v>384.8</v>
      </c>
      <c r="C112" s="115">
        <v>370.4</v>
      </c>
      <c r="D112" s="115">
        <v>366.5</v>
      </c>
      <c r="E112" s="115">
        <v>380</v>
      </c>
      <c r="F112" s="115">
        <v>370.4</v>
      </c>
      <c r="G112">
        <v>130</v>
      </c>
      <c r="H112" s="115"/>
      <c r="I112" s="115"/>
      <c r="L112" s="160"/>
    </row>
    <row r="113" spans="1:12" x14ac:dyDescent="0.25">
      <c r="A113" s="160">
        <v>42171</v>
      </c>
      <c r="B113" s="115">
        <v>377.7</v>
      </c>
      <c r="C113" s="115">
        <v>369.4</v>
      </c>
      <c r="D113" s="115">
        <v>365.5</v>
      </c>
      <c r="E113" s="115">
        <v>365.5</v>
      </c>
      <c r="F113" s="115">
        <v>369.4</v>
      </c>
      <c r="G113">
        <v>592</v>
      </c>
      <c r="H113" s="115"/>
      <c r="I113" s="115"/>
      <c r="L113" s="160"/>
    </row>
    <row r="114" spans="1:12" x14ac:dyDescent="0.25">
      <c r="A114" s="160">
        <v>42172</v>
      </c>
      <c r="B114" s="115">
        <v>378</v>
      </c>
      <c r="C114" s="115">
        <v>374.8</v>
      </c>
      <c r="D114" s="115">
        <v>370.1</v>
      </c>
      <c r="E114" s="115">
        <v>371</v>
      </c>
      <c r="F114" s="115">
        <v>374.8</v>
      </c>
      <c r="G114">
        <v>1208</v>
      </c>
      <c r="H114" s="115"/>
      <c r="I114" s="115"/>
      <c r="L114" s="160"/>
    </row>
    <row r="115" spans="1:12" x14ac:dyDescent="0.25">
      <c r="A115" s="160">
        <v>42173</v>
      </c>
      <c r="B115" s="115">
        <v>384</v>
      </c>
      <c r="C115" s="115">
        <v>379.3</v>
      </c>
      <c r="D115" s="115">
        <v>376</v>
      </c>
      <c r="E115" s="115">
        <v>380</v>
      </c>
      <c r="F115" s="115">
        <v>379.3</v>
      </c>
      <c r="G115">
        <v>607</v>
      </c>
      <c r="H115" s="115"/>
      <c r="I115" s="115"/>
      <c r="L115" s="160"/>
    </row>
    <row r="116" spans="1:12" x14ac:dyDescent="0.25">
      <c r="A116" s="160">
        <v>42174</v>
      </c>
      <c r="B116" s="115">
        <v>398</v>
      </c>
      <c r="C116" s="115">
        <v>393.9</v>
      </c>
      <c r="D116" s="115">
        <v>380.2</v>
      </c>
      <c r="E116" s="115">
        <v>385</v>
      </c>
      <c r="F116" s="115">
        <v>393.9</v>
      </c>
      <c r="G116">
        <v>1690</v>
      </c>
      <c r="H116" s="115"/>
      <c r="I116" s="115"/>
      <c r="L116" s="160"/>
    </row>
    <row r="117" spans="1:12" x14ac:dyDescent="0.25">
      <c r="A117" s="160">
        <v>42177</v>
      </c>
      <c r="B117" s="115">
        <v>394</v>
      </c>
      <c r="C117" s="115">
        <v>381.4</v>
      </c>
      <c r="D117" s="115">
        <v>371.2</v>
      </c>
      <c r="E117" s="115">
        <v>373.6</v>
      </c>
      <c r="F117" s="115">
        <v>381.4</v>
      </c>
      <c r="G117">
        <v>5531</v>
      </c>
      <c r="H117" s="115"/>
      <c r="I117" s="115"/>
      <c r="L117" s="160"/>
    </row>
    <row r="118" spans="1:12" x14ac:dyDescent="0.25">
      <c r="A118" s="160">
        <v>42178</v>
      </c>
      <c r="B118" s="115">
        <v>389.7</v>
      </c>
      <c r="C118" s="115">
        <v>383.1</v>
      </c>
      <c r="D118" s="115">
        <v>375</v>
      </c>
      <c r="E118" s="115">
        <v>375</v>
      </c>
      <c r="F118" s="115">
        <v>383.1</v>
      </c>
      <c r="G118">
        <v>1751</v>
      </c>
      <c r="H118" s="115"/>
      <c r="I118" s="115"/>
      <c r="L118" s="160"/>
    </row>
    <row r="119" spans="1:12" x14ac:dyDescent="0.25">
      <c r="A119" s="160">
        <v>42179</v>
      </c>
      <c r="B119" s="115">
        <v>390</v>
      </c>
      <c r="C119" s="115">
        <v>382.4</v>
      </c>
      <c r="D119" s="115">
        <v>376.2</v>
      </c>
      <c r="E119" s="115">
        <v>378.5</v>
      </c>
      <c r="F119" s="115">
        <v>382.4</v>
      </c>
      <c r="G119">
        <v>1636</v>
      </c>
      <c r="H119" s="115"/>
      <c r="I119" s="115"/>
      <c r="L119" s="160"/>
    </row>
    <row r="120" spans="1:12" x14ac:dyDescent="0.25">
      <c r="A120" s="160">
        <v>42180</v>
      </c>
      <c r="B120" s="115">
        <v>386.5</v>
      </c>
      <c r="C120" s="115">
        <v>380.1</v>
      </c>
      <c r="D120" s="115">
        <v>377.2</v>
      </c>
      <c r="E120" s="115">
        <v>377.2</v>
      </c>
      <c r="F120" s="115">
        <v>380.1</v>
      </c>
      <c r="G120">
        <v>125</v>
      </c>
      <c r="H120" s="115"/>
      <c r="I120" s="115"/>
      <c r="L120" s="160"/>
    </row>
    <row r="121" spans="1:12" x14ac:dyDescent="0.25">
      <c r="A121" s="160">
        <v>42181</v>
      </c>
      <c r="B121" s="115">
        <v>385</v>
      </c>
      <c r="C121" s="115">
        <v>380.5</v>
      </c>
      <c r="D121" s="115">
        <v>380.3</v>
      </c>
      <c r="E121" s="115">
        <v>385</v>
      </c>
      <c r="F121" s="115">
        <v>380.5</v>
      </c>
      <c r="G121">
        <v>317</v>
      </c>
      <c r="H121" s="115"/>
      <c r="I121" s="115"/>
      <c r="L121" s="160"/>
    </row>
    <row r="122" spans="1:12" x14ac:dyDescent="0.25">
      <c r="A122" s="160">
        <v>42184</v>
      </c>
      <c r="B122" s="115">
        <v>383.4</v>
      </c>
      <c r="C122" s="115">
        <v>376.7</v>
      </c>
      <c r="D122" s="115">
        <v>370</v>
      </c>
      <c r="E122" s="115">
        <v>380</v>
      </c>
      <c r="F122" s="115">
        <v>376.7</v>
      </c>
      <c r="G122">
        <v>145</v>
      </c>
      <c r="H122" s="115"/>
      <c r="I122" s="115"/>
      <c r="L122" s="160"/>
    </row>
    <row r="123" spans="1:12" x14ac:dyDescent="0.25">
      <c r="A123" s="160">
        <v>42185</v>
      </c>
      <c r="B123" s="115">
        <v>385</v>
      </c>
      <c r="C123" s="115">
        <v>380</v>
      </c>
      <c r="D123" s="115">
        <v>366</v>
      </c>
      <c r="E123" s="115">
        <v>366</v>
      </c>
      <c r="F123" s="115">
        <v>380</v>
      </c>
      <c r="G123">
        <v>1160</v>
      </c>
      <c r="H123" s="115"/>
      <c r="I123" s="115"/>
      <c r="L123" s="160"/>
    </row>
    <row r="124" spans="1:12" x14ac:dyDescent="0.25">
      <c r="A124" s="160">
        <v>42186</v>
      </c>
      <c r="B124" s="115">
        <v>423</v>
      </c>
      <c r="C124" s="115">
        <v>419.3</v>
      </c>
      <c r="D124" s="115">
        <v>392</v>
      </c>
      <c r="E124" s="115">
        <v>395</v>
      </c>
      <c r="F124" s="115">
        <v>419.3</v>
      </c>
      <c r="G124">
        <v>2548</v>
      </c>
      <c r="H124" s="115"/>
      <c r="I124" s="115"/>
      <c r="L124" s="160"/>
    </row>
    <row r="125" spans="1:12" x14ac:dyDescent="0.25">
      <c r="A125" s="160">
        <v>42187</v>
      </c>
      <c r="B125" s="115">
        <v>500</v>
      </c>
      <c r="C125" s="115">
        <v>491.1</v>
      </c>
      <c r="D125" s="115">
        <v>420</v>
      </c>
      <c r="E125" s="115">
        <v>420</v>
      </c>
      <c r="F125" s="115">
        <v>491.1</v>
      </c>
      <c r="G125">
        <v>10358</v>
      </c>
      <c r="H125" s="115"/>
      <c r="I125" s="115"/>
      <c r="L125" s="160"/>
    </row>
    <row r="126" spans="1:12" x14ac:dyDescent="0.25">
      <c r="A126" s="160">
        <v>42188</v>
      </c>
      <c r="B126" s="115">
        <v>535</v>
      </c>
      <c r="C126" s="115">
        <v>498.3</v>
      </c>
      <c r="D126" s="115">
        <v>475.1</v>
      </c>
      <c r="E126" s="115">
        <v>500</v>
      </c>
      <c r="F126" s="115">
        <v>498.3</v>
      </c>
      <c r="G126">
        <v>9553</v>
      </c>
      <c r="H126" s="115"/>
      <c r="I126" s="115"/>
      <c r="L126" s="160"/>
    </row>
    <row r="127" spans="1:12" x14ac:dyDescent="0.25">
      <c r="A127" s="160">
        <v>42191</v>
      </c>
      <c r="B127" s="115">
        <v>525</v>
      </c>
      <c r="C127" s="115">
        <v>502.9</v>
      </c>
      <c r="D127" s="115">
        <v>492</v>
      </c>
      <c r="E127" s="115">
        <v>525</v>
      </c>
      <c r="F127" s="115">
        <v>502.9</v>
      </c>
      <c r="G127">
        <v>3295</v>
      </c>
      <c r="H127" s="115"/>
      <c r="I127" s="115"/>
      <c r="L127" s="160"/>
    </row>
    <row r="128" spans="1:12" x14ac:dyDescent="0.25">
      <c r="A128" s="160">
        <v>42192</v>
      </c>
      <c r="B128" s="115">
        <v>523</v>
      </c>
      <c r="C128" s="115">
        <v>484.2</v>
      </c>
      <c r="D128" s="115">
        <v>476</v>
      </c>
      <c r="E128" s="115">
        <v>523</v>
      </c>
      <c r="F128" s="115">
        <v>484.2</v>
      </c>
      <c r="G128">
        <v>2491</v>
      </c>
      <c r="H128" s="115"/>
      <c r="I128" s="115"/>
      <c r="L128" s="160"/>
    </row>
    <row r="129" spans="1:12" x14ac:dyDescent="0.25">
      <c r="A129" s="160">
        <v>42193</v>
      </c>
      <c r="B129" s="115">
        <v>494</v>
      </c>
      <c r="C129" s="115">
        <v>488.5</v>
      </c>
      <c r="D129" s="115">
        <v>475</v>
      </c>
      <c r="E129" s="115">
        <v>475</v>
      </c>
      <c r="F129" s="115">
        <v>488.5</v>
      </c>
      <c r="G129">
        <v>1277</v>
      </c>
      <c r="H129" s="115"/>
      <c r="I129" s="115"/>
      <c r="L129" s="160"/>
    </row>
    <row r="130" spans="1:12" x14ac:dyDescent="0.25">
      <c r="A130" s="160">
        <v>42194</v>
      </c>
      <c r="B130" s="115">
        <v>495</v>
      </c>
      <c r="C130" s="115">
        <v>485.2</v>
      </c>
      <c r="D130" s="115">
        <v>479.1</v>
      </c>
      <c r="E130" s="115">
        <v>484</v>
      </c>
      <c r="F130" s="115">
        <v>485.2</v>
      </c>
      <c r="G130">
        <v>1057</v>
      </c>
      <c r="H130" s="115"/>
      <c r="I130" s="115"/>
      <c r="L130" s="160"/>
    </row>
    <row r="131" spans="1:12" x14ac:dyDescent="0.25">
      <c r="A131" s="160">
        <v>42195</v>
      </c>
      <c r="B131" s="115">
        <v>494</v>
      </c>
      <c r="C131" s="115">
        <v>484.8</v>
      </c>
      <c r="D131" s="115">
        <v>482</v>
      </c>
      <c r="E131" s="115">
        <v>489</v>
      </c>
      <c r="F131" s="115">
        <v>484.8</v>
      </c>
      <c r="G131">
        <v>1029</v>
      </c>
      <c r="H131" s="115"/>
      <c r="I131" s="115"/>
      <c r="L131" s="160"/>
    </row>
    <row r="132" spans="1:12" x14ac:dyDescent="0.25">
      <c r="A132" s="160">
        <v>42198</v>
      </c>
      <c r="B132" s="115">
        <v>500</v>
      </c>
      <c r="C132" s="115">
        <v>487.7</v>
      </c>
      <c r="D132" s="115">
        <v>483</v>
      </c>
      <c r="E132" s="115">
        <v>486</v>
      </c>
      <c r="F132" s="115">
        <v>487.7</v>
      </c>
      <c r="G132">
        <v>2277</v>
      </c>
      <c r="H132" s="115"/>
      <c r="I132" s="115"/>
      <c r="L132" s="160"/>
    </row>
    <row r="133" spans="1:12" x14ac:dyDescent="0.25">
      <c r="A133" s="160">
        <v>42199</v>
      </c>
      <c r="B133" s="115">
        <v>500</v>
      </c>
      <c r="C133" s="115">
        <v>484.7</v>
      </c>
      <c r="D133" s="115">
        <v>483</v>
      </c>
      <c r="E133" s="115">
        <v>489</v>
      </c>
      <c r="F133" s="115">
        <v>484.7</v>
      </c>
      <c r="G133">
        <v>561</v>
      </c>
      <c r="H133" s="115"/>
      <c r="I133" s="115"/>
      <c r="L133" s="160"/>
    </row>
    <row r="134" spans="1:12" x14ac:dyDescent="0.25">
      <c r="A134" s="160">
        <v>42200</v>
      </c>
      <c r="B134" s="115">
        <v>495</v>
      </c>
      <c r="C134" s="115">
        <v>489.3</v>
      </c>
      <c r="D134" s="115">
        <v>488</v>
      </c>
      <c r="E134" s="115">
        <v>494.9</v>
      </c>
      <c r="F134" s="115">
        <v>489.3</v>
      </c>
      <c r="G134">
        <v>173</v>
      </c>
      <c r="H134" s="115"/>
      <c r="I134" s="115"/>
      <c r="L134" s="160"/>
    </row>
    <row r="135" spans="1:12" x14ac:dyDescent="0.25">
      <c r="A135" s="160">
        <v>42201</v>
      </c>
      <c r="B135" s="115">
        <v>498.7</v>
      </c>
      <c r="C135" s="115">
        <v>492</v>
      </c>
      <c r="D135" s="115">
        <v>486</v>
      </c>
      <c r="E135" s="115">
        <v>498.7</v>
      </c>
      <c r="F135" s="115">
        <v>492</v>
      </c>
      <c r="G135">
        <v>223</v>
      </c>
      <c r="H135" s="115"/>
      <c r="I135" s="115"/>
      <c r="L135" s="160"/>
    </row>
    <row r="136" spans="1:12" x14ac:dyDescent="0.25">
      <c r="A136" s="160">
        <v>42202</v>
      </c>
      <c r="B136" s="115">
        <v>522</v>
      </c>
      <c r="C136" s="115">
        <v>496.8</v>
      </c>
      <c r="D136" s="115">
        <v>493</v>
      </c>
      <c r="E136" s="115">
        <v>522</v>
      </c>
      <c r="F136" s="115">
        <v>496.8</v>
      </c>
      <c r="G136">
        <v>1129</v>
      </c>
      <c r="H136" s="115"/>
      <c r="I136" s="115"/>
      <c r="L136" s="160"/>
    </row>
    <row r="137" spans="1:12" x14ac:dyDescent="0.25">
      <c r="A137" s="160">
        <v>42205</v>
      </c>
      <c r="B137" s="115">
        <v>504.4</v>
      </c>
      <c r="C137" s="115">
        <v>490.7</v>
      </c>
      <c r="D137" s="115">
        <v>481.3</v>
      </c>
      <c r="E137" s="115">
        <v>485</v>
      </c>
      <c r="F137" s="115">
        <v>490.7</v>
      </c>
      <c r="G137">
        <v>841</v>
      </c>
      <c r="H137" s="115"/>
      <c r="I137" s="115"/>
      <c r="L137" s="160"/>
    </row>
    <row r="138" spans="1:12" x14ac:dyDescent="0.25">
      <c r="A138" s="160">
        <v>42206</v>
      </c>
      <c r="B138" s="115">
        <v>511</v>
      </c>
      <c r="C138" s="115">
        <v>468.3</v>
      </c>
      <c r="D138" s="115">
        <v>461.5</v>
      </c>
      <c r="E138" s="115">
        <v>511</v>
      </c>
      <c r="F138" s="115">
        <v>468.3</v>
      </c>
      <c r="G138">
        <v>1075</v>
      </c>
      <c r="H138" s="115"/>
      <c r="I138" s="115"/>
      <c r="L138" s="160"/>
    </row>
    <row r="139" spans="1:12" x14ac:dyDescent="0.25">
      <c r="A139" s="160">
        <v>42207</v>
      </c>
      <c r="B139" s="115">
        <v>489.5</v>
      </c>
      <c r="C139" s="115">
        <v>477.1</v>
      </c>
      <c r="D139" s="115">
        <v>475.1</v>
      </c>
      <c r="E139" s="115">
        <v>480</v>
      </c>
      <c r="F139" s="115">
        <v>477.1</v>
      </c>
      <c r="G139">
        <v>337</v>
      </c>
      <c r="H139" s="115"/>
      <c r="I139" s="115"/>
      <c r="L139" s="160"/>
    </row>
    <row r="140" spans="1:12" x14ac:dyDescent="0.25">
      <c r="A140" s="160">
        <v>42208</v>
      </c>
      <c r="B140" s="115">
        <v>504</v>
      </c>
      <c r="C140" s="115">
        <v>502</v>
      </c>
      <c r="D140" s="115">
        <v>483</v>
      </c>
      <c r="E140" s="115">
        <v>497.6</v>
      </c>
      <c r="F140" s="115">
        <v>502</v>
      </c>
      <c r="G140">
        <v>1129</v>
      </c>
      <c r="H140" s="115"/>
      <c r="I140" s="115"/>
      <c r="L140" s="160"/>
    </row>
    <row r="141" spans="1:12" x14ac:dyDescent="0.25">
      <c r="A141" s="160">
        <v>42209</v>
      </c>
      <c r="B141" s="115">
        <v>510</v>
      </c>
      <c r="C141" s="115">
        <v>486.6</v>
      </c>
      <c r="D141" s="115">
        <v>486.6</v>
      </c>
      <c r="E141" s="115">
        <v>500.1</v>
      </c>
      <c r="F141" s="115">
        <v>486.6</v>
      </c>
      <c r="G141">
        <v>502</v>
      </c>
      <c r="H141" s="115"/>
      <c r="I141" s="115"/>
      <c r="L141" s="160"/>
    </row>
    <row r="142" spans="1:12" x14ac:dyDescent="0.25">
      <c r="A142" s="160">
        <v>42212</v>
      </c>
      <c r="B142" s="115">
        <v>499.9</v>
      </c>
      <c r="C142" s="115">
        <v>499.9</v>
      </c>
      <c r="D142" s="115">
        <v>485.5</v>
      </c>
      <c r="E142" s="115">
        <v>490</v>
      </c>
      <c r="F142" s="115">
        <v>499.9</v>
      </c>
      <c r="G142">
        <v>120</v>
      </c>
      <c r="H142" s="115"/>
      <c r="I142" s="115"/>
      <c r="L142" s="160"/>
    </row>
    <row r="143" spans="1:12" x14ac:dyDescent="0.25">
      <c r="A143" s="160">
        <v>42213</v>
      </c>
      <c r="B143" s="115">
        <v>499.9</v>
      </c>
      <c r="C143" s="115">
        <v>479.2</v>
      </c>
      <c r="D143" s="115">
        <v>476</v>
      </c>
      <c r="E143" s="115">
        <v>499.5</v>
      </c>
      <c r="F143" s="115">
        <v>479.2</v>
      </c>
      <c r="G143">
        <v>1583</v>
      </c>
      <c r="H143" s="115"/>
      <c r="I143" s="115"/>
      <c r="L143" s="160"/>
    </row>
    <row r="144" spans="1:12" x14ac:dyDescent="0.25">
      <c r="A144" s="160">
        <v>42214</v>
      </c>
      <c r="B144" s="115">
        <v>485</v>
      </c>
      <c r="C144" s="115">
        <v>479</v>
      </c>
      <c r="D144" s="115">
        <v>479</v>
      </c>
      <c r="E144" s="115">
        <v>479</v>
      </c>
      <c r="F144" s="115">
        <v>479</v>
      </c>
      <c r="G144">
        <v>606</v>
      </c>
      <c r="H144" s="115"/>
      <c r="I144" s="115"/>
      <c r="L144" s="160"/>
    </row>
    <row r="145" spans="1:12" x14ac:dyDescent="0.25">
      <c r="A145" s="160">
        <v>42215</v>
      </c>
      <c r="B145" s="115">
        <v>515</v>
      </c>
      <c r="C145" s="115">
        <v>482.6</v>
      </c>
      <c r="D145" s="115">
        <v>479</v>
      </c>
      <c r="E145" s="115">
        <v>515</v>
      </c>
      <c r="F145" s="115">
        <v>482.6</v>
      </c>
      <c r="G145">
        <v>604</v>
      </c>
      <c r="H145" s="115"/>
      <c r="I145" s="115"/>
      <c r="L145" s="160"/>
    </row>
    <row r="146" spans="1:12" x14ac:dyDescent="0.25">
      <c r="A146" s="160">
        <v>42216</v>
      </c>
      <c r="B146" s="115">
        <v>492</v>
      </c>
      <c r="C146" s="115">
        <v>473.8</v>
      </c>
      <c r="D146" s="115">
        <v>470</v>
      </c>
      <c r="E146" s="115">
        <v>481.5</v>
      </c>
      <c r="F146" s="115">
        <v>473.8</v>
      </c>
      <c r="G146">
        <v>3567</v>
      </c>
      <c r="H146" s="115"/>
      <c r="I146" s="115"/>
      <c r="L146" s="160"/>
    </row>
    <row r="147" spans="1:12" x14ac:dyDescent="0.25">
      <c r="A147" s="160">
        <v>42219</v>
      </c>
      <c r="B147" s="115">
        <v>492</v>
      </c>
      <c r="C147" s="115">
        <v>476.2</v>
      </c>
      <c r="D147" s="115">
        <v>472</v>
      </c>
      <c r="E147" s="115">
        <v>473.7</v>
      </c>
      <c r="F147" s="115">
        <v>476.2</v>
      </c>
      <c r="G147">
        <v>2192</v>
      </c>
      <c r="H147" s="115"/>
      <c r="I147" s="115"/>
      <c r="L147" s="160"/>
    </row>
    <row r="148" spans="1:12" x14ac:dyDescent="0.25">
      <c r="A148" s="160">
        <v>42220</v>
      </c>
      <c r="B148" s="115">
        <v>490</v>
      </c>
      <c r="C148" s="115">
        <v>485.9</v>
      </c>
      <c r="D148" s="115">
        <v>465.2</v>
      </c>
      <c r="E148" s="115">
        <v>473</v>
      </c>
      <c r="F148" s="115">
        <v>485.9</v>
      </c>
      <c r="G148">
        <v>2183</v>
      </c>
      <c r="H148" s="115"/>
      <c r="I148" s="115"/>
      <c r="L148" s="160"/>
    </row>
    <row r="149" spans="1:12" x14ac:dyDescent="0.25">
      <c r="A149" s="160">
        <v>42221</v>
      </c>
      <c r="B149" s="115">
        <v>549</v>
      </c>
      <c r="C149" s="115">
        <v>537.20000000000005</v>
      </c>
      <c r="D149" s="115">
        <v>483.1</v>
      </c>
      <c r="E149" s="115">
        <v>490</v>
      </c>
      <c r="F149" s="115">
        <v>537.20000000000005</v>
      </c>
      <c r="G149">
        <v>6444</v>
      </c>
      <c r="H149" s="115"/>
      <c r="I149" s="115"/>
      <c r="L149" s="160"/>
    </row>
    <row r="150" spans="1:12" x14ac:dyDescent="0.25">
      <c r="A150" s="160">
        <v>42222</v>
      </c>
      <c r="B150" s="115">
        <v>534</v>
      </c>
      <c r="C150" s="115">
        <v>511.5</v>
      </c>
      <c r="D150" s="115">
        <v>508</v>
      </c>
      <c r="E150" s="115">
        <v>534</v>
      </c>
      <c r="F150" s="115">
        <v>511.5</v>
      </c>
      <c r="G150">
        <v>2428</v>
      </c>
      <c r="H150" s="115"/>
      <c r="I150" s="115"/>
      <c r="L150" s="160"/>
    </row>
    <row r="151" spans="1:12" x14ac:dyDescent="0.25">
      <c r="A151" s="160">
        <v>42223</v>
      </c>
      <c r="B151" s="115">
        <v>524.9</v>
      </c>
      <c r="C151" s="115">
        <v>511.1</v>
      </c>
      <c r="D151" s="115">
        <v>501</v>
      </c>
      <c r="E151" s="115">
        <v>524.9</v>
      </c>
      <c r="F151" s="115">
        <v>511.1</v>
      </c>
      <c r="G151">
        <v>1369</v>
      </c>
      <c r="H151" s="115"/>
      <c r="I151" s="115"/>
      <c r="L151" s="160"/>
    </row>
    <row r="152" spans="1:12" x14ac:dyDescent="0.25">
      <c r="A152" s="160">
        <v>42226</v>
      </c>
      <c r="B152" s="115">
        <v>515</v>
      </c>
      <c r="C152" s="115">
        <v>500.3</v>
      </c>
      <c r="D152" s="115">
        <v>494.1</v>
      </c>
      <c r="E152" s="115">
        <v>505</v>
      </c>
      <c r="F152" s="115">
        <v>500.3</v>
      </c>
      <c r="G152">
        <v>1360</v>
      </c>
      <c r="H152" s="115"/>
      <c r="I152" s="115"/>
      <c r="L152" s="160"/>
    </row>
    <row r="153" spans="1:12" x14ac:dyDescent="0.25">
      <c r="A153" s="160">
        <v>42227</v>
      </c>
      <c r="B153" s="115">
        <v>520</v>
      </c>
      <c r="C153" s="115">
        <v>495</v>
      </c>
      <c r="D153" s="115">
        <v>484</v>
      </c>
      <c r="E153" s="115">
        <v>520</v>
      </c>
      <c r="F153" s="115">
        <v>495</v>
      </c>
      <c r="G153">
        <v>1415</v>
      </c>
      <c r="H153" s="115"/>
      <c r="I153" s="115"/>
      <c r="L153" s="160"/>
    </row>
    <row r="154" spans="1:12" x14ac:dyDescent="0.25">
      <c r="A154" s="160">
        <v>42228</v>
      </c>
      <c r="B154" s="115">
        <v>498.5</v>
      </c>
      <c r="C154" s="115">
        <v>480</v>
      </c>
      <c r="D154" s="115">
        <v>479</v>
      </c>
      <c r="E154" s="115">
        <v>498.5</v>
      </c>
      <c r="F154" s="115">
        <v>480</v>
      </c>
      <c r="G154">
        <v>1278</v>
      </c>
      <c r="H154" s="115"/>
      <c r="I154" s="115"/>
      <c r="L154" s="160"/>
    </row>
    <row r="155" spans="1:12" x14ac:dyDescent="0.25">
      <c r="A155" s="160">
        <v>42229</v>
      </c>
      <c r="B155" s="115">
        <v>485</v>
      </c>
      <c r="C155" s="115">
        <v>485</v>
      </c>
      <c r="D155" s="115">
        <v>480</v>
      </c>
      <c r="E155" s="115">
        <v>480</v>
      </c>
      <c r="F155" s="115">
        <v>485</v>
      </c>
      <c r="G155">
        <v>350</v>
      </c>
      <c r="H155" s="115"/>
      <c r="I155" s="115"/>
      <c r="L155" s="160"/>
    </row>
    <row r="156" spans="1:12" x14ac:dyDescent="0.25">
      <c r="A156" s="160">
        <v>42230</v>
      </c>
      <c r="B156" s="115">
        <v>515</v>
      </c>
      <c r="C156" s="115">
        <v>506.9</v>
      </c>
      <c r="D156" s="115">
        <v>475</v>
      </c>
      <c r="E156" s="115">
        <v>475</v>
      </c>
      <c r="F156" s="115">
        <v>506.9</v>
      </c>
      <c r="G156">
        <v>2222</v>
      </c>
      <c r="H156" s="115"/>
      <c r="I156" s="115"/>
      <c r="L156" s="160"/>
    </row>
    <row r="157" spans="1:12" x14ac:dyDescent="0.25">
      <c r="A157" s="160">
        <v>42233</v>
      </c>
      <c r="B157" s="115">
        <v>524</v>
      </c>
      <c r="C157" s="115">
        <v>516.6</v>
      </c>
      <c r="D157" s="115">
        <v>489.4</v>
      </c>
      <c r="E157" s="115">
        <v>524</v>
      </c>
      <c r="F157" s="115">
        <v>516.6</v>
      </c>
      <c r="G157">
        <v>567</v>
      </c>
      <c r="H157" s="115"/>
      <c r="I157" s="115"/>
      <c r="L157" s="160"/>
    </row>
    <row r="158" spans="1:12" x14ac:dyDescent="0.25">
      <c r="A158" s="160">
        <v>42234</v>
      </c>
      <c r="B158" s="115">
        <v>519.79999999999995</v>
      </c>
      <c r="C158" s="115">
        <v>509.1</v>
      </c>
      <c r="D158" s="115">
        <v>500.3</v>
      </c>
      <c r="E158" s="115">
        <v>505.5</v>
      </c>
      <c r="F158" s="115">
        <v>509.1</v>
      </c>
      <c r="G158">
        <v>214</v>
      </c>
      <c r="H158" s="115"/>
      <c r="I158" s="115"/>
      <c r="L158" s="160"/>
    </row>
    <row r="159" spans="1:12" x14ac:dyDescent="0.25">
      <c r="A159" s="160">
        <v>42235</v>
      </c>
      <c r="B159" s="115">
        <v>505</v>
      </c>
      <c r="C159" s="115">
        <v>504.9</v>
      </c>
      <c r="D159" s="115">
        <v>487</v>
      </c>
      <c r="E159" s="115">
        <v>505</v>
      </c>
      <c r="F159" s="115">
        <v>504.9</v>
      </c>
      <c r="G159">
        <v>629</v>
      </c>
      <c r="H159" s="115"/>
      <c r="I159" s="115"/>
      <c r="L159" s="160"/>
    </row>
    <row r="160" spans="1:12" x14ac:dyDescent="0.25">
      <c r="A160" s="160">
        <v>42236</v>
      </c>
      <c r="B160" s="115">
        <v>518</v>
      </c>
      <c r="C160" s="115">
        <v>482.1</v>
      </c>
      <c r="D160" s="115">
        <v>482.1</v>
      </c>
      <c r="E160" s="115">
        <v>518</v>
      </c>
      <c r="F160" s="115">
        <v>482.1</v>
      </c>
      <c r="G160">
        <v>187</v>
      </c>
      <c r="H160" s="115"/>
      <c r="I160" s="115"/>
      <c r="L160" s="160"/>
    </row>
    <row r="161" spans="1:12" x14ac:dyDescent="0.25">
      <c r="A161" s="160">
        <v>42237</v>
      </c>
      <c r="B161" s="115">
        <v>479</v>
      </c>
      <c r="C161" s="115">
        <v>473.5</v>
      </c>
      <c r="D161" s="115">
        <v>460</v>
      </c>
      <c r="E161" s="115">
        <v>475</v>
      </c>
      <c r="F161" s="115">
        <v>473.5</v>
      </c>
      <c r="G161">
        <v>888</v>
      </c>
      <c r="H161" s="115"/>
      <c r="I161" s="115"/>
      <c r="L161" s="160"/>
    </row>
    <row r="162" spans="1:12" x14ac:dyDescent="0.25">
      <c r="A162" s="160">
        <v>42240</v>
      </c>
      <c r="B162" s="115">
        <v>460</v>
      </c>
      <c r="C162" s="115">
        <v>435</v>
      </c>
      <c r="D162" s="115">
        <v>435</v>
      </c>
      <c r="E162" s="115">
        <v>460</v>
      </c>
      <c r="F162" s="115">
        <v>435</v>
      </c>
      <c r="G162">
        <v>708</v>
      </c>
      <c r="H162" s="115"/>
      <c r="I162" s="115"/>
      <c r="L162" s="160"/>
    </row>
    <row r="163" spans="1:12" x14ac:dyDescent="0.25">
      <c r="A163" s="160">
        <v>42241</v>
      </c>
      <c r="B163" s="115">
        <v>459.5</v>
      </c>
      <c r="C163" s="115">
        <v>437</v>
      </c>
      <c r="D163" s="115">
        <v>415</v>
      </c>
      <c r="E163" s="115">
        <v>419</v>
      </c>
      <c r="F163" s="115">
        <v>437</v>
      </c>
      <c r="G163">
        <v>807</v>
      </c>
      <c r="H163" s="115"/>
      <c r="I163" s="115"/>
      <c r="L163" s="160"/>
    </row>
    <row r="164" spans="1:12" x14ac:dyDescent="0.25">
      <c r="A164" s="160">
        <v>42242</v>
      </c>
      <c r="B164" s="115">
        <v>444.6</v>
      </c>
      <c r="C164" s="115">
        <v>438.8</v>
      </c>
      <c r="D164" s="115">
        <v>420</v>
      </c>
      <c r="E164" s="115">
        <v>425</v>
      </c>
      <c r="F164" s="115">
        <v>438.8</v>
      </c>
      <c r="G164">
        <v>646</v>
      </c>
      <c r="H164" s="115"/>
      <c r="I164" s="115"/>
      <c r="L164" s="160"/>
    </row>
    <row r="165" spans="1:12" x14ac:dyDescent="0.25">
      <c r="A165" s="160">
        <v>42243</v>
      </c>
      <c r="B165" s="115">
        <v>447</v>
      </c>
      <c r="C165" s="115">
        <v>441.7</v>
      </c>
      <c r="D165" s="115">
        <v>426</v>
      </c>
      <c r="E165" s="115">
        <v>426</v>
      </c>
      <c r="F165" s="115">
        <v>441.7</v>
      </c>
      <c r="G165">
        <v>427</v>
      </c>
      <c r="H165" s="115"/>
      <c r="I165" s="115"/>
      <c r="L165" s="160"/>
    </row>
    <row r="166" spans="1:12" x14ac:dyDescent="0.25">
      <c r="A166" s="160">
        <v>42244</v>
      </c>
      <c r="B166" s="115">
        <v>440</v>
      </c>
      <c r="C166" s="115">
        <v>440</v>
      </c>
      <c r="D166" s="115">
        <v>440</v>
      </c>
      <c r="E166" s="115">
        <v>440</v>
      </c>
      <c r="F166" s="115">
        <v>440</v>
      </c>
      <c r="G166">
        <v>57</v>
      </c>
      <c r="H166" s="115"/>
      <c r="I166" s="115"/>
      <c r="L166" s="160"/>
    </row>
    <row r="167" spans="1:12" x14ac:dyDescent="0.25">
      <c r="A167" s="160">
        <v>42247</v>
      </c>
      <c r="B167" s="115">
        <v>459</v>
      </c>
      <c r="C167" s="115">
        <v>458.3</v>
      </c>
      <c r="D167" s="115">
        <v>430.2</v>
      </c>
      <c r="E167" s="115">
        <v>430.2</v>
      </c>
      <c r="F167" s="115">
        <v>458.3</v>
      </c>
      <c r="G167">
        <v>140</v>
      </c>
      <c r="H167" s="115"/>
      <c r="I167" s="115"/>
      <c r="L167" s="160"/>
    </row>
    <row r="168" spans="1:12" x14ac:dyDescent="0.25">
      <c r="A168" s="160">
        <v>42248</v>
      </c>
      <c r="B168" s="115">
        <v>450</v>
      </c>
      <c r="C168" s="115">
        <v>424.5</v>
      </c>
      <c r="D168" s="115">
        <v>414</v>
      </c>
      <c r="E168" s="115">
        <v>450</v>
      </c>
      <c r="F168" s="115">
        <v>424.5</v>
      </c>
      <c r="G168">
        <v>606</v>
      </c>
      <c r="H168" s="115"/>
      <c r="I168" s="115"/>
      <c r="L168" s="160"/>
    </row>
    <row r="169" spans="1:12" x14ac:dyDescent="0.25">
      <c r="A169" s="160">
        <v>42249</v>
      </c>
      <c r="B169" s="115">
        <v>430</v>
      </c>
      <c r="C169" s="115">
        <v>429.3</v>
      </c>
      <c r="D169" s="115">
        <v>420</v>
      </c>
      <c r="E169" s="115">
        <v>420</v>
      </c>
      <c r="F169" s="115">
        <v>429.3</v>
      </c>
      <c r="G169">
        <v>165</v>
      </c>
      <c r="H169" s="115"/>
      <c r="I169" s="115"/>
      <c r="L169" s="160"/>
    </row>
    <row r="170" spans="1:12" x14ac:dyDescent="0.25">
      <c r="A170" s="160">
        <v>42250</v>
      </c>
      <c r="B170" s="115">
        <v>437.9</v>
      </c>
      <c r="C170" s="115">
        <v>437.9</v>
      </c>
      <c r="D170" s="115">
        <v>417</v>
      </c>
      <c r="E170" s="115">
        <v>430</v>
      </c>
      <c r="F170" s="115">
        <v>437.9</v>
      </c>
      <c r="G170">
        <v>136</v>
      </c>
      <c r="H170" s="115"/>
      <c r="I170" s="115"/>
      <c r="L170" s="160"/>
    </row>
    <row r="171" spans="1:12" x14ac:dyDescent="0.25">
      <c r="A171" s="160">
        <v>42251</v>
      </c>
      <c r="B171" s="115">
        <v>428.9</v>
      </c>
      <c r="C171" s="115">
        <v>419.3</v>
      </c>
      <c r="D171" s="115">
        <v>417</v>
      </c>
      <c r="E171" s="115">
        <v>425</v>
      </c>
      <c r="F171" s="115">
        <v>419.3</v>
      </c>
      <c r="G171">
        <v>261</v>
      </c>
      <c r="H171" s="115"/>
      <c r="I171" s="115"/>
      <c r="L171" s="160"/>
    </row>
    <row r="172" spans="1:12" x14ac:dyDescent="0.25">
      <c r="A172" s="160">
        <v>42254</v>
      </c>
      <c r="B172" s="115">
        <v>430</v>
      </c>
      <c r="C172" s="115">
        <v>420</v>
      </c>
      <c r="D172" s="115">
        <v>400.4</v>
      </c>
      <c r="E172" s="115">
        <v>415</v>
      </c>
      <c r="F172" s="115">
        <v>420</v>
      </c>
      <c r="G172">
        <v>91</v>
      </c>
      <c r="H172" s="115"/>
      <c r="I172" s="115"/>
      <c r="L172" s="160"/>
    </row>
    <row r="173" spans="1:12" x14ac:dyDescent="0.25">
      <c r="A173" s="160">
        <v>42255</v>
      </c>
      <c r="B173" s="115">
        <v>415.9</v>
      </c>
      <c r="C173" s="115">
        <v>415.8</v>
      </c>
      <c r="D173" s="115">
        <v>385</v>
      </c>
      <c r="E173" s="115">
        <v>403.3</v>
      </c>
      <c r="F173" s="115">
        <v>415.8</v>
      </c>
      <c r="G173">
        <v>533</v>
      </c>
      <c r="H173" s="115"/>
      <c r="I173" s="115"/>
      <c r="L173" s="160"/>
    </row>
    <row r="174" spans="1:12" x14ac:dyDescent="0.25">
      <c r="A174" s="160">
        <v>42256</v>
      </c>
      <c r="B174" s="115">
        <v>445</v>
      </c>
      <c r="C174" s="115">
        <v>425.4</v>
      </c>
      <c r="D174" s="115">
        <v>400</v>
      </c>
      <c r="E174" s="115">
        <v>420</v>
      </c>
      <c r="F174" s="115">
        <v>425.4</v>
      </c>
      <c r="G174">
        <v>1358</v>
      </c>
      <c r="H174" s="115"/>
      <c r="I174" s="115"/>
      <c r="L174" s="160"/>
    </row>
    <row r="175" spans="1:12" x14ac:dyDescent="0.25">
      <c r="A175" s="160">
        <v>42258</v>
      </c>
      <c r="B175" s="115">
        <v>440.1</v>
      </c>
      <c r="C175" s="115">
        <v>440</v>
      </c>
      <c r="D175" s="115">
        <v>440</v>
      </c>
      <c r="E175" s="115">
        <v>440.1</v>
      </c>
      <c r="F175" s="115">
        <v>440</v>
      </c>
      <c r="G175">
        <v>360</v>
      </c>
      <c r="H175" s="115"/>
      <c r="I175" s="115"/>
      <c r="L175" s="160"/>
    </row>
    <row r="176" spans="1:12" x14ac:dyDescent="0.25">
      <c r="A176" s="160">
        <v>42261</v>
      </c>
      <c r="B176" s="115">
        <v>445</v>
      </c>
      <c r="C176" s="115">
        <v>440</v>
      </c>
      <c r="D176" s="115">
        <v>421</v>
      </c>
      <c r="E176" s="115">
        <v>430.1</v>
      </c>
      <c r="F176" s="115">
        <v>440</v>
      </c>
      <c r="G176">
        <v>1207</v>
      </c>
      <c r="H176" s="115"/>
      <c r="I176" s="115"/>
      <c r="L176" s="160"/>
    </row>
    <row r="177" spans="1:12" x14ac:dyDescent="0.25">
      <c r="A177" s="160">
        <v>42262</v>
      </c>
      <c r="B177" s="115">
        <v>426.1</v>
      </c>
      <c r="C177" s="115">
        <v>422.9</v>
      </c>
      <c r="D177" s="115">
        <v>419</v>
      </c>
      <c r="E177" s="115">
        <v>426.1</v>
      </c>
      <c r="F177" s="115">
        <v>422.9</v>
      </c>
      <c r="G177">
        <v>76</v>
      </c>
      <c r="H177" s="115"/>
      <c r="I177" s="115"/>
      <c r="L177" s="160"/>
    </row>
    <row r="178" spans="1:12" x14ac:dyDescent="0.25">
      <c r="A178" s="160">
        <v>42263</v>
      </c>
      <c r="B178" s="115">
        <v>430</v>
      </c>
      <c r="C178" s="115">
        <v>413.6</v>
      </c>
      <c r="D178" s="115">
        <v>405.1</v>
      </c>
      <c r="E178" s="115">
        <v>415</v>
      </c>
      <c r="F178" s="115">
        <v>413.6</v>
      </c>
      <c r="G178">
        <v>505</v>
      </c>
      <c r="H178" s="115"/>
      <c r="I178" s="115"/>
      <c r="L178" s="160"/>
    </row>
    <row r="179" spans="1:12" x14ac:dyDescent="0.25">
      <c r="A179" s="160">
        <v>42265</v>
      </c>
      <c r="B179" s="115">
        <v>420</v>
      </c>
      <c r="C179" s="115">
        <v>410.9</v>
      </c>
      <c r="D179" s="115">
        <v>410.1</v>
      </c>
      <c r="E179" s="115">
        <v>412</v>
      </c>
      <c r="F179" s="115">
        <v>410.9</v>
      </c>
      <c r="G179">
        <v>263</v>
      </c>
      <c r="H179" s="115"/>
      <c r="I179" s="115"/>
      <c r="L179" s="160"/>
    </row>
    <row r="180" spans="1:12" x14ac:dyDescent="0.25">
      <c r="A180" s="160">
        <v>42268</v>
      </c>
      <c r="B180" s="115">
        <v>440</v>
      </c>
      <c r="C180" s="115">
        <v>412.3</v>
      </c>
      <c r="D180" s="115">
        <v>411.9</v>
      </c>
      <c r="E180" s="115">
        <v>440</v>
      </c>
      <c r="F180" s="115">
        <v>412.3</v>
      </c>
      <c r="G180">
        <v>363</v>
      </c>
      <c r="H180" s="115"/>
      <c r="I180" s="115"/>
      <c r="L180" s="160"/>
    </row>
    <row r="181" spans="1:12" x14ac:dyDescent="0.25">
      <c r="A181" s="160">
        <v>42269</v>
      </c>
      <c r="B181" s="115">
        <v>411</v>
      </c>
      <c r="C181" s="115">
        <v>411</v>
      </c>
      <c r="D181" s="115">
        <v>411</v>
      </c>
      <c r="E181" s="115">
        <v>411</v>
      </c>
      <c r="F181" s="115">
        <v>411</v>
      </c>
      <c r="G181">
        <v>10</v>
      </c>
      <c r="H181" s="115"/>
      <c r="I181" s="115"/>
      <c r="L181" s="160"/>
    </row>
    <row r="182" spans="1:12" x14ac:dyDescent="0.25">
      <c r="A182" s="160">
        <v>42270</v>
      </c>
      <c r="B182" s="115">
        <v>420.8</v>
      </c>
      <c r="C182" s="115">
        <v>417</v>
      </c>
      <c r="D182" s="115">
        <v>403.2</v>
      </c>
      <c r="E182" s="115">
        <v>420.8</v>
      </c>
      <c r="F182" s="115">
        <v>417</v>
      </c>
      <c r="G182">
        <v>90</v>
      </c>
      <c r="H182" s="115"/>
      <c r="I182" s="115"/>
      <c r="L182" s="160"/>
    </row>
    <row r="183" spans="1:12" x14ac:dyDescent="0.25">
      <c r="A183" s="160">
        <v>42275</v>
      </c>
      <c r="B183" s="115">
        <v>419.9</v>
      </c>
      <c r="C183" s="115">
        <v>398</v>
      </c>
      <c r="D183" s="115">
        <v>396</v>
      </c>
      <c r="E183" s="115">
        <v>410</v>
      </c>
      <c r="F183" s="115">
        <v>398</v>
      </c>
      <c r="G183">
        <v>902</v>
      </c>
      <c r="H183" s="115"/>
      <c r="I183" s="115"/>
      <c r="L183" s="160"/>
    </row>
    <row r="184" spans="1:12" x14ac:dyDescent="0.25">
      <c r="A184" s="160">
        <v>42276</v>
      </c>
      <c r="B184" s="115">
        <v>403.9</v>
      </c>
      <c r="C184" s="115">
        <v>395.5</v>
      </c>
      <c r="D184" s="115">
        <v>390</v>
      </c>
      <c r="E184" s="115">
        <v>403.9</v>
      </c>
      <c r="F184" s="115">
        <v>395.5</v>
      </c>
      <c r="G184">
        <v>312</v>
      </c>
      <c r="H184" s="115"/>
      <c r="I184" s="115"/>
      <c r="L184" s="160"/>
    </row>
    <row r="185" spans="1:12" x14ac:dyDescent="0.25">
      <c r="A185" s="160">
        <v>42277</v>
      </c>
      <c r="B185" s="115">
        <v>407.2</v>
      </c>
      <c r="C185" s="115">
        <v>407.2</v>
      </c>
      <c r="D185" s="115">
        <v>399.5</v>
      </c>
      <c r="E185" s="115">
        <v>403</v>
      </c>
      <c r="F185" s="115">
        <v>407.2</v>
      </c>
      <c r="G185">
        <v>147</v>
      </c>
      <c r="H185" s="115"/>
      <c r="I185" s="115"/>
      <c r="L185" s="160"/>
    </row>
    <row r="186" spans="1:12" x14ac:dyDescent="0.25">
      <c r="A186" s="160">
        <v>42278</v>
      </c>
      <c r="B186" s="115">
        <v>407.2</v>
      </c>
      <c r="C186" s="115">
        <v>400</v>
      </c>
      <c r="D186" s="115">
        <v>400</v>
      </c>
      <c r="E186" s="115">
        <v>407.2</v>
      </c>
      <c r="F186" s="115">
        <v>400</v>
      </c>
      <c r="G186">
        <v>106</v>
      </c>
      <c r="H186" s="115"/>
      <c r="I186" s="115"/>
      <c r="L186" s="160"/>
    </row>
    <row r="187" spans="1:12" x14ac:dyDescent="0.25">
      <c r="A187" s="160">
        <v>42282</v>
      </c>
      <c r="B187" s="115">
        <v>405</v>
      </c>
      <c r="C187" s="115">
        <v>405</v>
      </c>
      <c r="D187" s="115">
        <v>405</v>
      </c>
      <c r="E187" s="115">
        <v>405</v>
      </c>
      <c r="F187" s="115">
        <v>405</v>
      </c>
      <c r="G187">
        <v>50</v>
      </c>
      <c r="H187" s="115"/>
      <c r="I187" s="115"/>
      <c r="L187" s="160"/>
    </row>
    <row r="188" spans="1:12" x14ac:dyDescent="0.25">
      <c r="A188" s="160">
        <v>42283</v>
      </c>
      <c r="B188" s="115">
        <v>423</v>
      </c>
      <c r="C188" s="115">
        <v>407</v>
      </c>
      <c r="D188" s="115">
        <v>395</v>
      </c>
      <c r="E188" s="115">
        <v>404</v>
      </c>
      <c r="F188" s="115">
        <v>407</v>
      </c>
      <c r="G188">
        <v>628</v>
      </c>
      <c r="H188" s="115"/>
      <c r="I188" s="115"/>
      <c r="L188" s="160"/>
    </row>
    <row r="189" spans="1:12" x14ac:dyDescent="0.25">
      <c r="A189" s="160">
        <v>42284</v>
      </c>
      <c r="B189" s="115">
        <v>422</v>
      </c>
      <c r="C189" s="115">
        <v>401.3</v>
      </c>
      <c r="D189" s="115">
        <v>401.3</v>
      </c>
      <c r="E189" s="115">
        <v>422</v>
      </c>
      <c r="F189" s="115">
        <v>401.3</v>
      </c>
      <c r="G189">
        <v>70</v>
      </c>
      <c r="H189" s="115"/>
      <c r="I189" s="115"/>
      <c r="L189" s="160"/>
    </row>
    <row r="190" spans="1:12" x14ac:dyDescent="0.25">
      <c r="A190" s="160">
        <v>42285</v>
      </c>
      <c r="B190" s="115">
        <v>415</v>
      </c>
      <c r="C190" s="115">
        <v>415</v>
      </c>
      <c r="D190" s="115">
        <v>405</v>
      </c>
      <c r="E190" s="115">
        <v>408</v>
      </c>
      <c r="F190" s="115">
        <v>415</v>
      </c>
      <c r="G190">
        <v>139</v>
      </c>
      <c r="H190" s="115"/>
      <c r="I190" s="115"/>
      <c r="L190" s="160"/>
    </row>
    <row r="191" spans="1:12" x14ac:dyDescent="0.25">
      <c r="A191" s="160">
        <v>42286</v>
      </c>
      <c r="B191" s="115">
        <v>415.8</v>
      </c>
      <c r="C191" s="115">
        <v>410</v>
      </c>
      <c r="D191" s="115">
        <v>407.3</v>
      </c>
      <c r="E191" s="115">
        <v>415</v>
      </c>
      <c r="F191" s="115">
        <v>410</v>
      </c>
      <c r="G191">
        <v>2498</v>
      </c>
      <c r="H191" s="115"/>
      <c r="I191" s="115"/>
      <c r="L191" s="160"/>
    </row>
    <row r="192" spans="1:12" x14ac:dyDescent="0.25">
      <c r="A192" s="160">
        <v>42289</v>
      </c>
      <c r="B192" s="115">
        <v>415</v>
      </c>
      <c r="C192" s="115">
        <v>411</v>
      </c>
      <c r="D192" s="115">
        <v>407.9</v>
      </c>
      <c r="E192" s="115">
        <v>408</v>
      </c>
      <c r="F192" s="115">
        <v>411</v>
      </c>
      <c r="G192">
        <v>1544</v>
      </c>
      <c r="H192" s="115"/>
      <c r="I192" s="115"/>
      <c r="L192" s="160"/>
    </row>
    <row r="193" spans="1:18" x14ac:dyDescent="0.25">
      <c r="A193" s="160">
        <v>42290</v>
      </c>
      <c r="B193" s="115">
        <v>410</v>
      </c>
      <c r="C193" s="115">
        <v>408</v>
      </c>
      <c r="D193" s="115">
        <v>408</v>
      </c>
      <c r="E193" s="115">
        <v>409.5</v>
      </c>
      <c r="F193" s="115">
        <v>408</v>
      </c>
      <c r="G193">
        <v>735</v>
      </c>
      <c r="H193" s="115"/>
      <c r="I193" s="115"/>
      <c r="L193" s="160"/>
    </row>
    <row r="194" spans="1:18" x14ac:dyDescent="0.25">
      <c r="A194" s="160">
        <v>42291</v>
      </c>
      <c r="B194" s="115">
        <v>408</v>
      </c>
      <c r="C194" s="115">
        <v>408</v>
      </c>
      <c r="D194" s="115">
        <v>402</v>
      </c>
      <c r="E194" s="115">
        <v>406.1</v>
      </c>
      <c r="F194" s="115">
        <v>408</v>
      </c>
      <c r="G194">
        <v>305</v>
      </c>
      <c r="H194" s="115"/>
      <c r="I194" s="115"/>
      <c r="L194" s="160">
        <v>42284</v>
      </c>
      <c r="M194" s="115">
        <v>439.85</v>
      </c>
      <c r="N194" s="115">
        <v>444</v>
      </c>
      <c r="O194" s="115">
        <v>434</v>
      </c>
      <c r="P194" s="115">
        <v>435.05</v>
      </c>
      <c r="Q194" s="115">
        <v>439.85</v>
      </c>
      <c r="R194">
        <v>4065</v>
      </c>
    </row>
    <row r="195" spans="1:18" x14ac:dyDescent="0.25">
      <c r="A195" s="160">
        <v>42292</v>
      </c>
      <c r="B195" s="115">
        <v>425</v>
      </c>
      <c r="C195" s="115">
        <v>403.7</v>
      </c>
      <c r="D195" s="115">
        <v>402.1</v>
      </c>
      <c r="E195" s="115">
        <v>408</v>
      </c>
      <c r="F195" s="115">
        <v>403.7</v>
      </c>
      <c r="G195">
        <v>1689</v>
      </c>
      <c r="H195" s="115"/>
      <c r="I195" s="115"/>
      <c r="L195" s="160">
        <v>42285</v>
      </c>
      <c r="M195" s="115">
        <v>445.7</v>
      </c>
      <c r="N195" s="115">
        <v>448</v>
      </c>
      <c r="O195" s="115">
        <v>435.1</v>
      </c>
      <c r="P195" s="115">
        <v>435.1</v>
      </c>
      <c r="Q195" s="115">
        <v>445.7</v>
      </c>
      <c r="R195">
        <v>6627</v>
      </c>
    </row>
    <row r="196" spans="1:18" x14ac:dyDescent="0.25">
      <c r="A196" s="160">
        <v>42293</v>
      </c>
      <c r="B196" s="115">
        <v>409</v>
      </c>
      <c r="C196" s="115">
        <v>407.5</v>
      </c>
      <c r="D196" s="115">
        <v>405</v>
      </c>
      <c r="E196" s="115">
        <v>405</v>
      </c>
      <c r="F196" s="115">
        <v>407.5</v>
      </c>
      <c r="G196">
        <v>246</v>
      </c>
      <c r="H196" s="115"/>
      <c r="I196" s="115"/>
      <c r="L196" s="160">
        <v>42286</v>
      </c>
      <c r="M196" s="115">
        <v>460.15</v>
      </c>
      <c r="N196" s="115">
        <v>489.2</v>
      </c>
      <c r="O196" s="115">
        <v>441</v>
      </c>
      <c r="P196" s="115">
        <v>441</v>
      </c>
      <c r="Q196" s="115">
        <v>460.15</v>
      </c>
      <c r="R196">
        <v>43708</v>
      </c>
    </row>
    <row r="197" spans="1:18" x14ac:dyDescent="0.25">
      <c r="A197" s="160">
        <v>42296</v>
      </c>
      <c r="B197" s="115">
        <v>423.9</v>
      </c>
      <c r="C197" s="115">
        <v>419.9</v>
      </c>
      <c r="D197" s="115">
        <v>404</v>
      </c>
      <c r="E197" s="115">
        <v>423.9</v>
      </c>
      <c r="F197" s="115">
        <v>419.9</v>
      </c>
      <c r="G197">
        <v>286</v>
      </c>
      <c r="H197" s="115"/>
      <c r="I197" s="115"/>
      <c r="L197" s="160">
        <v>42289</v>
      </c>
      <c r="M197" s="115">
        <v>473.4</v>
      </c>
      <c r="N197" s="115">
        <v>487</v>
      </c>
      <c r="O197" s="115">
        <v>461</v>
      </c>
      <c r="P197" s="115">
        <v>461.35</v>
      </c>
      <c r="Q197" s="115">
        <v>473.4</v>
      </c>
      <c r="R197">
        <v>13443</v>
      </c>
    </row>
    <row r="198" spans="1:18" x14ac:dyDescent="0.25">
      <c r="A198" s="160">
        <v>42298</v>
      </c>
      <c r="B198" s="115">
        <v>420</v>
      </c>
      <c r="C198" s="115">
        <v>420</v>
      </c>
      <c r="D198" s="115">
        <v>415</v>
      </c>
      <c r="E198" s="115">
        <v>415</v>
      </c>
      <c r="F198" s="115">
        <v>420</v>
      </c>
      <c r="G198">
        <v>65</v>
      </c>
      <c r="H198" s="115"/>
      <c r="I198" s="115"/>
      <c r="L198" s="160">
        <v>42290</v>
      </c>
      <c r="M198" s="115">
        <v>489</v>
      </c>
      <c r="N198" s="115">
        <v>505</v>
      </c>
      <c r="O198" s="115">
        <v>475.2</v>
      </c>
      <c r="P198" s="115">
        <v>477.85</v>
      </c>
      <c r="Q198" s="115">
        <v>489</v>
      </c>
      <c r="R198">
        <v>30295</v>
      </c>
    </row>
    <row r="199" spans="1:18" x14ac:dyDescent="0.25">
      <c r="A199" s="160">
        <v>42300</v>
      </c>
      <c r="B199" s="115">
        <v>420</v>
      </c>
      <c r="C199" s="115">
        <v>413.7</v>
      </c>
      <c r="D199" s="115">
        <v>410</v>
      </c>
      <c r="E199" s="115">
        <v>410</v>
      </c>
      <c r="F199" s="115">
        <v>413.7</v>
      </c>
      <c r="G199">
        <v>784</v>
      </c>
      <c r="H199" s="115"/>
      <c r="I199" s="115"/>
      <c r="L199" s="160">
        <v>42291</v>
      </c>
      <c r="M199" s="115">
        <v>487.25</v>
      </c>
      <c r="N199" s="115">
        <v>497</v>
      </c>
      <c r="O199" s="115">
        <v>482.05</v>
      </c>
      <c r="P199" s="115">
        <v>497</v>
      </c>
      <c r="Q199" s="115">
        <v>487.25</v>
      </c>
      <c r="R199">
        <v>4166</v>
      </c>
    </row>
    <row r="200" spans="1:18" x14ac:dyDescent="0.25">
      <c r="A200" s="160">
        <v>42303</v>
      </c>
      <c r="B200" s="115">
        <v>415</v>
      </c>
      <c r="C200" s="115">
        <v>406.1</v>
      </c>
      <c r="D200" s="115">
        <v>405</v>
      </c>
      <c r="E200" s="115">
        <v>405.1</v>
      </c>
      <c r="F200" s="115">
        <v>406.1</v>
      </c>
      <c r="G200">
        <v>76</v>
      </c>
      <c r="H200" s="115"/>
      <c r="I200" s="115"/>
      <c r="L200" s="160">
        <v>42292</v>
      </c>
      <c r="M200" s="115">
        <v>483.15</v>
      </c>
      <c r="N200" s="115">
        <v>494.9</v>
      </c>
      <c r="O200" s="115">
        <v>482</v>
      </c>
      <c r="P200" s="115">
        <v>490</v>
      </c>
      <c r="Q200" s="115">
        <v>483.15</v>
      </c>
      <c r="R200">
        <v>3539</v>
      </c>
    </row>
    <row r="201" spans="1:18" x14ac:dyDescent="0.25">
      <c r="A201" s="160">
        <v>42304</v>
      </c>
      <c r="B201" s="115">
        <v>411</v>
      </c>
      <c r="C201" s="115">
        <v>411</v>
      </c>
      <c r="D201" s="115">
        <v>405</v>
      </c>
      <c r="E201" s="115">
        <v>405.1</v>
      </c>
      <c r="F201" s="115">
        <v>411</v>
      </c>
      <c r="G201">
        <v>843</v>
      </c>
      <c r="H201" s="115"/>
      <c r="I201" s="115"/>
      <c r="L201" s="160">
        <v>42293</v>
      </c>
      <c r="M201" s="115">
        <v>477.6</v>
      </c>
      <c r="N201" s="115">
        <v>490.45</v>
      </c>
      <c r="O201" s="115">
        <v>473.4</v>
      </c>
      <c r="P201" s="115">
        <v>490.45</v>
      </c>
      <c r="Q201" s="115">
        <v>477.6</v>
      </c>
      <c r="R201">
        <v>4174</v>
      </c>
    </row>
    <row r="202" spans="1:18" x14ac:dyDescent="0.25">
      <c r="A202" s="160">
        <v>42305</v>
      </c>
      <c r="B202" s="115">
        <v>440</v>
      </c>
      <c r="C202" s="115">
        <v>420.5</v>
      </c>
      <c r="D202" s="115">
        <v>400</v>
      </c>
      <c r="E202" s="115">
        <v>401.1</v>
      </c>
      <c r="F202" s="115">
        <v>420.5</v>
      </c>
      <c r="G202">
        <v>344</v>
      </c>
      <c r="H202" s="115"/>
      <c r="I202" s="115"/>
      <c r="L202" s="160">
        <v>42296</v>
      </c>
      <c r="M202" s="115">
        <v>474.35</v>
      </c>
      <c r="N202" s="115">
        <v>481.25</v>
      </c>
      <c r="O202" s="115">
        <v>470.05</v>
      </c>
      <c r="P202" s="115">
        <v>470.05</v>
      </c>
      <c r="Q202" s="115">
        <v>474.35</v>
      </c>
      <c r="R202">
        <v>4446</v>
      </c>
    </row>
    <row r="203" spans="1:18" x14ac:dyDescent="0.25">
      <c r="A203" s="160">
        <v>42306</v>
      </c>
      <c r="B203" s="115">
        <v>449</v>
      </c>
      <c r="C203" s="115">
        <v>428.6</v>
      </c>
      <c r="D203" s="115">
        <v>423</v>
      </c>
      <c r="E203" s="115">
        <v>440</v>
      </c>
      <c r="F203" s="115">
        <v>428.6</v>
      </c>
      <c r="G203">
        <v>970</v>
      </c>
      <c r="H203" s="115"/>
      <c r="I203" s="115"/>
      <c r="L203" s="160">
        <v>42297</v>
      </c>
      <c r="M203" s="115">
        <v>474.8</v>
      </c>
      <c r="N203" s="115">
        <v>484</v>
      </c>
      <c r="O203" s="115">
        <v>474</v>
      </c>
      <c r="P203" s="115">
        <v>478</v>
      </c>
      <c r="Q203" s="115">
        <v>474.8</v>
      </c>
      <c r="R203">
        <v>3527</v>
      </c>
    </row>
    <row r="204" spans="1:18" x14ac:dyDescent="0.25">
      <c r="A204" s="160">
        <v>42307</v>
      </c>
      <c r="B204" s="115">
        <v>436.5</v>
      </c>
      <c r="C204" s="115">
        <v>421.2</v>
      </c>
      <c r="D204" s="115">
        <v>405</v>
      </c>
      <c r="E204" s="115">
        <v>436.4</v>
      </c>
      <c r="F204" s="115">
        <v>421.2</v>
      </c>
      <c r="G204">
        <v>1660</v>
      </c>
      <c r="H204" s="115"/>
      <c r="I204" s="115"/>
      <c r="L204" s="160">
        <v>42298</v>
      </c>
      <c r="M204" s="115">
        <v>479.9</v>
      </c>
      <c r="N204" s="115">
        <v>486.8</v>
      </c>
      <c r="O204" s="115">
        <v>471.95</v>
      </c>
      <c r="P204" s="115">
        <v>478</v>
      </c>
      <c r="Q204" s="115">
        <v>479.9</v>
      </c>
      <c r="R204">
        <v>5919</v>
      </c>
    </row>
    <row r="205" spans="1:18" x14ac:dyDescent="0.25">
      <c r="A205" s="160">
        <v>42310</v>
      </c>
      <c r="B205" s="115">
        <v>403.1</v>
      </c>
      <c r="C205" s="115">
        <v>377.8</v>
      </c>
      <c r="D205" s="115">
        <v>365</v>
      </c>
      <c r="E205" s="115">
        <v>402</v>
      </c>
      <c r="F205" s="115">
        <v>377.8</v>
      </c>
      <c r="G205">
        <v>1705</v>
      </c>
      <c r="H205" s="115"/>
      <c r="I205" s="115"/>
      <c r="L205" s="160">
        <v>42300</v>
      </c>
      <c r="M205" s="115">
        <v>472.9</v>
      </c>
      <c r="N205" s="115">
        <v>488.5</v>
      </c>
      <c r="O205" s="115">
        <v>470.05</v>
      </c>
      <c r="P205" s="115">
        <v>481.55</v>
      </c>
      <c r="Q205" s="115">
        <v>472.9</v>
      </c>
      <c r="R205">
        <v>4793</v>
      </c>
    </row>
    <row r="206" spans="1:18" x14ac:dyDescent="0.25">
      <c r="A206" s="160">
        <v>42311</v>
      </c>
      <c r="B206" s="115">
        <v>391</v>
      </c>
      <c r="C206" s="115">
        <v>378.9</v>
      </c>
      <c r="D206" s="115">
        <v>372.8</v>
      </c>
      <c r="E206" s="115">
        <v>391</v>
      </c>
      <c r="F206" s="115">
        <v>378.9</v>
      </c>
      <c r="G206">
        <v>876</v>
      </c>
      <c r="H206" s="115"/>
      <c r="I206" s="115"/>
      <c r="L206" s="160">
        <v>42303</v>
      </c>
      <c r="M206" s="115">
        <v>460.65</v>
      </c>
      <c r="N206" s="115">
        <v>473.4</v>
      </c>
      <c r="O206" s="115">
        <v>456.5</v>
      </c>
      <c r="P206" s="115">
        <v>472.05</v>
      </c>
      <c r="Q206" s="115">
        <v>460.65</v>
      </c>
      <c r="R206">
        <v>7697</v>
      </c>
    </row>
    <row r="207" spans="1:18" x14ac:dyDescent="0.25">
      <c r="A207" s="160">
        <v>42312</v>
      </c>
      <c r="B207" s="115">
        <v>384.9</v>
      </c>
      <c r="C207" s="115">
        <v>378.7</v>
      </c>
      <c r="D207" s="115">
        <v>374.1</v>
      </c>
      <c r="E207" s="115">
        <v>380</v>
      </c>
      <c r="F207" s="115">
        <v>378.7</v>
      </c>
      <c r="G207">
        <v>600</v>
      </c>
      <c r="H207" s="115"/>
      <c r="I207" s="115"/>
      <c r="L207" s="160">
        <v>42304</v>
      </c>
      <c r="M207" s="115">
        <v>453.7</v>
      </c>
      <c r="N207" s="115">
        <v>463.05</v>
      </c>
      <c r="O207" s="115">
        <v>450.05</v>
      </c>
      <c r="P207" s="115">
        <v>462.1</v>
      </c>
      <c r="Q207" s="115">
        <v>453.7</v>
      </c>
      <c r="R207">
        <v>9397</v>
      </c>
    </row>
    <row r="208" spans="1:18" x14ac:dyDescent="0.25">
      <c r="A208" s="160">
        <v>42313</v>
      </c>
      <c r="B208" s="115">
        <v>399</v>
      </c>
      <c r="C208" s="115">
        <v>385.9</v>
      </c>
      <c r="D208" s="115">
        <v>375</v>
      </c>
      <c r="E208" s="115">
        <v>388</v>
      </c>
      <c r="F208" s="115">
        <v>385.9</v>
      </c>
      <c r="G208">
        <v>396</v>
      </c>
      <c r="H208" s="115"/>
      <c r="I208" s="115"/>
      <c r="L208" s="160">
        <v>42305</v>
      </c>
      <c r="M208" s="115">
        <v>454</v>
      </c>
      <c r="N208" s="115">
        <v>462.25</v>
      </c>
      <c r="O208" s="115">
        <v>450.05</v>
      </c>
      <c r="P208" s="115">
        <v>458.05</v>
      </c>
      <c r="Q208" s="115">
        <v>454</v>
      </c>
      <c r="R208">
        <v>5829</v>
      </c>
    </row>
    <row r="209" spans="1:18" x14ac:dyDescent="0.25">
      <c r="A209" s="160">
        <v>42314</v>
      </c>
      <c r="B209" s="115">
        <v>390</v>
      </c>
      <c r="C209" s="115">
        <v>380</v>
      </c>
      <c r="D209" s="115">
        <v>368</v>
      </c>
      <c r="E209" s="115">
        <v>390</v>
      </c>
      <c r="F209" s="115">
        <v>380</v>
      </c>
      <c r="G209">
        <v>658</v>
      </c>
      <c r="H209" s="115"/>
      <c r="I209" s="115"/>
      <c r="L209" s="160">
        <v>42306</v>
      </c>
      <c r="M209" s="115">
        <v>442.15</v>
      </c>
      <c r="N209" s="115">
        <v>460</v>
      </c>
      <c r="O209" s="115">
        <v>440</v>
      </c>
      <c r="P209" s="115">
        <v>453.1</v>
      </c>
      <c r="Q209" s="115">
        <v>442.15</v>
      </c>
      <c r="R209">
        <v>7407</v>
      </c>
    </row>
    <row r="210" spans="1:18" x14ac:dyDescent="0.25">
      <c r="A210" s="160">
        <v>42317</v>
      </c>
      <c r="B210" s="115">
        <v>380</v>
      </c>
      <c r="C210" s="115">
        <v>379.1</v>
      </c>
      <c r="D210" s="115">
        <v>379</v>
      </c>
      <c r="E210" s="115">
        <v>379</v>
      </c>
      <c r="F210" s="115">
        <v>379.1</v>
      </c>
      <c r="G210">
        <v>55</v>
      </c>
      <c r="H210" s="115"/>
      <c r="I210" s="115"/>
      <c r="L210" s="160">
        <v>42307</v>
      </c>
      <c r="M210" s="115">
        <v>445.35</v>
      </c>
      <c r="N210" s="115">
        <v>448.7</v>
      </c>
      <c r="O210" s="115">
        <v>440.05</v>
      </c>
      <c r="P210" s="115">
        <v>442.25</v>
      </c>
      <c r="Q210" s="115">
        <v>445.35</v>
      </c>
      <c r="R210">
        <v>4148</v>
      </c>
    </row>
    <row r="211" spans="1:18" x14ac:dyDescent="0.25">
      <c r="A211" s="160">
        <v>42318</v>
      </c>
      <c r="B211" s="115">
        <v>377.5</v>
      </c>
      <c r="C211" s="115">
        <v>373.9</v>
      </c>
      <c r="D211" s="115">
        <v>369</v>
      </c>
      <c r="E211" s="115">
        <v>369</v>
      </c>
      <c r="F211" s="115">
        <v>373.9</v>
      </c>
      <c r="G211">
        <v>159</v>
      </c>
      <c r="H211" s="115"/>
      <c r="I211" s="115"/>
      <c r="L211" s="160">
        <v>42310</v>
      </c>
      <c r="M211" s="115">
        <v>434.2</v>
      </c>
      <c r="N211" s="115">
        <v>453</v>
      </c>
      <c r="O211" s="115">
        <v>430.05</v>
      </c>
      <c r="P211" s="115">
        <v>445</v>
      </c>
      <c r="Q211" s="115">
        <v>434.2</v>
      </c>
      <c r="R211">
        <v>11630</v>
      </c>
    </row>
    <row r="212" spans="1:18" x14ac:dyDescent="0.25">
      <c r="A212" s="160">
        <v>42319</v>
      </c>
      <c r="B212" s="115">
        <v>391.5</v>
      </c>
      <c r="C212" s="115">
        <v>386.7</v>
      </c>
      <c r="D212" s="115">
        <v>359.3</v>
      </c>
      <c r="E212" s="115">
        <v>359.3</v>
      </c>
      <c r="F212" s="115">
        <v>386.7</v>
      </c>
      <c r="G212">
        <v>98</v>
      </c>
      <c r="H212" s="115"/>
      <c r="I212" s="115"/>
      <c r="L212" s="160">
        <v>42311</v>
      </c>
      <c r="M212" s="115">
        <v>431.2</v>
      </c>
      <c r="N212" s="115">
        <v>447</v>
      </c>
      <c r="O212" s="115">
        <v>430</v>
      </c>
      <c r="P212" s="115">
        <v>447</v>
      </c>
      <c r="Q212" s="115">
        <v>431.2</v>
      </c>
      <c r="R212">
        <v>5904</v>
      </c>
    </row>
    <row r="213" spans="1:18" x14ac:dyDescent="0.25">
      <c r="A213" s="160">
        <v>42321</v>
      </c>
      <c r="B213" s="115">
        <v>386</v>
      </c>
      <c r="C213" s="115">
        <v>380</v>
      </c>
      <c r="D213" s="115">
        <v>380</v>
      </c>
      <c r="E213" s="115">
        <v>380</v>
      </c>
      <c r="F213" s="115">
        <v>380</v>
      </c>
      <c r="G213">
        <v>73</v>
      </c>
      <c r="H213" s="115"/>
      <c r="I213" s="115"/>
      <c r="L213" s="160">
        <v>42312</v>
      </c>
      <c r="M213" s="115">
        <v>435.3</v>
      </c>
      <c r="N213" s="115">
        <v>436.95</v>
      </c>
      <c r="O213" s="115">
        <v>431.05</v>
      </c>
      <c r="P213" s="115">
        <v>431.05</v>
      </c>
      <c r="Q213" s="115">
        <v>435.3</v>
      </c>
      <c r="R213">
        <v>4070</v>
      </c>
    </row>
    <row r="214" spans="1:18" x14ac:dyDescent="0.25">
      <c r="A214" s="160">
        <v>42325</v>
      </c>
      <c r="B214" s="115">
        <v>380</v>
      </c>
      <c r="C214" s="115">
        <v>380</v>
      </c>
      <c r="D214" s="115">
        <v>371</v>
      </c>
      <c r="E214" s="115">
        <v>380</v>
      </c>
      <c r="F214" s="115">
        <v>380</v>
      </c>
      <c r="G214">
        <v>265</v>
      </c>
      <c r="H214" s="115"/>
      <c r="I214" s="115"/>
      <c r="L214" s="160">
        <v>42313</v>
      </c>
      <c r="M214" s="115">
        <v>415.4</v>
      </c>
      <c r="N214" s="115">
        <v>449</v>
      </c>
      <c r="O214" s="115">
        <v>408</v>
      </c>
      <c r="P214" s="115">
        <v>429.35</v>
      </c>
      <c r="Q214" s="115">
        <v>415.4</v>
      </c>
      <c r="R214">
        <v>139540</v>
      </c>
    </row>
    <row r="215" spans="1:18" x14ac:dyDescent="0.25">
      <c r="A215" s="160">
        <v>42327</v>
      </c>
      <c r="B215" s="115">
        <v>400</v>
      </c>
      <c r="C215" s="115">
        <v>375</v>
      </c>
      <c r="D215" s="115">
        <v>371.5</v>
      </c>
      <c r="E215" s="115">
        <v>371.5</v>
      </c>
      <c r="F215" s="115">
        <v>375</v>
      </c>
      <c r="G215">
        <v>334</v>
      </c>
      <c r="H215" s="115"/>
      <c r="I215" s="115"/>
      <c r="L215" s="160">
        <v>42314</v>
      </c>
      <c r="M215" s="115">
        <v>431.1</v>
      </c>
      <c r="N215" s="115">
        <v>436.75</v>
      </c>
      <c r="O215" s="115">
        <v>418.05</v>
      </c>
      <c r="P215" s="115">
        <v>424</v>
      </c>
      <c r="Q215" s="115">
        <v>431.1</v>
      </c>
      <c r="R215">
        <v>101095</v>
      </c>
    </row>
    <row r="216" spans="1:18" x14ac:dyDescent="0.25">
      <c r="A216" s="160">
        <v>42328</v>
      </c>
      <c r="B216" s="115">
        <v>388</v>
      </c>
      <c r="C216" s="115">
        <v>380.8</v>
      </c>
      <c r="D216" s="115">
        <v>376</v>
      </c>
      <c r="E216" s="115">
        <v>377</v>
      </c>
      <c r="F216" s="115">
        <v>380.8</v>
      </c>
      <c r="G216">
        <v>252</v>
      </c>
      <c r="H216" s="115"/>
      <c r="I216" s="115"/>
      <c r="L216" s="160">
        <v>42317</v>
      </c>
      <c r="M216" s="115">
        <v>431.8</v>
      </c>
      <c r="N216" s="115">
        <v>435</v>
      </c>
      <c r="O216" s="115">
        <v>410</v>
      </c>
      <c r="P216" s="115">
        <v>430</v>
      </c>
      <c r="Q216" s="115">
        <v>431.8</v>
      </c>
      <c r="R216">
        <v>25883</v>
      </c>
    </row>
    <row r="217" spans="1:18" x14ac:dyDescent="0.25">
      <c r="A217" s="160">
        <v>42331</v>
      </c>
      <c r="B217" s="115">
        <v>391.9</v>
      </c>
      <c r="C217" s="115">
        <v>369.2</v>
      </c>
      <c r="D217" s="115">
        <v>340</v>
      </c>
      <c r="E217" s="115">
        <v>375.2</v>
      </c>
      <c r="F217" s="115">
        <v>369.2</v>
      </c>
      <c r="G217">
        <v>5940</v>
      </c>
      <c r="H217" s="115"/>
      <c r="I217" s="115"/>
      <c r="L217" s="160">
        <v>42318</v>
      </c>
      <c r="M217" s="115">
        <v>418.3</v>
      </c>
      <c r="N217" s="115">
        <v>439</v>
      </c>
      <c r="O217" s="115">
        <v>417</v>
      </c>
      <c r="P217" s="115">
        <v>429.85</v>
      </c>
      <c r="Q217" s="115">
        <v>418.3</v>
      </c>
      <c r="R217">
        <v>395039</v>
      </c>
    </row>
    <row r="218" spans="1:18" x14ac:dyDescent="0.25">
      <c r="A218" s="160">
        <v>42332</v>
      </c>
      <c r="B218" s="115">
        <v>380</v>
      </c>
      <c r="C218" s="115">
        <v>375.9</v>
      </c>
      <c r="D218" s="115">
        <v>361.5</v>
      </c>
      <c r="E218" s="115">
        <v>361.5</v>
      </c>
      <c r="F218" s="115">
        <v>375.9</v>
      </c>
      <c r="G218">
        <v>123</v>
      </c>
      <c r="H218" s="115"/>
      <c r="I218" s="115"/>
      <c r="L218" s="160">
        <v>42319</v>
      </c>
      <c r="M218" s="115">
        <v>427.45</v>
      </c>
      <c r="N218" s="115">
        <v>431.15</v>
      </c>
      <c r="O218" s="115">
        <v>420</v>
      </c>
      <c r="P218" s="115">
        <v>429.85</v>
      </c>
      <c r="Q218" s="115">
        <v>427.45</v>
      </c>
      <c r="R218">
        <v>2890</v>
      </c>
    </row>
    <row r="219" spans="1:18" x14ac:dyDescent="0.25">
      <c r="A219" s="160">
        <v>42334</v>
      </c>
      <c r="B219" s="115">
        <v>407</v>
      </c>
      <c r="C219" s="115">
        <v>400.5</v>
      </c>
      <c r="D219" s="115">
        <v>370</v>
      </c>
      <c r="E219" s="115">
        <v>374.5</v>
      </c>
      <c r="F219" s="115">
        <v>400.5</v>
      </c>
      <c r="G219">
        <v>743</v>
      </c>
      <c r="H219" s="115"/>
      <c r="I219" s="115"/>
      <c r="L219" s="160">
        <v>42321</v>
      </c>
      <c r="M219" s="115">
        <v>431.8</v>
      </c>
      <c r="N219" s="115">
        <v>434.85</v>
      </c>
      <c r="O219" s="115">
        <v>420.1</v>
      </c>
      <c r="P219" s="115">
        <v>421.5</v>
      </c>
      <c r="Q219" s="115">
        <v>431.8</v>
      </c>
      <c r="R219">
        <v>17439</v>
      </c>
    </row>
    <row r="220" spans="1:18" x14ac:dyDescent="0.25">
      <c r="A220" s="160">
        <v>42335</v>
      </c>
      <c r="B220" s="115">
        <v>400</v>
      </c>
      <c r="C220" s="115">
        <v>391</v>
      </c>
      <c r="D220" s="115">
        <v>391</v>
      </c>
      <c r="E220" s="115">
        <v>400</v>
      </c>
      <c r="F220" s="115">
        <v>391</v>
      </c>
      <c r="G220">
        <v>153</v>
      </c>
      <c r="H220" s="115"/>
      <c r="I220" s="115"/>
      <c r="L220" s="160">
        <v>42324</v>
      </c>
      <c r="M220" s="115">
        <v>429.75</v>
      </c>
      <c r="N220" s="115">
        <v>431.95</v>
      </c>
      <c r="O220" s="115">
        <v>420.05</v>
      </c>
      <c r="P220" s="115">
        <v>428</v>
      </c>
      <c r="Q220" s="115">
        <v>429.75</v>
      </c>
      <c r="R220">
        <v>21960</v>
      </c>
    </row>
    <row r="221" spans="1:18" x14ac:dyDescent="0.25">
      <c r="A221" s="160">
        <v>42338</v>
      </c>
      <c r="B221" s="115">
        <v>400</v>
      </c>
      <c r="C221" s="115">
        <v>395.1</v>
      </c>
      <c r="D221" s="115">
        <v>390.1</v>
      </c>
      <c r="E221" s="115">
        <v>400</v>
      </c>
      <c r="F221" s="115">
        <v>395.1</v>
      </c>
      <c r="G221">
        <v>222</v>
      </c>
      <c r="H221" s="115"/>
      <c r="I221" s="115"/>
      <c r="L221" s="160">
        <v>42325</v>
      </c>
      <c r="M221" s="115">
        <v>454.05</v>
      </c>
      <c r="N221" s="115">
        <v>456</v>
      </c>
      <c r="O221" s="115">
        <v>429.05</v>
      </c>
      <c r="P221" s="115">
        <v>432</v>
      </c>
      <c r="Q221" s="115">
        <v>454.05</v>
      </c>
      <c r="R221">
        <v>16108</v>
      </c>
    </row>
    <row r="222" spans="1:18" x14ac:dyDescent="0.25">
      <c r="A222" s="160">
        <v>42340</v>
      </c>
      <c r="B222" s="115">
        <v>400</v>
      </c>
      <c r="C222" s="115">
        <v>383.3</v>
      </c>
      <c r="D222" s="115">
        <v>383</v>
      </c>
      <c r="E222" s="115">
        <v>398</v>
      </c>
      <c r="F222" s="115">
        <v>383.3</v>
      </c>
      <c r="G222">
        <v>55</v>
      </c>
      <c r="H222" s="115"/>
      <c r="I222" s="115"/>
      <c r="L222" s="160">
        <v>42326</v>
      </c>
      <c r="M222" s="115">
        <v>448.75</v>
      </c>
      <c r="N222" s="115">
        <v>464.9</v>
      </c>
      <c r="O222" s="115">
        <v>442</v>
      </c>
      <c r="P222" s="115">
        <v>447.65</v>
      </c>
      <c r="Q222" s="115">
        <v>448.75</v>
      </c>
      <c r="R222">
        <v>15386</v>
      </c>
    </row>
    <row r="223" spans="1:18" x14ac:dyDescent="0.25">
      <c r="A223" s="160">
        <v>42341</v>
      </c>
      <c r="B223" s="115">
        <v>392</v>
      </c>
      <c r="C223" s="115">
        <v>385</v>
      </c>
      <c r="D223" s="115">
        <v>374.5</v>
      </c>
      <c r="E223" s="115">
        <v>374.5</v>
      </c>
      <c r="F223" s="115">
        <v>385</v>
      </c>
      <c r="G223">
        <v>782</v>
      </c>
      <c r="H223" s="115"/>
      <c r="I223" s="115"/>
      <c r="L223" s="160">
        <v>42327</v>
      </c>
      <c r="M223" s="115">
        <v>468.8</v>
      </c>
      <c r="N223" s="115">
        <v>472</v>
      </c>
      <c r="O223" s="115">
        <v>450</v>
      </c>
      <c r="P223" s="115">
        <v>450.05</v>
      </c>
      <c r="Q223" s="115">
        <v>468.8</v>
      </c>
      <c r="R223">
        <v>16027</v>
      </c>
    </row>
    <row r="224" spans="1:18" x14ac:dyDescent="0.25">
      <c r="A224" s="160">
        <v>42342</v>
      </c>
      <c r="B224" s="115">
        <v>398</v>
      </c>
      <c r="C224" s="115">
        <v>398</v>
      </c>
      <c r="D224" s="115">
        <v>391</v>
      </c>
      <c r="E224" s="115">
        <v>391</v>
      </c>
      <c r="F224" s="115">
        <v>398</v>
      </c>
      <c r="G224">
        <v>20</v>
      </c>
      <c r="H224" s="115"/>
      <c r="I224" s="115"/>
      <c r="L224" s="160">
        <v>42328</v>
      </c>
      <c r="M224" s="115">
        <v>480.2</v>
      </c>
      <c r="N224" s="115">
        <v>484.95</v>
      </c>
      <c r="O224" s="115">
        <v>458.1</v>
      </c>
      <c r="P224" s="115">
        <v>468.05</v>
      </c>
      <c r="Q224" s="115">
        <v>480.2</v>
      </c>
      <c r="R224">
        <v>20864</v>
      </c>
    </row>
    <row r="225" spans="1:18" x14ac:dyDescent="0.25">
      <c r="A225" s="160">
        <v>42345</v>
      </c>
      <c r="B225" s="115">
        <v>456</v>
      </c>
      <c r="C225" s="115">
        <v>403.4</v>
      </c>
      <c r="D225" s="115">
        <v>403.3</v>
      </c>
      <c r="E225" s="115">
        <v>412</v>
      </c>
      <c r="F225" s="115">
        <v>403.4</v>
      </c>
      <c r="G225">
        <v>248</v>
      </c>
      <c r="H225" s="115"/>
      <c r="I225" s="115"/>
      <c r="L225" s="160">
        <v>42331</v>
      </c>
      <c r="M225" s="115">
        <v>481.8</v>
      </c>
      <c r="N225" s="115">
        <v>485</v>
      </c>
      <c r="O225" s="115">
        <v>474</v>
      </c>
      <c r="P225" s="115">
        <v>475.1</v>
      </c>
      <c r="Q225" s="115">
        <v>481.8</v>
      </c>
      <c r="R225">
        <v>3604</v>
      </c>
    </row>
    <row r="226" spans="1:18" x14ac:dyDescent="0.25">
      <c r="A226" s="160">
        <v>42346</v>
      </c>
      <c r="B226" s="115">
        <v>405</v>
      </c>
      <c r="C226" s="115">
        <v>400.5</v>
      </c>
      <c r="D226" s="115">
        <v>394.5</v>
      </c>
      <c r="E226" s="115">
        <v>394.5</v>
      </c>
      <c r="F226" s="115">
        <v>400.5</v>
      </c>
      <c r="G226">
        <v>156</v>
      </c>
      <c r="H226" s="115"/>
      <c r="I226" s="115"/>
      <c r="L226" s="160">
        <v>42332</v>
      </c>
      <c r="M226" s="115">
        <v>489.5</v>
      </c>
      <c r="N226" s="115">
        <v>495</v>
      </c>
      <c r="O226" s="115">
        <v>481</v>
      </c>
      <c r="P226" s="115">
        <v>481.05</v>
      </c>
      <c r="Q226" s="115">
        <v>489.5</v>
      </c>
      <c r="R226">
        <v>5891</v>
      </c>
    </row>
    <row r="227" spans="1:18" x14ac:dyDescent="0.25">
      <c r="A227" s="160">
        <v>42348</v>
      </c>
      <c r="B227" s="115">
        <v>395</v>
      </c>
      <c r="C227" s="115">
        <v>395</v>
      </c>
      <c r="D227" s="115">
        <v>395</v>
      </c>
      <c r="E227" s="115">
        <v>395</v>
      </c>
      <c r="F227" s="115">
        <v>395</v>
      </c>
      <c r="G227">
        <v>25</v>
      </c>
      <c r="H227" s="115"/>
      <c r="I227" s="115"/>
      <c r="L227" s="160">
        <v>42334</v>
      </c>
      <c r="M227" s="115">
        <v>493.15</v>
      </c>
      <c r="N227" s="115">
        <v>497</v>
      </c>
      <c r="O227" s="115">
        <v>485</v>
      </c>
      <c r="P227" s="115">
        <v>494</v>
      </c>
      <c r="Q227" s="115">
        <v>493.15</v>
      </c>
      <c r="R227">
        <v>7171</v>
      </c>
    </row>
    <row r="228" spans="1:18" x14ac:dyDescent="0.25">
      <c r="A228" s="160">
        <v>42349</v>
      </c>
      <c r="B228" s="115">
        <v>390.4</v>
      </c>
      <c r="C228" s="115">
        <v>390.4</v>
      </c>
      <c r="D228" s="115">
        <v>390.4</v>
      </c>
      <c r="E228" s="115">
        <v>390.4</v>
      </c>
      <c r="F228" s="115">
        <v>390.4</v>
      </c>
      <c r="G228">
        <v>53</v>
      </c>
      <c r="H228" s="115"/>
      <c r="I228" s="115"/>
      <c r="L228" s="160">
        <v>42335</v>
      </c>
      <c r="M228" s="115">
        <v>486.35</v>
      </c>
      <c r="N228" s="115">
        <v>496.7</v>
      </c>
      <c r="O228" s="115">
        <v>484</v>
      </c>
      <c r="P228" s="115">
        <v>492</v>
      </c>
      <c r="Q228" s="115">
        <v>486.35</v>
      </c>
      <c r="R228">
        <v>3426</v>
      </c>
    </row>
    <row r="229" spans="1:18" x14ac:dyDescent="0.25">
      <c r="A229" s="160">
        <v>42352</v>
      </c>
      <c r="B229" s="115">
        <v>400</v>
      </c>
      <c r="C229" s="115">
        <v>400</v>
      </c>
      <c r="D229" s="115">
        <v>390</v>
      </c>
      <c r="E229" s="115">
        <v>390</v>
      </c>
      <c r="F229" s="115">
        <v>400</v>
      </c>
      <c r="G229">
        <v>30</v>
      </c>
      <c r="H229" s="115"/>
      <c r="I229" s="115"/>
      <c r="L229" s="160">
        <v>42338</v>
      </c>
      <c r="M229" s="115">
        <v>490.25</v>
      </c>
      <c r="N229" s="115">
        <v>495</v>
      </c>
      <c r="O229" s="115">
        <v>472.05</v>
      </c>
      <c r="P229" s="115">
        <v>484.3</v>
      </c>
      <c r="Q229" s="115">
        <v>490.25</v>
      </c>
      <c r="R229">
        <v>12652</v>
      </c>
    </row>
    <row r="230" spans="1:18" x14ac:dyDescent="0.25">
      <c r="A230" s="160">
        <v>42353</v>
      </c>
      <c r="B230" s="115">
        <v>400</v>
      </c>
      <c r="C230" s="115">
        <v>384.2</v>
      </c>
      <c r="D230" s="115">
        <v>384.2</v>
      </c>
      <c r="E230" s="115">
        <v>400</v>
      </c>
      <c r="F230" s="115">
        <v>384.2</v>
      </c>
      <c r="G230">
        <v>33</v>
      </c>
      <c r="H230" s="115"/>
      <c r="I230" s="115"/>
      <c r="L230" s="160">
        <v>42339</v>
      </c>
      <c r="M230" s="115">
        <v>482.5</v>
      </c>
      <c r="N230" s="115">
        <v>494</v>
      </c>
      <c r="O230" s="115">
        <v>480.05</v>
      </c>
      <c r="P230" s="115">
        <v>489.9</v>
      </c>
      <c r="Q230" s="115">
        <v>482.5</v>
      </c>
      <c r="R230">
        <v>7699</v>
      </c>
    </row>
    <row r="231" spans="1:18" x14ac:dyDescent="0.25">
      <c r="A231" s="160">
        <v>42354</v>
      </c>
      <c r="B231" s="115">
        <v>402.4</v>
      </c>
      <c r="C231" s="115">
        <v>385.5</v>
      </c>
      <c r="D231" s="115">
        <v>382</v>
      </c>
      <c r="E231" s="115">
        <v>384.2</v>
      </c>
      <c r="F231" s="115">
        <v>385.5</v>
      </c>
      <c r="G231">
        <v>335</v>
      </c>
      <c r="H231" s="115"/>
      <c r="I231" s="115"/>
      <c r="L231" s="160">
        <v>42340</v>
      </c>
      <c r="M231" s="115">
        <v>486.55</v>
      </c>
      <c r="N231" s="115">
        <v>489.95</v>
      </c>
      <c r="O231" s="115">
        <v>470.5</v>
      </c>
      <c r="P231" s="115">
        <v>489.95</v>
      </c>
      <c r="Q231" s="115">
        <v>486.55</v>
      </c>
      <c r="R231">
        <v>6848</v>
      </c>
    </row>
    <row r="232" spans="1:18" x14ac:dyDescent="0.25">
      <c r="A232" s="160">
        <v>42355</v>
      </c>
      <c r="B232" s="115">
        <v>389</v>
      </c>
      <c r="C232" s="115">
        <v>386.4</v>
      </c>
      <c r="D232" s="115">
        <v>370</v>
      </c>
      <c r="E232" s="115">
        <v>380</v>
      </c>
      <c r="F232" s="115">
        <v>386.4</v>
      </c>
      <c r="G232">
        <v>2429</v>
      </c>
      <c r="H232" s="115"/>
      <c r="I232" s="115"/>
      <c r="L232" s="160">
        <v>42341</v>
      </c>
      <c r="M232" s="115">
        <v>482.65</v>
      </c>
      <c r="N232" s="115">
        <v>491.95</v>
      </c>
      <c r="O232" s="115">
        <v>480</v>
      </c>
      <c r="P232" s="115">
        <v>486.35</v>
      </c>
      <c r="Q232" s="115">
        <v>482.65</v>
      </c>
      <c r="R232">
        <v>8580</v>
      </c>
    </row>
    <row r="233" spans="1:18" x14ac:dyDescent="0.25">
      <c r="A233" s="160">
        <v>42359</v>
      </c>
      <c r="B233" s="115">
        <v>388.9</v>
      </c>
      <c r="C233" s="115">
        <v>385.7</v>
      </c>
      <c r="D233" s="115">
        <v>384.9</v>
      </c>
      <c r="E233" s="115">
        <v>384.9</v>
      </c>
      <c r="F233" s="115">
        <v>385.7</v>
      </c>
      <c r="G233">
        <v>375</v>
      </c>
      <c r="H233" s="115"/>
      <c r="I233" s="115"/>
      <c r="L233" s="160">
        <v>42342</v>
      </c>
      <c r="M233" s="115">
        <v>483.2</v>
      </c>
      <c r="N233" s="115">
        <v>489.9</v>
      </c>
      <c r="O233" s="115">
        <v>480.05</v>
      </c>
      <c r="P233" s="115">
        <v>482.95</v>
      </c>
      <c r="Q233" s="115">
        <v>483.2</v>
      </c>
      <c r="R233">
        <v>1336</v>
      </c>
    </row>
    <row r="234" spans="1:18" x14ac:dyDescent="0.25">
      <c r="A234" s="160">
        <v>42360</v>
      </c>
      <c r="B234" s="115">
        <v>388.7</v>
      </c>
      <c r="C234" s="115">
        <v>374</v>
      </c>
      <c r="D234" s="115">
        <v>374</v>
      </c>
      <c r="E234" s="115">
        <v>388.7</v>
      </c>
      <c r="F234" s="115">
        <v>374</v>
      </c>
      <c r="G234">
        <v>1065</v>
      </c>
      <c r="H234" s="115"/>
      <c r="I234" s="115"/>
      <c r="L234" s="160">
        <v>42345</v>
      </c>
      <c r="M234" s="115">
        <v>482.6</v>
      </c>
      <c r="N234" s="115">
        <v>489.95</v>
      </c>
      <c r="O234" s="115">
        <v>480.05</v>
      </c>
      <c r="P234" s="115">
        <v>480.55</v>
      </c>
      <c r="Q234" s="115">
        <v>482.6</v>
      </c>
      <c r="R234">
        <v>74935</v>
      </c>
    </row>
    <row r="235" spans="1:18" x14ac:dyDescent="0.25">
      <c r="A235" s="160">
        <v>42361</v>
      </c>
      <c r="B235" s="115">
        <v>379.9</v>
      </c>
      <c r="C235" s="115">
        <v>379.9</v>
      </c>
      <c r="D235" s="115">
        <v>372</v>
      </c>
      <c r="E235" s="115">
        <v>372</v>
      </c>
      <c r="F235" s="115">
        <v>379.9</v>
      </c>
      <c r="G235">
        <v>225</v>
      </c>
      <c r="H235" s="115"/>
      <c r="I235" s="115"/>
      <c r="L235" s="160">
        <v>42346</v>
      </c>
      <c r="M235" s="115">
        <v>471.25</v>
      </c>
      <c r="N235" s="115">
        <v>485</v>
      </c>
      <c r="O235" s="115">
        <v>462.05</v>
      </c>
      <c r="P235" s="115">
        <v>480.1</v>
      </c>
      <c r="Q235" s="115">
        <v>471.25</v>
      </c>
      <c r="R235">
        <v>9837</v>
      </c>
    </row>
    <row r="236" spans="1:18" x14ac:dyDescent="0.25">
      <c r="A236" s="160">
        <v>42362</v>
      </c>
      <c r="B236" s="115">
        <v>400</v>
      </c>
      <c r="C236" s="115">
        <v>391.5</v>
      </c>
      <c r="D236" s="115">
        <v>379</v>
      </c>
      <c r="E236" s="115">
        <v>380</v>
      </c>
      <c r="F236" s="115">
        <v>391.5</v>
      </c>
      <c r="G236">
        <v>1248</v>
      </c>
      <c r="H236" s="115"/>
      <c r="I236" s="115"/>
      <c r="L236" s="160">
        <v>42347</v>
      </c>
      <c r="M236" s="115">
        <v>455.2</v>
      </c>
      <c r="N236" s="115">
        <v>475</v>
      </c>
      <c r="O236" s="115">
        <v>450.1</v>
      </c>
      <c r="P236" s="115">
        <v>471.35</v>
      </c>
      <c r="Q236" s="115">
        <v>455.2</v>
      </c>
      <c r="R236">
        <v>8837</v>
      </c>
    </row>
    <row r="237" spans="1:18" x14ac:dyDescent="0.25">
      <c r="A237" s="160">
        <v>42366</v>
      </c>
      <c r="B237" s="115">
        <v>386.1</v>
      </c>
      <c r="C237" s="115">
        <v>386.1</v>
      </c>
      <c r="D237" s="115">
        <v>386.1</v>
      </c>
      <c r="E237" s="115">
        <v>386.1</v>
      </c>
      <c r="F237" s="115">
        <v>386.1</v>
      </c>
      <c r="G237">
        <v>25</v>
      </c>
      <c r="H237" s="115"/>
      <c r="I237" s="115"/>
      <c r="L237" s="160">
        <v>42348</v>
      </c>
      <c r="M237" s="115">
        <v>477.15</v>
      </c>
      <c r="N237" s="115">
        <v>480</v>
      </c>
      <c r="O237" s="115">
        <v>457</v>
      </c>
      <c r="P237" s="115">
        <v>459.05</v>
      </c>
      <c r="Q237" s="115">
        <v>477.15</v>
      </c>
      <c r="R237">
        <v>8451</v>
      </c>
    </row>
    <row r="238" spans="1:18" x14ac:dyDescent="0.25">
      <c r="A238" s="160">
        <v>42367</v>
      </c>
      <c r="B238" s="115">
        <v>405</v>
      </c>
      <c r="C238" s="115">
        <v>395</v>
      </c>
      <c r="D238" s="115">
        <v>389</v>
      </c>
      <c r="E238" s="115">
        <v>405</v>
      </c>
      <c r="F238" s="115">
        <v>395</v>
      </c>
      <c r="G238">
        <v>230</v>
      </c>
      <c r="H238" s="115"/>
      <c r="I238" s="115"/>
      <c r="L238" s="160">
        <v>42349</v>
      </c>
      <c r="M238" s="115">
        <v>468</v>
      </c>
      <c r="N238" s="115">
        <v>480</v>
      </c>
      <c r="O238" s="115">
        <v>460.05</v>
      </c>
      <c r="P238" s="115">
        <v>480</v>
      </c>
      <c r="Q238" s="115">
        <v>468</v>
      </c>
      <c r="R238">
        <v>10395</v>
      </c>
    </row>
    <row r="239" spans="1:18" x14ac:dyDescent="0.25">
      <c r="A239" s="160">
        <v>42368</v>
      </c>
      <c r="B239" s="115">
        <v>391.1</v>
      </c>
      <c r="C239" s="115">
        <v>390</v>
      </c>
      <c r="D239" s="115">
        <v>390</v>
      </c>
      <c r="E239" s="115">
        <v>391.1</v>
      </c>
      <c r="F239" s="115">
        <v>390</v>
      </c>
      <c r="G239">
        <v>189</v>
      </c>
      <c r="H239" s="115"/>
      <c r="I239" s="115"/>
      <c r="L239" s="160">
        <v>42352</v>
      </c>
      <c r="M239" s="115">
        <v>469.4</v>
      </c>
      <c r="N239" s="115">
        <v>474.85</v>
      </c>
      <c r="O239" s="115">
        <v>460</v>
      </c>
      <c r="P239" s="115">
        <v>460</v>
      </c>
      <c r="Q239" s="115">
        <v>469.4</v>
      </c>
      <c r="R239">
        <v>5860</v>
      </c>
    </row>
    <row r="240" spans="1:18" x14ac:dyDescent="0.25">
      <c r="A240" s="160">
        <v>42369</v>
      </c>
      <c r="B240" s="115">
        <v>387.5</v>
      </c>
      <c r="C240" s="115">
        <v>387.5</v>
      </c>
      <c r="D240" s="115">
        <v>380.1</v>
      </c>
      <c r="E240" s="115">
        <v>380.1</v>
      </c>
      <c r="F240" s="115">
        <v>387.5</v>
      </c>
      <c r="G240">
        <v>102</v>
      </c>
      <c r="H240" s="115"/>
      <c r="I240" s="115"/>
      <c r="L240" s="160">
        <v>42353</v>
      </c>
      <c r="M240" s="115">
        <v>483.6</v>
      </c>
      <c r="N240" s="115">
        <v>485</v>
      </c>
      <c r="O240" s="115">
        <v>460.05</v>
      </c>
      <c r="P240" s="115">
        <v>465.15</v>
      </c>
      <c r="Q240" s="115">
        <v>483.6</v>
      </c>
      <c r="R240">
        <v>23296</v>
      </c>
    </row>
    <row r="241" spans="1:18" x14ac:dyDescent="0.25">
      <c r="A241" s="160">
        <v>42370</v>
      </c>
      <c r="B241" s="115">
        <v>385.3</v>
      </c>
      <c r="C241" s="115">
        <v>385.3</v>
      </c>
      <c r="D241" s="115">
        <v>385.3</v>
      </c>
      <c r="E241" s="115">
        <v>385.3</v>
      </c>
      <c r="F241" s="115">
        <v>385.3</v>
      </c>
      <c r="G241">
        <v>10</v>
      </c>
      <c r="H241" s="115"/>
      <c r="I241" s="115"/>
      <c r="L241" s="160">
        <v>42354</v>
      </c>
      <c r="M241" s="115">
        <v>482.75</v>
      </c>
      <c r="N241" s="115">
        <v>487</v>
      </c>
      <c r="O241" s="115">
        <v>480</v>
      </c>
      <c r="P241" s="115">
        <v>482.95</v>
      </c>
      <c r="Q241" s="115">
        <v>482.75</v>
      </c>
      <c r="R241">
        <v>9263</v>
      </c>
    </row>
    <row r="242" spans="1:18" x14ac:dyDescent="0.25">
      <c r="A242" s="160">
        <v>42373</v>
      </c>
      <c r="B242" s="115">
        <v>398.8</v>
      </c>
      <c r="C242" s="115">
        <v>385.1</v>
      </c>
      <c r="D242" s="115">
        <v>381</v>
      </c>
      <c r="E242" s="115">
        <v>381</v>
      </c>
      <c r="F242" s="115">
        <v>385.1</v>
      </c>
      <c r="G242">
        <v>195</v>
      </c>
      <c r="H242" s="115"/>
      <c r="I242" s="115"/>
      <c r="L242" s="160">
        <v>42355</v>
      </c>
      <c r="M242" s="115">
        <v>487.7</v>
      </c>
      <c r="N242" s="115">
        <v>492</v>
      </c>
      <c r="O242" s="115">
        <v>475.05</v>
      </c>
      <c r="P242" s="115">
        <v>482.8</v>
      </c>
      <c r="Q242" s="115">
        <v>487.7</v>
      </c>
      <c r="R242">
        <v>17020</v>
      </c>
    </row>
    <row r="243" spans="1:18" x14ac:dyDescent="0.25">
      <c r="A243" s="160">
        <v>42374</v>
      </c>
      <c r="B243" s="115">
        <v>395</v>
      </c>
      <c r="C243" s="115">
        <v>392.8</v>
      </c>
      <c r="D243" s="115">
        <v>375</v>
      </c>
      <c r="E243" s="115">
        <v>385</v>
      </c>
      <c r="F243" s="115">
        <v>392.8</v>
      </c>
      <c r="G243">
        <v>739</v>
      </c>
      <c r="H243" s="115"/>
      <c r="I243" s="115"/>
      <c r="L243" s="160">
        <v>42356</v>
      </c>
      <c r="M243" s="115">
        <v>488.5</v>
      </c>
      <c r="N243" s="115">
        <v>491.75</v>
      </c>
      <c r="O243" s="115">
        <v>482</v>
      </c>
      <c r="P243" s="115">
        <v>487.7</v>
      </c>
      <c r="Q243" s="115">
        <v>488.5</v>
      </c>
      <c r="R243">
        <v>6470</v>
      </c>
    </row>
    <row r="244" spans="1:18" x14ac:dyDescent="0.25">
      <c r="A244" s="160">
        <v>42375</v>
      </c>
      <c r="B244" s="115">
        <v>399</v>
      </c>
      <c r="C244" s="115">
        <v>391</v>
      </c>
      <c r="D244" s="115">
        <v>391</v>
      </c>
      <c r="E244" s="115">
        <v>399</v>
      </c>
      <c r="F244" s="115">
        <v>391</v>
      </c>
      <c r="G244">
        <v>95</v>
      </c>
      <c r="H244" s="115"/>
      <c r="I244" s="115"/>
      <c r="L244" s="160">
        <v>42359</v>
      </c>
      <c r="M244" s="115">
        <v>520.79999999999995</v>
      </c>
      <c r="N244" s="115">
        <v>525</v>
      </c>
      <c r="O244" s="115">
        <v>486</v>
      </c>
      <c r="P244" s="115">
        <v>486</v>
      </c>
      <c r="Q244" s="115">
        <v>520.79999999999995</v>
      </c>
      <c r="R244">
        <v>38603</v>
      </c>
    </row>
    <row r="245" spans="1:18" x14ac:dyDescent="0.25">
      <c r="A245" s="160">
        <v>42376</v>
      </c>
      <c r="B245" s="115">
        <v>390.8</v>
      </c>
      <c r="C245" s="115">
        <v>385.7</v>
      </c>
      <c r="D245" s="115">
        <v>381.1</v>
      </c>
      <c r="E245" s="115">
        <v>382.1</v>
      </c>
      <c r="F245" s="115">
        <v>385.7</v>
      </c>
      <c r="G245">
        <v>177</v>
      </c>
      <c r="H245" s="115"/>
      <c r="I245" s="115"/>
      <c r="L245" s="160">
        <v>42360</v>
      </c>
      <c r="M245" s="115">
        <v>499.25</v>
      </c>
      <c r="N245" s="115">
        <v>525</v>
      </c>
      <c r="O245" s="115">
        <v>496</v>
      </c>
      <c r="P245" s="115">
        <v>520</v>
      </c>
      <c r="Q245" s="115">
        <v>499.25</v>
      </c>
      <c r="R245">
        <v>23421</v>
      </c>
    </row>
    <row r="246" spans="1:18" x14ac:dyDescent="0.25">
      <c r="A246" s="160">
        <v>42377</v>
      </c>
      <c r="B246" s="115">
        <v>386</v>
      </c>
      <c r="C246" s="115">
        <v>386</v>
      </c>
      <c r="D246" s="115">
        <v>386</v>
      </c>
      <c r="E246" s="115">
        <v>386</v>
      </c>
      <c r="F246" s="115">
        <v>386</v>
      </c>
      <c r="G246">
        <v>20</v>
      </c>
      <c r="H246" s="115"/>
      <c r="I246" s="115"/>
      <c r="L246" s="160">
        <v>42361</v>
      </c>
      <c r="M246" s="115">
        <v>505.75</v>
      </c>
      <c r="N246" s="115">
        <v>518.9</v>
      </c>
      <c r="O246" s="115">
        <v>501</v>
      </c>
      <c r="P246" s="115">
        <v>508</v>
      </c>
      <c r="Q246" s="115">
        <v>505.75</v>
      </c>
      <c r="R246">
        <v>25419</v>
      </c>
    </row>
    <row r="247" spans="1:18" x14ac:dyDescent="0.25">
      <c r="A247" s="160">
        <v>42380</v>
      </c>
      <c r="B247" s="115">
        <v>394.5</v>
      </c>
      <c r="C247" s="115">
        <v>393.9</v>
      </c>
      <c r="D247" s="115">
        <v>380.1</v>
      </c>
      <c r="E247" s="115">
        <v>394.5</v>
      </c>
      <c r="F247" s="115">
        <v>393.9</v>
      </c>
      <c r="G247">
        <v>173</v>
      </c>
      <c r="H247" s="115"/>
      <c r="I247" s="115"/>
      <c r="L247" s="160">
        <v>42362</v>
      </c>
      <c r="M247" s="115">
        <v>510.35</v>
      </c>
      <c r="N247" s="115">
        <v>513.45000000000005</v>
      </c>
      <c r="O247" s="115">
        <v>505</v>
      </c>
      <c r="P247" s="115">
        <v>510.05</v>
      </c>
      <c r="Q247" s="115">
        <v>510.35</v>
      </c>
      <c r="R247">
        <v>4932</v>
      </c>
    </row>
    <row r="248" spans="1:18" x14ac:dyDescent="0.25">
      <c r="A248" s="160">
        <v>42381</v>
      </c>
      <c r="B248" s="115">
        <v>396</v>
      </c>
      <c r="C248" s="115">
        <v>380.1</v>
      </c>
      <c r="D248" s="115">
        <v>380.1</v>
      </c>
      <c r="E248" s="115">
        <v>386</v>
      </c>
      <c r="F248" s="115">
        <v>380.1</v>
      </c>
      <c r="G248">
        <v>756</v>
      </c>
      <c r="H248" s="115"/>
      <c r="I248" s="115"/>
      <c r="L248" s="160">
        <v>42366</v>
      </c>
      <c r="M248" s="115">
        <v>535.15</v>
      </c>
      <c r="N248" s="115">
        <v>548.1</v>
      </c>
      <c r="O248" s="115">
        <v>515.04999999999995</v>
      </c>
      <c r="P248" s="115">
        <v>519.6</v>
      </c>
      <c r="Q248" s="115">
        <v>535.15</v>
      </c>
      <c r="R248">
        <v>28987</v>
      </c>
    </row>
    <row r="249" spans="1:18" x14ac:dyDescent="0.25">
      <c r="A249" s="160">
        <v>42382</v>
      </c>
      <c r="B249" s="115">
        <v>383.5</v>
      </c>
      <c r="C249" s="115">
        <v>366.6</v>
      </c>
      <c r="D249" s="115">
        <v>363</v>
      </c>
      <c r="E249" s="115">
        <v>382.2</v>
      </c>
      <c r="F249" s="115">
        <v>366.6</v>
      </c>
      <c r="G249">
        <v>551</v>
      </c>
      <c r="H249" s="115"/>
      <c r="I249" s="115"/>
      <c r="L249" s="160">
        <v>42367</v>
      </c>
      <c r="M249" s="115">
        <v>521.04999999999995</v>
      </c>
      <c r="N249" s="115">
        <v>543</v>
      </c>
      <c r="O249" s="115">
        <v>515</v>
      </c>
      <c r="P249" s="115">
        <v>542.1</v>
      </c>
      <c r="Q249" s="115">
        <v>521.04999999999995</v>
      </c>
      <c r="R249">
        <v>17672</v>
      </c>
    </row>
    <row r="250" spans="1:18" x14ac:dyDescent="0.25">
      <c r="A250" s="160">
        <v>42383</v>
      </c>
      <c r="B250" s="115">
        <v>370.1</v>
      </c>
      <c r="C250" s="115">
        <v>370</v>
      </c>
      <c r="D250" s="115">
        <v>370</v>
      </c>
      <c r="E250" s="115">
        <v>370.1</v>
      </c>
      <c r="F250" s="115">
        <v>370</v>
      </c>
      <c r="G250">
        <v>50</v>
      </c>
      <c r="H250" s="115"/>
      <c r="I250" s="115"/>
      <c r="L250" s="160">
        <v>42368</v>
      </c>
      <c r="M250" s="115">
        <v>514.35</v>
      </c>
      <c r="N250" s="115">
        <v>529.85</v>
      </c>
      <c r="O250" s="115">
        <v>510.05</v>
      </c>
      <c r="P250" s="115">
        <v>526.5</v>
      </c>
      <c r="Q250" s="115">
        <v>514.35</v>
      </c>
      <c r="R250">
        <v>10444</v>
      </c>
    </row>
    <row r="251" spans="1:18" x14ac:dyDescent="0.25">
      <c r="A251" s="160">
        <v>42384</v>
      </c>
      <c r="B251" s="115">
        <v>365</v>
      </c>
      <c r="C251" s="115">
        <v>365</v>
      </c>
      <c r="D251" s="115">
        <v>363.1</v>
      </c>
      <c r="E251" s="115">
        <v>363.1</v>
      </c>
      <c r="F251" s="115">
        <v>365</v>
      </c>
      <c r="G251">
        <v>126</v>
      </c>
      <c r="H251" s="115"/>
      <c r="I251" s="115"/>
      <c r="L251" s="160">
        <v>42369</v>
      </c>
      <c r="M251" s="115">
        <v>513.70000000000005</v>
      </c>
      <c r="N251" s="115">
        <v>522.95000000000005</v>
      </c>
      <c r="O251" s="115">
        <v>510.05</v>
      </c>
      <c r="P251" s="115">
        <v>522.95000000000005</v>
      </c>
      <c r="Q251" s="115">
        <v>513.70000000000005</v>
      </c>
      <c r="R251">
        <v>11010</v>
      </c>
    </row>
    <row r="252" spans="1:18" x14ac:dyDescent="0.25">
      <c r="A252" s="160">
        <v>42387</v>
      </c>
      <c r="B252" s="115">
        <v>362</v>
      </c>
      <c r="C252" s="115">
        <v>360</v>
      </c>
      <c r="D252" s="115">
        <v>347.2</v>
      </c>
      <c r="E252" s="115">
        <v>362</v>
      </c>
      <c r="F252" s="115">
        <v>360</v>
      </c>
      <c r="G252">
        <v>1615</v>
      </c>
      <c r="H252" s="115"/>
      <c r="I252" s="115"/>
      <c r="L252" s="160">
        <v>42370</v>
      </c>
      <c r="M252" s="115">
        <v>524.6</v>
      </c>
      <c r="N252" s="115">
        <v>528.5</v>
      </c>
      <c r="O252" s="115">
        <v>510</v>
      </c>
      <c r="P252" s="115">
        <v>514.9</v>
      </c>
      <c r="Q252" s="115">
        <v>524.6</v>
      </c>
      <c r="R252">
        <v>7626</v>
      </c>
    </row>
    <row r="253" spans="1:18" x14ac:dyDescent="0.25">
      <c r="A253" s="160">
        <v>42388</v>
      </c>
      <c r="B253" s="115">
        <v>361</v>
      </c>
      <c r="C253" s="115">
        <v>361</v>
      </c>
      <c r="D253" s="115">
        <v>346.2</v>
      </c>
      <c r="E253" s="115">
        <v>346.2</v>
      </c>
      <c r="F253" s="115">
        <v>361</v>
      </c>
      <c r="G253">
        <v>1272</v>
      </c>
      <c r="H253" s="115"/>
      <c r="I253" s="115"/>
      <c r="L253" s="160">
        <v>42373</v>
      </c>
      <c r="M253" s="115">
        <v>521.15</v>
      </c>
      <c r="N253" s="115">
        <v>531.95000000000005</v>
      </c>
      <c r="O253" s="115">
        <v>501</v>
      </c>
      <c r="P253" s="115">
        <v>518.04999999999995</v>
      </c>
      <c r="Q253" s="115">
        <v>521.15</v>
      </c>
      <c r="R253">
        <v>12001</v>
      </c>
    </row>
    <row r="254" spans="1:18" x14ac:dyDescent="0.25">
      <c r="A254" s="160">
        <v>42389</v>
      </c>
      <c r="B254" s="115">
        <v>359</v>
      </c>
      <c r="C254" s="115">
        <v>351</v>
      </c>
      <c r="D254" s="115">
        <v>345.2</v>
      </c>
      <c r="E254" s="115">
        <v>359</v>
      </c>
      <c r="F254" s="115">
        <v>351</v>
      </c>
      <c r="G254">
        <v>267</v>
      </c>
      <c r="H254" s="115"/>
      <c r="I254" s="115"/>
      <c r="L254" s="160">
        <v>42374</v>
      </c>
      <c r="M254" s="115">
        <v>517.1</v>
      </c>
      <c r="N254" s="115">
        <v>529.95000000000005</v>
      </c>
      <c r="O254" s="115">
        <v>508.45</v>
      </c>
      <c r="P254" s="115">
        <v>518</v>
      </c>
      <c r="Q254" s="115">
        <v>517.1</v>
      </c>
      <c r="R254">
        <v>12255</v>
      </c>
    </row>
    <row r="255" spans="1:18" x14ac:dyDescent="0.25">
      <c r="A255" s="160">
        <v>42390</v>
      </c>
      <c r="B255" s="115">
        <v>365</v>
      </c>
      <c r="C255" s="115">
        <v>360.1</v>
      </c>
      <c r="D255" s="115">
        <v>351.7</v>
      </c>
      <c r="E255" s="115">
        <v>359</v>
      </c>
      <c r="F255" s="115">
        <v>360.1</v>
      </c>
      <c r="G255">
        <v>638</v>
      </c>
      <c r="H255" s="115"/>
      <c r="I255" s="115"/>
      <c r="L255" s="160">
        <v>42375</v>
      </c>
      <c r="M255" s="115">
        <v>521.29999999999995</v>
      </c>
      <c r="N255" s="115">
        <v>527</v>
      </c>
      <c r="O255" s="115">
        <v>512.04999999999995</v>
      </c>
      <c r="P255" s="115">
        <v>518.29999999999995</v>
      </c>
      <c r="Q255" s="115">
        <v>521.29999999999995</v>
      </c>
      <c r="R255">
        <v>9027</v>
      </c>
    </row>
    <row r="256" spans="1:18" x14ac:dyDescent="0.25">
      <c r="A256" s="160">
        <v>42391</v>
      </c>
      <c r="B256" s="115">
        <v>381</v>
      </c>
      <c r="C256" s="115">
        <v>380.9</v>
      </c>
      <c r="D256" s="115">
        <v>365</v>
      </c>
      <c r="E256" s="115">
        <v>365</v>
      </c>
      <c r="F256" s="115">
        <v>380.9</v>
      </c>
      <c r="G256">
        <v>383</v>
      </c>
      <c r="H256" s="115"/>
      <c r="I256" s="115"/>
      <c r="L256" s="160">
        <v>42376</v>
      </c>
      <c r="M256" s="115">
        <v>511.5</v>
      </c>
      <c r="N256" s="115">
        <v>519.6</v>
      </c>
      <c r="O256" s="115">
        <v>508.85</v>
      </c>
      <c r="P256" s="115">
        <v>515.04999999999995</v>
      </c>
      <c r="Q256" s="115">
        <v>511.5</v>
      </c>
      <c r="R256">
        <v>10406</v>
      </c>
    </row>
    <row r="257" spans="1:18" x14ac:dyDescent="0.25">
      <c r="A257" s="160">
        <v>42394</v>
      </c>
      <c r="B257" s="115">
        <v>457</v>
      </c>
      <c r="C257" s="115">
        <v>454.3</v>
      </c>
      <c r="D257" s="115">
        <v>415.2</v>
      </c>
      <c r="E257" s="115">
        <v>449</v>
      </c>
      <c r="F257" s="115">
        <v>454.3</v>
      </c>
      <c r="G257">
        <v>6415</v>
      </c>
      <c r="H257" s="115"/>
      <c r="I257" s="115"/>
      <c r="L257" s="160">
        <v>42377</v>
      </c>
      <c r="M257" s="115">
        <v>527.35</v>
      </c>
      <c r="N257" s="115">
        <v>529.45000000000005</v>
      </c>
      <c r="O257" s="115">
        <v>510.5</v>
      </c>
      <c r="P257" s="115">
        <v>516.65</v>
      </c>
      <c r="Q257" s="115">
        <v>527.35</v>
      </c>
      <c r="R257">
        <v>14114</v>
      </c>
    </row>
    <row r="258" spans="1:18" x14ac:dyDescent="0.25">
      <c r="A258" s="160">
        <v>42396</v>
      </c>
      <c r="B258" s="115">
        <v>484.9</v>
      </c>
      <c r="C258" s="115">
        <v>461.8</v>
      </c>
      <c r="D258" s="115">
        <v>435</v>
      </c>
      <c r="E258" s="115">
        <v>460</v>
      </c>
      <c r="F258" s="115">
        <v>461.8</v>
      </c>
      <c r="G258">
        <v>1908</v>
      </c>
      <c r="H258" s="115"/>
      <c r="I258" s="115"/>
      <c r="L258" s="160">
        <v>42380</v>
      </c>
      <c r="M258" s="115">
        <v>525</v>
      </c>
      <c r="N258" s="115">
        <v>529</v>
      </c>
      <c r="O258" s="115">
        <v>508.15</v>
      </c>
      <c r="P258" s="115">
        <v>519</v>
      </c>
      <c r="Q258" s="115">
        <v>525</v>
      </c>
      <c r="R258">
        <v>6078</v>
      </c>
    </row>
    <row r="259" spans="1:18" x14ac:dyDescent="0.25">
      <c r="A259" s="160">
        <v>42397</v>
      </c>
      <c r="B259" s="115">
        <v>460</v>
      </c>
      <c r="C259" s="115">
        <v>456</v>
      </c>
      <c r="D259" s="115">
        <v>456</v>
      </c>
      <c r="E259" s="115">
        <v>460</v>
      </c>
      <c r="F259" s="115">
        <v>456</v>
      </c>
      <c r="G259">
        <v>80</v>
      </c>
      <c r="H259" s="115"/>
      <c r="I259" s="115"/>
      <c r="L259" s="160">
        <v>42381</v>
      </c>
      <c r="M259" s="115">
        <v>530</v>
      </c>
      <c r="N259" s="115">
        <v>538.95000000000005</v>
      </c>
      <c r="O259" s="115">
        <v>515.20000000000005</v>
      </c>
      <c r="P259" s="115">
        <v>530</v>
      </c>
      <c r="Q259" s="115">
        <v>530</v>
      </c>
      <c r="R259">
        <v>17820</v>
      </c>
    </row>
    <row r="260" spans="1:18" x14ac:dyDescent="0.25">
      <c r="A260" s="160">
        <v>42398</v>
      </c>
      <c r="B260" s="115">
        <v>452</v>
      </c>
      <c r="C260" s="115">
        <v>447</v>
      </c>
      <c r="D260" s="115">
        <v>432</v>
      </c>
      <c r="E260" s="115">
        <v>434.1</v>
      </c>
      <c r="F260" s="115">
        <v>447</v>
      </c>
      <c r="G260">
        <v>638</v>
      </c>
      <c r="H260" s="115"/>
      <c r="I260" s="115"/>
      <c r="L260" s="160">
        <v>42382</v>
      </c>
      <c r="M260" s="115">
        <v>552.04999999999995</v>
      </c>
      <c r="N260" s="115">
        <v>558.79999999999995</v>
      </c>
      <c r="O260" s="115">
        <v>530.04999999999995</v>
      </c>
      <c r="P260" s="115">
        <v>533</v>
      </c>
      <c r="Q260" s="115">
        <v>552.04999999999995</v>
      </c>
      <c r="R260">
        <v>46674</v>
      </c>
    </row>
    <row r="261" spans="1:18" x14ac:dyDescent="0.25">
      <c r="A261" s="160">
        <v>42401</v>
      </c>
      <c r="B261" s="115">
        <v>460</v>
      </c>
      <c r="C261" s="115">
        <v>454.7</v>
      </c>
      <c r="D261" s="115">
        <v>442</v>
      </c>
      <c r="E261" s="115">
        <v>445.5</v>
      </c>
      <c r="F261" s="115">
        <v>454.7</v>
      </c>
      <c r="G261">
        <v>978</v>
      </c>
      <c r="H261" s="115"/>
      <c r="I261" s="115"/>
      <c r="L261" s="160">
        <v>42383</v>
      </c>
      <c r="M261" s="115">
        <v>535.9</v>
      </c>
      <c r="N261" s="115">
        <v>559.5</v>
      </c>
      <c r="O261" s="115">
        <v>525.04999999999995</v>
      </c>
      <c r="P261" s="115">
        <v>559.5</v>
      </c>
      <c r="Q261" s="115">
        <v>535.9</v>
      </c>
      <c r="R261">
        <v>37530</v>
      </c>
    </row>
    <row r="262" spans="1:18" x14ac:dyDescent="0.25">
      <c r="A262" s="160">
        <v>42402</v>
      </c>
      <c r="B262" s="115">
        <v>457</v>
      </c>
      <c r="C262" s="115">
        <v>433.1</v>
      </c>
      <c r="D262" s="115">
        <v>411.1</v>
      </c>
      <c r="E262" s="115">
        <v>444</v>
      </c>
      <c r="F262" s="115">
        <v>433.1</v>
      </c>
      <c r="G262">
        <v>81</v>
      </c>
      <c r="H262" s="115"/>
      <c r="I262" s="115"/>
      <c r="L262" s="160">
        <v>42384</v>
      </c>
      <c r="M262" s="115">
        <v>530.04999999999995</v>
      </c>
      <c r="N262" s="115">
        <v>553.9</v>
      </c>
      <c r="O262" s="115">
        <v>522.04999999999995</v>
      </c>
      <c r="P262" s="115">
        <v>549.9</v>
      </c>
      <c r="Q262" s="115">
        <v>530.04999999999995</v>
      </c>
      <c r="R262">
        <v>13872</v>
      </c>
    </row>
    <row r="263" spans="1:18" x14ac:dyDescent="0.25">
      <c r="A263" s="160">
        <v>42403</v>
      </c>
      <c r="B263" s="115">
        <v>434</v>
      </c>
      <c r="C263" s="115">
        <v>391.2</v>
      </c>
      <c r="D263" s="115">
        <v>380</v>
      </c>
      <c r="E263" s="115">
        <v>434</v>
      </c>
      <c r="F263" s="115">
        <v>391.2</v>
      </c>
      <c r="G263">
        <v>1986</v>
      </c>
      <c r="H263" s="115"/>
      <c r="I263" s="115"/>
      <c r="L263" s="160">
        <v>42387</v>
      </c>
      <c r="M263" s="115">
        <v>490.5</v>
      </c>
      <c r="N263" s="115">
        <v>522.35</v>
      </c>
      <c r="O263" s="115">
        <v>467.55</v>
      </c>
      <c r="P263" s="115">
        <v>521.20000000000005</v>
      </c>
      <c r="Q263" s="115">
        <v>490.5</v>
      </c>
      <c r="R263">
        <v>33747</v>
      </c>
    </row>
    <row r="264" spans="1:18" x14ac:dyDescent="0.25">
      <c r="A264" s="160">
        <v>42404</v>
      </c>
      <c r="B264" s="115">
        <v>408</v>
      </c>
      <c r="C264" s="115">
        <v>392</v>
      </c>
      <c r="D264" s="115">
        <v>387</v>
      </c>
      <c r="E264" s="115">
        <v>392.6</v>
      </c>
      <c r="F264" s="115">
        <v>392</v>
      </c>
      <c r="G264">
        <v>714</v>
      </c>
      <c r="H264" s="115"/>
      <c r="I264" s="115"/>
      <c r="L264" s="160">
        <v>42388</v>
      </c>
      <c r="M264" s="115">
        <v>505.3</v>
      </c>
      <c r="N264" s="115">
        <v>516.9</v>
      </c>
      <c r="O264" s="115">
        <v>485</v>
      </c>
      <c r="P264" s="115">
        <v>485</v>
      </c>
      <c r="Q264" s="115">
        <v>505.3</v>
      </c>
      <c r="R264">
        <v>11360</v>
      </c>
    </row>
    <row r="265" spans="1:18" x14ac:dyDescent="0.25">
      <c r="A265" s="160">
        <v>42405</v>
      </c>
      <c r="B265" s="115">
        <v>415</v>
      </c>
      <c r="C265" s="115">
        <v>391.2</v>
      </c>
      <c r="D265" s="115">
        <v>386</v>
      </c>
      <c r="E265" s="115">
        <v>415</v>
      </c>
      <c r="F265" s="115">
        <v>391.2</v>
      </c>
      <c r="G265">
        <v>1357</v>
      </c>
      <c r="H265" s="115"/>
      <c r="I265" s="115"/>
      <c r="L265" s="160">
        <v>42389</v>
      </c>
      <c r="M265" s="115">
        <v>480.25</v>
      </c>
      <c r="N265" s="115">
        <v>509.8</v>
      </c>
      <c r="O265" s="115">
        <v>475.05</v>
      </c>
      <c r="P265" s="115">
        <v>500.05</v>
      </c>
      <c r="Q265" s="115">
        <v>480.25</v>
      </c>
      <c r="R265">
        <v>12169</v>
      </c>
    </row>
    <row r="266" spans="1:18" x14ac:dyDescent="0.25">
      <c r="A266" s="160">
        <v>42408</v>
      </c>
      <c r="B266" s="115">
        <v>412</v>
      </c>
      <c r="C266" s="115">
        <v>405.6</v>
      </c>
      <c r="D266" s="115">
        <v>405.1</v>
      </c>
      <c r="E266" s="115">
        <v>408</v>
      </c>
      <c r="F266" s="115">
        <v>405.6</v>
      </c>
      <c r="G266">
        <v>420</v>
      </c>
      <c r="H266" s="115"/>
      <c r="I266" s="115"/>
      <c r="L266" s="160">
        <v>42390</v>
      </c>
      <c r="M266" s="115">
        <v>485.3</v>
      </c>
      <c r="N266" s="115">
        <v>493.05</v>
      </c>
      <c r="O266" s="115">
        <v>485</v>
      </c>
      <c r="P266" s="115">
        <v>486.55</v>
      </c>
      <c r="Q266" s="115">
        <v>485.3</v>
      </c>
      <c r="R266">
        <v>16564</v>
      </c>
    </row>
    <row r="267" spans="1:18" x14ac:dyDescent="0.25">
      <c r="A267" s="160">
        <v>42409</v>
      </c>
      <c r="B267" s="115">
        <v>395</v>
      </c>
      <c r="C267" s="115">
        <v>389.8</v>
      </c>
      <c r="D267" s="115">
        <v>388</v>
      </c>
      <c r="E267" s="115">
        <v>391.2</v>
      </c>
      <c r="F267" s="115">
        <v>389.8</v>
      </c>
      <c r="G267">
        <v>761</v>
      </c>
      <c r="H267" s="115"/>
      <c r="I267" s="115"/>
      <c r="L267" s="160">
        <v>42391</v>
      </c>
      <c r="M267" s="115">
        <v>501</v>
      </c>
      <c r="N267" s="115">
        <v>509</v>
      </c>
      <c r="O267" s="115">
        <v>482</v>
      </c>
      <c r="P267" s="115">
        <v>494.95</v>
      </c>
      <c r="Q267" s="115">
        <v>501</v>
      </c>
      <c r="R267">
        <v>10516</v>
      </c>
    </row>
    <row r="268" spans="1:18" x14ac:dyDescent="0.25">
      <c r="A268" s="160">
        <v>42410</v>
      </c>
      <c r="B268" s="115">
        <v>389.9</v>
      </c>
      <c r="C268" s="115">
        <v>385.1</v>
      </c>
      <c r="D268" s="115">
        <v>382</v>
      </c>
      <c r="E268" s="115">
        <v>389.9</v>
      </c>
      <c r="F268" s="115">
        <v>385.1</v>
      </c>
      <c r="G268">
        <v>138</v>
      </c>
      <c r="H268" s="115"/>
      <c r="I268" s="115"/>
      <c r="L268" s="160">
        <v>42394</v>
      </c>
      <c r="M268" s="115">
        <v>515.6</v>
      </c>
      <c r="N268" s="115">
        <v>523.9</v>
      </c>
      <c r="O268" s="115">
        <v>505.05</v>
      </c>
      <c r="P268" s="115">
        <v>510.05</v>
      </c>
      <c r="Q268" s="115">
        <v>515.6</v>
      </c>
      <c r="R268">
        <v>31035</v>
      </c>
    </row>
    <row r="269" spans="1:18" x14ac:dyDescent="0.25">
      <c r="A269" s="160">
        <v>42411</v>
      </c>
      <c r="B269" s="115">
        <v>399</v>
      </c>
      <c r="C269" s="115">
        <v>375</v>
      </c>
      <c r="D269" s="115">
        <v>375</v>
      </c>
      <c r="E269" s="115">
        <v>396</v>
      </c>
      <c r="F269" s="115">
        <v>375</v>
      </c>
      <c r="G269">
        <v>416</v>
      </c>
      <c r="H269" s="115"/>
      <c r="I269" s="115"/>
      <c r="L269" s="160">
        <v>42396</v>
      </c>
      <c r="M269" s="115">
        <v>522.04999999999995</v>
      </c>
      <c r="N269" s="115">
        <v>523.95000000000005</v>
      </c>
      <c r="O269" s="115">
        <v>502.05</v>
      </c>
      <c r="P269" s="115">
        <v>509</v>
      </c>
      <c r="Q269" s="115">
        <v>522.04999999999995</v>
      </c>
      <c r="R269">
        <v>18099</v>
      </c>
    </row>
    <row r="270" spans="1:18" x14ac:dyDescent="0.25">
      <c r="A270" s="160">
        <v>42412</v>
      </c>
      <c r="B270" s="115">
        <v>369</v>
      </c>
      <c r="C270" s="115">
        <v>363.5</v>
      </c>
      <c r="D270" s="115">
        <v>353.1</v>
      </c>
      <c r="E270" s="115">
        <v>355.1</v>
      </c>
      <c r="F270" s="115">
        <v>363.5</v>
      </c>
      <c r="G270">
        <v>325</v>
      </c>
      <c r="H270" s="115"/>
      <c r="I270" s="115"/>
      <c r="L270" s="160">
        <v>42397</v>
      </c>
      <c r="M270" s="115">
        <v>524.04999999999995</v>
      </c>
      <c r="N270" s="115">
        <v>526.5</v>
      </c>
      <c r="O270" s="115">
        <v>515</v>
      </c>
      <c r="P270" s="115">
        <v>518.04999999999995</v>
      </c>
      <c r="Q270" s="115">
        <v>524.04999999999995</v>
      </c>
      <c r="R270">
        <v>6402</v>
      </c>
    </row>
    <row r="271" spans="1:18" x14ac:dyDescent="0.25">
      <c r="A271" s="160">
        <v>42415</v>
      </c>
      <c r="B271" s="115">
        <v>384.9</v>
      </c>
      <c r="C271" s="115">
        <v>384</v>
      </c>
      <c r="D271" s="115">
        <v>380</v>
      </c>
      <c r="E271" s="115">
        <v>384.9</v>
      </c>
      <c r="F271" s="115">
        <v>384</v>
      </c>
      <c r="G271">
        <v>77</v>
      </c>
      <c r="H271" s="115"/>
      <c r="I271" s="115"/>
      <c r="L271" s="160">
        <v>42398</v>
      </c>
      <c r="M271" s="115">
        <v>538.9</v>
      </c>
      <c r="N271" s="115">
        <v>541</v>
      </c>
      <c r="O271" s="115">
        <v>522.54999999999995</v>
      </c>
      <c r="P271" s="115">
        <v>523.25</v>
      </c>
      <c r="Q271" s="115">
        <v>538.9</v>
      </c>
      <c r="R271">
        <v>4236</v>
      </c>
    </row>
    <row r="272" spans="1:18" x14ac:dyDescent="0.25">
      <c r="A272" s="160">
        <v>42416</v>
      </c>
      <c r="B272" s="115">
        <v>385</v>
      </c>
      <c r="C272" s="115">
        <v>385</v>
      </c>
      <c r="D272" s="115">
        <v>378.1</v>
      </c>
      <c r="E272" s="115">
        <v>385</v>
      </c>
      <c r="F272" s="115">
        <v>385</v>
      </c>
      <c r="G272">
        <v>74</v>
      </c>
      <c r="H272" s="115"/>
      <c r="I272" s="115"/>
      <c r="L272" s="160">
        <v>42401</v>
      </c>
      <c r="M272" s="115">
        <v>537.65</v>
      </c>
      <c r="N272" s="115">
        <v>541.1</v>
      </c>
      <c r="O272" s="115">
        <v>530.04999999999995</v>
      </c>
      <c r="P272" s="115">
        <v>530.04999999999995</v>
      </c>
      <c r="Q272" s="115">
        <v>537.65</v>
      </c>
      <c r="R272">
        <v>3292</v>
      </c>
    </row>
    <row r="273" spans="1:18" x14ac:dyDescent="0.25">
      <c r="A273" s="160">
        <v>42417</v>
      </c>
      <c r="B273" s="115">
        <v>391</v>
      </c>
      <c r="C273" s="115">
        <v>375</v>
      </c>
      <c r="D273" s="115">
        <v>367.1</v>
      </c>
      <c r="E273" s="115">
        <v>391</v>
      </c>
      <c r="F273" s="115">
        <v>375</v>
      </c>
      <c r="G273">
        <v>153</v>
      </c>
      <c r="H273" s="115"/>
      <c r="I273" s="115"/>
      <c r="L273" s="160">
        <v>42402</v>
      </c>
      <c r="M273" s="115">
        <v>532.29999999999995</v>
      </c>
      <c r="N273" s="115">
        <v>545</v>
      </c>
      <c r="O273" s="115">
        <v>525.04999999999995</v>
      </c>
      <c r="P273" s="115">
        <v>536.29999999999995</v>
      </c>
      <c r="Q273" s="115">
        <v>532.29999999999995</v>
      </c>
      <c r="R273">
        <v>2519</v>
      </c>
    </row>
    <row r="274" spans="1:18" x14ac:dyDescent="0.25">
      <c r="A274" s="160">
        <v>42418</v>
      </c>
      <c r="B274" s="115">
        <v>390</v>
      </c>
      <c r="C274" s="115">
        <v>390</v>
      </c>
      <c r="D274" s="115">
        <v>375</v>
      </c>
      <c r="E274" s="115">
        <v>375</v>
      </c>
      <c r="F274" s="115">
        <v>390</v>
      </c>
      <c r="G274">
        <v>121</v>
      </c>
      <c r="H274" s="115"/>
      <c r="I274" s="115"/>
      <c r="L274" s="160">
        <v>42403</v>
      </c>
      <c r="M274" s="115">
        <v>516.70000000000005</v>
      </c>
      <c r="N274" s="115">
        <v>531.75</v>
      </c>
      <c r="O274" s="115">
        <v>512.1</v>
      </c>
      <c r="P274" s="115">
        <v>530</v>
      </c>
      <c r="Q274" s="115">
        <v>516.70000000000005</v>
      </c>
      <c r="R274">
        <v>6546</v>
      </c>
    </row>
    <row r="275" spans="1:18" x14ac:dyDescent="0.25">
      <c r="A275" s="160">
        <v>42419</v>
      </c>
      <c r="B275" s="115">
        <v>393.8</v>
      </c>
      <c r="C275" s="115">
        <v>390.3</v>
      </c>
      <c r="D275" s="115">
        <v>365</v>
      </c>
      <c r="E275" s="115">
        <v>365</v>
      </c>
      <c r="F275" s="115">
        <v>390.3</v>
      </c>
      <c r="G275">
        <v>53</v>
      </c>
      <c r="H275" s="115"/>
      <c r="I275" s="115"/>
      <c r="L275" s="160">
        <v>42404</v>
      </c>
      <c r="M275" s="115">
        <v>504.95</v>
      </c>
      <c r="N275" s="115">
        <v>521</v>
      </c>
      <c r="O275" s="115">
        <v>503.95</v>
      </c>
      <c r="P275" s="115">
        <v>519.04999999999995</v>
      </c>
      <c r="Q275" s="115">
        <v>504.95</v>
      </c>
      <c r="R275">
        <v>24357</v>
      </c>
    </row>
    <row r="276" spans="1:18" x14ac:dyDescent="0.25">
      <c r="A276" s="160">
        <v>42423</v>
      </c>
      <c r="B276" s="115">
        <v>386</v>
      </c>
      <c r="C276" s="115">
        <v>386</v>
      </c>
      <c r="D276" s="115">
        <v>371.1</v>
      </c>
      <c r="E276" s="115">
        <v>386</v>
      </c>
      <c r="F276" s="115">
        <v>386</v>
      </c>
      <c r="G276">
        <v>110</v>
      </c>
      <c r="H276" s="115"/>
      <c r="I276" s="115"/>
      <c r="L276" s="160">
        <v>42405</v>
      </c>
      <c r="M276" s="115">
        <v>505.4</v>
      </c>
      <c r="N276" s="115">
        <v>510.05</v>
      </c>
      <c r="O276" s="115">
        <v>491</v>
      </c>
      <c r="P276" s="115">
        <v>497.05</v>
      </c>
      <c r="Q276" s="115">
        <v>505.4</v>
      </c>
      <c r="R276">
        <v>2801</v>
      </c>
    </row>
    <row r="277" spans="1:18" x14ac:dyDescent="0.25">
      <c r="A277" s="160">
        <v>42424</v>
      </c>
      <c r="B277" s="115">
        <v>385</v>
      </c>
      <c r="C277" s="115">
        <v>368.5</v>
      </c>
      <c r="D277" s="115">
        <v>360.4</v>
      </c>
      <c r="E277" s="115">
        <v>384.9</v>
      </c>
      <c r="F277" s="115">
        <v>368.5</v>
      </c>
      <c r="G277">
        <v>419</v>
      </c>
      <c r="H277" s="115"/>
      <c r="I277" s="115"/>
      <c r="L277" s="160">
        <v>42408</v>
      </c>
      <c r="M277" s="115">
        <v>510</v>
      </c>
      <c r="N277" s="115">
        <v>518.95000000000005</v>
      </c>
      <c r="O277" s="115">
        <v>502.45</v>
      </c>
      <c r="P277" s="115">
        <v>502.45</v>
      </c>
      <c r="Q277" s="115">
        <v>510</v>
      </c>
      <c r="R277">
        <v>2020</v>
      </c>
    </row>
    <row r="278" spans="1:18" x14ac:dyDescent="0.25">
      <c r="A278" s="160">
        <v>42425</v>
      </c>
      <c r="B278" s="115">
        <v>370</v>
      </c>
      <c r="C278" s="115">
        <v>370</v>
      </c>
      <c r="D278" s="115">
        <v>370</v>
      </c>
      <c r="E278" s="115">
        <v>370</v>
      </c>
      <c r="F278" s="115">
        <v>370</v>
      </c>
      <c r="G278">
        <v>20</v>
      </c>
      <c r="H278" s="115"/>
      <c r="I278" s="115"/>
      <c r="L278" s="160">
        <v>42409</v>
      </c>
      <c r="M278" s="115">
        <v>525.75</v>
      </c>
      <c r="N278" s="115">
        <v>534.79999999999995</v>
      </c>
      <c r="O278" s="115">
        <v>502</v>
      </c>
      <c r="P278" s="115">
        <v>510</v>
      </c>
      <c r="Q278" s="115">
        <v>525.75</v>
      </c>
      <c r="R278">
        <v>15524</v>
      </c>
    </row>
    <row r="279" spans="1:18" x14ac:dyDescent="0.25">
      <c r="A279" s="160">
        <v>42426</v>
      </c>
      <c r="B279" s="115">
        <v>370</v>
      </c>
      <c r="C279" s="115">
        <v>368</v>
      </c>
      <c r="D279" s="115">
        <v>365</v>
      </c>
      <c r="E279" s="115">
        <v>365</v>
      </c>
      <c r="F279" s="115">
        <v>368</v>
      </c>
      <c r="G279">
        <v>123</v>
      </c>
      <c r="H279" s="115"/>
      <c r="I279" s="115"/>
      <c r="L279" s="160">
        <v>42410</v>
      </c>
      <c r="M279" s="115">
        <v>536.75</v>
      </c>
      <c r="N279" s="115">
        <v>539.95000000000005</v>
      </c>
      <c r="O279" s="115">
        <v>515.29999999999995</v>
      </c>
      <c r="P279" s="115">
        <v>534.95000000000005</v>
      </c>
      <c r="Q279" s="115">
        <v>536.75</v>
      </c>
      <c r="R279">
        <v>10186</v>
      </c>
    </row>
    <row r="280" spans="1:18" x14ac:dyDescent="0.25">
      <c r="A280" s="160">
        <v>42429</v>
      </c>
      <c r="B280" s="115">
        <v>421</v>
      </c>
      <c r="C280" s="115">
        <v>381.8</v>
      </c>
      <c r="D280" s="115">
        <v>381.8</v>
      </c>
      <c r="E280" s="115">
        <v>421</v>
      </c>
      <c r="F280" s="115">
        <v>381.8</v>
      </c>
      <c r="G280">
        <v>52</v>
      </c>
      <c r="H280" s="115"/>
      <c r="I280" s="115"/>
      <c r="L280" s="160">
        <v>42411</v>
      </c>
      <c r="M280" s="115">
        <v>523.35</v>
      </c>
      <c r="N280" s="115">
        <v>539</v>
      </c>
      <c r="O280" s="115">
        <v>520</v>
      </c>
      <c r="P280" s="115">
        <v>539</v>
      </c>
      <c r="Q280" s="115">
        <v>523.35</v>
      </c>
      <c r="R280">
        <v>13579</v>
      </c>
    </row>
    <row r="281" spans="1:18" x14ac:dyDescent="0.25">
      <c r="A281" s="160">
        <v>42430</v>
      </c>
      <c r="B281" s="115">
        <v>380</v>
      </c>
      <c r="C281" s="115">
        <v>372</v>
      </c>
      <c r="D281" s="115">
        <v>370</v>
      </c>
      <c r="E281" s="115">
        <v>374.2</v>
      </c>
      <c r="F281" s="115">
        <v>372</v>
      </c>
      <c r="G281">
        <v>235</v>
      </c>
      <c r="H281" s="115"/>
      <c r="I281" s="115"/>
      <c r="L281" s="160">
        <v>42412</v>
      </c>
      <c r="M281" s="115">
        <v>522.95000000000005</v>
      </c>
      <c r="N281" s="115">
        <v>528</v>
      </c>
      <c r="O281" s="115">
        <v>510</v>
      </c>
      <c r="P281" s="115">
        <v>520</v>
      </c>
      <c r="Q281" s="115">
        <v>522.95000000000005</v>
      </c>
      <c r="R281">
        <v>6139</v>
      </c>
    </row>
    <row r="282" spans="1:18" x14ac:dyDescent="0.25">
      <c r="A282" s="160">
        <v>42432</v>
      </c>
      <c r="B282" s="115">
        <v>401</v>
      </c>
      <c r="C282" s="115">
        <v>394.5</v>
      </c>
      <c r="D282" s="115">
        <v>375.1</v>
      </c>
      <c r="E282" s="115">
        <v>401</v>
      </c>
      <c r="F282" s="115">
        <v>394.5</v>
      </c>
      <c r="G282">
        <v>260</v>
      </c>
      <c r="H282" s="115"/>
      <c r="I282" s="115"/>
      <c r="L282" s="160">
        <v>42415</v>
      </c>
      <c r="M282" s="115">
        <v>530.6</v>
      </c>
      <c r="N282" s="115">
        <v>538.5</v>
      </c>
      <c r="O282" s="115">
        <v>523.04999999999995</v>
      </c>
      <c r="P282" s="115">
        <v>538.5</v>
      </c>
      <c r="Q282" s="115">
        <v>530.6</v>
      </c>
      <c r="R282">
        <v>23310</v>
      </c>
    </row>
    <row r="283" spans="1:18" x14ac:dyDescent="0.25">
      <c r="A283" s="160">
        <v>42433</v>
      </c>
      <c r="B283" s="115">
        <v>383</v>
      </c>
      <c r="C283" s="115">
        <v>375</v>
      </c>
      <c r="D283" s="115">
        <v>371</v>
      </c>
      <c r="E283" s="115">
        <v>381.5</v>
      </c>
      <c r="F283" s="115">
        <v>375</v>
      </c>
      <c r="G283">
        <v>1561</v>
      </c>
      <c r="H283" s="115"/>
      <c r="I283" s="115"/>
      <c r="L283" s="160">
        <v>42416</v>
      </c>
      <c r="M283" s="115">
        <v>520.65</v>
      </c>
      <c r="N283" s="115">
        <v>539</v>
      </c>
      <c r="O283" s="115">
        <v>517.45000000000005</v>
      </c>
      <c r="P283" s="115">
        <v>539</v>
      </c>
      <c r="Q283" s="115">
        <v>520.65</v>
      </c>
      <c r="R283">
        <v>7367</v>
      </c>
    </row>
    <row r="284" spans="1:18" x14ac:dyDescent="0.25">
      <c r="A284" s="160">
        <v>42437</v>
      </c>
      <c r="B284" s="115">
        <v>389</v>
      </c>
      <c r="C284" s="115">
        <v>385.9</v>
      </c>
      <c r="D284" s="115">
        <v>376</v>
      </c>
      <c r="E284" s="115">
        <v>380</v>
      </c>
      <c r="F284" s="115">
        <v>385.9</v>
      </c>
      <c r="G284">
        <v>495</v>
      </c>
      <c r="H284" s="115"/>
      <c r="I284" s="115"/>
      <c r="L284" s="160">
        <v>42417</v>
      </c>
      <c r="M284" s="115">
        <v>529.5</v>
      </c>
      <c r="N284" s="115">
        <v>535</v>
      </c>
      <c r="O284" s="115">
        <v>505</v>
      </c>
      <c r="P284" s="115">
        <v>515.35</v>
      </c>
      <c r="Q284" s="115">
        <v>529.5</v>
      </c>
      <c r="R284">
        <v>2636</v>
      </c>
    </row>
    <row r="285" spans="1:18" x14ac:dyDescent="0.25">
      <c r="A285" s="160">
        <v>42438</v>
      </c>
      <c r="B285" s="115">
        <v>409</v>
      </c>
      <c r="C285" s="115">
        <v>399</v>
      </c>
      <c r="D285" s="115">
        <v>376</v>
      </c>
      <c r="E285" s="115">
        <v>376</v>
      </c>
      <c r="F285" s="115">
        <v>399</v>
      </c>
      <c r="G285">
        <v>779</v>
      </c>
      <c r="H285" s="115"/>
      <c r="I285" s="115"/>
      <c r="L285" s="160">
        <v>42418</v>
      </c>
      <c r="M285" s="115">
        <v>538.65</v>
      </c>
      <c r="N285" s="115">
        <v>541.95000000000005</v>
      </c>
      <c r="O285" s="115">
        <v>529.95000000000005</v>
      </c>
      <c r="P285" s="115">
        <v>529.95000000000005</v>
      </c>
      <c r="Q285" s="115">
        <v>538.65</v>
      </c>
      <c r="R285">
        <v>7496</v>
      </c>
    </row>
    <row r="286" spans="1:18" x14ac:dyDescent="0.25">
      <c r="A286" s="160">
        <v>42439</v>
      </c>
      <c r="B286" s="115">
        <v>396</v>
      </c>
      <c r="C286" s="115">
        <v>390.7</v>
      </c>
      <c r="D286" s="115">
        <v>386.5</v>
      </c>
      <c r="E286" s="115">
        <v>390.5</v>
      </c>
      <c r="F286" s="115">
        <v>390.7</v>
      </c>
      <c r="G286">
        <v>816</v>
      </c>
      <c r="H286" s="115"/>
      <c r="I286" s="115"/>
      <c r="L286" s="160">
        <v>42419</v>
      </c>
      <c r="M286" s="115">
        <v>530.75</v>
      </c>
      <c r="N286" s="115">
        <v>547</v>
      </c>
      <c r="O286" s="115">
        <v>529.15</v>
      </c>
      <c r="P286" s="115">
        <v>542.9</v>
      </c>
      <c r="Q286" s="115">
        <v>530.75</v>
      </c>
      <c r="R286">
        <v>3602</v>
      </c>
    </row>
    <row r="287" spans="1:18" x14ac:dyDescent="0.25">
      <c r="A287" s="160">
        <v>42440</v>
      </c>
      <c r="B287" s="115">
        <v>393.9</v>
      </c>
      <c r="C287" s="115">
        <v>390</v>
      </c>
      <c r="D287" s="115">
        <v>387.5</v>
      </c>
      <c r="E287" s="115">
        <v>393</v>
      </c>
      <c r="F287" s="115">
        <v>390</v>
      </c>
      <c r="G287">
        <v>255</v>
      </c>
      <c r="H287" s="115"/>
      <c r="I287" s="115"/>
      <c r="L287" s="160">
        <v>42422</v>
      </c>
      <c r="M287" s="115">
        <v>526.9</v>
      </c>
      <c r="N287" s="115">
        <v>547</v>
      </c>
      <c r="O287" s="115">
        <v>520</v>
      </c>
      <c r="P287" s="115">
        <v>537.95000000000005</v>
      </c>
      <c r="Q287" s="115">
        <v>526.9</v>
      </c>
      <c r="R287">
        <v>3207</v>
      </c>
    </row>
    <row r="288" spans="1:18" x14ac:dyDescent="0.25">
      <c r="A288" s="160">
        <v>42443</v>
      </c>
      <c r="B288" s="115">
        <v>388</v>
      </c>
      <c r="C288" s="115">
        <v>383</v>
      </c>
      <c r="D288" s="115">
        <v>380</v>
      </c>
      <c r="E288" s="115">
        <v>385.1</v>
      </c>
      <c r="F288" s="115">
        <v>383</v>
      </c>
      <c r="G288">
        <v>626</v>
      </c>
      <c r="H288" s="115"/>
      <c r="I288" s="115"/>
      <c r="L288" s="160">
        <v>42423</v>
      </c>
      <c r="M288" s="115">
        <v>524.20000000000005</v>
      </c>
      <c r="N288" s="115">
        <v>529.45000000000005</v>
      </c>
      <c r="O288" s="115">
        <v>521.1</v>
      </c>
      <c r="P288" s="115">
        <v>521.1</v>
      </c>
      <c r="Q288" s="115">
        <v>524.20000000000005</v>
      </c>
      <c r="R288">
        <v>614</v>
      </c>
    </row>
    <row r="289" spans="1:18" x14ac:dyDescent="0.25">
      <c r="A289" s="160">
        <v>42444</v>
      </c>
      <c r="B289" s="115">
        <v>400</v>
      </c>
      <c r="C289" s="115">
        <v>399.1</v>
      </c>
      <c r="D289" s="115">
        <v>378.5</v>
      </c>
      <c r="E289" s="115">
        <v>382.1</v>
      </c>
      <c r="F289" s="115">
        <v>399.1</v>
      </c>
      <c r="G289">
        <v>649</v>
      </c>
      <c r="H289" s="115"/>
      <c r="I289" s="115"/>
      <c r="L289" s="160">
        <v>42424</v>
      </c>
      <c r="M289" s="115">
        <v>532.20000000000005</v>
      </c>
      <c r="N289" s="115">
        <v>538.95000000000005</v>
      </c>
      <c r="O289" s="115">
        <v>517</v>
      </c>
      <c r="P289" s="115">
        <v>529.95000000000005</v>
      </c>
      <c r="Q289" s="115">
        <v>532.20000000000005</v>
      </c>
      <c r="R289">
        <v>1984</v>
      </c>
    </row>
    <row r="290" spans="1:18" x14ac:dyDescent="0.25">
      <c r="A290" s="160">
        <v>42445</v>
      </c>
      <c r="B290" s="115">
        <v>395</v>
      </c>
      <c r="C290" s="115">
        <v>387</v>
      </c>
      <c r="D290" s="115">
        <v>382</v>
      </c>
      <c r="E290" s="115">
        <v>391.2</v>
      </c>
      <c r="F290" s="115">
        <v>387</v>
      </c>
      <c r="G290">
        <v>927</v>
      </c>
      <c r="H290" s="115"/>
      <c r="I290" s="115"/>
      <c r="L290" s="160">
        <v>42425</v>
      </c>
      <c r="M290" s="115">
        <v>528.35</v>
      </c>
      <c r="N290" s="115">
        <v>539.79999999999995</v>
      </c>
      <c r="O290" s="115">
        <v>524.04999999999995</v>
      </c>
      <c r="P290" s="115">
        <v>532</v>
      </c>
      <c r="Q290" s="115">
        <v>528.35</v>
      </c>
      <c r="R290">
        <v>11491</v>
      </c>
    </row>
    <row r="291" spans="1:18" x14ac:dyDescent="0.25">
      <c r="A291" s="160">
        <v>42447</v>
      </c>
      <c r="B291" s="115">
        <v>390</v>
      </c>
      <c r="C291" s="115">
        <v>385</v>
      </c>
      <c r="D291" s="115">
        <v>385</v>
      </c>
      <c r="E291" s="115">
        <v>389</v>
      </c>
      <c r="F291" s="115">
        <v>385</v>
      </c>
      <c r="G291">
        <v>129</v>
      </c>
      <c r="H291" s="115"/>
      <c r="I291" s="115"/>
      <c r="L291" s="160">
        <v>42426</v>
      </c>
      <c r="M291" s="115">
        <v>528.6</v>
      </c>
      <c r="N291" s="115">
        <v>538.9</v>
      </c>
      <c r="O291" s="115">
        <v>526.1</v>
      </c>
      <c r="P291" s="115">
        <v>534.95000000000005</v>
      </c>
      <c r="Q291" s="115">
        <v>528.6</v>
      </c>
      <c r="R291">
        <v>6206</v>
      </c>
    </row>
    <row r="292" spans="1:18" x14ac:dyDescent="0.25">
      <c r="A292" s="160">
        <v>42450</v>
      </c>
      <c r="B292" s="115">
        <v>393</v>
      </c>
      <c r="C292" s="115">
        <v>392.6</v>
      </c>
      <c r="D292" s="115">
        <v>386</v>
      </c>
      <c r="E292" s="115">
        <v>386</v>
      </c>
      <c r="F292" s="115">
        <v>392.6</v>
      </c>
      <c r="G292">
        <v>258</v>
      </c>
      <c r="H292" s="115"/>
      <c r="I292" s="115"/>
      <c r="L292" s="160">
        <v>42429</v>
      </c>
      <c r="M292" s="115">
        <v>543.04999999999995</v>
      </c>
      <c r="N292" s="115">
        <v>550</v>
      </c>
      <c r="O292" s="115">
        <v>515.04999999999995</v>
      </c>
      <c r="P292" s="115">
        <v>526.04999999999995</v>
      </c>
      <c r="Q292" s="115">
        <v>543.04999999999995</v>
      </c>
      <c r="R292">
        <v>12660</v>
      </c>
    </row>
    <row r="293" spans="1:18" x14ac:dyDescent="0.25">
      <c r="A293" s="160">
        <v>42451</v>
      </c>
      <c r="B293" s="115">
        <v>394</v>
      </c>
      <c r="C293" s="115">
        <v>392</v>
      </c>
      <c r="D293" s="115">
        <v>389.1</v>
      </c>
      <c r="E293" s="115">
        <v>391.1</v>
      </c>
      <c r="F293" s="115">
        <v>392</v>
      </c>
      <c r="G293">
        <v>42</v>
      </c>
      <c r="H293" s="115"/>
      <c r="I293" s="115"/>
      <c r="L293" s="160">
        <v>42430</v>
      </c>
      <c r="M293" s="115">
        <v>544.75</v>
      </c>
      <c r="N293" s="115">
        <v>557.20000000000005</v>
      </c>
      <c r="O293" s="115">
        <v>541</v>
      </c>
      <c r="P293" s="115">
        <v>551.95000000000005</v>
      </c>
      <c r="Q293" s="115">
        <v>544.75</v>
      </c>
      <c r="R293">
        <v>3661</v>
      </c>
    </row>
    <row r="294" spans="1:18" x14ac:dyDescent="0.25">
      <c r="A294" s="160">
        <v>42452</v>
      </c>
      <c r="B294" s="115">
        <v>396</v>
      </c>
      <c r="C294" s="115">
        <v>395.7</v>
      </c>
      <c r="D294" s="115">
        <v>390.1</v>
      </c>
      <c r="E294" s="115">
        <v>395</v>
      </c>
      <c r="F294" s="115">
        <v>395.7</v>
      </c>
      <c r="G294">
        <v>43</v>
      </c>
      <c r="H294" s="115"/>
      <c r="I294" s="115"/>
      <c r="L294" s="160">
        <v>42431</v>
      </c>
      <c r="M294" s="115">
        <v>555.95000000000005</v>
      </c>
      <c r="N294" s="115">
        <v>559</v>
      </c>
      <c r="O294" s="115">
        <v>543.54999999999995</v>
      </c>
      <c r="P294" s="115">
        <v>554.70000000000005</v>
      </c>
      <c r="Q294" s="115">
        <v>555.95000000000005</v>
      </c>
      <c r="R294">
        <v>13792</v>
      </c>
    </row>
    <row r="295" spans="1:18" x14ac:dyDescent="0.25">
      <c r="A295" s="160">
        <v>42457</v>
      </c>
      <c r="B295" s="115">
        <v>390</v>
      </c>
      <c r="C295" s="115">
        <v>390</v>
      </c>
      <c r="D295" s="115">
        <v>388.5</v>
      </c>
      <c r="E295" s="115">
        <v>388.5</v>
      </c>
      <c r="F295" s="115">
        <v>390</v>
      </c>
      <c r="G295">
        <v>13</v>
      </c>
      <c r="H295" s="115"/>
      <c r="I295" s="115"/>
      <c r="L295" s="160">
        <v>42432</v>
      </c>
      <c r="M295" s="115">
        <v>558.15</v>
      </c>
      <c r="N295" s="115">
        <v>560</v>
      </c>
      <c r="O295" s="115">
        <v>556.95000000000005</v>
      </c>
      <c r="P295" s="115">
        <v>557.04999999999995</v>
      </c>
      <c r="Q295" s="115">
        <v>558.15</v>
      </c>
      <c r="R295">
        <v>2912</v>
      </c>
    </row>
    <row r="296" spans="1:18" x14ac:dyDescent="0.25">
      <c r="A296" s="160">
        <v>42458</v>
      </c>
      <c r="B296" s="115">
        <v>425</v>
      </c>
      <c r="C296" s="115">
        <v>396.8</v>
      </c>
      <c r="D296" s="115">
        <v>390</v>
      </c>
      <c r="E296" s="115">
        <v>390</v>
      </c>
      <c r="F296" s="115">
        <v>396.8</v>
      </c>
      <c r="G296">
        <v>1371</v>
      </c>
      <c r="H296" s="115"/>
      <c r="I296" s="115"/>
      <c r="L296" s="160">
        <v>42433</v>
      </c>
      <c r="M296" s="115">
        <v>555.35</v>
      </c>
      <c r="N296" s="115">
        <v>559.29999999999995</v>
      </c>
      <c r="O296" s="115">
        <v>555</v>
      </c>
      <c r="P296" s="115">
        <v>559.29999999999995</v>
      </c>
      <c r="Q296" s="115">
        <v>555.35</v>
      </c>
      <c r="R296">
        <v>3781</v>
      </c>
    </row>
    <row r="297" spans="1:18" x14ac:dyDescent="0.25">
      <c r="A297" s="160">
        <v>42459</v>
      </c>
      <c r="B297" s="115">
        <v>428</v>
      </c>
      <c r="C297" s="115">
        <v>421.2</v>
      </c>
      <c r="D297" s="115">
        <v>397</v>
      </c>
      <c r="E297" s="115">
        <v>397</v>
      </c>
      <c r="F297" s="115">
        <v>421.2</v>
      </c>
      <c r="G297">
        <v>478</v>
      </c>
      <c r="H297" s="115"/>
      <c r="I297" s="115"/>
      <c r="L297" s="160">
        <v>42437</v>
      </c>
      <c r="M297" s="115">
        <v>557</v>
      </c>
      <c r="N297" s="115">
        <v>565.04999999999995</v>
      </c>
      <c r="O297" s="115">
        <v>545</v>
      </c>
      <c r="P297" s="115">
        <v>558</v>
      </c>
      <c r="Q297" s="115">
        <v>557</v>
      </c>
      <c r="R297">
        <v>6599</v>
      </c>
    </row>
    <row r="298" spans="1:18" x14ac:dyDescent="0.25">
      <c r="A298" s="160">
        <v>42460</v>
      </c>
      <c r="B298" s="115">
        <v>420</v>
      </c>
      <c r="C298" s="115">
        <v>408.1</v>
      </c>
      <c r="D298" s="115">
        <v>406.1</v>
      </c>
      <c r="E298" s="115">
        <v>406.1</v>
      </c>
      <c r="F298" s="115">
        <v>408.1</v>
      </c>
      <c r="G298">
        <v>305</v>
      </c>
      <c r="H298" s="115"/>
      <c r="I298" s="115"/>
      <c r="L298" s="160">
        <v>42438</v>
      </c>
      <c r="M298" s="115">
        <v>566.25</v>
      </c>
      <c r="N298" s="115">
        <v>569.9</v>
      </c>
      <c r="O298" s="115">
        <v>550.1</v>
      </c>
      <c r="P298" s="115">
        <v>560</v>
      </c>
      <c r="Q298" s="115">
        <v>566.25</v>
      </c>
      <c r="R298">
        <v>4635</v>
      </c>
    </row>
    <row r="299" spans="1:18" x14ac:dyDescent="0.25">
      <c r="A299" s="160">
        <v>42461</v>
      </c>
      <c r="B299" s="115">
        <v>422</v>
      </c>
      <c r="C299" s="115">
        <v>419</v>
      </c>
      <c r="D299" s="115">
        <v>411</v>
      </c>
      <c r="E299" s="115">
        <v>422</v>
      </c>
      <c r="F299" s="115">
        <v>419</v>
      </c>
      <c r="G299">
        <v>432</v>
      </c>
      <c r="H299" s="115"/>
      <c r="I299" s="115"/>
      <c r="L299" s="160">
        <v>42439</v>
      </c>
      <c r="M299" s="115">
        <v>555.1</v>
      </c>
      <c r="N299" s="115">
        <v>568.95000000000005</v>
      </c>
      <c r="O299" s="115">
        <v>554.54999999999995</v>
      </c>
      <c r="P299" s="115">
        <v>562.04999999999995</v>
      </c>
      <c r="Q299" s="115">
        <v>555.1</v>
      </c>
      <c r="R299">
        <v>7409</v>
      </c>
    </row>
    <row r="300" spans="1:18" x14ac:dyDescent="0.25">
      <c r="A300" s="160">
        <v>42464</v>
      </c>
      <c r="B300" s="115">
        <v>427.5</v>
      </c>
      <c r="C300" s="115">
        <v>412.1</v>
      </c>
      <c r="D300" s="115">
        <v>411.1</v>
      </c>
      <c r="E300" s="115">
        <v>427.5</v>
      </c>
      <c r="F300" s="115">
        <v>412.1</v>
      </c>
      <c r="G300">
        <v>78</v>
      </c>
      <c r="H300" s="115"/>
      <c r="I300" s="115"/>
      <c r="L300" s="160">
        <v>42440</v>
      </c>
      <c r="M300" s="115">
        <v>555.35</v>
      </c>
      <c r="N300" s="115">
        <v>560</v>
      </c>
      <c r="O300" s="115">
        <v>553</v>
      </c>
      <c r="P300" s="115">
        <v>560</v>
      </c>
      <c r="Q300" s="115">
        <v>555.35</v>
      </c>
      <c r="R300">
        <v>1747</v>
      </c>
    </row>
    <row r="301" spans="1:18" x14ac:dyDescent="0.25">
      <c r="A301" s="160">
        <v>42465</v>
      </c>
      <c r="B301" s="115">
        <v>419</v>
      </c>
      <c r="C301" s="115">
        <v>419</v>
      </c>
      <c r="D301" s="115">
        <v>419</v>
      </c>
      <c r="E301" s="115">
        <v>419</v>
      </c>
      <c r="F301" s="115">
        <v>419</v>
      </c>
      <c r="G301">
        <v>10</v>
      </c>
      <c r="H301" s="115"/>
      <c r="I301" s="115"/>
      <c r="L301" s="160">
        <v>42443</v>
      </c>
      <c r="M301" s="115">
        <v>555.1</v>
      </c>
      <c r="N301" s="115">
        <v>559.9</v>
      </c>
      <c r="O301" s="115">
        <v>554.95000000000005</v>
      </c>
      <c r="P301" s="115">
        <v>559.9</v>
      </c>
      <c r="Q301" s="115">
        <v>555.1</v>
      </c>
      <c r="R301">
        <v>4155</v>
      </c>
    </row>
    <row r="302" spans="1:18" x14ac:dyDescent="0.25">
      <c r="A302" s="160">
        <v>42466</v>
      </c>
      <c r="B302" s="115">
        <v>401.5</v>
      </c>
      <c r="C302" s="115">
        <v>401.5</v>
      </c>
      <c r="D302" s="115">
        <v>401.5</v>
      </c>
      <c r="E302" s="115">
        <v>401.5</v>
      </c>
      <c r="F302" s="115">
        <v>401.5</v>
      </c>
      <c r="G302">
        <v>10</v>
      </c>
      <c r="H302" s="115"/>
      <c r="I302" s="115"/>
      <c r="L302" s="160">
        <v>42444</v>
      </c>
      <c r="M302" s="115">
        <v>555.29999999999995</v>
      </c>
      <c r="N302" s="115">
        <v>560</v>
      </c>
      <c r="O302" s="115">
        <v>555</v>
      </c>
      <c r="P302" s="115">
        <v>555.54999999999995</v>
      </c>
      <c r="Q302" s="115">
        <v>555.29999999999995</v>
      </c>
      <c r="R302">
        <v>3257</v>
      </c>
    </row>
    <row r="303" spans="1:18" x14ac:dyDescent="0.25">
      <c r="A303" s="160">
        <v>42467</v>
      </c>
      <c r="B303" s="115">
        <v>420</v>
      </c>
      <c r="C303" s="115">
        <v>420</v>
      </c>
      <c r="D303" s="115">
        <v>406.6</v>
      </c>
      <c r="E303" s="115">
        <v>406.6</v>
      </c>
      <c r="F303" s="115">
        <v>420</v>
      </c>
      <c r="G303">
        <v>12</v>
      </c>
      <c r="H303" s="115"/>
      <c r="I303" s="115"/>
      <c r="L303" s="160">
        <v>42445</v>
      </c>
      <c r="M303" s="115">
        <v>554.15</v>
      </c>
      <c r="N303" s="115">
        <v>561</v>
      </c>
      <c r="O303" s="115">
        <v>552.95000000000005</v>
      </c>
      <c r="P303" s="115">
        <v>556</v>
      </c>
      <c r="Q303" s="115">
        <v>554.15</v>
      </c>
      <c r="R303">
        <v>5035</v>
      </c>
    </row>
    <row r="304" spans="1:18" x14ac:dyDescent="0.25">
      <c r="A304" s="160">
        <v>42468</v>
      </c>
      <c r="B304" s="115">
        <v>425</v>
      </c>
      <c r="C304" s="115">
        <v>411.3</v>
      </c>
      <c r="D304" s="115">
        <v>411.3</v>
      </c>
      <c r="E304" s="115">
        <v>425</v>
      </c>
      <c r="F304" s="115">
        <v>411.3</v>
      </c>
      <c r="G304">
        <v>135</v>
      </c>
      <c r="H304" s="115"/>
      <c r="I304" s="115"/>
      <c r="L304" s="160">
        <v>42446</v>
      </c>
      <c r="M304" s="115">
        <v>556.04999999999995</v>
      </c>
      <c r="N304" s="115">
        <v>565</v>
      </c>
      <c r="O304" s="115">
        <v>550.04999999999995</v>
      </c>
      <c r="P304" s="115">
        <v>564.95000000000005</v>
      </c>
      <c r="Q304" s="115">
        <v>556.04999999999995</v>
      </c>
      <c r="R304">
        <v>12999</v>
      </c>
    </row>
    <row r="305" spans="1:18" x14ac:dyDescent="0.25">
      <c r="A305" s="160">
        <v>42471</v>
      </c>
      <c r="B305" s="115">
        <v>435</v>
      </c>
      <c r="C305" s="115">
        <v>424</v>
      </c>
      <c r="D305" s="115">
        <v>418.3</v>
      </c>
      <c r="E305" s="115">
        <v>425</v>
      </c>
      <c r="F305" s="115">
        <v>424</v>
      </c>
      <c r="G305">
        <v>640</v>
      </c>
      <c r="H305" s="115"/>
      <c r="I305" s="115"/>
      <c r="L305" s="160">
        <v>42447</v>
      </c>
      <c r="M305" s="115">
        <v>584.4</v>
      </c>
      <c r="N305" s="115">
        <v>595</v>
      </c>
      <c r="O305" s="115">
        <v>572</v>
      </c>
      <c r="P305" s="115">
        <v>585</v>
      </c>
      <c r="Q305" s="115">
        <v>584.4</v>
      </c>
      <c r="R305">
        <v>44074</v>
      </c>
    </row>
    <row r="306" spans="1:18" x14ac:dyDescent="0.25">
      <c r="A306" s="160">
        <v>42472</v>
      </c>
      <c r="B306" s="115">
        <v>425.9</v>
      </c>
      <c r="C306" s="115">
        <v>425.9</v>
      </c>
      <c r="D306" s="115">
        <v>412</v>
      </c>
      <c r="E306" s="115">
        <v>425</v>
      </c>
      <c r="F306" s="115">
        <v>425.9</v>
      </c>
      <c r="G306">
        <v>1055</v>
      </c>
      <c r="H306" s="115"/>
      <c r="I306" s="115"/>
      <c r="L306" s="160">
        <v>42450</v>
      </c>
      <c r="M306" s="115">
        <v>587.29999999999995</v>
      </c>
      <c r="N306" s="115">
        <v>599.79999999999995</v>
      </c>
      <c r="O306" s="115">
        <v>580.04999999999995</v>
      </c>
      <c r="P306" s="115">
        <v>589</v>
      </c>
      <c r="Q306" s="115">
        <v>587.29999999999995</v>
      </c>
      <c r="R306">
        <v>21241</v>
      </c>
    </row>
    <row r="307" spans="1:18" x14ac:dyDescent="0.25">
      <c r="A307" s="160">
        <v>42473</v>
      </c>
      <c r="B307" s="115">
        <v>439.9</v>
      </c>
      <c r="C307" s="115">
        <v>435.1</v>
      </c>
      <c r="D307" s="115">
        <v>413.3</v>
      </c>
      <c r="E307" s="115">
        <v>426.8</v>
      </c>
      <c r="F307" s="115">
        <v>435.1</v>
      </c>
      <c r="G307">
        <v>743</v>
      </c>
      <c r="H307" s="115"/>
      <c r="I307" s="115"/>
      <c r="L307" s="160">
        <v>42451</v>
      </c>
      <c r="M307" s="115">
        <v>580.75</v>
      </c>
      <c r="N307" s="115">
        <v>589</v>
      </c>
      <c r="O307" s="115">
        <v>572</v>
      </c>
      <c r="P307" s="115">
        <v>588.95000000000005</v>
      </c>
      <c r="Q307" s="115">
        <v>580.75</v>
      </c>
      <c r="R307">
        <v>19540</v>
      </c>
    </row>
    <row r="308" spans="1:18" x14ac:dyDescent="0.25">
      <c r="A308" s="160">
        <v>42478</v>
      </c>
      <c r="B308" s="115">
        <v>435.1</v>
      </c>
      <c r="C308" s="115">
        <v>430.4</v>
      </c>
      <c r="D308" s="115">
        <v>427.3</v>
      </c>
      <c r="E308" s="115">
        <v>435.1</v>
      </c>
      <c r="F308" s="115">
        <v>430.4</v>
      </c>
      <c r="G308">
        <v>631</v>
      </c>
      <c r="H308" s="115"/>
      <c r="I308" s="115"/>
      <c r="L308" s="160">
        <v>42452</v>
      </c>
      <c r="M308" s="115">
        <v>584.20000000000005</v>
      </c>
      <c r="N308" s="115">
        <v>589</v>
      </c>
      <c r="O308" s="115">
        <v>580</v>
      </c>
      <c r="P308" s="115">
        <v>583.04999999999995</v>
      </c>
      <c r="Q308" s="115">
        <v>584.20000000000005</v>
      </c>
      <c r="R308">
        <v>12115</v>
      </c>
    </row>
    <row r="309" spans="1:18" x14ac:dyDescent="0.25">
      <c r="A309" s="160">
        <v>42480</v>
      </c>
      <c r="B309" s="115">
        <v>430</v>
      </c>
      <c r="C309" s="115">
        <v>427</v>
      </c>
      <c r="D309" s="115">
        <v>425</v>
      </c>
      <c r="E309" s="115">
        <v>430</v>
      </c>
      <c r="F309" s="115">
        <v>427</v>
      </c>
      <c r="G309">
        <v>257</v>
      </c>
      <c r="H309" s="115"/>
      <c r="I309" s="115"/>
      <c r="L309" s="160">
        <v>42457</v>
      </c>
      <c r="M309" s="115">
        <v>584.54999999999995</v>
      </c>
      <c r="N309" s="115">
        <v>598</v>
      </c>
      <c r="O309" s="115">
        <v>575.04999999999995</v>
      </c>
      <c r="P309" s="115">
        <v>585</v>
      </c>
      <c r="Q309" s="115">
        <v>584.54999999999995</v>
      </c>
      <c r="R309">
        <v>19054</v>
      </c>
    </row>
    <row r="310" spans="1:18" x14ac:dyDescent="0.25">
      <c r="A310" s="160">
        <v>42481</v>
      </c>
      <c r="B310" s="115">
        <v>435.5</v>
      </c>
      <c r="C310" s="115">
        <v>426.5</v>
      </c>
      <c r="D310" s="115">
        <v>422</v>
      </c>
      <c r="E310" s="115">
        <v>435.5</v>
      </c>
      <c r="F310" s="115">
        <v>426.5</v>
      </c>
      <c r="G310">
        <v>619</v>
      </c>
      <c r="H310" s="115"/>
      <c r="I310" s="115"/>
      <c r="L310" s="160">
        <v>42458</v>
      </c>
      <c r="M310" s="115">
        <v>588.1</v>
      </c>
      <c r="N310" s="115">
        <v>591</v>
      </c>
      <c r="O310" s="115">
        <v>580.5</v>
      </c>
      <c r="P310" s="115">
        <v>584.95000000000005</v>
      </c>
      <c r="Q310" s="115">
        <v>588.1</v>
      </c>
      <c r="R310">
        <v>20452</v>
      </c>
    </row>
    <row r="311" spans="1:18" x14ac:dyDescent="0.25">
      <c r="A311" s="160">
        <v>42482</v>
      </c>
      <c r="B311" s="115">
        <v>444.4</v>
      </c>
      <c r="C311" s="115">
        <v>441.9</v>
      </c>
      <c r="D311" s="115">
        <v>427.3</v>
      </c>
      <c r="E311" s="115">
        <v>427.5</v>
      </c>
      <c r="F311" s="115">
        <v>441.9</v>
      </c>
      <c r="G311">
        <v>1032</v>
      </c>
      <c r="H311" s="115"/>
      <c r="I311" s="115"/>
      <c r="L311" s="160">
        <v>42459</v>
      </c>
      <c r="M311" s="115">
        <v>583.5</v>
      </c>
      <c r="N311" s="115">
        <v>590</v>
      </c>
      <c r="O311" s="115">
        <v>580.5</v>
      </c>
      <c r="P311" s="115">
        <v>586</v>
      </c>
      <c r="Q311" s="115">
        <v>583.5</v>
      </c>
      <c r="R311">
        <v>3623</v>
      </c>
    </row>
    <row r="312" spans="1:18" x14ac:dyDescent="0.25">
      <c r="A312" s="160">
        <v>42485</v>
      </c>
      <c r="B312" s="115">
        <v>463</v>
      </c>
      <c r="C312" s="115">
        <v>445.1</v>
      </c>
      <c r="D312" s="115">
        <v>444.2</v>
      </c>
      <c r="E312" s="115">
        <v>463</v>
      </c>
      <c r="F312" s="115">
        <v>445.1</v>
      </c>
      <c r="G312">
        <v>171</v>
      </c>
      <c r="H312" s="115"/>
      <c r="I312" s="115"/>
      <c r="L312" s="160">
        <v>42460</v>
      </c>
      <c r="M312" s="115">
        <v>589.04999999999995</v>
      </c>
      <c r="N312" s="115">
        <v>590.1</v>
      </c>
      <c r="O312" s="115">
        <v>582.04999999999995</v>
      </c>
      <c r="P312" s="115">
        <v>586.1</v>
      </c>
      <c r="Q312" s="115">
        <v>589.04999999999995</v>
      </c>
      <c r="R312">
        <v>5348</v>
      </c>
    </row>
    <row r="313" spans="1:18" x14ac:dyDescent="0.25">
      <c r="A313" s="160">
        <v>42486</v>
      </c>
      <c r="B313" s="115">
        <v>484</v>
      </c>
      <c r="C313" s="115">
        <v>468.7</v>
      </c>
      <c r="D313" s="115">
        <v>430.8</v>
      </c>
      <c r="E313" s="115">
        <v>430.8</v>
      </c>
      <c r="F313" s="115">
        <v>468.7</v>
      </c>
      <c r="G313">
        <v>268</v>
      </c>
      <c r="H313" s="115"/>
      <c r="I313" s="115"/>
      <c r="L313" s="160">
        <v>42461</v>
      </c>
      <c r="M313" s="115">
        <v>585.54999999999995</v>
      </c>
      <c r="N313" s="115">
        <v>586.4</v>
      </c>
      <c r="O313" s="115">
        <v>584.6</v>
      </c>
      <c r="P313" s="115">
        <v>585.65</v>
      </c>
      <c r="Q313" s="115">
        <v>585.54999999999995</v>
      </c>
      <c r="R313">
        <v>1188</v>
      </c>
    </row>
    <row r="314" spans="1:18" x14ac:dyDescent="0.25">
      <c r="A314" s="160">
        <v>42487</v>
      </c>
      <c r="B314" s="115">
        <v>468</v>
      </c>
      <c r="C314" s="115">
        <v>468</v>
      </c>
      <c r="D314" s="115">
        <v>467.9</v>
      </c>
      <c r="E314" s="115">
        <v>467.9</v>
      </c>
      <c r="F314" s="115">
        <v>468</v>
      </c>
      <c r="G314">
        <v>20</v>
      </c>
      <c r="H314" s="115"/>
      <c r="I314" s="115"/>
      <c r="L314" s="160">
        <v>42464</v>
      </c>
      <c r="M314" s="115">
        <v>601.95000000000005</v>
      </c>
      <c r="N314" s="115">
        <v>606.5</v>
      </c>
      <c r="O314" s="115">
        <v>585.6</v>
      </c>
      <c r="P314" s="115">
        <v>590</v>
      </c>
      <c r="Q314" s="115">
        <v>601.95000000000005</v>
      </c>
      <c r="R314">
        <v>29567</v>
      </c>
    </row>
    <row r="315" spans="1:18" x14ac:dyDescent="0.25">
      <c r="A315" s="160">
        <v>42488</v>
      </c>
      <c r="B315" s="115">
        <v>447.2</v>
      </c>
      <c r="C315" s="115">
        <v>447.1</v>
      </c>
      <c r="D315" s="115">
        <v>441.1</v>
      </c>
      <c r="E315" s="115">
        <v>442</v>
      </c>
      <c r="F315" s="115">
        <v>447.1</v>
      </c>
      <c r="G315">
        <v>35</v>
      </c>
      <c r="H315" s="115"/>
      <c r="I315" s="115"/>
      <c r="L315" s="160">
        <v>42465</v>
      </c>
      <c r="M315" s="115">
        <v>608.35</v>
      </c>
      <c r="N315" s="115">
        <v>612</v>
      </c>
      <c r="O315" s="115">
        <v>601</v>
      </c>
      <c r="P315" s="115">
        <v>607.95000000000005</v>
      </c>
      <c r="Q315" s="115">
        <v>608.35</v>
      </c>
      <c r="R315">
        <v>4655</v>
      </c>
    </row>
    <row r="316" spans="1:18" x14ac:dyDescent="0.25">
      <c r="A316" s="160">
        <v>42489</v>
      </c>
      <c r="B316" s="115">
        <v>480</v>
      </c>
      <c r="C316" s="115">
        <v>468.3</v>
      </c>
      <c r="D316" s="115">
        <v>441</v>
      </c>
      <c r="E316" s="115">
        <v>441</v>
      </c>
      <c r="F316" s="115">
        <v>468.3</v>
      </c>
      <c r="G316">
        <v>816</v>
      </c>
      <c r="H316" s="115"/>
      <c r="I316" s="115"/>
      <c r="L316" s="160">
        <v>42466</v>
      </c>
      <c r="M316" s="115">
        <v>619.1</v>
      </c>
      <c r="N316" s="115">
        <v>630</v>
      </c>
      <c r="O316" s="115">
        <v>604.95000000000005</v>
      </c>
      <c r="P316" s="115">
        <v>605</v>
      </c>
      <c r="Q316" s="115">
        <v>619.1</v>
      </c>
      <c r="R316">
        <v>6549</v>
      </c>
    </row>
    <row r="317" spans="1:18" x14ac:dyDescent="0.25">
      <c r="A317" s="160">
        <v>42492</v>
      </c>
      <c r="B317" s="115">
        <v>549</v>
      </c>
      <c r="C317" s="115">
        <v>542.70000000000005</v>
      </c>
      <c r="D317" s="115">
        <v>481</v>
      </c>
      <c r="E317" s="115">
        <v>481</v>
      </c>
      <c r="F317" s="115">
        <v>542.70000000000005</v>
      </c>
      <c r="G317">
        <v>3241</v>
      </c>
      <c r="H317" s="115"/>
      <c r="I317" s="115"/>
      <c r="L317" s="160">
        <v>42467</v>
      </c>
      <c r="M317" s="115">
        <v>606.85</v>
      </c>
      <c r="N317" s="115">
        <v>623</v>
      </c>
      <c r="O317" s="115">
        <v>606</v>
      </c>
      <c r="P317" s="115">
        <v>619.04999999999995</v>
      </c>
      <c r="Q317" s="115">
        <v>606.85</v>
      </c>
      <c r="R317">
        <v>3597</v>
      </c>
    </row>
    <row r="318" spans="1:18" x14ac:dyDescent="0.25">
      <c r="A318" s="160">
        <v>42493</v>
      </c>
      <c r="B318" s="115">
        <v>557</v>
      </c>
      <c r="C318" s="115">
        <v>516.29999999999995</v>
      </c>
      <c r="D318" s="115">
        <v>513.4</v>
      </c>
      <c r="E318" s="115">
        <v>557</v>
      </c>
      <c r="F318" s="115">
        <v>516.29999999999995</v>
      </c>
      <c r="G318">
        <v>3065</v>
      </c>
      <c r="H318" s="115"/>
      <c r="I318" s="115"/>
      <c r="L318" s="160">
        <v>42468</v>
      </c>
      <c r="M318" s="115">
        <v>622.15</v>
      </c>
      <c r="N318" s="115">
        <v>624.95000000000005</v>
      </c>
      <c r="O318" s="115">
        <v>604.85</v>
      </c>
      <c r="P318" s="115">
        <v>607</v>
      </c>
      <c r="Q318" s="115">
        <v>622.15</v>
      </c>
      <c r="R318">
        <v>9835</v>
      </c>
    </row>
    <row r="319" spans="1:18" x14ac:dyDescent="0.25">
      <c r="A319" s="160">
        <v>42494</v>
      </c>
      <c r="B319" s="115">
        <v>525</v>
      </c>
      <c r="C319" s="115">
        <v>510.2</v>
      </c>
      <c r="D319" s="115">
        <v>500</v>
      </c>
      <c r="E319" s="115">
        <v>500.1</v>
      </c>
      <c r="F319" s="115">
        <v>510.2</v>
      </c>
      <c r="G319">
        <v>918</v>
      </c>
      <c r="H319" s="115"/>
      <c r="I319" s="115"/>
      <c r="L319" s="160">
        <v>42471</v>
      </c>
      <c r="M319" s="115">
        <v>616.70000000000005</v>
      </c>
      <c r="N319" s="115">
        <v>622</v>
      </c>
      <c r="O319" s="115">
        <v>610.04999999999995</v>
      </c>
      <c r="P319" s="115">
        <v>615</v>
      </c>
      <c r="Q319" s="115">
        <v>616.70000000000005</v>
      </c>
      <c r="R319">
        <v>8121</v>
      </c>
    </row>
    <row r="320" spans="1:18" x14ac:dyDescent="0.25">
      <c r="A320" s="160">
        <v>42495</v>
      </c>
      <c r="B320" s="115">
        <v>519.9</v>
      </c>
      <c r="C320" s="115">
        <v>502.1</v>
      </c>
      <c r="D320" s="115">
        <v>497</v>
      </c>
      <c r="E320" s="115">
        <v>505.1</v>
      </c>
      <c r="F320" s="115">
        <v>502.1</v>
      </c>
      <c r="G320">
        <v>338</v>
      </c>
      <c r="H320" s="115"/>
      <c r="I320" s="115"/>
      <c r="L320" s="160">
        <v>42472</v>
      </c>
      <c r="M320" s="115">
        <v>641.04999999999995</v>
      </c>
      <c r="N320" s="115">
        <v>648.29999999999995</v>
      </c>
      <c r="O320" s="115">
        <v>613.20000000000005</v>
      </c>
      <c r="P320" s="115">
        <v>628</v>
      </c>
      <c r="Q320" s="115">
        <v>641.04999999999995</v>
      </c>
      <c r="R320">
        <v>21691</v>
      </c>
    </row>
    <row r="321" spans="1:18" x14ac:dyDescent="0.25">
      <c r="A321" s="160">
        <v>42496</v>
      </c>
      <c r="B321" s="115">
        <v>503</v>
      </c>
      <c r="C321" s="115">
        <v>503</v>
      </c>
      <c r="D321" s="115">
        <v>494.1</v>
      </c>
      <c r="E321" s="115">
        <v>502.2</v>
      </c>
      <c r="F321" s="115">
        <v>503</v>
      </c>
      <c r="G321">
        <v>175</v>
      </c>
      <c r="H321" s="115"/>
      <c r="I321" s="115"/>
      <c r="L321" s="160">
        <v>42473</v>
      </c>
      <c r="M321" s="115">
        <v>649.54999999999995</v>
      </c>
      <c r="N321" s="115">
        <v>663.05</v>
      </c>
      <c r="O321" s="115">
        <v>644</v>
      </c>
      <c r="P321" s="115">
        <v>644</v>
      </c>
      <c r="Q321" s="115">
        <v>649.54999999999995</v>
      </c>
      <c r="R321">
        <v>22400</v>
      </c>
    </row>
    <row r="322" spans="1:18" x14ac:dyDescent="0.25">
      <c r="A322" s="160">
        <v>42499</v>
      </c>
      <c r="B322" s="115">
        <v>518.29999999999995</v>
      </c>
      <c r="C322" s="115">
        <v>517.9</v>
      </c>
      <c r="D322" s="115">
        <v>497.1</v>
      </c>
      <c r="E322" s="115">
        <v>497.1</v>
      </c>
      <c r="F322" s="115">
        <v>517.9</v>
      </c>
      <c r="G322">
        <v>470</v>
      </c>
      <c r="H322" s="115"/>
      <c r="I322" s="115"/>
      <c r="L322" s="160">
        <v>42478</v>
      </c>
      <c r="M322" s="115">
        <v>614.29999999999995</v>
      </c>
      <c r="N322" s="115">
        <v>665</v>
      </c>
      <c r="O322" s="115">
        <v>607.54999999999995</v>
      </c>
      <c r="P322" s="115">
        <v>660</v>
      </c>
      <c r="Q322" s="115">
        <v>614.29999999999995</v>
      </c>
      <c r="R322">
        <v>15502</v>
      </c>
    </row>
    <row r="323" spans="1:18" x14ac:dyDescent="0.25">
      <c r="A323" s="160">
        <v>42500</v>
      </c>
      <c r="B323" s="115">
        <v>522</v>
      </c>
      <c r="C323" s="115">
        <v>512.5</v>
      </c>
      <c r="D323" s="115">
        <v>500</v>
      </c>
      <c r="E323" s="115">
        <v>500</v>
      </c>
      <c r="F323" s="115">
        <v>512.5</v>
      </c>
      <c r="G323">
        <v>1057</v>
      </c>
      <c r="H323" s="115"/>
      <c r="I323" s="115"/>
      <c r="L323" s="160">
        <v>42480</v>
      </c>
      <c r="M323" s="115">
        <v>636.35</v>
      </c>
      <c r="N323" s="115">
        <v>639.9</v>
      </c>
      <c r="O323" s="115">
        <v>620</v>
      </c>
      <c r="P323" s="115">
        <v>631.95000000000005</v>
      </c>
      <c r="Q323" s="115">
        <v>636.35</v>
      </c>
      <c r="R323">
        <v>9868</v>
      </c>
    </row>
    <row r="324" spans="1:18" x14ac:dyDescent="0.25">
      <c r="A324" s="160">
        <v>42501</v>
      </c>
      <c r="B324" s="115">
        <v>500</v>
      </c>
      <c r="C324" s="115">
        <v>499.5</v>
      </c>
      <c r="D324" s="115">
        <v>499.5</v>
      </c>
      <c r="E324" s="115">
        <v>500</v>
      </c>
      <c r="F324" s="115">
        <v>499.5</v>
      </c>
      <c r="G324">
        <v>50</v>
      </c>
      <c r="H324" s="115"/>
      <c r="I324" s="115"/>
      <c r="L324" s="160">
        <v>42481</v>
      </c>
      <c r="M324" s="115">
        <v>633.5</v>
      </c>
      <c r="N324" s="115">
        <v>642.75</v>
      </c>
      <c r="O324" s="115">
        <v>624.1</v>
      </c>
      <c r="P324" s="115">
        <v>630</v>
      </c>
      <c r="Q324" s="115">
        <v>633.5</v>
      </c>
      <c r="R324">
        <v>5358</v>
      </c>
    </row>
    <row r="325" spans="1:18" x14ac:dyDescent="0.25">
      <c r="A325" s="160">
        <v>42502</v>
      </c>
      <c r="B325" s="115">
        <v>525</v>
      </c>
      <c r="C325" s="115">
        <v>508.1</v>
      </c>
      <c r="D325" s="115">
        <v>496</v>
      </c>
      <c r="E325" s="115">
        <v>500</v>
      </c>
      <c r="F325" s="115">
        <v>508.1</v>
      </c>
      <c r="G325">
        <v>2485</v>
      </c>
      <c r="H325" s="115"/>
      <c r="I325" s="115"/>
      <c r="L325" s="160">
        <v>42482</v>
      </c>
      <c r="M325" s="115">
        <v>611.25</v>
      </c>
      <c r="N325" s="115">
        <v>630.1</v>
      </c>
      <c r="O325" s="115">
        <v>610</v>
      </c>
      <c r="P325" s="115">
        <v>630.1</v>
      </c>
      <c r="Q325" s="115">
        <v>611.25</v>
      </c>
      <c r="R325">
        <v>16227</v>
      </c>
    </row>
    <row r="326" spans="1:18" x14ac:dyDescent="0.25">
      <c r="A326" s="160">
        <v>42503</v>
      </c>
      <c r="B326" s="115">
        <v>518</v>
      </c>
      <c r="C326" s="115">
        <v>515</v>
      </c>
      <c r="D326" s="115">
        <v>495.3</v>
      </c>
      <c r="E326" s="115">
        <v>510</v>
      </c>
      <c r="F326" s="115">
        <v>515</v>
      </c>
      <c r="G326">
        <v>822</v>
      </c>
      <c r="H326" s="115"/>
      <c r="I326" s="115"/>
      <c r="L326" s="160">
        <v>42485</v>
      </c>
      <c r="M326" s="115">
        <v>609.25</v>
      </c>
      <c r="N326" s="115">
        <v>618.75</v>
      </c>
      <c r="O326" s="115">
        <v>606</v>
      </c>
      <c r="P326" s="115">
        <v>606</v>
      </c>
      <c r="Q326" s="115">
        <v>609.25</v>
      </c>
      <c r="R326">
        <v>7946</v>
      </c>
    </row>
    <row r="327" spans="1:18" x14ac:dyDescent="0.25">
      <c r="A327" s="160">
        <v>42506</v>
      </c>
      <c r="B327" s="115">
        <v>519</v>
      </c>
      <c r="C327" s="115">
        <v>514</v>
      </c>
      <c r="D327" s="115">
        <v>500</v>
      </c>
      <c r="E327" s="115">
        <v>519</v>
      </c>
      <c r="F327" s="115">
        <v>514</v>
      </c>
      <c r="G327">
        <v>1233</v>
      </c>
      <c r="H327" s="115"/>
      <c r="I327" s="115"/>
      <c r="L327" s="160">
        <v>42486</v>
      </c>
      <c r="M327" s="115">
        <v>608.54999999999995</v>
      </c>
      <c r="N327" s="115">
        <v>614.95000000000005</v>
      </c>
      <c r="O327" s="115">
        <v>605</v>
      </c>
      <c r="P327" s="115">
        <v>605.04999999999995</v>
      </c>
      <c r="Q327" s="115">
        <v>608.54999999999995</v>
      </c>
      <c r="R327">
        <v>4241</v>
      </c>
    </row>
    <row r="328" spans="1:18" x14ac:dyDescent="0.25">
      <c r="A328" s="160">
        <v>42507</v>
      </c>
      <c r="B328" s="115">
        <v>511.3</v>
      </c>
      <c r="C328" s="115">
        <v>496.8</v>
      </c>
      <c r="D328" s="115">
        <v>496</v>
      </c>
      <c r="E328" s="115">
        <v>511.3</v>
      </c>
      <c r="F328" s="115">
        <v>496.8</v>
      </c>
      <c r="G328">
        <v>1382</v>
      </c>
      <c r="H328" s="115"/>
      <c r="I328" s="115"/>
      <c r="L328" s="160">
        <v>42487</v>
      </c>
      <c r="M328" s="115">
        <v>607.70000000000005</v>
      </c>
      <c r="N328" s="115">
        <v>613.95000000000005</v>
      </c>
      <c r="O328" s="115">
        <v>602.25</v>
      </c>
      <c r="P328" s="115">
        <v>605.04999999999995</v>
      </c>
      <c r="Q328" s="115">
        <v>607.70000000000005</v>
      </c>
      <c r="R328">
        <v>4159</v>
      </c>
    </row>
    <row r="329" spans="1:18" x14ac:dyDescent="0.25">
      <c r="A329" s="160">
        <v>42508</v>
      </c>
      <c r="B329" s="115">
        <v>518</v>
      </c>
      <c r="C329" s="115">
        <v>513.9</v>
      </c>
      <c r="D329" s="115">
        <v>485.1</v>
      </c>
      <c r="E329" s="115">
        <v>485.1</v>
      </c>
      <c r="F329" s="115">
        <v>513.9</v>
      </c>
      <c r="G329">
        <v>4979</v>
      </c>
      <c r="H329" s="115"/>
      <c r="I329" s="115"/>
      <c r="L329" s="160">
        <v>42488</v>
      </c>
      <c r="M329" s="115">
        <v>613.29999999999995</v>
      </c>
      <c r="N329" s="115">
        <v>619</v>
      </c>
      <c r="O329" s="115">
        <v>602.25</v>
      </c>
      <c r="P329" s="115">
        <v>605.9</v>
      </c>
      <c r="Q329" s="115">
        <v>613.29999999999995</v>
      </c>
      <c r="R329">
        <v>10991</v>
      </c>
    </row>
    <row r="330" spans="1:18" x14ac:dyDescent="0.25">
      <c r="A330" s="160">
        <v>42509</v>
      </c>
      <c r="B330" s="115">
        <v>518</v>
      </c>
      <c r="C330" s="115">
        <v>500.6</v>
      </c>
      <c r="D330" s="115">
        <v>480</v>
      </c>
      <c r="E330" s="115">
        <v>518</v>
      </c>
      <c r="F330" s="115">
        <v>500.6</v>
      </c>
      <c r="G330">
        <v>4176</v>
      </c>
      <c r="H330" s="115"/>
      <c r="I330" s="115"/>
      <c r="L330" s="160">
        <v>42489</v>
      </c>
      <c r="M330" s="115">
        <v>601.54999999999995</v>
      </c>
      <c r="N330" s="115">
        <v>614.75</v>
      </c>
      <c r="O330" s="115">
        <v>593.79999999999995</v>
      </c>
      <c r="P330" s="115">
        <v>613.35</v>
      </c>
      <c r="Q330" s="115">
        <v>601.54999999999995</v>
      </c>
      <c r="R330">
        <v>6539</v>
      </c>
    </row>
    <row r="331" spans="1:18" x14ac:dyDescent="0.25">
      <c r="A331" s="160">
        <v>42510</v>
      </c>
      <c r="B331" s="115">
        <v>510</v>
      </c>
      <c r="C331" s="115">
        <v>464.7</v>
      </c>
      <c r="D331" s="115">
        <v>456.1</v>
      </c>
      <c r="E331" s="115">
        <v>507.8</v>
      </c>
      <c r="F331" s="115">
        <v>464.7</v>
      </c>
      <c r="G331">
        <v>3629</v>
      </c>
      <c r="H331" s="115"/>
      <c r="I331" s="115"/>
      <c r="L331" s="160">
        <v>42492</v>
      </c>
      <c r="M331" s="115">
        <v>608.4</v>
      </c>
      <c r="N331" s="115">
        <v>614</v>
      </c>
      <c r="O331" s="115">
        <v>592</v>
      </c>
      <c r="P331" s="115">
        <v>594</v>
      </c>
      <c r="Q331" s="115">
        <v>608.4</v>
      </c>
      <c r="R331">
        <v>9920</v>
      </c>
    </row>
    <row r="332" spans="1:18" x14ac:dyDescent="0.25">
      <c r="A332" s="160">
        <v>42513</v>
      </c>
      <c r="B332" s="115">
        <v>499.8</v>
      </c>
      <c r="C332" s="115">
        <v>435.3</v>
      </c>
      <c r="D332" s="115">
        <v>425</v>
      </c>
      <c r="E332" s="115">
        <v>489.95</v>
      </c>
      <c r="F332" s="115">
        <v>435.3</v>
      </c>
      <c r="G332">
        <v>1581</v>
      </c>
      <c r="H332" s="115"/>
      <c r="I332" s="115"/>
      <c r="L332" s="160">
        <v>42493</v>
      </c>
      <c r="M332" s="115">
        <v>607.4</v>
      </c>
      <c r="N332" s="115">
        <v>614</v>
      </c>
      <c r="O332" s="115">
        <v>602.5</v>
      </c>
      <c r="P332" s="115">
        <v>602.5</v>
      </c>
      <c r="Q332" s="115">
        <v>607.4</v>
      </c>
      <c r="R332">
        <v>14880</v>
      </c>
    </row>
    <row r="333" spans="1:18" x14ac:dyDescent="0.25">
      <c r="A333" s="160">
        <v>42514</v>
      </c>
      <c r="B333" s="115">
        <v>437</v>
      </c>
      <c r="C333" s="115">
        <v>437</v>
      </c>
      <c r="D333" s="115">
        <v>437</v>
      </c>
      <c r="E333" s="115">
        <v>437</v>
      </c>
      <c r="F333" s="115">
        <v>437</v>
      </c>
      <c r="G333">
        <v>5</v>
      </c>
      <c r="H333" s="115"/>
      <c r="I333" s="115"/>
      <c r="L333" s="160">
        <v>42494</v>
      </c>
      <c r="M333" s="115">
        <v>598.6</v>
      </c>
      <c r="N333" s="115">
        <v>607.35</v>
      </c>
      <c r="O333" s="115">
        <v>593</v>
      </c>
      <c r="P333" s="115">
        <v>603.6</v>
      </c>
      <c r="Q333" s="115">
        <v>598.6</v>
      </c>
      <c r="R333">
        <v>5182</v>
      </c>
    </row>
    <row r="334" spans="1:18" x14ac:dyDescent="0.25">
      <c r="A334" s="160">
        <v>42515</v>
      </c>
      <c r="B334" s="115">
        <v>444.95</v>
      </c>
      <c r="C334" s="115">
        <v>415.75</v>
      </c>
      <c r="D334" s="115">
        <v>403.05</v>
      </c>
      <c r="E334" s="115">
        <v>444.95</v>
      </c>
      <c r="F334" s="115">
        <v>415.75</v>
      </c>
      <c r="G334">
        <v>3603</v>
      </c>
      <c r="H334" s="115"/>
      <c r="I334" s="115"/>
      <c r="L334" s="160">
        <v>42495</v>
      </c>
      <c r="M334" s="115">
        <v>585.5</v>
      </c>
      <c r="N334" s="115">
        <v>610</v>
      </c>
      <c r="O334" s="115">
        <v>580.04999999999995</v>
      </c>
      <c r="P334" s="115">
        <v>603.5</v>
      </c>
      <c r="Q334" s="115">
        <v>585.5</v>
      </c>
      <c r="R334">
        <v>18288</v>
      </c>
    </row>
    <row r="335" spans="1:18" x14ac:dyDescent="0.25">
      <c r="A335" s="160">
        <v>42516</v>
      </c>
      <c r="B335" s="115">
        <v>430</v>
      </c>
      <c r="C335" s="115">
        <v>402.4</v>
      </c>
      <c r="D335" s="115">
        <v>387</v>
      </c>
      <c r="E335" s="115">
        <v>425</v>
      </c>
      <c r="F335" s="115">
        <v>402.4</v>
      </c>
      <c r="G335">
        <v>2343</v>
      </c>
      <c r="H335" s="115"/>
      <c r="I335" s="115"/>
      <c r="L335" s="160">
        <v>42496</v>
      </c>
      <c r="M335" s="115">
        <v>586.54999999999995</v>
      </c>
      <c r="N335" s="115">
        <v>593.04999999999995</v>
      </c>
      <c r="O335" s="115">
        <v>580</v>
      </c>
      <c r="P335" s="115">
        <v>585.65</v>
      </c>
      <c r="Q335" s="115">
        <v>586.54999999999995</v>
      </c>
      <c r="R335">
        <v>4688</v>
      </c>
    </row>
    <row r="336" spans="1:18" x14ac:dyDescent="0.25">
      <c r="A336" s="160">
        <v>42517</v>
      </c>
      <c r="B336" s="115">
        <v>415</v>
      </c>
      <c r="C336" s="115">
        <v>379.05</v>
      </c>
      <c r="D336" s="115">
        <v>370</v>
      </c>
      <c r="E336" s="115">
        <v>415</v>
      </c>
      <c r="F336" s="115">
        <v>379.05</v>
      </c>
      <c r="G336">
        <v>1992</v>
      </c>
      <c r="H336" s="115"/>
      <c r="I336" s="115"/>
      <c r="L336" s="160">
        <v>42499</v>
      </c>
      <c r="M336" s="115">
        <v>585.70000000000005</v>
      </c>
      <c r="N336" s="115">
        <v>596.95000000000005</v>
      </c>
      <c r="O336" s="115">
        <v>581</v>
      </c>
      <c r="P336" s="115">
        <v>596.95000000000005</v>
      </c>
      <c r="Q336" s="115">
        <v>585.70000000000005</v>
      </c>
      <c r="R336">
        <v>5937</v>
      </c>
    </row>
    <row r="337" spans="1:18" x14ac:dyDescent="0.25">
      <c r="A337" s="160">
        <v>42520</v>
      </c>
      <c r="B337" s="115">
        <v>400.95</v>
      </c>
      <c r="C337" s="115">
        <v>393.4</v>
      </c>
      <c r="D337" s="115">
        <v>380</v>
      </c>
      <c r="E337" s="115">
        <v>387</v>
      </c>
      <c r="F337" s="115">
        <v>393.4</v>
      </c>
      <c r="G337">
        <v>1387</v>
      </c>
      <c r="H337" s="115"/>
      <c r="I337" s="115"/>
      <c r="L337" s="160">
        <v>42500</v>
      </c>
      <c r="M337" s="115">
        <v>586.04999999999995</v>
      </c>
      <c r="N337" s="115">
        <v>592.70000000000005</v>
      </c>
      <c r="O337" s="115">
        <v>575</v>
      </c>
      <c r="P337" s="115">
        <v>582.04999999999995</v>
      </c>
      <c r="Q337" s="115">
        <v>586.04999999999995</v>
      </c>
      <c r="R337">
        <v>5841</v>
      </c>
    </row>
    <row r="338" spans="1:18" x14ac:dyDescent="0.25">
      <c r="A338" s="160">
        <v>42521</v>
      </c>
      <c r="B338" s="115">
        <v>402</v>
      </c>
      <c r="C338" s="115">
        <v>401.5</v>
      </c>
      <c r="D338" s="115">
        <v>395</v>
      </c>
      <c r="E338" s="115">
        <v>395</v>
      </c>
      <c r="F338" s="115">
        <v>401.5</v>
      </c>
      <c r="G338">
        <v>336</v>
      </c>
      <c r="H338" s="115"/>
      <c r="I338" s="115"/>
      <c r="L338" s="160">
        <v>42501</v>
      </c>
      <c r="M338" s="115">
        <v>590.4</v>
      </c>
      <c r="N338" s="115">
        <v>594.20000000000005</v>
      </c>
      <c r="O338" s="115">
        <v>577.5</v>
      </c>
      <c r="P338" s="115">
        <v>578</v>
      </c>
      <c r="Q338" s="115">
        <v>590.4</v>
      </c>
      <c r="R338">
        <v>9274</v>
      </c>
    </row>
    <row r="339" spans="1:18" x14ac:dyDescent="0.25">
      <c r="A339" s="160">
        <v>42522</v>
      </c>
      <c r="B339" s="115">
        <v>415</v>
      </c>
      <c r="C339" s="115">
        <v>414.6</v>
      </c>
      <c r="D339" s="115">
        <v>390.5</v>
      </c>
      <c r="E339" s="115">
        <v>410</v>
      </c>
      <c r="F339" s="115">
        <v>414.6</v>
      </c>
      <c r="G339">
        <v>643</v>
      </c>
      <c r="H339" s="115"/>
      <c r="I339" s="115"/>
      <c r="L339" s="160">
        <v>42502</v>
      </c>
      <c r="M339" s="115">
        <v>609.75</v>
      </c>
      <c r="N339" s="115">
        <v>615</v>
      </c>
      <c r="O339" s="115">
        <v>578.70000000000005</v>
      </c>
      <c r="P339" s="115">
        <v>593.65</v>
      </c>
      <c r="Q339" s="115">
        <v>609.75</v>
      </c>
      <c r="R339">
        <v>8920</v>
      </c>
    </row>
    <row r="340" spans="1:18" x14ac:dyDescent="0.25">
      <c r="A340" s="160">
        <v>42523</v>
      </c>
      <c r="B340" s="115">
        <v>417.9</v>
      </c>
      <c r="C340" s="115">
        <v>405.1</v>
      </c>
      <c r="D340" s="115">
        <v>403.2</v>
      </c>
      <c r="E340" s="115">
        <v>415</v>
      </c>
      <c r="F340" s="115">
        <v>405.1</v>
      </c>
      <c r="G340">
        <v>389</v>
      </c>
      <c r="H340" s="115"/>
      <c r="I340" s="115"/>
      <c r="L340" s="160">
        <v>42503</v>
      </c>
      <c r="M340" s="115">
        <v>630.1</v>
      </c>
      <c r="N340" s="115">
        <v>643</v>
      </c>
      <c r="O340" s="115">
        <v>608</v>
      </c>
      <c r="P340" s="115">
        <v>608</v>
      </c>
      <c r="Q340" s="115">
        <v>630.1</v>
      </c>
      <c r="R340">
        <v>17158</v>
      </c>
    </row>
    <row r="341" spans="1:18" x14ac:dyDescent="0.25">
      <c r="A341" s="160">
        <v>42524</v>
      </c>
      <c r="B341" s="115">
        <v>425.8</v>
      </c>
      <c r="C341" s="115">
        <v>403</v>
      </c>
      <c r="D341" s="115">
        <v>402</v>
      </c>
      <c r="E341" s="115">
        <v>425.8</v>
      </c>
      <c r="F341" s="115">
        <v>403</v>
      </c>
      <c r="G341">
        <v>538</v>
      </c>
      <c r="H341" s="115"/>
      <c r="I341" s="115"/>
      <c r="L341" s="160">
        <v>42506</v>
      </c>
      <c r="M341" s="115">
        <v>624.25</v>
      </c>
      <c r="N341" s="115">
        <v>643</v>
      </c>
      <c r="O341" s="115">
        <v>617</v>
      </c>
      <c r="P341" s="115">
        <v>633</v>
      </c>
      <c r="Q341" s="115">
        <v>624.25</v>
      </c>
      <c r="R341">
        <v>73012</v>
      </c>
    </row>
    <row r="342" spans="1:18" x14ac:dyDescent="0.25">
      <c r="A342" s="160">
        <v>42527</v>
      </c>
      <c r="B342" s="115">
        <v>409.9</v>
      </c>
      <c r="C342" s="115">
        <v>388.5</v>
      </c>
      <c r="D342" s="115">
        <v>384.2</v>
      </c>
      <c r="E342" s="115">
        <v>396</v>
      </c>
      <c r="F342" s="115">
        <v>388.5</v>
      </c>
      <c r="G342">
        <v>315</v>
      </c>
      <c r="H342" s="115"/>
      <c r="I342" s="115"/>
      <c r="L342" s="160">
        <v>42507</v>
      </c>
      <c r="M342" s="115">
        <v>637.4</v>
      </c>
      <c r="N342" s="115">
        <v>643</v>
      </c>
      <c r="O342" s="115">
        <v>621</v>
      </c>
      <c r="P342" s="115">
        <v>628.95000000000005</v>
      </c>
      <c r="Q342" s="115">
        <v>637.4</v>
      </c>
      <c r="R342">
        <v>15645</v>
      </c>
    </row>
    <row r="343" spans="1:18" x14ac:dyDescent="0.25">
      <c r="A343" s="160">
        <v>42528</v>
      </c>
      <c r="B343" s="115">
        <v>400</v>
      </c>
      <c r="C343" s="115">
        <v>388.7</v>
      </c>
      <c r="D343" s="115">
        <v>385.5</v>
      </c>
      <c r="E343" s="115">
        <v>390</v>
      </c>
      <c r="F343" s="115">
        <v>388.7</v>
      </c>
      <c r="G343">
        <v>572</v>
      </c>
      <c r="H343" s="115"/>
      <c r="I343" s="115"/>
      <c r="L343" s="160">
        <v>42508</v>
      </c>
      <c r="M343" s="115">
        <v>635.4</v>
      </c>
      <c r="N343" s="115">
        <v>645</v>
      </c>
      <c r="O343" s="115">
        <v>626.15</v>
      </c>
      <c r="P343" s="115">
        <v>642</v>
      </c>
      <c r="Q343" s="115">
        <v>635.4</v>
      </c>
      <c r="R343">
        <v>7535</v>
      </c>
    </row>
    <row r="344" spans="1:18" x14ac:dyDescent="0.25">
      <c r="A344" s="160">
        <v>42529</v>
      </c>
      <c r="B344" s="115">
        <v>399.9</v>
      </c>
      <c r="C344" s="115">
        <v>399.9</v>
      </c>
      <c r="D344" s="115">
        <v>395</v>
      </c>
      <c r="E344" s="115">
        <v>395</v>
      </c>
      <c r="F344" s="115">
        <v>399.9</v>
      </c>
      <c r="G344">
        <v>115</v>
      </c>
      <c r="H344" s="115"/>
      <c r="I344" s="115"/>
      <c r="L344" s="160">
        <v>42509</v>
      </c>
      <c r="M344" s="115">
        <v>633.1</v>
      </c>
      <c r="N344" s="115">
        <v>642.95000000000005</v>
      </c>
      <c r="O344" s="115">
        <v>629</v>
      </c>
      <c r="P344" s="115">
        <v>634.95000000000005</v>
      </c>
      <c r="Q344" s="115">
        <v>633.1</v>
      </c>
      <c r="R344">
        <v>28161</v>
      </c>
    </row>
    <row r="345" spans="1:18" x14ac:dyDescent="0.25">
      <c r="A345" s="160">
        <v>42530</v>
      </c>
      <c r="B345" s="115">
        <v>402</v>
      </c>
      <c r="C345" s="115">
        <v>393.05</v>
      </c>
      <c r="D345" s="115">
        <v>384.5</v>
      </c>
      <c r="E345" s="115">
        <v>395</v>
      </c>
      <c r="F345" s="115">
        <v>393.05</v>
      </c>
      <c r="G345">
        <v>1046</v>
      </c>
      <c r="H345" s="115"/>
      <c r="I345" s="115"/>
      <c r="L345" s="160">
        <v>42510</v>
      </c>
      <c r="M345" s="115">
        <v>631.04999999999995</v>
      </c>
      <c r="N345" s="115">
        <v>639.1</v>
      </c>
      <c r="O345" s="115">
        <v>627</v>
      </c>
      <c r="P345" s="115">
        <v>629.04999999999995</v>
      </c>
      <c r="Q345" s="115">
        <v>631.04999999999995</v>
      </c>
      <c r="R345">
        <v>3321</v>
      </c>
    </row>
    <row r="346" spans="1:18" x14ac:dyDescent="0.25">
      <c r="A346" s="160">
        <v>42531</v>
      </c>
      <c r="B346" s="115">
        <v>405.5</v>
      </c>
      <c r="C346" s="115">
        <v>401.5</v>
      </c>
      <c r="D346" s="115">
        <v>395.05</v>
      </c>
      <c r="E346" s="115">
        <v>405.5</v>
      </c>
      <c r="F346" s="115">
        <v>401.5</v>
      </c>
      <c r="G346">
        <v>460</v>
      </c>
      <c r="H346" s="115"/>
      <c r="I346" s="115"/>
      <c r="L346" s="160">
        <v>42513</v>
      </c>
      <c r="M346" s="115">
        <v>618.15</v>
      </c>
      <c r="N346" s="115">
        <v>631.04999999999995</v>
      </c>
      <c r="O346" s="115">
        <v>612</v>
      </c>
      <c r="P346" s="115">
        <v>631</v>
      </c>
      <c r="Q346" s="115">
        <v>618.15</v>
      </c>
      <c r="R346">
        <v>6681</v>
      </c>
    </row>
    <row r="347" spans="1:18" x14ac:dyDescent="0.25">
      <c r="A347" s="160">
        <v>42534</v>
      </c>
      <c r="B347" s="115">
        <v>405</v>
      </c>
      <c r="C347" s="115">
        <v>397.1</v>
      </c>
      <c r="D347" s="115">
        <v>397.05</v>
      </c>
      <c r="E347" s="115">
        <v>397.05</v>
      </c>
      <c r="F347" s="115">
        <v>397.1</v>
      </c>
      <c r="G347">
        <v>166</v>
      </c>
      <c r="H347" s="115"/>
      <c r="I347" s="115"/>
      <c r="L347" s="160">
        <v>42514</v>
      </c>
      <c r="M347" s="115">
        <v>610</v>
      </c>
      <c r="N347" s="115">
        <v>629</v>
      </c>
      <c r="O347" s="115">
        <v>603.25</v>
      </c>
      <c r="P347" s="115">
        <v>627.95000000000005</v>
      </c>
      <c r="Q347" s="115">
        <v>610</v>
      </c>
      <c r="R347">
        <v>35112</v>
      </c>
    </row>
    <row r="348" spans="1:18" x14ac:dyDescent="0.25">
      <c r="A348" s="160">
        <v>42535</v>
      </c>
      <c r="B348" s="115">
        <v>400</v>
      </c>
      <c r="C348" s="115">
        <v>397</v>
      </c>
      <c r="D348" s="115">
        <v>397</v>
      </c>
      <c r="E348" s="115">
        <v>398.1</v>
      </c>
      <c r="F348" s="115">
        <v>397</v>
      </c>
      <c r="G348">
        <v>644</v>
      </c>
      <c r="H348" s="115"/>
      <c r="I348" s="115"/>
      <c r="L348" s="160">
        <v>42515</v>
      </c>
      <c r="M348" s="115">
        <v>620.95000000000005</v>
      </c>
      <c r="N348" s="115">
        <v>625</v>
      </c>
      <c r="O348" s="115">
        <v>611.6</v>
      </c>
      <c r="P348" s="115">
        <v>618</v>
      </c>
      <c r="Q348" s="115">
        <v>620.95000000000005</v>
      </c>
      <c r="R348">
        <v>9153</v>
      </c>
    </row>
    <row r="349" spans="1:18" x14ac:dyDescent="0.25">
      <c r="A349" s="160">
        <v>42536</v>
      </c>
      <c r="B349" s="115">
        <v>400</v>
      </c>
      <c r="C349" s="115">
        <v>399.95</v>
      </c>
      <c r="D349" s="115">
        <v>393</v>
      </c>
      <c r="E349" s="115">
        <v>400</v>
      </c>
      <c r="F349" s="115">
        <v>399.95</v>
      </c>
      <c r="G349">
        <v>254</v>
      </c>
      <c r="H349" s="115"/>
      <c r="I349" s="115"/>
      <c r="L349" s="160">
        <v>42516</v>
      </c>
      <c r="M349" s="115">
        <v>629.1</v>
      </c>
      <c r="N349" s="115">
        <v>639.9</v>
      </c>
      <c r="O349" s="115">
        <v>615</v>
      </c>
      <c r="P349" s="115">
        <v>634</v>
      </c>
      <c r="Q349" s="115">
        <v>629.1</v>
      </c>
      <c r="R349">
        <v>45374</v>
      </c>
    </row>
    <row r="350" spans="1:18" x14ac:dyDescent="0.25">
      <c r="A350" s="160">
        <v>42537</v>
      </c>
      <c r="B350" s="115">
        <v>400</v>
      </c>
      <c r="C350" s="115">
        <v>400</v>
      </c>
      <c r="D350" s="115">
        <v>393.25</v>
      </c>
      <c r="E350" s="115">
        <v>399.95</v>
      </c>
      <c r="F350" s="115">
        <v>400</v>
      </c>
      <c r="G350">
        <v>1675</v>
      </c>
      <c r="H350" s="115"/>
      <c r="I350" s="115"/>
      <c r="L350" s="160">
        <v>42517</v>
      </c>
      <c r="M350" s="115">
        <v>638.95000000000005</v>
      </c>
      <c r="N350" s="115">
        <v>642.25</v>
      </c>
      <c r="O350" s="115">
        <v>626.5</v>
      </c>
      <c r="P350" s="115">
        <v>626.54999999999995</v>
      </c>
      <c r="Q350" s="115">
        <v>638.95000000000005</v>
      </c>
      <c r="R350">
        <v>14336</v>
      </c>
    </row>
    <row r="351" spans="1:18" x14ac:dyDescent="0.25">
      <c r="A351" s="160">
        <v>42538</v>
      </c>
      <c r="B351" s="115">
        <v>400</v>
      </c>
      <c r="C351" s="115">
        <v>399.75</v>
      </c>
      <c r="D351" s="115">
        <v>383</v>
      </c>
      <c r="E351" s="115">
        <v>383</v>
      </c>
      <c r="F351" s="115">
        <v>399.75</v>
      </c>
      <c r="G351">
        <v>1364</v>
      </c>
      <c r="H351" s="115"/>
      <c r="I351" s="115"/>
      <c r="L351" s="160">
        <v>42520</v>
      </c>
      <c r="M351" s="115">
        <v>628.20000000000005</v>
      </c>
      <c r="N351" s="115">
        <v>642.25</v>
      </c>
      <c r="O351" s="115">
        <v>620.35</v>
      </c>
      <c r="P351" s="115">
        <v>641.95000000000005</v>
      </c>
      <c r="Q351" s="115">
        <v>628.20000000000005</v>
      </c>
      <c r="R351">
        <v>4290</v>
      </c>
    </row>
    <row r="352" spans="1:18" x14ac:dyDescent="0.25">
      <c r="A352" s="160">
        <v>42541</v>
      </c>
      <c r="B352" s="115">
        <v>399.95</v>
      </c>
      <c r="C352" s="115">
        <v>387.7</v>
      </c>
      <c r="D352" s="115">
        <v>387.7</v>
      </c>
      <c r="E352" s="115">
        <v>399.5</v>
      </c>
      <c r="F352" s="115">
        <v>387.7</v>
      </c>
      <c r="G352">
        <v>544</v>
      </c>
      <c r="H352" s="115"/>
      <c r="I352" s="115"/>
      <c r="L352" s="160">
        <v>42521</v>
      </c>
      <c r="M352" s="115">
        <v>638.29999999999995</v>
      </c>
      <c r="N352" s="115">
        <v>639.9</v>
      </c>
      <c r="O352" s="115">
        <v>621.4</v>
      </c>
      <c r="P352" s="115">
        <v>628.6</v>
      </c>
      <c r="Q352" s="115">
        <v>638.29999999999995</v>
      </c>
      <c r="R352">
        <v>13704</v>
      </c>
    </row>
    <row r="353" spans="1:18" x14ac:dyDescent="0.25">
      <c r="A353" s="160">
        <v>42542</v>
      </c>
      <c r="B353" s="115">
        <v>399</v>
      </c>
      <c r="C353" s="115">
        <v>397.5</v>
      </c>
      <c r="D353" s="115">
        <v>386</v>
      </c>
      <c r="E353" s="115">
        <v>398.95</v>
      </c>
      <c r="F353" s="115">
        <v>397.5</v>
      </c>
      <c r="G353">
        <v>748</v>
      </c>
      <c r="H353" s="115"/>
      <c r="I353" s="115"/>
      <c r="L353" s="160">
        <v>42522</v>
      </c>
      <c r="M353" s="115">
        <v>668.25</v>
      </c>
      <c r="N353" s="115">
        <v>680</v>
      </c>
      <c r="O353" s="115">
        <v>641</v>
      </c>
      <c r="P353" s="115">
        <v>641</v>
      </c>
      <c r="Q353" s="115">
        <v>668.25</v>
      </c>
      <c r="R353">
        <v>61296</v>
      </c>
    </row>
    <row r="354" spans="1:18" x14ac:dyDescent="0.25">
      <c r="A354" s="160">
        <v>42543</v>
      </c>
      <c r="B354" s="115">
        <v>393</v>
      </c>
      <c r="C354" s="115">
        <v>385</v>
      </c>
      <c r="D354" s="115">
        <v>384.2</v>
      </c>
      <c r="E354" s="115">
        <v>390</v>
      </c>
      <c r="F354" s="115">
        <v>385</v>
      </c>
      <c r="G354">
        <v>581</v>
      </c>
      <c r="H354" s="115"/>
      <c r="I354" s="115"/>
      <c r="L354" s="160">
        <v>42523</v>
      </c>
      <c r="M354" s="115">
        <v>653.95000000000005</v>
      </c>
      <c r="N354" s="115">
        <v>672</v>
      </c>
      <c r="O354" s="115">
        <v>650</v>
      </c>
      <c r="P354" s="115">
        <v>672</v>
      </c>
      <c r="Q354" s="115">
        <v>653.95000000000005</v>
      </c>
      <c r="R354">
        <v>8871</v>
      </c>
    </row>
    <row r="355" spans="1:18" x14ac:dyDescent="0.25">
      <c r="A355" s="160">
        <v>42544</v>
      </c>
      <c r="B355" s="115">
        <v>396</v>
      </c>
      <c r="C355" s="115">
        <v>383</v>
      </c>
      <c r="D355" s="115">
        <v>383</v>
      </c>
      <c r="E355" s="115">
        <v>391</v>
      </c>
      <c r="F355" s="115">
        <v>383</v>
      </c>
      <c r="G355">
        <v>965</v>
      </c>
      <c r="H355" s="115"/>
      <c r="I355" s="115"/>
      <c r="L355" s="160">
        <v>42524</v>
      </c>
      <c r="M355" s="115">
        <v>655.8</v>
      </c>
      <c r="N355" s="115">
        <v>670</v>
      </c>
      <c r="O355" s="115">
        <v>655</v>
      </c>
      <c r="P355" s="115">
        <v>660</v>
      </c>
      <c r="Q355" s="115">
        <v>655.8</v>
      </c>
      <c r="R355">
        <v>11352</v>
      </c>
    </row>
    <row r="356" spans="1:18" x14ac:dyDescent="0.25">
      <c r="A356" s="160">
        <v>42545</v>
      </c>
      <c r="B356" s="115">
        <v>396.5</v>
      </c>
      <c r="C356" s="115">
        <v>388</v>
      </c>
      <c r="D356" s="115">
        <v>380</v>
      </c>
      <c r="E356" s="115">
        <v>380</v>
      </c>
      <c r="F356" s="115">
        <v>388</v>
      </c>
      <c r="G356">
        <v>1026</v>
      </c>
      <c r="H356" s="115"/>
      <c r="I356" s="115"/>
      <c r="L356" s="160">
        <v>42527</v>
      </c>
      <c r="M356" s="115">
        <v>669.5</v>
      </c>
      <c r="N356" s="115">
        <v>679.95</v>
      </c>
      <c r="O356" s="115">
        <v>658</v>
      </c>
      <c r="P356" s="115">
        <v>678</v>
      </c>
      <c r="Q356" s="115">
        <v>669.5</v>
      </c>
      <c r="R356">
        <v>139517</v>
      </c>
    </row>
    <row r="357" spans="1:18" x14ac:dyDescent="0.25">
      <c r="A357" s="160">
        <v>42548</v>
      </c>
      <c r="B357" s="115">
        <v>387.9</v>
      </c>
      <c r="C357" s="115">
        <v>382.05</v>
      </c>
      <c r="D357" s="115">
        <v>381.5</v>
      </c>
      <c r="E357" s="115">
        <v>387.9</v>
      </c>
      <c r="F357" s="115">
        <v>382.05</v>
      </c>
      <c r="G357">
        <v>245</v>
      </c>
      <c r="H357" s="115"/>
      <c r="I357" s="115"/>
      <c r="L357" s="160">
        <v>42528</v>
      </c>
      <c r="M357" s="115">
        <v>674.65</v>
      </c>
      <c r="N357" s="115">
        <v>678</v>
      </c>
      <c r="O357" s="115">
        <v>665.5</v>
      </c>
      <c r="P357" s="115">
        <v>674</v>
      </c>
      <c r="Q357" s="115">
        <v>674.65</v>
      </c>
      <c r="R357">
        <v>19136</v>
      </c>
    </row>
    <row r="358" spans="1:18" x14ac:dyDescent="0.25">
      <c r="A358" s="160">
        <v>42549</v>
      </c>
      <c r="B358" s="115">
        <v>394.95</v>
      </c>
      <c r="C358" s="115">
        <v>394.95</v>
      </c>
      <c r="D358" s="115">
        <v>381</v>
      </c>
      <c r="E358" s="115">
        <v>381</v>
      </c>
      <c r="F358" s="115">
        <v>394.95</v>
      </c>
      <c r="G358">
        <v>102</v>
      </c>
      <c r="H358" s="115"/>
      <c r="I358" s="115"/>
      <c r="L358" s="160">
        <v>42529</v>
      </c>
      <c r="M358" s="115">
        <v>656.1</v>
      </c>
      <c r="N358" s="115">
        <v>677</v>
      </c>
      <c r="O358" s="115">
        <v>553.20000000000005</v>
      </c>
      <c r="P358" s="115">
        <v>674</v>
      </c>
      <c r="Q358" s="115">
        <v>656.1</v>
      </c>
      <c r="R358">
        <v>31082</v>
      </c>
    </row>
    <row r="359" spans="1:18" x14ac:dyDescent="0.25">
      <c r="A359" s="160">
        <v>42550</v>
      </c>
      <c r="B359" s="115">
        <v>400</v>
      </c>
      <c r="C359" s="115">
        <v>398</v>
      </c>
      <c r="D359" s="115">
        <v>392</v>
      </c>
      <c r="E359" s="115">
        <v>392</v>
      </c>
      <c r="F359" s="115">
        <v>398</v>
      </c>
      <c r="G359">
        <v>2130</v>
      </c>
      <c r="H359" s="115"/>
      <c r="I359" s="115"/>
      <c r="L359" s="160">
        <v>42530</v>
      </c>
      <c r="M359" s="115">
        <v>658.25</v>
      </c>
      <c r="N359" s="115">
        <v>672.75</v>
      </c>
      <c r="O359" s="115">
        <v>657</v>
      </c>
      <c r="P359" s="115">
        <v>657</v>
      </c>
      <c r="Q359" s="115">
        <v>658.25</v>
      </c>
      <c r="R359">
        <v>137278</v>
      </c>
    </row>
    <row r="360" spans="1:18" x14ac:dyDescent="0.25">
      <c r="A360" s="160">
        <v>42551</v>
      </c>
      <c r="B360" s="115">
        <v>400</v>
      </c>
      <c r="C360" s="115">
        <v>400</v>
      </c>
      <c r="D360" s="115">
        <v>395.1</v>
      </c>
      <c r="E360" s="115">
        <v>395.1</v>
      </c>
      <c r="F360" s="115">
        <v>400</v>
      </c>
      <c r="G360">
        <v>733</v>
      </c>
      <c r="H360" s="115"/>
      <c r="I360" s="115"/>
      <c r="L360" s="160">
        <v>42531</v>
      </c>
      <c r="M360" s="115">
        <v>651.75</v>
      </c>
      <c r="N360" s="115">
        <v>665</v>
      </c>
      <c r="O360" s="115">
        <v>650.15</v>
      </c>
      <c r="P360" s="115">
        <v>659.05</v>
      </c>
      <c r="Q360" s="115">
        <v>651.75</v>
      </c>
      <c r="R360">
        <v>6181</v>
      </c>
    </row>
    <row r="361" spans="1:18" x14ac:dyDescent="0.25">
      <c r="A361" s="160">
        <v>42552</v>
      </c>
      <c r="B361" s="115">
        <v>405</v>
      </c>
      <c r="C361" s="115">
        <v>400.5</v>
      </c>
      <c r="D361" s="115">
        <v>400</v>
      </c>
      <c r="E361" s="115">
        <v>400</v>
      </c>
      <c r="F361" s="115">
        <v>400.5</v>
      </c>
      <c r="G361">
        <v>2323</v>
      </c>
      <c r="H361" s="115"/>
      <c r="I361" s="115"/>
      <c r="L361" s="160">
        <v>42534</v>
      </c>
      <c r="M361" s="115">
        <v>649.29999999999995</v>
      </c>
      <c r="N361" s="115">
        <v>651.95000000000005</v>
      </c>
      <c r="O361" s="115">
        <v>642.04999999999995</v>
      </c>
      <c r="P361" s="115">
        <v>651.75</v>
      </c>
      <c r="Q361" s="115">
        <v>649.29999999999995</v>
      </c>
      <c r="R361">
        <v>5543</v>
      </c>
    </row>
    <row r="362" spans="1:18" x14ac:dyDescent="0.25">
      <c r="A362" s="160">
        <v>42555</v>
      </c>
      <c r="B362" s="115">
        <v>409.9</v>
      </c>
      <c r="C362" s="115">
        <v>403.4</v>
      </c>
      <c r="D362" s="115">
        <v>390.55</v>
      </c>
      <c r="E362" s="115">
        <v>390.55</v>
      </c>
      <c r="F362" s="115">
        <v>403.4</v>
      </c>
      <c r="G362">
        <v>1604</v>
      </c>
      <c r="H362" s="115"/>
      <c r="I362" s="115"/>
      <c r="L362" s="160">
        <v>42535</v>
      </c>
      <c r="M362" s="115">
        <v>654.35</v>
      </c>
      <c r="N362" s="115">
        <v>659.9</v>
      </c>
      <c r="O362" s="115">
        <v>650.20000000000005</v>
      </c>
      <c r="P362" s="115">
        <v>651.5</v>
      </c>
      <c r="Q362" s="115">
        <v>654.35</v>
      </c>
      <c r="R362">
        <v>3384</v>
      </c>
    </row>
    <row r="363" spans="1:18" x14ac:dyDescent="0.25">
      <c r="A363" s="160">
        <v>42556</v>
      </c>
      <c r="B363" s="115">
        <v>410</v>
      </c>
      <c r="C363" s="115">
        <v>405</v>
      </c>
      <c r="D363" s="115">
        <v>402.9</v>
      </c>
      <c r="E363" s="115">
        <v>410</v>
      </c>
      <c r="F363" s="115">
        <v>405</v>
      </c>
      <c r="G363">
        <v>856</v>
      </c>
      <c r="H363" s="115"/>
      <c r="I363" s="115"/>
      <c r="L363" s="160">
        <v>42536</v>
      </c>
      <c r="M363" s="115">
        <v>646.95000000000005</v>
      </c>
      <c r="N363" s="115">
        <v>658.7</v>
      </c>
      <c r="O363" s="115">
        <v>643.95000000000005</v>
      </c>
      <c r="P363" s="115">
        <v>655.04999999999995</v>
      </c>
      <c r="Q363" s="115">
        <v>646.95000000000005</v>
      </c>
      <c r="R363">
        <v>9906</v>
      </c>
    </row>
    <row r="364" spans="1:18" x14ac:dyDescent="0.25">
      <c r="A364" s="160">
        <v>42558</v>
      </c>
      <c r="B364" s="115">
        <v>409.85</v>
      </c>
      <c r="C364" s="115">
        <v>394.55</v>
      </c>
      <c r="D364" s="115">
        <v>393</v>
      </c>
      <c r="E364" s="115">
        <v>409.85</v>
      </c>
      <c r="F364" s="115">
        <v>394.55</v>
      </c>
      <c r="G364">
        <v>818</v>
      </c>
      <c r="H364" s="115"/>
      <c r="I364" s="115"/>
      <c r="L364" s="160">
        <v>42537</v>
      </c>
      <c r="M364" s="115">
        <v>646.9</v>
      </c>
      <c r="N364" s="115">
        <v>656.55</v>
      </c>
      <c r="O364" s="115">
        <v>640</v>
      </c>
      <c r="P364" s="115">
        <v>649.9</v>
      </c>
      <c r="Q364" s="115">
        <v>646.9</v>
      </c>
      <c r="R364">
        <v>4573</v>
      </c>
    </row>
    <row r="365" spans="1:18" x14ac:dyDescent="0.25">
      <c r="A365" s="160">
        <v>42559</v>
      </c>
      <c r="B365" s="115">
        <v>409.5</v>
      </c>
      <c r="C365" s="115">
        <v>392.5</v>
      </c>
      <c r="D365" s="115">
        <v>392</v>
      </c>
      <c r="E365" s="115">
        <v>409.5</v>
      </c>
      <c r="F365" s="115">
        <v>392.5</v>
      </c>
      <c r="G365">
        <v>570</v>
      </c>
      <c r="H365" s="115"/>
      <c r="I365" s="115"/>
      <c r="L365" s="160">
        <v>42538</v>
      </c>
      <c r="M365" s="115">
        <v>642.79999999999995</v>
      </c>
      <c r="N365" s="115">
        <v>652</v>
      </c>
      <c r="O365" s="115">
        <v>640</v>
      </c>
      <c r="P365" s="115">
        <v>647.20000000000005</v>
      </c>
      <c r="Q365" s="115">
        <v>642.79999999999995</v>
      </c>
      <c r="R365">
        <v>3896</v>
      </c>
    </row>
    <row r="366" spans="1:18" x14ac:dyDescent="0.25">
      <c r="A366" s="160">
        <v>42562</v>
      </c>
      <c r="B366" s="115">
        <v>407.5</v>
      </c>
      <c r="C366" s="115">
        <v>399.95</v>
      </c>
      <c r="D366" s="115">
        <v>393.05</v>
      </c>
      <c r="E366" s="115">
        <v>405</v>
      </c>
      <c r="F366" s="115">
        <v>399.95</v>
      </c>
      <c r="G366">
        <v>1741</v>
      </c>
      <c r="H366" s="115"/>
      <c r="I366" s="115"/>
      <c r="L366" s="160">
        <v>42541</v>
      </c>
      <c r="M366" s="115">
        <v>648.6</v>
      </c>
      <c r="N366" s="115">
        <v>650</v>
      </c>
      <c r="O366" s="115">
        <v>629.95000000000005</v>
      </c>
      <c r="P366" s="115">
        <v>642.85</v>
      </c>
      <c r="Q366" s="115">
        <v>648.6</v>
      </c>
      <c r="R366">
        <v>5148</v>
      </c>
    </row>
    <row r="367" spans="1:18" x14ac:dyDescent="0.25">
      <c r="A367" s="160">
        <v>42563</v>
      </c>
      <c r="B367" s="115">
        <v>399.95</v>
      </c>
      <c r="C367" s="115">
        <v>397.55</v>
      </c>
      <c r="D367" s="115">
        <v>395</v>
      </c>
      <c r="E367" s="115">
        <v>397</v>
      </c>
      <c r="F367" s="115">
        <v>397.55</v>
      </c>
      <c r="G367">
        <v>297</v>
      </c>
      <c r="H367" s="115"/>
      <c r="I367" s="115"/>
      <c r="L367" s="160">
        <v>42542</v>
      </c>
      <c r="M367" s="115">
        <v>657.95</v>
      </c>
      <c r="N367" s="115">
        <v>675.9</v>
      </c>
      <c r="O367" s="115">
        <v>636.5</v>
      </c>
      <c r="P367" s="115">
        <v>660.75</v>
      </c>
      <c r="Q367" s="115">
        <v>657.95</v>
      </c>
      <c r="R367">
        <v>229763</v>
      </c>
    </row>
    <row r="368" spans="1:18" x14ac:dyDescent="0.25">
      <c r="A368" s="160">
        <v>42564</v>
      </c>
      <c r="B368" s="115">
        <v>414</v>
      </c>
      <c r="C368" s="115">
        <v>398.05</v>
      </c>
      <c r="D368" s="115">
        <v>396.55</v>
      </c>
      <c r="E368" s="115">
        <v>414</v>
      </c>
      <c r="F368" s="115">
        <v>398.05</v>
      </c>
      <c r="G368">
        <v>316</v>
      </c>
      <c r="H368" s="115"/>
      <c r="I368" s="115"/>
      <c r="L368" s="160">
        <v>42543</v>
      </c>
      <c r="M368" s="115">
        <v>639.20000000000005</v>
      </c>
      <c r="N368" s="115">
        <v>663.5</v>
      </c>
      <c r="O368" s="115">
        <v>636.54999999999995</v>
      </c>
      <c r="P368" s="115">
        <v>658.05</v>
      </c>
      <c r="Q368" s="115">
        <v>639.20000000000005</v>
      </c>
      <c r="R368">
        <v>134164</v>
      </c>
    </row>
    <row r="369" spans="1:18" x14ac:dyDescent="0.25">
      <c r="A369" s="160">
        <v>42565</v>
      </c>
      <c r="B369" s="115">
        <v>406</v>
      </c>
      <c r="C369" s="115">
        <v>402.35</v>
      </c>
      <c r="D369" s="115">
        <v>393.05</v>
      </c>
      <c r="E369" s="115">
        <v>393.05</v>
      </c>
      <c r="F369" s="115">
        <v>402.35</v>
      </c>
      <c r="G369">
        <v>215</v>
      </c>
      <c r="H369" s="115"/>
      <c r="I369" s="115"/>
      <c r="L369" s="160">
        <v>42544</v>
      </c>
      <c r="M369" s="115">
        <v>631.25</v>
      </c>
      <c r="N369" s="115">
        <v>649.95000000000005</v>
      </c>
      <c r="O369" s="115">
        <v>625</v>
      </c>
      <c r="P369" s="115">
        <v>649.95000000000005</v>
      </c>
      <c r="Q369" s="115">
        <v>631.25</v>
      </c>
      <c r="R369">
        <v>18830</v>
      </c>
    </row>
    <row r="370" spans="1:18" x14ac:dyDescent="0.25">
      <c r="A370" s="160">
        <v>42566</v>
      </c>
      <c r="B370" s="115">
        <v>408.95</v>
      </c>
      <c r="C370" s="115">
        <v>402.9</v>
      </c>
      <c r="D370" s="115">
        <v>401.05</v>
      </c>
      <c r="E370" s="115">
        <v>408.95</v>
      </c>
      <c r="F370" s="115">
        <v>402.9</v>
      </c>
      <c r="G370">
        <v>449</v>
      </c>
      <c r="H370" s="115"/>
      <c r="I370" s="115"/>
      <c r="L370" s="160">
        <v>42545</v>
      </c>
      <c r="M370" s="115">
        <v>623.04999999999995</v>
      </c>
      <c r="N370" s="115">
        <v>633.95000000000005</v>
      </c>
      <c r="O370" s="115">
        <v>587.1</v>
      </c>
      <c r="P370" s="115">
        <v>623.04999999999995</v>
      </c>
      <c r="Q370" s="115">
        <v>623.04999999999995</v>
      </c>
      <c r="R370">
        <v>36066</v>
      </c>
    </row>
    <row r="371" spans="1:18" x14ac:dyDescent="0.25">
      <c r="A371" s="160">
        <v>42569</v>
      </c>
      <c r="B371" s="115">
        <v>415</v>
      </c>
      <c r="C371" s="115">
        <v>407.15</v>
      </c>
      <c r="D371" s="115">
        <v>395</v>
      </c>
      <c r="E371" s="115">
        <v>395</v>
      </c>
      <c r="F371" s="115">
        <v>407.15</v>
      </c>
      <c r="G371">
        <v>4137</v>
      </c>
      <c r="H371" s="115"/>
      <c r="I371" s="115"/>
      <c r="L371" s="160">
        <v>42548</v>
      </c>
      <c r="M371" s="115">
        <v>643.1</v>
      </c>
      <c r="N371" s="115">
        <v>648</v>
      </c>
      <c r="O371" s="115">
        <v>630</v>
      </c>
      <c r="P371" s="115">
        <v>639.9</v>
      </c>
      <c r="Q371" s="115">
        <v>643.1</v>
      </c>
      <c r="R371">
        <v>9692</v>
      </c>
    </row>
    <row r="372" spans="1:18" x14ac:dyDescent="0.25">
      <c r="A372" s="160">
        <v>42570</v>
      </c>
      <c r="B372" s="115">
        <v>416</v>
      </c>
      <c r="C372" s="115">
        <v>407.2</v>
      </c>
      <c r="D372" s="115">
        <v>405.05</v>
      </c>
      <c r="E372" s="115">
        <v>405.05</v>
      </c>
      <c r="F372" s="115">
        <v>407.2</v>
      </c>
      <c r="G372">
        <v>230</v>
      </c>
      <c r="H372" s="115"/>
      <c r="I372" s="115"/>
      <c r="L372" s="160">
        <v>42549</v>
      </c>
      <c r="M372" s="115">
        <v>640.25</v>
      </c>
      <c r="N372" s="115">
        <v>650</v>
      </c>
      <c r="O372" s="115">
        <v>639.9</v>
      </c>
      <c r="P372" s="115">
        <v>645</v>
      </c>
      <c r="Q372" s="115">
        <v>640.25</v>
      </c>
      <c r="R372">
        <v>5044</v>
      </c>
    </row>
    <row r="373" spans="1:18" x14ac:dyDescent="0.25">
      <c r="A373" s="160">
        <v>42571</v>
      </c>
      <c r="B373" s="115">
        <v>415.75</v>
      </c>
      <c r="C373" s="115">
        <v>414.75</v>
      </c>
      <c r="D373" s="115">
        <v>396</v>
      </c>
      <c r="E373" s="115">
        <v>396</v>
      </c>
      <c r="F373" s="115">
        <v>414.75</v>
      </c>
      <c r="G373">
        <v>1843</v>
      </c>
      <c r="H373" s="115"/>
      <c r="I373" s="115"/>
      <c r="L373" s="160">
        <v>42550</v>
      </c>
      <c r="M373" s="115">
        <v>648.9</v>
      </c>
      <c r="N373" s="115">
        <v>654.9</v>
      </c>
      <c r="O373" s="115">
        <v>633.95000000000005</v>
      </c>
      <c r="P373" s="115">
        <v>636.5</v>
      </c>
      <c r="Q373" s="115">
        <v>648.9</v>
      </c>
      <c r="R373">
        <v>12249</v>
      </c>
    </row>
    <row r="374" spans="1:18" x14ac:dyDescent="0.25">
      <c r="A374" s="160">
        <v>42572</v>
      </c>
      <c r="B374" s="115">
        <v>415</v>
      </c>
      <c r="C374" s="115">
        <v>408.85</v>
      </c>
      <c r="D374" s="115">
        <v>408</v>
      </c>
      <c r="E374" s="115">
        <v>408</v>
      </c>
      <c r="F374" s="115">
        <v>408.85</v>
      </c>
      <c r="G374">
        <v>3313</v>
      </c>
      <c r="H374" s="115"/>
      <c r="I374" s="115"/>
      <c r="L374" s="160">
        <v>42551</v>
      </c>
      <c r="M374" s="115">
        <v>657.95</v>
      </c>
      <c r="N374" s="115">
        <v>660</v>
      </c>
      <c r="O374" s="115">
        <v>642</v>
      </c>
      <c r="P374" s="115">
        <v>659.9</v>
      </c>
      <c r="Q374" s="115">
        <v>657.95</v>
      </c>
      <c r="R374">
        <v>20418</v>
      </c>
    </row>
    <row r="375" spans="1:18" x14ac:dyDescent="0.25">
      <c r="A375" s="160">
        <v>42573</v>
      </c>
      <c r="B375" s="115">
        <v>414</v>
      </c>
      <c r="C375" s="115">
        <v>413</v>
      </c>
      <c r="D375" s="115">
        <v>412.95</v>
      </c>
      <c r="E375" s="115">
        <v>414</v>
      </c>
      <c r="F375" s="115">
        <v>413</v>
      </c>
      <c r="G375">
        <v>465</v>
      </c>
      <c r="H375" s="115"/>
      <c r="I375" s="115"/>
      <c r="L375" s="160">
        <v>42552</v>
      </c>
      <c r="M375" s="115">
        <v>664.95</v>
      </c>
      <c r="N375" s="115">
        <v>668</v>
      </c>
      <c r="O375" s="115">
        <v>651.04999999999995</v>
      </c>
      <c r="P375" s="115">
        <v>657.05</v>
      </c>
      <c r="Q375" s="115">
        <v>664.95</v>
      </c>
      <c r="R375">
        <v>8910</v>
      </c>
    </row>
    <row r="376" spans="1:18" x14ac:dyDescent="0.25">
      <c r="A376" s="160">
        <v>42576</v>
      </c>
      <c r="B376" s="115">
        <v>425</v>
      </c>
      <c r="C376" s="115">
        <v>410.85</v>
      </c>
      <c r="D376" s="115">
        <v>405</v>
      </c>
      <c r="E376" s="115">
        <v>411</v>
      </c>
      <c r="F376" s="115">
        <v>410.85</v>
      </c>
      <c r="G376">
        <v>4558</v>
      </c>
      <c r="H376" s="115"/>
      <c r="I376" s="115"/>
      <c r="L376" s="160">
        <v>42555</v>
      </c>
      <c r="M376" s="115">
        <v>649.29999999999995</v>
      </c>
      <c r="N376" s="115">
        <v>665</v>
      </c>
      <c r="O376" s="115">
        <v>644</v>
      </c>
      <c r="P376" s="115">
        <v>664.95</v>
      </c>
      <c r="Q376" s="115">
        <v>649.29999999999995</v>
      </c>
      <c r="R376">
        <v>13406</v>
      </c>
    </row>
    <row r="377" spans="1:18" x14ac:dyDescent="0.25">
      <c r="A377" s="160">
        <v>42577</v>
      </c>
      <c r="B377" s="115">
        <v>419.85</v>
      </c>
      <c r="C377" s="115">
        <v>414.3</v>
      </c>
      <c r="D377" s="115">
        <v>411</v>
      </c>
      <c r="E377" s="115">
        <v>411</v>
      </c>
      <c r="F377" s="115">
        <v>414.3</v>
      </c>
      <c r="G377">
        <v>2266</v>
      </c>
      <c r="H377" s="115"/>
      <c r="I377" s="115"/>
      <c r="L377" s="160">
        <v>42556</v>
      </c>
      <c r="M377" s="115">
        <v>641.4</v>
      </c>
      <c r="N377" s="115">
        <v>656.05</v>
      </c>
      <c r="O377" s="115">
        <v>633.1</v>
      </c>
      <c r="P377" s="115">
        <v>654.95000000000005</v>
      </c>
      <c r="Q377" s="115">
        <v>641.4</v>
      </c>
      <c r="R377">
        <v>6230</v>
      </c>
    </row>
    <row r="378" spans="1:18" x14ac:dyDescent="0.25">
      <c r="A378" s="160">
        <v>42578</v>
      </c>
      <c r="B378" s="115">
        <v>430</v>
      </c>
      <c r="C378" s="115">
        <v>417.05</v>
      </c>
      <c r="D378" s="115">
        <v>412</v>
      </c>
      <c r="E378" s="115">
        <v>418</v>
      </c>
      <c r="F378" s="115">
        <v>417.05</v>
      </c>
      <c r="G378">
        <v>4150</v>
      </c>
      <c r="H378" s="115"/>
      <c r="I378" s="115"/>
      <c r="L378" s="160">
        <v>42558</v>
      </c>
      <c r="M378" s="115">
        <v>644.20000000000005</v>
      </c>
      <c r="N378" s="115">
        <v>650</v>
      </c>
      <c r="O378" s="115">
        <v>633.04999999999995</v>
      </c>
      <c r="P378" s="115">
        <v>649.95000000000005</v>
      </c>
      <c r="Q378" s="115">
        <v>644.20000000000005</v>
      </c>
      <c r="R378">
        <v>6178</v>
      </c>
    </row>
    <row r="379" spans="1:18" x14ac:dyDescent="0.25">
      <c r="A379" s="160">
        <v>42579</v>
      </c>
      <c r="B379" s="115">
        <v>429.95</v>
      </c>
      <c r="C379" s="115">
        <v>418.05</v>
      </c>
      <c r="D379" s="115">
        <v>415.5</v>
      </c>
      <c r="E379" s="115">
        <v>429.95</v>
      </c>
      <c r="F379" s="115">
        <v>418.05</v>
      </c>
      <c r="G379">
        <v>2059</v>
      </c>
      <c r="H379" s="115"/>
      <c r="I379" s="115"/>
      <c r="L379" s="160">
        <v>42559</v>
      </c>
      <c r="M379" s="115">
        <v>643.45000000000005</v>
      </c>
      <c r="N379" s="115">
        <v>654.9</v>
      </c>
      <c r="O379" s="115">
        <v>631.6</v>
      </c>
      <c r="P379" s="115">
        <v>654.9</v>
      </c>
      <c r="Q379" s="115">
        <v>643.45000000000005</v>
      </c>
      <c r="R379">
        <v>10164</v>
      </c>
    </row>
    <row r="380" spans="1:18" x14ac:dyDescent="0.25">
      <c r="A380" s="160">
        <v>42580</v>
      </c>
      <c r="B380" s="115">
        <v>399</v>
      </c>
      <c r="C380" s="115">
        <v>377.3</v>
      </c>
      <c r="D380" s="115">
        <v>352</v>
      </c>
      <c r="E380" s="115">
        <v>399</v>
      </c>
      <c r="F380" s="115">
        <v>377.3</v>
      </c>
      <c r="G380">
        <v>4947</v>
      </c>
      <c r="H380" s="115"/>
      <c r="I380" s="115"/>
      <c r="L380" s="160">
        <v>42562</v>
      </c>
      <c r="M380" s="115">
        <v>655.9</v>
      </c>
      <c r="N380" s="115">
        <v>658</v>
      </c>
      <c r="O380" s="115">
        <v>643</v>
      </c>
      <c r="P380" s="115">
        <v>643.45000000000005</v>
      </c>
      <c r="Q380" s="115">
        <v>655.9</v>
      </c>
      <c r="R380">
        <v>9123</v>
      </c>
    </row>
    <row r="381" spans="1:18" x14ac:dyDescent="0.25">
      <c r="A381" s="160">
        <v>42583</v>
      </c>
      <c r="B381" s="115">
        <v>382.95</v>
      </c>
      <c r="C381" s="115">
        <v>375.9</v>
      </c>
      <c r="D381" s="115">
        <v>370.05</v>
      </c>
      <c r="E381" s="115">
        <v>370.05</v>
      </c>
      <c r="F381" s="115">
        <v>375.9</v>
      </c>
      <c r="G381">
        <v>1490</v>
      </c>
      <c r="H381" s="115"/>
      <c r="I381" s="115"/>
      <c r="L381" s="160">
        <v>42563</v>
      </c>
      <c r="M381" s="115">
        <v>657.6</v>
      </c>
      <c r="N381" s="115">
        <v>660</v>
      </c>
      <c r="O381" s="115">
        <v>650.04999999999995</v>
      </c>
      <c r="P381" s="115">
        <v>650.1</v>
      </c>
      <c r="Q381" s="115">
        <v>657.6</v>
      </c>
      <c r="R381">
        <v>8271</v>
      </c>
    </row>
    <row r="382" spans="1:18" x14ac:dyDescent="0.25">
      <c r="A382" s="160">
        <v>42584</v>
      </c>
      <c r="B382" s="115">
        <v>376</v>
      </c>
      <c r="C382" s="115">
        <v>369.4</v>
      </c>
      <c r="D382" s="115">
        <v>369.2</v>
      </c>
      <c r="E382" s="115">
        <v>372.15</v>
      </c>
      <c r="F382" s="115">
        <v>369.4</v>
      </c>
      <c r="G382">
        <v>1401</v>
      </c>
      <c r="H382" s="115"/>
      <c r="I382" s="115"/>
      <c r="L382" s="160">
        <v>42564</v>
      </c>
      <c r="M382" s="115">
        <v>643</v>
      </c>
      <c r="N382" s="115">
        <v>662.95</v>
      </c>
      <c r="O382" s="115">
        <v>640.20000000000005</v>
      </c>
      <c r="P382" s="115">
        <v>651.15</v>
      </c>
      <c r="Q382" s="115">
        <v>643</v>
      </c>
      <c r="R382">
        <v>3898</v>
      </c>
    </row>
    <row r="383" spans="1:18" x14ac:dyDescent="0.25">
      <c r="A383" s="160">
        <v>42585</v>
      </c>
      <c r="B383" s="115">
        <v>371.95</v>
      </c>
      <c r="C383" s="115">
        <v>361.55</v>
      </c>
      <c r="D383" s="115">
        <v>360</v>
      </c>
      <c r="E383" s="115">
        <v>360.05</v>
      </c>
      <c r="F383" s="115">
        <v>361.55</v>
      </c>
      <c r="G383">
        <v>1082</v>
      </c>
      <c r="H383" s="115"/>
      <c r="I383" s="115"/>
      <c r="L383" s="160">
        <v>42565</v>
      </c>
      <c r="M383" s="115">
        <v>640.20000000000005</v>
      </c>
      <c r="N383" s="115">
        <v>654.9</v>
      </c>
      <c r="O383" s="115">
        <v>635</v>
      </c>
      <c r="P383" s="115">
        <v>649</v>
      </c>
      <c r="Q383" s="115">
        <v>640.20000000000005</v>
      </c>
      <c r="R383">
        <v>6638</v>
      </c>
    </row>
    <row r="384" spans="1:18" x14ac:dyDescent="0.25">
      <c r="A384" s="160">
        <v>42586</v>
      </c>
      <c r="B384" s="115">
        <v>371.65</v>
      </c>
      <c r="C384" s="115">
        <v>369.75</v>
      </c>
      <c r="D384" s="115">
        <v>369.75</v>
      </c>
      <c r="E384" s="115">
        <v>370</v>
      </c>
      <c r="F384" s="115">
        <v>369.75</v>
      </c>
      <c r="G384">
        <v>309</v>
      </c>
      <c r="H384" s="115"/>
      <c r="I384" s="115"/>
      <c r="L384" s="160">
        <v>42566</v>
      </c>
      <c r="M384" s="115">
        <v>640.9</v>
      </c>
      <c r="N384" s="115">
        <v>644.95000000000005</v>
      </c>
      <c r="O384" s="115">
        <v>624.15</v>
      </c>
      <c r="P384" s="115">
        <v>642.04999999999995</v>
      </c>
      <c r="Q384" s="115">
        <v>640.9</v>
      </c>
      <c r="R384">
        <v>4720</v>
      </c>
    </row>
    <row r="385" spans="1:18" x14ac:dyDescent="0.25">
      <c r="A385" s="160">
        <v>42587</v>
      </c>
      <c r="B385" s="115">
        <v>365</v>
      </c>
      <c r="C385" s="115">
        <v>362.9</v>
      </c>
      <c r="D385" s="115">
        <v>362.9</v>
      </c>
      <c r="E385" s="115">
        <v>365</v>
      </c>
      <c r="F385" s="115">
        <v>362.9</v>
      </c>
      <c r="G385">
        <v>51</v>
      </c>
      <c r="H385" s="115"/>
      <c r="I385" s="115"/>
      <c r="L385" s="160">
        <v>42569</v>
      </c>
      <c r="M385" s="115">
        <v>634.79999999999995</v>
      </c>
      <c r="N385" s="115">
        <v>649.9</v>
      </c>
      <c r="O385" s="115">
        <v>632.5</v>
      </c>
      <c r="P385" s="115">
        <v>643.35</v>
      </c>
      <c r="Q385" s="115">
        <v>634.79999999999995</v>
      </c>
      <c r="R385">
        <v>5700</v>
      </c>
    </row>
    <row r="386" spans="1:18" x14ac:dyDescent="0.25">
      <c r="A386" s="160">
        <v>42590</v>
      </c>
      <c r="B386" s="115">
        <v>375.4</v>
      </c>
      <c r="C386" s="115">
        <v>366.3</v>
      </c>
      <c r="D386" s="115">
        <v>362</v>
      </c>
      <c r="E386" s="115">
        <v>362</v>
      </c>
      <c r="F386" s="115">
        <v>366.3</v>
      </c>
      <c r="G386">
        <v>389</v>
      </c>
      <c r="H386" s="115"/>
      <c r="I386" s="115"/>
      <c r="L386" s="160">
        <v>42570</v>
      </c>
      <c r="M386" s="115">
        <v>637.15</v>
      </c>
      <c r="N386" s="115">
        <v>642.45000000000005</v>
      </c>
      <c r="O386" s="115">
        <v>632.04999999999995</v>
      </c>
      <c r="P386" s="115">
        <v>632.5</v>
      </c>
      <c r="Q386" s="115">
        <v>637.15</v>
      </c>
      <c r="R386">
        <v>3284</v>
      </c>
    </row>
    <row r="387" spans="1:18" x14ac:dyDescent="0.25">
      <c r="A387" s="160">
        <v>42591</v>
      </c>
      <c r="B387" s="115">
        <v>366</v>
      </c>
      <c r="C387" s="115">
        <v>363.75</v>
      </c>
      <c r="D387" s="115">
        <v>363.6</v>
      </c>
      <c r="E387" s="115">
        <v>366</v>
      </c>
      <c r="F387" s="115">
        <v>363.75</v>
      </c>
      <c r="G387">
        <v>105</v>
      </c>
      <c r="H387" s="115"/>
      <c r="I387" s="115"/>
      <c r="L387" s="160">
        <v>42571</v>
      </c>
      <c r="M387" s="115">
        <v>655.75</v>
      </c>
      <c r="N387" s="115">
        <v>657.15</v>
      </c>
      <c r="O387" s="115">
        <v>637.15</v>
      </c>
      <c r="P387" s="115">
        <v>637.20000000000005</v>
      </c>
      <c r="Q387" s="115">
        <v>655.75</v>
      </c>
      <c r="R387">
        <v>7979</v>
      </c>
    </row>
    <row r="388" spans="1:18" x14ac:dyDescent="0.25">
      <c r="A388" s="160">
        <v>42592</v>
      </c>
      <c r="B388" s="115">
        <v>374.95</v>
      </c>
      <c r="C388" s="115">
        <v>373.5</v>
      </c>
      <c r="D388" s="115">
        <v>365.5</v>
      </c>
      <c r="E388" s="115">
        <v>366.05</v>
      </c>
      <c r="F388" s="115">
        <v>373.5</v>
      </c>
      <c r="G388">
        <v>145</v>
      </c>
      <c r="H388" s="115"/>
      <c r="I388" s="115"/>
      <c r="L388" s="160">
        <v>42572</v>
      </c>
      <c r="M388" s="115">
        <v>644.79999999999995</v>
      </c>
      <c r="N388" s="115">
        <v>658.5</v>
      </c>
      <c r="O388" s="115">
        <v>640.04999999999995</v>
      </c>
      <c r="P388" s="115">
        <v>655.75</v>
      </c>
      <c r="Q388" s="115">
        <v>644.79999999999995</v>
      </c>
      <c r="R388">
        <v>5357</v>
      </c>
    </row>
    <row r="389" spans="1:18" x14ac:dyDescent="0.25">
      <c r="A389" s="160">
        <v>42593</v>
      </c>
      <c r="B389" s="115">
        <v>378</v>
      </c>
      <c r="C389" s="115">
        <v>370.8</v>
      </c>
      <c r="D389" s="115">
        <v>366</v>
      </c>
      <c r="E389" s="115">
        <v>366</v>
      </c>
      <c r="F389" s="115">
        <v>370.8</v>
      </c>
      <c r="G389">
        <v>3601</v>
      </c>
      <c r="H389" s="115"/>
      <c r="I389" s="115"/>
      <c r="L389" s="160">
        <v>42573</v>
      </c>
      <c r="M389" s="115">
        <v>649</v>
      </c>
      <c r="N389" s="115">
        <v>655</v>
      </c>
      <c r="O389" s="115">
        <v>641.29999999999995</v>
      </c>
      <c r="P389" s="115">
        <v>646.95000000000005</v>
      </c>
      <c r="Q389" s="115">
        <v>649</v>
      </c>
      <c r="R389">
        <v>7748</v>
      </c>
    </row>
    <row r="390" spans="1:18" x14ac:dyDescent="0.25">
      <c r="A390" s="160">
        <v>42594</v>
      </c>
      <c r="B390" s="115">
        <v>378</v>
      </c>
      <c r="C390" s="115">
        <v>370.05</v>
      </c>
      <c r="D390" s="115">
        <v>368.15</v>
      </c>
      <c r="E390" s="115">
        <v>371</v>
      </c>
      <c r="F390" s="115">
        <v>370.05</v>
      </c>
      <c r="G390">
        <v>2223</v>
      </c>
      <c r="H390" s="115"/>
      <c r="I390" s="115"/>
      <c r="L390" s="160">
        <v>42576</v>
      </c>
      <c r="M390" s="115">
        <v>650.9</v>
      </c>
      <c r="N390" s="115">
        <v>660</v>
      </c>
      <c r="O390" s="115">
        <v>646.5</v>
      </c>
      <c r="P390" s="115">
        <v>649</v>
      </c>
      <c r="Q390" s="115">
        <v>650.9</v>
      </c>
      <c r="R390">
        <v>10157</v>
      </c>
    </row>
    <row r="391" spans="1:18" x14ac:dyDescent="0.25">
      <c r="A391" s="160">
        <v>42598</v>
      </c>
      <c r="B391" s="115">
        <v>375</v>
      </c>
      <c r="C391" s="115">
        <v>372.05</v>
      </c>
      <c r="D391" s="115">
        <v>372</v>
      </c>
      <c r="E391" s="115">
        <v>373</v>
      </c>
      <c r="F391" s="115">
        <v>372.05</v>
      </c>
      <c r="G391">
        <v>195</v>
      </c>
      <c r="H391" s="115"/>
      <c r="I391" s="115"/>
      <c r="L391" s="160">
        <v>42577</v>
      </c>
      <c r="M391" s="115">
        <v>652.1</v>
      </c>
      <c r="N391" s="115">
        <v>655</v>
      </c>
      <c r="O391" s="115">
        <v>648.5</v>
      </c>
      <c r="P391" s="115">
        <v>650.9</v>
      </c>
      <c r="Q391" s="115">
        <v>652.1</v>
      </c>
      <c r="R391">
        <v>3869</v>
      </c>
    </row>
    <row r="392" spans="1:18" x14ac:dyDescent="0.25">
      <c r="A392" s="160">
        <v>42599</v>
      </c>
      <c r="B392" s="115">
        <v>393.95</v>
      </c>
      <c r="C392" s="115">
        <v>390</v>
      </c>
      <c r="D392" s="115">
        <v>389.9</v>
      </c>
      <c r="E392" s="115">
        <v>392</v>
      </c>
      <c r="F392" s="115">
        <v>390</v>
      </c>
      <c r="G392">
        <v>380</v>
      </c>
      <c r="H392" s="115"/>
      <c r="I392" s="115"/>
      <c r="L392" s="160">
        <v>42578</v>
      </c>
      <c r="M392" s="115">
        <v>660.35</v>
      </c>
      <c r="N392" s="115">
        <v>662.05</v>
      </c>
      <c r="O392" s="115">
        <v>647</v>
      </c>
      <c r="P392" s="115">
        <v>647</v>
      </c>
      <c r="Q392" s="115">
        <v>660.35</v>
      </c>
      <c r="R392">
        <v>16139</v>
      </c>
    </row>
    <row r="393" spans="1:18" x14ac:dyDescent="0.25">
      <c r="A393" s="160">
        <v>42600</v>
      </c>
      <c r="B393" s="115">
        <v>385</v>
      </c>
      <c r="C393" s="115">
        <v>384</v>
      </c>
      <c r="D393" s="115">
        <v>384</v>
      </c>
      <c r="E393" s="115">
        <v>385</v>
      </c>
      <c r="F393" s="115">
        <v>384</v>
      </c>
      <c r="G393">
        <v>100</v>
      </c>
      <c r="H393" s="115"/>
      <c r="I393" s="115"/>
      <c r="L393" s="160">
        <v>42579</v>
      </c>
      <c r="M393" s="115">
        <v>668.8</v>
      </c>
      <c r="N393" s="115">
        <v>669.9</v>
      </c>
      <c r="O393" s="115">
        <v>656</v>
      </c>
      <c r="P393" s="115">
        <v>660.35</v>
      </c>
      <c r="Q393" s="115">
        <v>668.8</v>
      </c>
      <c r="R393">
        <v>11745</v>
      </c>
    </row>
    <row r="394" spans="1:18" x14ac:dyDescent="0.25">
      <c r="A394" s="160">
        <v>42601</v>
      </c>
      <c r="B394" s="115">
        <v>397.9</v>
      </c>
      <c r="C394" s="115">
        <v>382.05</v>
      </c>
      <c r="D394" s="115">
        <v>382.05</v>
      </c>
      <c r="E394" s="115">
        <v>397.9</v>
      </c>
      <c r="F394" s="115">
        <v>382.05</v>
      </c>
      <c r="G394">
        <v>25</v>
      </c>
      <c r="H394" s="115"/>
      <c r="I394" s="115"/>
      <c r="L394" s="160">
        <v>42580</v>
      </c>
      <c r="M394" s="115">
        <v>663.9</v>
      </c>
      <c r="N394" s="115">
        <v>668</v>
      </c>
      <c r="O394" s="115">
        <v>660.25</v>
      </c>
      <c r="P394" s="115">
        <v>668</v>
      </c>
      <c r="Q394" s="115">
        <v>663.9</v>
      </c>
      <c r="R394">
        <v>4844</v>
      </c>
    </row>
    <row r="395" spans="1:18" x14ac:dyDescent="0.25">
      <c r="A395" s="160">
        <v>42604</v>
      </c>
      <c r="B395" s="115">
        <v>390</v>
      </c>
      <c r="C395" s="115">
        <v>385.05</v>
      </c>
      <c r="D395" s="115">
        <v>380.15</v>
      </c>
      <c r="E395" s="115">
        <v>390</v>
      </c>
      <c r="F395" s="115">
        <v>385.05</v>
      </c>
      <c r="G395">
        <v>269</v>
      </c>
      <c r="H395" s="115"/>
      <c r="I395" s="115"/>
      <c r="L395" s="160">
        <v>42583</v>
      </c>
      <c r="M395" s="115">
        <v>645.5</v>
      </c>
      <c r="N395" s="115">
        <v>655</v>
      </c>
      <c r="O395" s="115">
        <v>640.29999999999995</v>
      </c>
      <c r="P395" s="115">
        <v>655</v>
      </c>
      <c r="Q395" s="115">
        <v>645.5</v>
      </c>
      <c r="R395">
        <v>32726</v>
      </c>
    </row>
    <row r="396" spans="1:18" x14ac:dyDescent="0.25">
      <c r="A396" s="160">
        <v>42605</v>
      </c>
      <c r="B396" s="115">
        <v>410</v>
      </c>
      <c r="C396" s="115">
        <v>391</v>
      </c>
      <c r="D396" s="115">
        <v>391</v>
      </c>
      <c r="E396" s="115">
        <v>402.95</v>
      </c>
      <c r="F396" s="115">
        <v>391</v>
      </c>
      <c r="G396">
        <v>4775</v>
      </c>
      <c r="H396" s="115"/>
      <c r="I396" s="115"/>
      <c r="L396" s="160">
        <v>42584</v>
      </c>
      <c r="M396" s="115">
        <v>645.65</v>
      </c>
      <c r="N396" s="115">
        <v>650</v>
      </c>
      <c r="O396" s="115">
        <v>640.5</v>
      </c>
      <c r="P396" s="115">
        <v>642</v>
      </c>
      <c r="Q396" s="115">
        <v>645.65</v>
      </c>
      <c r="R396">
        <v>7851</v>
      </c>
    </row>
    <row r="397" spans="1:18" x14ac:dyDescent="0.25">
      <c r="A397" s="160">
        <v>42606</v>
      </c>
      <c r="B397" s="115">
        <v>400</v>
      </c>
      <c r="C397" s="115">
        <v>393</v>
      </c>
      <c r="D397" s="115">
        <v>391</v>
      </c>
      <c r="E397" s="115">
        <v>391</v>
      </c>
      <c r="F397" s="115">
        <v>393</v>
      </c>
      <c r="G397">
        <v>140</v>
      </c>
      <c r="H397" s="115"/>
      <c r="I397" s="115"/>
      <c r="L397" s="160">
        <v>42585</v>
      </c>
      <c r="M397" s="115">
        <v>640.4</v>
      </c>
      <c r="N397" s="115">
        <v>645</v>
      </c>
      <c r="O397" s="115">
        <v>635.1</v>
      </c>
      <c r="P397" s="115">
        <v>642.04999999999995</v>
      </c>
      <c r="Q397" s="115">
        <v>640.4</v>
      </c>
      <c r="R397">
        <v>4653</v>
      </c>
    </row>
    <row r="398" spans="1:18" x14ac:dyDescent="0.25">
      <c r="A398" s="160">
        <v>42607</v>
      </c>
      <c r="B398" s="115">
        <v>405</v>
      </c>
      <c r="C398" s="115">
        <v>391.7</v>
      </c>
      <c r="D398" s="115">
        <v>389</v>
      </c>
      <c r="E398" s="115">
        <v>400</v>
      </c>
      <c r="F398" s="115">
        <v>391.7</v>
      </c>
      <c r="G398">
        <v>2742</v>
      </c>
      <c r="H398" s="115"/>
      <c r="I398" s="115"/>
      <c r="L398" s="160">
        <v>42586</v>
      </c>
      <c r="M398" s="115">
        <v>634.70000000000005</v>
      </c>
      <c r="N398" s="115">
        <v>646</v>
      </c>
      <c r="O398" s="115">
        <v>630.1</v>
      </c>
      <c r="P398" s="115">
        <v>646</v>
      </c>
      <c r="Q398" s="115">
        <v>634.70000000000005</v>
      </c>
      <c r="R398">
        <v>6431</v>
      </c>
    </row>
    <row r="399" spans="1:18" x14ac:dyDescent="0.25">
      <c r="A399" s="160">
        <v>42608</v>
      </c>
      <c r="B399" s="115">
        <v>400</v>
      </c>
      <c r="C399" s="115">
        <v>393</v>
      </c>
      <c r="D399" s="115">
        <v>393</v>
      </c>
      <c r="E399" s="115">
        <v>399</v>
      </c>
      <c r="F399" s="115">
        <v>393</v>
      </c>
      <c r="G399">
        <v>121</v>
      </c>
      <c r="H399" s="115"/>
      <c r="I399" s="115"/>
      <c r="L399" s="160">
        <v>42587</v>
      </c>
      <c r="M399" s="115">
        <v>639.54999999999995</v>
      </c>
      <c r="N399" s="115">
        <v>642</v>
      </c>
      <c r="O399" s="115">
        <v>630</v>
      </c>
      <c r="P399" s="115">
        <v>634.70000000000005</v>
      </c>
      <c r="Q399" s="115">
        <v>639.54999999999995</v>
      </c>
      <c r="R399">
        <v>102218</v>
      </c>
    </row>
    <row r="400" spans="1:18" x14ac:dyDescent="0.25">
      <c r="A400" s="160">
        <v>42611</v>
      </c>
      <c r="B400" s="115">
        <v>393</v>
      </c>
      <c r="C400" s="115">
        <v>393</v>
      </c>
      <c r="D400" s="115">
        <v>393</v>
      </c>
      <c r="E400" s="115">
        <v>393</v>
      </c>
      <c r="F400" s="115">
        <v>393</v>
      </c>
      <c r="G400">
        <v>205</v>
      </c>
      <c r="H400" s="115"/>
      <c r="I400" s="115"/>
      <c r="L400" s="160">
        <v>42590</v>
      </c>
      <c r="M400" s="115">
        <v>650</v>
      </c>
      <c r="N400" s="115">
        <v>650</v>
      </c>
      <c r="O400" s="115">
        <v>641</v>
      </c>
      <c r="P400" s="115">
        <v>648</v>
      </c>
      <c r="Q400" s="115">
        <v>650</v>
      </c>
      <c r="R400">
        <v>3519</v>
      </c>
    </row>
    <row r="401" spans="1:18" x14ac:dyDescent="0.25">
      <c r="A401" s="160">
        <v>42612</v>
      </c>
      <c r="B401" s="115">
        <v>399.95</v>
      </c>
      <c r="C401" s="115">
        <v>388</v>
      </c>
      <c r="D401" s="115">
        <v>384.1</v>
      </c>
      <c r="E401" s="115">
        <v>394</v>
      </c>
      <c r="F401" s="115">
        <v>388</v>
      </c>
      <c r="G401">
        <v>384</v>
      </c>
      <c r="H401" s="115"/>
      <c r="I401" s="115"/>
      <c r="L401" s="160">
        <v>42591</v>
      </c>
      <c r="M401" s="115">
        <v>634.70000000000005</v>
      </c>
      <c r="N401" s="115">
        <v>650.5</v>
      </c>
      <c r="O401" s="115">
        <v>631.15</v>
      </c>
      <c r="P401" s="115">
        <v>641</v>
      </c>
      <c r="Q401" s="115">
        <v>634.70000000000005</v>
      </c>
      <c r="R401">
        <v>7602</v>
      </c>
    </row>
    <row r="402" spans="1:18" x14ac:dyDescent="0.25">
      <c r="A402" s="160">
        <v>42613</v>
      </c>
      <c r="B402" s="115">
        <v>430</v>
      </c>
      <c r="C402" s="115">
        <v>399.95</v>
      </c>
      <c r="D402" s="115">
        <v>395</v>
      </c>
      <c r="E402" s="115">
        <v>405</v>
      </c>
      <c r="F402" s="115">
        <v>399.95</v>
      </c>
      <c r="G402">
        <v>8302</v>
      </c>
      <c r="H402" s="115"/>
      <c r="I402" s="115"/>
      <c r="L402" s="160">
        <v>42592</v>
      </c>
      <c r="M402" s="115">
        <v>638.85</v>
      </c>
      <c r="N402" s="115">
        <v>645</v>
      </c>
      <c r="O402" s="115">
        <v>635</v>
      </c>
      <c r="P402" s="115">
        <v>635</v>
      </c>
      <c r="Q402" s="115">
        <v>638.85</v>
      </c>
      <c r="R402">
        <v>9179</v>
      </c>
    </row>
    <row r="403" spans="1:18" x14ac:dyDescent="0.25">
      <c r="A403" s="160">
        <v>42614</v>
      </c>
      <c r="B403" s="115">
        <v>409</v>
      </c>
      <c r="C403" s="115">
        <v>396</v>
      </c>
      <c r="D403" s="115">
        <v>395.05</v>
      </c>
      <c r="E403" s="115">
        <v>409</v>
      </c>
      <c r="F403" s="115">
        <v>396</v>
      </c>
      <c r="G403">
        <v>255</v>
      </c>
      <c r="H403" s="115"/>
      <c r="I403" s="115"/>
      <c r="L403" s="160">
        <v>42593</v>
      </c>
      <c r="M403" s="115">
        <v>639.4</v>
      </c>
      <c r="N403" s="115">
        <v>655.65</v>
      </c>
      <c r="O403" s="115">
        <v>635.20000000000005</v>
      </c>
      <c r="P403" s="115">
        <v>636.20000000000005</v>
      </c>
      <c r="Q403" s="115">
        <v>639.4</v>
      </c>
      <c r="R403">
        <v>20004</v>
      </c>
    </row>
    <row r="404" spans="1:18" x14ac:dyDescent="0.25">
      <c r="A404" s="160">
        <v>42615</v>
      </c>
      <c r="B404" s="115">
        <v>408.95</v>
      </c>
      <c r="C404" s="115">
        <v>407.55</v>
      </c>
      <c r="D404" s="115">
        <v>396</v>
      </c>
      <c r="E404" s="115">
        <v>397</v>
      </c>
      <c r="F404" s="115">
        <v>407.55</v>
      </c>
      <c r="G404">
        <v>265</v>
      </c>
      <c r="H404" s="115"/>
      <c r="I404" s="115"/>
      <c r="L404" s="160">
        <v>42594</v>
      </c>
      <c r="M404" s="115">
        <v>677.5</v>
      </c>
      <c r="N404" s="115">
        <v>685</v>
      </c>
      <c r="O404" s="115">
        <v>639</v>
      </c>
      <c r="P404" s="115">
        <v>644.95000000000005</v>
      </c>
      <c r="Q404" s="115">
        <v>677.5</v>
      </c>
      <c r="R404">
        <v>71395</v>
      </c>
    </row>
    <row r="405" spans="1:18" x14ac:dyDescent="0.25">
      <c r="A405" s="160">
        <v>42619</v>
      </c>
      <c r="B405" s="115">
        <v>404.9</v>
      </c>
      <c r="C405" s="115">
        <v>395.45</v>
      </c>
      <c r="D405" s="115">
        <v>395</v>
      </c>
      <c r="E405" s="115">
        <v>397.05</v>
      </c>
      <c r="F405" s="115">
        <v>395.45</v>
      </c>
      <c r="G405">
        <v>1321</v>
      </c>
      <c r="H405" s="115"/>
      <c r="I405" s="115"/>
      <c r="L405" s="160">
        <v>42598</v>
      </c>
      <c r="M405" s="115">
        <v>678.15</v>
      </c>
      <c r="N405" s="115">
        <v>684.4</v>
      </c>
      <c r="O405" s="115">
        <v>660.05</v>
      </c>
      <c r="P405" s="115">
        <v>681</v>
      </c>
      <c r="Q405" s="115">
        <v>678.15</v>
      </c>
      <c r="R405">
        <v>14152</v>
      </c>
    </row>
    <row r="406" spans="1:18" x14ac:dyDescent="0.25">
      <c r="A406" s="160">
        <v>42620</v>
      </c>
      <c r="B406" s="115">
        <v>405</v>
      </c>
      <c r="C406" s="115">
        <v>383.3</v>
      </c>
      <c r="D406" s="115">
        <v>372.1</v>
      </c>
      <c r="E406" s="115">
        <v>405</v>
      </c>
      <c r="F406" s="115">
        <v>383.3</v>
      </c>
      <c r="G406">
        <v>2028</v>
      </c>
      <c r="H406" s="115"/>
      <c r="I406" s="115"/>
      <c r="L406" s="160">
        <v>42599</v>
      </c>
      <c r="M406" s="115">
        <v>662.45</v>
      </c>
      <c r="N406" s="115">
        <v>675.65</v>
      </c>
      <c r="O406" s="115">
        <v>655</v>
      </c>
      <c r="P406" s="115">
        <v>670</v>
      </c>
      <c r="Q406" s="115">
        <v>662.45</v>
      </c>
      <c r="R406">
        <v>17006</v>
      </c>
    </row>
    <row r="407" spans="1:18" x14ac:dyDescent="0.25">
      <c r="A407" s="160">
        <v>42621</v>
      </c>
      <c r="B407" s="115">
        <v>392</v>
      </c>
      <c r="C407" s="115">
        <v>391.7</v>
      </c>
      <c r="D407" s="115">
        <v>385</v>
      </c>
      <c r="E407" s="115">
        <v>385.1</v>
      </c>
      <c r="F407" s="115">
        <v>391.7</v>
      </c>
      <c r="G407">
        <v>2085</v>
      </c>
      <c r="H407" s="115"/>
      <c r="I407" s="115"/>
      <c r="L407" s="160">
        <v>42600</v>
      </c>
      <c r="M407" s="115">
        <v>677.5</v>
      </c>
      <c r="N407" s="115">
        <v>684</v>
      </c>
      <c r="O407" s="115">
        <v>654.1</v>
      </c>
      <c r="P407" s="115">
        <v>659</v>
      </c>
      <c r="Q407" s="115">
        <v>677.5</v>
      </c>
      <c r="R407">
        <v>15955</v>
      </c>
    </row>
    <row r="408" spans="1:18" x14ac:dyDescent="0.25">
      <c r="A408" s="160">
        <v>42622</v>
      </c>
      <c r="B408" s="115">
        <v>392</v>
      </c>
      <c r="C408" s="115">
        <v>384.35</v>
      </c>
      <c r="D408" s="115">
        <v>383.05</v>
      </c>
      <c r="E408" s="115">
        <v>390</v>
      </c>
      <c r="F408" s="115">
        <v>384.35</v>
      </c>
      <c r="G408">
        <v>813</v>
      </c>
      <c r="H408" s="115"/>
      <c r="I408" s="115"/>
      <c r="L408" s="160">
        <v>42601</v>
      </c>
      <c r="M408" s="115">
        <v>695.4</v>
      </c>
      <c r="N408" s="115">
        <v>698</v>
      </c>
      <c r="O408" s="115">
        <v>678.15</v>
      </c>
      <c r="P408" s="115">
        <v>684</v>
      </c>
      <c r="Q408" s="115">
        <v>695.4</v>
      </c>
      <c r="R408">
        <v>25506</v>
      </c>
    </row>
    <row r="409" spans="1:18" x14ac:dyDescent="0.25">
      <c r="A409" s="160">
        <v>42625</v>
      </c>
      <c r="B409" s="115">
        <v>389.85</v>
      </c>
      <c r="C409" s="115">
        <v>382.3</v>
      </c>
      <c r="D409" s="115">
        <v>381.15</v>
      </c>
      <c r="E409" s="115">
        <v>385</v>
      </c>
      <c r="F409" s="115">
        <v>382.3</v>
      </c>
      <c r="G409">
        <v>500</v>
      </c>
      <c r="H409" s="115"/>
      <c r="I409" s="115"/>
      <c r="L409" s="160">
        <v>42604</v>
      </c>
      <c r="M409" s="115">
        <v>710.05</v>
      </c>
      <c r="N409" s="115">
        <v>715.95</v>
      </c>
      <c r="O409" s="115">
        <v>685</v>
      </c>
      <c r="P409" s="115">
        <v>694.65</v>
      </c>
      <c r="Q409" s="115">
        <v>710.05</v>
      </c>
      <c r="R409">
        <v>16799</v>
      </c>
    </row>
    <row r="410" spans="1:18" x14ac:dyDescent="0.25">
      <c r="A410" s="160">
        <v>42627</v>
      </c>
      <c r="B410" s="115">
        <v>387.5</v>
      </c>
      <c r="C410" s="115">
        <v>378.05</v>
      </c>
      <c r="D410" s="115">
        <v>375</v>
      </c>
      <c r="E410" s="115">
        <v>387.5</v>
      </c>
      <c r="F410" s="115">
        <v>378.05</v>
      </c>
      <c r="G410">
        <v>614</v>
      </c>
      <c r="H410" s="115"/>
      <c r="I410" s="115"/>
      <c r="L410" s="160">
        <v>42605</v>
      </c>
      <c r="M410" s="115">
        <v>723.05</v>
      </c>
      <c r="N410" s="115">
        <v>729.5</v>
      </c>
      <c r="O410" s="115">
        <v>701</v>
      </c>
      <c r="P410" s="115">
        <v>718</v>
      </c>
      <c r="Q410" s="115">
        <v>723.05</v>
      </c>
      <c r="R410">
        <v>27315</v>
      </c>
    </row>
    <row r="411" spans="1:18" x14ac:dyDescent="0.25">
      <c r="A411" s="160">
        <v>42628</v>
      </c>
      <c r="B411" s="115">
        <v>389.45</v>
      </c>
      <c r="C411" s="115">
        <v>383.05</v>
      </c>
      <c r="D411" s="115">
        <v>380</v>
      </c>
      <c r="E411" s="115">
        <v>380</v>
      </c>
      <c r="F411" s="115">
        <v>383.05</v>
      </c>
      <c r="G411">
        <v>467</v>
      </c>
      <c r="H411" s="115"/>
      <c r="I411" s="115"/>
      <c r="L411" s="160">
        <v>42606</v>
      </c>
      <c r="M411" s="115">
        <v>712.35</v>
      </c>
      <c r="N411" s="115">
        <v>728</v>
      </c>
      <c r="O411" s="115">
        <v>700</v>
      </c>
      <c r="P411" s="115">
        <v>725</v>
      </c>
      <c r="Q411" s="115">
        <v>712.35</v>
      </c>
      <c r="R411">
        <v>13232</v>
      </c>
    </row>
    <row r="412" spans="1:18" x14ac:dyDescent="0.25">
      <c r="A412" s="160">
        <v>42629</v>
      </c>
      <c r="B412" s="115">
        <v>389.95</v>
      </c>
      <c r="C412" s="115">
        <v>372.9</v>
      </c>
      <c r="D412" s="115">
        <v>365</v>
      </c>
      <c r="E412" s="115">
        <v>376</v>
      </c>
      <c r="F412" s="115">
        <v>372.9</v>
      </c>
      <c r="G412">
        <v>2120</v>
      </c>
      <c r="H412" s="115"/>
      <c r="I412" s="115"/>
      <c r="L412" s="160">
        <v>42607</v>
      </c>
      <c r="M412" s="115">
        <v>715.5</v>
      </c>
      <c r="N412" s="115">
        <v>730</v>
      </c>
      <c r="O412" s="115">
        <v>710</v>
      </c>
      <c r="P412" s="115">
        <v>730</v>
      </c>
      <c r="Q412" s="115">
        <v>715.5</v>
      </c>
      <c r="R412">
        <v>12554</v>
      </c>
    </row>
    <row r="413" spans="1:18" x14ac:dyDescent="0.25">
      <c r="A413" s="160">
        <v>42632</v>
      </c>
      <c r="B413" s="115">
        <v>398.7</v>
      </c>
      <c r="C413" s="115">
        <v>390.4</v>
      </c>
      <c r="D413" s="115">
        <v>380.05</v>
      </c>
      <c r="E413" s="115">
        <v>380.95</v>
      </c>
      <c r="F413" s="115">
        <v>390.4</v>
      </c>
      <c r="G413">
        <v>3996</v>
      </c>
      <c r="H413" s="115"/>
      <c r="I413" s="115"/>
      <c r="L413" s="160">
        <v>42608</v>
      </c>
      <c r="M413" s="115">
        <v>720.05</v>
      </c>
      <c r="N413" s="115">
        <v>724</v>
      </c>
      <c r="O413" s="115">
        <v>705.25</v>
      </c>
      <c r="P413" s="115">
        <v>715</v>
      </c>
      <c r="Q413" s="115">
        <v>720.05</v>
      </c>
      <c r="R413">
        <v>13299</v>
      </c>
    </row>
    <row r="414" spans="1:18" x14ac:dyDescent="0.25">
      <c r="A414" s="160">
        <v>42633</v>
      </c>
      <c r="B414" s="115">
        <v>400</v>
      </c>
      <c r="C414" s="115">
        <v>395.65</v>
      </c>
      <c r="D414" s="115">
        <v>390</v>
      </c>
      <c r="E414" s="115">
        <v>390</v>
      </c>
      <c r="F414" s="115">
        <v>395.65</v>
      </c>
      <c r="G414">
        <v>2293</v>
      </c>
      <c r="H414" s="115"/>
      <c r="I414" s="115"/>
      <c r="L414" s="160">
        <v>42611</v>
      </c>
      <c r="M414" s="115">
        <v>731.8</v>
      </c>
      <c r="N414" s="115">
        <v>735.4</v>
      </c>
      <c r="O414" s="115">
        <v>715</v>
      </c>
      <c r="P414" s="115">
        <v>723.9</v>
      </c>
      <c r="Q414" s="115">
        <v>731.8</v>
      </c>
      <c r="R414">
        <v>66298</v>
      </c>
    </row>
    <row r="415" spans="1:18" x14ac:dyDescent="0.25">
      <c r="A415" s="160">
        <v>42634</v>
      </c>
      <c r="B415" s="115">
        <v>399.7</v>
      </c>
      <c r="C415" s="115">
        <v>390.05</v>
      </c>
      <c r="D415" s="115">
        <v>390</v>
      </c>
      <c r="E415" s="115">
        <v>399.7</v>
      </c>
      <c r="F415" s="115">
        <v>390.05</v>
      </c>
      <c r="G415">
        <v>249</v>
      </c>
      <c r="H415" s="115"/>
      <c r="I415" s="115"/>
      <c r="L415" s="160">
        <v>42612</v>
      </c>
      <c r="M415" s="115">
        <v>750.35</v>
      </c>
      <c r="N415" s="115">
        <v>754</v>
      </c>
      <c r="O415" s="115">
        <v>732</v>
      </c>
      <c r="P415" s="115">
        <v>732</v>
      </c>
      <c r="Q415" s="115">
        <v>750.35</v>
      </c>
      <c r="R415">
        <v>37082</v>
      </c>
    </row>
    <row r="416" spans="1:18" x14ac:dyDescent="0.25">
      <c r="A416" s="160">
        <v>42635</v>
      </c>
      <c r="B416" s="115">
        <v>393</v>
      </c>
      <c r="C416" s="115">
        <v>388.05</v>
      </c>
      <c r="D416" s="115">
        <v>388</v>
      </c>
      <c r="E416" s="115">
        <v>393</v>
      </c>
      <c r="F416" s="115">
        <v>388.05</v>
      </c>
      <c r="G416">
        <v>333</v>
      </c>
      <c r="H416" s="115"/>
      <c r="I416" s="115"/>
      <c r="L416" s="160">
        <v>42613</v>
      </c>
      <c r="M416" s="115">
        <v>762.5</v>
      </c>
      <c r="N416" s="115">
        <v>777</v>
      </c>
      <c r="O416" s="115">
        <v>747.5</v>
      </c>
      <c r="P416" s="115">
        <v>748.6</v>
      </c>
      <c r="Q416" s="115">
        <v>762.5</v>
      </c>
      <c r="R416">
        <v>35266</v>
      </c>
    </row>
    <row r="417" spans="1:18" x14ac:dyDescent="0.25">
      <c r="A417" s="160">
        <v>42636</v>
      </c>
      <c r="B417" s="115">
        <v>390</v>
      </c>
      <c r="C417" s="115">
        <v>390</v>
      </c>
      <c r="D417" s="115">
        <v>386.6</v>
      </c>
      <c r="E417" s="115">
        <v>386.6</v>
      </c>
      <c r="F417" s="115">
        <v>390</v>
      </c>
      <c r="G417">
        <v>361</v>
      </c>
      <c r="H417" s="115"/>
      <c r="I417" s="115"/>
      <c r="L417" s="160">
        <v>42614</v>
      </c>
      <c r="M417" s="115">
        <v>736.35</v>
      </c>
      <c r="N417" s="115">
        <v>769.6</v>
      </c>
      <c r="O417" s="115">
        <v>730.05</v>
      </c>
      <c r="P417" s="115">
        <v>756.5</v>
      </c>
      <c r="Q417" s="115">
        <v>736.35</v>
      </c>
      <c r="R417">
        <v>16073</v>
      </c>
    </row>
    <row r="418" spans="1:18" x14ac:dyDescent="0.25">
      <c r="A418" s="160">
        <v>42639</v>
      </c>
      <c r="B418" s="115">
        <v>390</v>
      </c>
      <c r="C418" s="115">
        <v>390</v>
      </c>
      <c r="D418" s="115">
        <v>386.55</v>
      </c>
      <c r="E418" s="115">
        <v>386.55</v>
      </c>
      <c r="F418" s="115">
        <v>390</v>
      </c>
      <c r="G418">
        <v>210</v>
      </c>
      <c r="H418" s="115"/>
      <c r="I418" s="115"/>
      <c r="L418" s="160">
        <v>42615</v>
      </c>
      <c r="M418" s="115">
        <v>724.7</v>
      </c>
      <c r="N418" s="115">
        <v>742.85</v>
      </c>
      <c r="O418" s="115">
        <v>721.7</v>
      </c>
      <c r="P418" s="115">
        <v>733</v>
      </c>
      <c r="Q418" s="115">
        <v>724.7</v>
      </c>
      <c r="R418">
        <v>11661</v>
      </c>
    </row>
    <row r="419" spans="1:18" x14ac:dyDescent="0.25">
      <c r="A419" s="160">
        <v>42640</v>
      </c>
      <c r="B419" s="115">
        <v>391</v>
      </c>
      <c r="C419" s="115">
        <v>390</v>
      </c>
      <c r="D419" s="115">
        <v>390</v>
      </c>
      <c r="E419" s="115">
        <v>390</v>
      </c>
      <c r="F419" s="115">
        <v>390</v>
      </c>
      <c r="G419">
        <v>475</v>
      </c>
      <c r="H419" s="115"/>
      <c r="I419" s="115"/>
      <c r="L419" s="160">
        <v>42619</v>
      </c>
      <c r="M419" s="115">
        <v>696</v>
      </c>
      <c r="N419" s="115">
        <v>725</v>
      </c>
      <c r="O419" s="115">
        <v>692</v>
      </c>
      <c r="P419" s="115">
        <v>724.7</v>
      </c>
      <c r="Q419" s="115">
        <v>696</v>
      </c>
      <c r="R419">
        <v>20105</v>
      </c>
    </row>
    <row r="420" spans="1:18" x14ac:dyDescent="0.25">
      <c r="A420" s="160">
        <v>42641</v>
      </c>
      <c r="B420" s="115">
        <v>393</v>
      </c>
      <c r="C420" s="115">
        <v>392</v>
      </c>
      <c r="D420" s="115">
        <v>385.2</v>
      </c>
      <c r="E420" s="115">
        <v>390.5</v>
      </c>
      <c r="F420" s="115">
        <v>392</v>
      </c>
      <c r="G420">
        <v>632</v>
      </c>
      <c r="H420" s="115"/>
      <c r="I420" s="115"/>
      <c r="L420" s="160">
        <v>42620</v>
      </c>
      <c r="M420" s="115">
        <v>702.9</v>
      </c>
      <c r="N420" s="115">
        <v>712.8</v>
      </c>
      <c r="O420" s="115">
        <v>688.45</v>
      </c>
      <c r="P420" s="115">
        <v>705</v>
      </c>
      <c r="Q420" s="115">
        <v>702.9</v>
      </c>
      <c r="R420">
        <v>19409</v>
      </c>
    </row>
    <row r="421" spans="1:18" x14ac:dyDescent="0.25">
      <c r="A421" s="160">
        <v>42642</v>
      </c>
      <c r="B421" s="115">
        <v>381.4</v>
      </c>
      <c r="C421" s="115">
        <v>381.4</v>
      </c>
      <c r="D421" s="115">
        <v>381.05</v>
      </c>
      <c r="E421" s="115">
        <v>381.05</v>
      </c>
      <c r="F421" s="115">
        <v>381.4</v>
      </c>
      <c r="G421">
        <v>88</v>
      </c>
      <c r="H421" s="115"/>
      <c r="I421" s="115"/>
      <c r="L421" s="160">
        <v>42621</v>
      </c>
      <c r="M421" s="115">
        <v>705.05</v>
      </c>
      <c r="N421" s="115">
        <v>718.95</v>
      </c>
      <c r="O421" s="115">
        <v>700.55</v>
      </c>
      <c r="P421" s="115">
        <v>713.85</v>
      </c>
      <c r="Q421" s="115">
        <v>705.05</v>
      </c>
      <c r="R421">
        <v>11462</v>
      </c>
    </row>
    <row r="422" spans="1:18" x14ac:dyDescent="0.25">
      <c r="A422" s="160">
        <v>42643</v>
      </c>
      <c r="B422" s="115">
        <v>400</v>
      </c>
      <c r="C422" s="115">
        <v>376</v>
      </c>
      <c r="D422" s="115">
        <v>365</v>
      </c>
      <c r="E422" s="115">
        <v>381</v>
      </c>
      <c r="F422" s="115">
        <v>376</v>
      </c>
      <c r="G422">
        <v>1487</v>
      </c>
      <c r="H422" s="115"/>
      <c r="I422" s="115"/>
      <c r="L422" s="160">
        <v>42622</v>
      </c>
      <c r="M422" s="115">
        <v>694.1</v>
      </c>
      <c r="N422" s="115">
        <v>706.95</v>
      </c>
      <c r="O422" s="115">
        <v>688</v>
      </c>
      <c r="P422" s="115">
        <v>693.5</v>
      </c>
      <c r="Q422" s="115">
        <v>694.1</v>
      </c>
      <c r="R422">
        <v>9353</v>
      </c>
    </row>
    <row r="423" spans="1:18" x14ac:dyDescent="0.25">
      <c r="A423" s="160">
        <v>42646</v>
      </c>
      <c r="B423" s="115">
        <v>394.9</v>
      </c>
      <c r="C423" s="115">
        <v>394.9</v>
      </c>
      <c r="D423" s="115">
        <v>368.45</v>
      </c>
      <c r="E423" s="115">
        <v>368.45</v>
      </c>
      <c r="F423" s="115">
        <v>394.9</v>
      </c>
      <c r="G423">
        <v>2475</v>
      </c>
      <c r="H423" s="115"/>
      <c r="I423" s="115"/>
      <c r="L423" s="160">
        <v>42625</v>
      </c>
      <c r="M423" s="115">
        <v>671.15</v>
      </c>
      <c r="N423" s="115">
        <v>688</v>
      </c>
      <c r="O423" s="115">
        <v>654</v>
      </c>
      <c r="P423" s="115">
        <v>688</v>
      </c>
      <c r="Q423" s="115">
        <v>671.15</v>
      </c>
      <c r="R423">
        <v>27150</v>
      </c>
    </row>
    <row r="424" spans="1:18" x14ac:dyDescent="0.25">
      <c r="A424" s="160">
        <v>42647</v>
      </c>
      <c r="B424" s="115">
        <v>399.95</v>
      </c>
      <c r="C424" s="115">
        <v>391</v>
      </c>
      <c r="D424" s="115">
        <v>391</v>
      </c>
      <c r="E424" s="115">
        <v>399</v>
      </c>
      <c r="F424" s="115">
        <v>391</v>
      </c>
      <c r="G424">
        <v>296</v>
      </c>
      <c r="H424" s="115"/>
      <c r="I424" s="115"/>
      <c r="L424" s="160">
        <v>42627</v>
      </c>
      <c r="M424" s="115">
        <v>663.7</v>
      </c>
      <c r="N424" s="115">
        <v>688.95</v>
      </c>
      <c r="O424" s="115">
        <v>650.1</v>
      </c>
      <c r="P424" s="115">
        <v>674.9</v>
      </c>
      <c r="Q424" s="115">
        <v>663.7</v>
      </c>
      <c r="R424">
        <v>21030</v>
      </c>
    </row>
    <row r="425" spans="1:18" x14ac:dyDescent="0.25">
      <c r="A425" s="160">
        <v>42648</v>
      </c>
      <c r="B425" s="115">
        <v>399.9</v>
      </c>
      <c r="C425" s="115">
        <v>390.05</v>
      </c>
      <c r="D425" s="115">
        <v>390</v>
      </c>
      <c r="E425" s="115">
        <v>399.9</v>
      </c>
      <c r="F425" s="115">
        <v>390.05</v>
      </c>
      <c r="G425">
        <v>646</v>
      </c>
      <c r="H425" s="115"/>
      <c r="I425" s="115"/>
      <c r="L425" s="160">
        <v>42628</v>
      </c>
      <c r="M425" s="115">
        <v>655.15</v>
      </c>
      <c r="N425" s="115">
        <v>669</v>
      </c>
      <c r="O425" s="115">
        <v>650.20000000000005</v>
      </c>
      <c r="P425" s="115">
        <v>669</v>
      </c>
      <c r="Q425" s="115">
        <v>655.15</v>
      </c>
      <c r="R425">
        <v>207471</v>
      </c>
    </row>
    <row r="426" spans="1:18" x14ac:dyDescent="0.25">
      <c r="A426" s="160">
        <v>42649</v>
      </c>
      <c r="B426" s="115">
        <v>399</v>
      </c>
      <c r="C426" s="115">
        <v>397</v>
      </c>
      <c r="D426" s="115">
        <v>391.05</v>
      </c>
      <c r="E426" s="115">
        <v>391.1</v>
      </c>
      <c r="F426" s="115">
        <v>397</v>
      </c>
      <c r="G426">
        <v>605</v>
      </c>
      <c r="H426" s="115"/>
      <c r="I426" s="115"/>
      <c r="L426" s="160">
        <v>42629</v>
      </c>
      <c r="M426" s="115">
        <v>669</v>
      </c>
      <c r="N426" s="115">
        <v>695</v>
      </c>
      <c r="O426" s="115">
        <v>662.95</v>
      </c>
      <c r="P426" s="115">
        <v>673.95</v>
      </c>
      <c r="Q426" s="115">
        <v>669</v>
      </c>
      <c r="R426">
        <v>21448</v>
      </c>
    </row>
    <row r="427" spans="1:18" x14ac:dyDescent="0.25">
      <c r="A427" s="160">
        <v>42650</v>
      </c>
      <c r="B427" s="115">
        <v>399.85</v>
      </c>
      <c r="C427" s="115">
        <v>395.65</v>
      </c>
      <c r="D427" s="115">
        <v>390.15</v>
      </c>
      <c r="E427" s="115">
        <v>399</v>
      </c>
      <c r="F427" s="115">
        <v>395.65</v>
      </c>
      <c r="G427">
        <v>1036</v>
      </c>
      <c r="H427" s="115"/>
      <c r="I427" s="115"/>
      <c r="L427" s="160">
        <v>42632</v>
      </c>
      <c r="M427" s="115">
        <v>685.6</v>
      </c>
      <c r="N427" s="115">
        <v>699.95</v>
      </c>
      <c r="O427" s="115">
        <v>663.4</v>
      </c>
      <c r="P427" s="115">
        <v>675.05</v>
      </c>
      <c r="Q427" s="115">
        <v>685.6</v>
      </c>
      <c r="R427">
        <v>17238</v>
      </c>
    </row>
    <row r="428" spans="1:18" x14ac:dyDescent="0.25">
      <c r="A428" s="160">
        <v>42653</v>
      </c>
      <c r="B428" s="115">
        <v>397.1</v>
      </c>
      <c r="C428" s="115">
        <v>392.85</v>
      </c>
      <c r="D428" s="115">
        <v>385.3</v>
      </c>
      <c r="E428" s="115">
        <v>385.3</v>
      </c>
      <c r="F428" s="115">
        <v>392.85</v>
      </c>
      <c r="G428">
        <v>618</v>
      </c>
      <c r="H428" s="115"/>
      <c r="I428" s="115"/>
      <c r="L428" s="160">
        <v>42633</v>
      </c>
      <c r="M428" s="115">
        <v>710.2</v>
      </c>
      <c r="N428" s="115">
        <v>726.85</v>
      </c>
      <c r="O428" s="115">
        <v>683</v>
      </c>
      <c r="P428" s="115">
        <v>689.95</v>
      </c>
      <c r="Q428" s="115">
        <v>710.2</v>
      </c>
      <c r="R428">
        <v>17563</v>
      </c>
    </row>
    <row r="429" spans="1:18" x14ac:dyDescent="0.25">
      <c r="A429" s="160">
        <v>42656</v>
      </c>
      <c r="B429" s="115">
        <v>400</v>
      </c>
      <c r="C429" s="115">
        <v>390.3</v>
      </c>
      <c r="D429" s="115">
        <v>390</v>
      </c>
      <c r="E429" s="115">
        <v>390</v>
      </c>
      <c r="F429" s="115">
        <v>390.3</v>
      </c>
      <c r="G429">
        <v>934</v>
      </c>
      <c r="H429" s="115"/>
      <c r="I429" s="115"/>
      <c r="L429" s="160">
        <v>42634</v>
      </c>
      <c r="M429" s="115">
        <v>710.5</v>
      </c>
      <c r="N429" s="115">
        <v>731.85</v>
      </c>
      <c r="O429" s="115">
        <v>695</v>
      </c>
      <c r="P429" s="115">
        <v>723</v>
      </c>
      <c r="Q429" s="115">
        <v>710.5</v>
      </c>
      <c r="R429">
        <v>14699</v>
      </c>
    </row>
    <row r="430" spans="1:18" x14ac:dyDescent="0.25">
      <c r="A430" s="160">
        <v>42657</v>
      </c>
      <c r="B430" s="115">
        <v>399.95</v>
      </c>
      <c r="C430" s="115">
        <v>394.75</v>
      </c>
      <c r="D430" s="115">
        <v>391</v>
      </c>
      <c r="E430" s="115">
        <v>395</v>
      </c>
      <c r="F430" s="115">
        <v>394.75</v>
      </c>
      <c r="G430">
        <v>886</v>
      </c>
      <c r="H430" s="115"/>
      <c r="I430" s="115"/>
      <c r="L430" s="160">
        <v>42635</v>
      </c>
      <c r="M430" s="115">
        <v>711.15</v>
      </c>
      <c r="N430" s="115">
        <v>719</v>
      </c>
      <c r="O430" s="115">
        <v>700.45</v>
      </c>
      <c r="P430" s="115">
        <v>712.5</v>
      </c>
      <c r="Q430" s="115">
        <v>711.15</v>
      </c>
      <c r="R430">
        <v>8630</v>
      </c>
    </row>
    <row r="431" spans="1:18" x14ac:dyDescent="0.25">
      <c r="A431" s="160">
        <v>42660</v>
      </c>
      <c r="B431" s="115">
        <v>400</v>
      </c>
      <c r="C431" s="115">
        <v>395.05</v>
      </c>
      <c r="D431" s="115">
        <v>390.15</v>
      </c>
      <c r="E431" s="115">
        <v>399.95</v>
      </c>
      <c r="F431" s="115">
        <v>395.05</v>
      </c>
      <c r="G431">
        <v>1050</v>
      </c>
      <c r="H431" s="115"/>
      <c r="I431" s="115"/>
      <c r="L431" s="160">
        <v>42636</v>
      </c>
      <c r="M431" s="115">
        <v>668.85</v>
      </c>
      <c r="N431" s="115">
        <v>715.25</v>
      </c>
      <c r="O431" s="115">
        <v>653.54999999999995</v>
      </c>
      <c r="P431" s="115">
        <v>714.95</v>
      </c>
      <c r="Q431" s="115">
        <v>668.85</v>
      </c>
      <c r="R431">
        <v>1487239</v>
      </c>
    </row>
    <row r="432" spans="1:18" x14ac:dyDescent="0.25">
      <c r="A432" s="160">
        <v>42661</v>
      </c>
      <c r="B432" s="115">
        <v>405</v>
      </c>
      <c r="C432" s="115">
        <v>395.55</v>
      </c>
      <c r="D432" s="115">
        <v>395.05</v>
      </c>
      <c r="E432" s="115">
        <v>400</v>
      </c>
      <c r="F432" s="115">
        <v>395.55</v>
      </c>
      <c r="G432">
        <v>2985</v>
      </c>
      <c r="H432" s="115"/>
      <c r="I432" s="115"/>
      <c r="L432" s="160">
        <v>42639</v>
      </c>
      <c r="M432" s="115">
        <v>665.7</v>
      </c>
      <c r="N432" s="115">
        <v>676.55</v>
      </c>
      <c r="O432" s="115">
        <v>657.85</v>
      </c>
      <c r="P432" s="115">
        <v>672</v>
      </c>
      <c r="Q432" s="115">
        <v>665.7</v>
      </c>
      <c r="R432">
        <v>37563</v>
      </c>
    </row>
    <row r="433" spans="1:18" x14ac:dyDescent="0.25">
      <c r="A433" s="160">
        <v>42662</v>
      </c>
      <c r="B433" s="115">
        <v>400</v>
      </c>
      <c r="C433" s="115">
        <v>396.2</v>
      </c>
      <c r="D433" s="115">
        <v>390.1</v>
      </c>
      <c r="E433" s="115">
        <v>400</v>
      </c>
      <c r="F433" s="115">
        <v>396.2</v>
      </c>
      <c r="G433">
        <v>1479</v>
      </c>
      <c r="H433" s="115"/>
      <c r="I433" s="115"/>
      <c r="L433" s="160">
        <v>42640</v>
      </c>
      <c r="M433" s="115">
        <v>669.95</v>
      </c>
      <c r="N433" s="115">
        <v>673.3</v>
      </c>
      <c r="O433" s="115">
        <v>662.9</v>
      </c>
      <c r="P433" s="115">
        <v>671.95</v>
      </c>
      <c r="Q433" s="115">
        <v>669.95</v>
      </c>
      <c r="R433">
        <v>13474</v>
      </c>
    </row>
    <row r="434" spans="1:18" x14ac:dyDescent="0.25">
      <c r="A434" s="160">
        <v>42663</v>
      </c>
      <c r="B434" s="115">
        <v>400</v>
      </c>
      <c r="C434" s="115">
        <v>396.4</v>
      </c>
      <c r="D434" s="115">
        <v>395.05</v>
      </c>
      <c r="E434" s="115">
        <v>400</v>
      </c>
      <c r="F434" s="115">
        <v>396.4</v>
      </c>
      <c r="G434">
        <v>1191</v>
      </c>
      <c r="H434" s="115"/>
      <c r="I434" s="115"/>
      <c r="L434" s="160">
        <v>42641</v>
      </c>
      <c r="M434" s="115">
        <v>678.3</v>
      </c>
      <c r="N434" s="115">
        <v>682</v>
      </c>
      <c r="O434" s="115">
        <v>666.7</v>
      </c>
      <c r="P434" s="115">
        <v>666.7</v>
      </c>
      <c r="Q434" s="115">
        <v>678.3</v>
      </c>
      <c r="R434">
        <v>19947</v>
      </c>
    </row>
    <row r="435" spans="1:18" x14ac:dyDescent="0.25">
      <c r="A435" s="160">
        <v>42664</v>
      </c>
      <c r="B435" s="115">
        <v>398.95</v>
      </c>
      <c r="C435" s="115">
        <v>398.95</v>
      </c>
      <c r="D435" s="115">
        <v>385</v>
      </c>
      <c r="E435" s="115">
        <v>387</v>
      </c>
      <c r="F435" s="115">
        <v>398.95</v>
      </c>
      <c r="G435">
        <v>800</v>
      </c>
      <c r="H435" s="115"/>
      <c r="I435" s="115"/>
      <c r="L435" s="160">
        <v>42642</v>
      </c>
      <c r="M435" s="115">
        <v>661.7</v>
      </c>
      <c r="N435" s="115">
        <v>688</v>
      </c>
      <c r="O435" s="115">
        <v>648</v>
      </c>
      <c r="P435" s="115">
        <v>678.5</v>
      </c>
      <c r="Q435" s="115">
        <v>661.7</v>
      </c>
      <c r="R435">
        <v>40773</v>
      </c>
    </row>
    <row r="436" spans="1:18" x14ac:dyDescent="0.25">
      <c r="A436" s="160">
        <v>42667</v>
      </c>
      <c r="B436" s="115">
        <v>405</v>
      </c>
      <c r="C436" s="115">
        <v>399.6</v>
      </c>
      <c r="D436" s="115">
        <v>392.25</v>
      </c>
      <c r="E436" s="115">
        <v>405</v>
      </c>
      <c r="F436" s="115">
        <v>399.6</v>
      </c>
      <c r="G436">
        <v>3520</v>
      </c>
      <c r="H436" s="115"/>
      <c r="I436" s="115"/>
      <c r="L436" s="160">
        <v>42643</v>
      </c>
      <c r="M436" s="115">
        <v>669.35</v>
      </c>
      <c r="N436" s="115">
        <v>675</v>
      </c>
      <c r="O436" s="115">
        <v>642.04999999999995</v>
      </c>
      <c r="P436" s="115">
        <v>655</v>
      </c>
      <c r="Q436" s="115">
        <v>669.35</v>
      </c>
      <c r="R436">
        <v>32112</v>
      </c>
    </row>
    <row r="437" spans="1:18" x14ac:dyDescent="0.25">
      <c r="A437" s="160">
        <v>42668</v>
      </c>
      <c r="B437" s="115">
        <v>409.95</v>
      </c>
      <c r="C437" s="115">
        <v>401.05</v>
      </c>
      <c r="D437" s="115">
        <v>400</v>
      </c>
      <c r="E437" s="115">
        <v>409.95</v>
      </c>
      <c r="F437" s="115">
        <v>401.05</v>
      </c>
      <c r="G437">
        <v>2697</v>
      </c>
      <c r="H437" s="115"/>
      <c r="I437" s="115"/>
      <c r="L437" s="160">
        <v>42646</v>
      </c>
      <c r="M437" s="115">
        <v>681.3</v>
      </c>
      <c r="N437" s="115">
        <v>683.1</v>
      </c>
      <c r="O437" s="115">
        <v>669</v>
      </c>
      <c r="P437" s="115">
        <v>671.9</v>
      </c>
      <c r="Q437" s="115">
        <v>681.3</v>
      </c>
      <c r="R437">
        <v>27042</v>
      </c>
    </row>
    <row r="438" spans="1:18" x14ac:dyDescent="0.25">
      <c r="A438" s="160">
        <v>42669</v>
      </c>
      <c r="B438" s="115">
        <v>425</v>
      </c>
      <c r="C438" s="115">
        <v>420.1</v>
      </c>
      <c r="D438" s="115">
        <v>408.05</v>
      </c>
      <c r="E438" s="115">
        <v>409</v>
      </c>
      <c r="F438" s="115">
        <v>420.1</v>
      </c>
      <c r="G438">
        <v>3718</v>
      </c>
      <c r="H438" s="115"/>
      <c r="I438" s="115"/>
      <c r="L438" s="160">
        <v>42647</v>
      </c>
      <c r="M438" s="115">
        <v>682.15</v>
      </c>
      <c r="N438" s="115">
        <v>684</v>
      </c>
      <c r="O438" s="115">
        <v>663</v>
      </c>
      <c r="P438" s="115">
        <v>668</v>
      </c>
      <c r="Q438" s="115">
        <v>682.15</v>
      </c>
      <c r="R438">
        <v>13759</v>
      </c>
    </row>
    <row r="439" spans="1:18" x14ac:dyDescent="0.25">
      <c r="A439" s="160">
        <v>42670</v>
      </c>
      <c r="B439" s="115">
        <v>431</v>
      </c>
      <c r="C439" s="115">
        <v>424.8</v>
      </c>
      <c r="D439" s="115">
        <v>417.25</v>
      </c>
      <c r="E439" s="115">
        <v>423</v>
      </c>
      <c r="F439" s="115">
        <v>424.8</v>
      </c>
      <c r="G439">
        <v>1846</v>
      </c>
      <c r="H439" s="115"/>
      <c r="I439" s="115"/>
      <c r="L439" s="160">
        <v>42648</v>
      </c>
      <c r="M439" s="115">
        <v>676.4</v>
      </c>
      <c r="N439" s="115">
        <v>687</v>
      </c>
      <c r="O439" s="115">
        <v>668</v>
      </c>
      <c r="P439" s="115">
        <v>680.95</v>
      </c>
      <c r="Q439" s="115">
        <v>676.4</v>
      </c>
      <c r="R439">
        <v>13804</v>
      </c>
    </row>
    <row r="440" spans="1:18" x14ac:dyDescent="0.25">
      <c r="A440" s="160">
        <v>42671</v>
      </c>
      <c r="B440" s="115">
        <v>444</v>
      </c>
      <c r="C440" s="115">
        <v>436.6</v>
      </c>
      <c r="D440" s="115">
        <v>426.55</v>
      </c>
      <c r="E440" s="115">
        <v>430</v>
      </c>
      <c r="F440" s="115">
        <v>436.6</v>
      </c>
      <c r="G440">
        <v>4923</v>
      </c>
      <c r="H440" s="115"/>
      <c r="I440" s="115"/>
      <c r="L440" s="160">
        <v>42649</v>
      </c>
      <c r="M440" s="115">
        <v>681</v>
      </c>
      <c r="N440" s="115">
        <v>686.9</v>
      </c>
      <c r="O440" s="115">
        <v>667</v>
      </c>
      <c r="P440" s="115">
        <v>674.95</v>
      </c>
      <c r="Q440" s="115">
        <v>681</v>
      </c>
      <c r="R440">
        <v>17868</v>
      </c>
    </row>
    <row r="441" spans="1:18" x14ac:dyDescent="0.25">
      <c r="A441" s="160">
        <v>42673</v>
      </c>
      <c r="B441" s="115">
        <v>444.9</v>
      </c>
      <c r="C441" s="115">
        <v>430.2</v>
      </c>
      <c r="D441" s="115">
        <v>430</v>
      </c>
      <c r="E441" s="115">
        <v>440</v>
      </c>
      <c r="F441" s="115">
        <v>430.2</v>
      </c>
      <c r="G441">
        <v>1613</v>
      </c>
      <c r="H441" s="115"/>
      <c r="I441" s="115"/>
      <c r="L441" s="160">
        <v>42650</v>
      </c>
      <c r="M441" s="115">
        <v>683</v>
      </c>
      <c r="N441" s="115">
        <v>685.3</v>
      </c>
      <c r="O441" s="115">
        <v>672.15</v>
      </c>
      <c r="P441" s="115">
        <v>685.3</v>
      </c>
      <c r="Q441" s="115">
        <v>683</v>
      </c>
      <c r="R441">
        <v>5346</v>
      </c>
    </row>
    <row r="442" spans="1:18" x14ac:dyDescent="0.25">
      <c r="A442" s="160">
        <v>42675</v>
      </c>
      <c r="B442" s="115">
        <v>445</v>
      </c>
      <c r="C442" s="115">
        <v>438.9</v>
      </c>
      <c r="D442" s="115">
        <v>420</v>
      </c>
      <c r="E442" s="115">
        <v>445</v>
      </c>
      <c r="F442" s="115">
        <v>438.9</v>
      </c>
      <c r="G442">
        <v>1541</v>
      </c>
      <c r="H442" s="115"/>
      <c r="I442" s="115"/>
      <c r="L442" s="160">
        <v>42653</v>
      </c>
      <c r="M442" s="115">
        <v>683.55</v>
      </c>
      <c r="N442" s="115">
        <v>689</v>
      </c>
      <c r="O442" s="115">
        <v>680.1</v>
      </c>
      <c r="P442" s="115">
        <v>685</v>
      </c>
      <c r="Q442" s="115">
        <v>683.55</v>
      </c>
      <c r="R442">
        <v>12673</v>
      </c>
    </row>
    <row r="443" spans="1:18" x14ac:dyDescent="0.25">
      <c r="A443" s="160">
        <v>42676</v>
      </c>
      <c r="B443" s="115">
        <v>443.95</v>
      </c>
      <c r="C443" s="115">
        <v>434.35</v>
      </c>
      <c r="D443" s="115">
        <v>425.55</v>
      </c>
      <c r="E443" s="115">
        <v>425.55</v>
      </c>
      <c r="F443" s="115">
        <v>434.35</v>
      </c>
      <c r="G443">
        <v>697</v>
      </c>
      <c r="H443" s="115"/>
      <c r="I443" s="115"/>
      <c r="L443" s="160">
        <v>42656</v>
      </c>
      <c r="M443" s="115">
        <v>677.9</v>
      </c>
      <c r="N443" s="115">
        <v>685.05</v>
      </c>
      <c r="O443" s="115">
        <v>654</v>
      </c>
      <c r="P443" s="115">
        <v>681</v>
      </c>
      <c r="Q443" s="115">
        <v>677.9</v>
      </c>
      <c r="R443">
        <v>14093</v>
      </c>
    </row>
    <row r="444" spans="1:18" x14ac:dyDescent="0.25">
      <c r="A444" s="160">
        <v>42677</v>
      </c>
      <c r="B444" s="115">
        <v>454</v>
      </c>
      <c r="C444" s="115">
        <v>441.2</v>
      </c>
      <c r="D444" s="115">
        <v>430.05</v>
      </c>
      <c r="E444" s="115">
        <v>430.05</v>
      </c>
      <c r="F444" s="115">
        <v>441.2</v>
      </c>
      <c r="G444">
        <v>444</v>
      </c>
      <c r="H444" s="115"/>
      <c r="I444" s="115"/>
      <c r="L444" s="160">
        <v>42657</v>
      </c>
      <c r="M444" s="115">
        <v>677.45</v>
      </c>
      <c r="N444" s="115">
        <v>680</v>
      </c>
      <c r="O444" s="115">
        <v>667</v>
      </c>
      <c r="P444" s="115">
        <v>672.25</v>
      </c>
      <c r="Q444" s="115">
        <v>677.45</v>
      </c>
      <c r="R444">
        <v>9975</v>
      </c>
    </row>
    <row r="445" spans="1:18" x14ac:dyDescent="0.25">
      <c r="A445" s="160">
        <v>42678</v>
      </c>
      <c r="B445" s="115">
        <v>451</v>
      </c>
      <c r="C445" s="115">
        <v>435.4</v>
      </c>
      <c r="D445" s="115">
        <v>420.55</v>
      </c>
      <c r="E445" s="115">
        <v>440</v>
      </c>
      <c r="F445" s="115">
        <v>435.4</v>
      </c>
      <c r="G445">
        <v>1486</v>
      </c>
      <c r="H445" s="115"/>
      <c r="I445" s="115"/>
      <c r="L445" s="160">
        <v>42660</v>
      </c>
      <c r="M445" s="115">
        <v>650.95000000000005</v>
      </c>
      <c r="N445" s="115">
        <v>678</v>
      </c>
      <c r="O445" s="115">
        <v>648.5</v>
      </c>
      <c r="P445" s="115">
        <v>669.95</v>
      </c>
      <c r="Q445" s="115">
        <v>650.95000000000005</v>
      </c>
      <c r="R445">
        <v>23311</v>
      </c>
    </row>
    <row r="446" spans="1:18" x14ac:dyDescent="0.25">
      <c r="A446" s="160">
        <v>42681</v>
      </c>
      <c r="B446" s="115">
        <v>440</v>
      </c>
      <c r="C446" s="115">
        <v>440</v>
      </c>
      <c r="D446" s="115">
        <v>431.55</v>
      </c>
      <c r="E446" s="115">
        <v>438</v>
      </c>
      <c r="F446" s="115">
        <v>440</v>
      </c>
      <c r="G446">
        <v>1162</v>
      </c>
      <c r="H446" s="115"/>
      <c r="I446" s="115"/>
      <c r="L446" s="160">
        <v>42661</v>
      </c>
      <c r="M446" s="115">
        <v>651.65</v>
      </c>
      <c r="N446" s="115">
        <v>665.5</v>
      </c>
      <c r="O446" s="115">
        <v>645.4</v>
      </c>
      <c r="P446" s="115">
        <v>659.65</v>
      </c>
      <c r="Q446" s="115">
        <v>651.65</v>
      </c>
      <c r="R446">
        <v>15576</v>
      </c>
    </row>
    <row r="447" spans="1:18" x14ac:dyDescent="0.25">
      <c r="A447" s="160">
        <v>42682</v>
      </c>
      <c r="B447" s="115">
        <v>432</v>
      </c>
      <c r="C447" s="115">
        <v>428.45</v>
      </c>
      <c r="D447" s="115">
        <v>425.05</v>
      </c>
      <c r="E447" s="115">
        <v>427.05</v>
      </c>
      <c r="F447" s="115">
        <v>428.45</v>
      </c>
      <c r="G447">
        <v>1185</v>
      </c>
      <c r="H447" s="115"/>
      <c r="I447" s="115"/>
      <c r="L447" s="160">
        <v>42662</v>
      </c>
      <c r="M447" s="115">
        <v>661.1</v>
      </c>
      <c r="N447" s="115">
        <v>664</v>
      </c>
      <c r="O447" s="115">
        <v>645</v>
      </c>
      <c r="P447" s="115">
        <v>660.5</v>
      </c>
      <c r="Q447" s="115">
        <v>661.1</v>
      </c>
      <c r="R447">
        <v>40339</v>
      </c>
    </row>
    <row r="448" spans="1:18" x14ac:dyDescent="0.25">
      <c r="A448" s="160">
        <v>42683</v>
      </c>
      <c r="B448" s="115">
        <v>414.45</v>
      </c>
      <c r="C448" s="115">
        <v>409.95</v>
      </c>
      <c r="D448" s="115">
        <v>374</v>
      </c>
      <c r="E448" s="115">
        <v>409</v>
      </c>
      <c r="F448" s="115">
        <v>409.95</v>
      </c>
      <c r="G448">
        <v>2462</v>
      </c>
      <c r="H448" s="115"/>
      <c r="I448" s="115"/>
      <c r="L448" s="160">
        <v>42663</v>
      </c>
      <c r="M448" s="115">
        <v>646.20000000000005</v>
      </c>
      <c r="N448" s="115">
        <v>668.15</v>
      </c>
      <c r="O448" s="115">
        <v>641.6</v>
      </c>
      <c r="P448" s="115">
        <v>665.05</v>
      </c>
      <c r="Q448" s="115">
        <v>646.20000000000005</v>
      </c>
      <c r="R448">
        <v>27863</v>
      </c>
    </row>
    <row r="449" spans="1:18" x14ac:dyDescent="0.25">
      <c r="A449" s="160">
        <v>42684</v>
      </c>
      <c r="B449" s="115">
        <v>427</v>
      </c>
      <c r="C449" s="115">
        <v>419.15</v>
      </c>
      <c r="D449" s="115">
        <v>400.05</v>
      </c>
      <c r="E449" s="115">
        <v>400.05</v>
      </c>
      <c r="F449" s="115">
        <v>419.15</v>
      </c>
      <c r="G449">
        <v>1143</v>
      </c>
      <c r="H449" s="115"/>
      <c r="I449" s="115"/>
      <c r="L449" s="160">
        <v>42664</v>
      </c>
      <c r="M449" s="115">
        <v>646.6</v>
      </c>
      <c r="N449" s="115">
        <v>654.04999999999995</v>
      </c>
      <c r="O449" s="115">
        <v>641.6</v>
      </c>
      <c r="P449" s="115">
        <v>644.95000000000005</v>
      </c>
      <c r="Q449" s="115">
        <v>646.6</v>
      </c>
      <c r="R449">
        <v>17630</v>
      </c>
    </row>
    <row r="450" spans="1:18" x14ac:dyDescent="0.25">
      <c r="A450" s="160">
        <v>42685</v>
      </c>
      <c r="B450" s="115">
        <v>420</v>
      </c>
      <c r="C450" s="115">
        <v>401.05</v>
      </c>
      <c r="D450" s="115">
        <v>393</v>
      </c>
      <c r="E450" s="115">
        <v>393</v>
      </c>
      <c r="F450" s="115">
        <v>401.05</v>
      </c>
      <c r="G450">
        <v>1270</v>
      </c>
      <c r="H450" s="115"/>
      <c r="I450" s="115"/>
      <c r="L450" s="160">
        <v>42667</v>
      </c>
      <c r="M450" s="115">
        <v>662.85</v>
      </c>
      <c r="N450" s="115">
        <v>669</v>
      </c>
      <c r="O450" s="115">
        <v>649.95000000000005</v>
      </c>
      <c r="P450" s="115">
        <v>650.95000000000005</v>
      </c>
      <c r="Q450" s="115">
        <v>662.85</v>
      </c>
      <c r="R450">
        <v>18314</v>
      </c>
    </row>
    <row r="451" spans="1:18" x14ac:dyDescent="0.25">
      <c r="A451" s="160">
        <v>42689</v>
      </c>
      <c r="B451" s="115">
        <v>398</v>
      </c>
      <c r="C451" s="115">
        <v>378.3</v>
      </c>
      <c r="D451" s="115">
        <v>375</v>
      </c>
      <c r="E451" s="115">
        <v>398</v>
      </c>
      <c r="F451" s="115">
        <v>378.3</v>
      </c>
      <c r="G451">
        <v>909</v>
      </c>
      <c r="H451" s="115"/>
      <c r="I451" s="115"/>
      <c r="L451" s="160">
        <v>42668</v>
      </c>
      <c r="M451" s="115">
        <v>653.75</v>
      </c>
      <c r="N451" s="115">
        <v>664.55</v>
      </c>
      <c r="O451" s="115">
        <v>647.75</v>
      </c>
      <c r="P451" s="115">
        <v>657.55</v>
      </c>
      <c r="Q451" s="115">
        <v>653.75</v>
      </c>
      <c r="R451">
        <v>17765</v>
      </c>
    </row>
    <row r="452" spans="1:18" x14ac:dyDescent="0.25">
      <c r="A452" s="160">
        <v>42690</v>
      </c>
      <c r="B452" s="115">
        <v>397</v>
      </c>
      <c r="C452" s="115">
        <v>374.4</v>
      </c>
      <c r="D452" s="115">
        <v>368</v>
      </c>
      <c r="E452" s="115">
        <v>368</v>
      </c>
      <c r="F452" s="115">
        <v>374.4</v>
      </c>
      <c r="G452">
        <v>923</v>
      </c>
      <c r="H452" s="115"/>
      <c r="I452" s="115"/>
      <c r="L452" s="160">
        <v>42669</v>
      </c>
      <c r="M452" s="115">
        <v>666.2</v>
      </c>
      <c r="N452" s="115">
        <v>669</v>
      </c>
      <c r="O452" s="115">
        <v>650.04999999999995</v>
      </c>
      <c r="P452" s="115">
        <v>653</v>
      </c>
      <c r="Q452" s="115">
        <v>666.2</v>
      </c>
      <c r="R452">
        <v>12219</v>
      </c>
    </row>
    <row r="453" spans="1:18" x14ac:dyDescent="0.25">
      <c r="A453" s="160">
        <v>42691</v>
      </c>
      <c r="B453" s="115">
        <v>384.95</v>
      </c>
      <c r="C453" s="115">
        <v>362.35</v>
      </c>
      <c r="D453" s="115">
        <v>362.1</v>
      </c>
      <c r="E453" s="115">
        <v>384.95</v>
      </c>
      <c r="F453" s="115">
        <v>362.35</v>
      </c>
      <c r="G453">
        <v>967</v>
      </c>
      <c r="H453" s="115"/>
      <c r="I453" s="115"/>
      <c r="L453" s="160">
        <v>42670</v>
      </c>
      <c r="M453" s="115">
        <v>665.8</v>
      </c>
      <c r="N453" s="115">
        <v>670</v>
      </c>
      <c r="O453" s="115">
        <v>660.15</v>
      </c>
      <c r="P453" s="115">
        <v>664</v>
      </c>
      <c r="Q453" s="115">
        <v>665.8</v>
      </c>
      <c r="R453">
        <v>10590</v>
      </c>
    </row>
    <row r="454" spans="1:18" x14ac:dyDescent="0.25">
      <c r="A454" s="160">
        <v>42692</v>
      </c>
      <c r="B454" s="115">
        <v>370</v>
      </c>
      <c r="C454" s="115">
        <v>370</v>
      </c>
      <c r="D454" s="115">
        <v>360</v>
      </c>
      <c r="E454" s="115">
        <v>360</v>
      </c>
      <c r="F454" s="115">
        <v>370</v>
      </c>
      <c r="G454">
        <v>105</v>
      </c>
      <c r="H454" s="115"/>
      <c r="I454" s="115"/>
      <c r="L454" s="160">
        <v>42671</v>
      </c>
      <c r="M454" s="115">
        <v>694.35</v>
      </c>
      <c r="N454" s="115">
        <v>700</v>
      </c>
      <c r="O454" s="115">
        <v>675</v>
      </c>
      <c r="P454" s="115">
        <v>675</v>
      </c>
      <c r="Q454" s="115">
        <v>694.35</v>
      </c>
      <c r="R454">
        <v>68779</v>
      </c>
    </row>
    <row r="455" spans="1:18" x14ac:dyDescent="0.25">
      <c r="A455" s="160">
        <v>42695</v>
      </c>
      <c r="B455" s="115">
        <v>370</v>
      </c>
      <c r="C455" s="115">
        <v>362.55</v>
      </c>
      <c r="D455" s="115">
        <v>362.3</v>
      </c>
      <c r="E455" s="115">
        <v>370</v>
      </c>
      <c r="F455" s="115">
        <v>362.55</v>
      </c>
      <c r="G455">
        <v>165</v>
      </c>
      <c r="H455" s="115"/>
      <c r="I455" s="115"/>
      <c r="L455" s="160">
        <v>42673</v>
      </c>
      <c r="M455" s="115">
        <v>697.75</v>
      </c>
      <c r="N455" s="115">
        <v>704.35</v>
      </c>
      <c r="O455" s="115">
        <v>693</v>
      </c>
      <c r="P455" s="115">
        <v>695</v>
      </c>
      <c r="Q455" s="115">
        <v>697.75</v>
      </c>
      <c r="R455">
        <v>5265</v>
      </c>
    </row>
    <row r="456" spans="1:18" x14ac:dyDescent="0.25">
      <c r="A456" s="160">
        <v>42696</v>
      </c>
      <c r="B456" s="115">
        <v>384</v>
      </c>
      <c r="C456" s="115">
        <v>377.95</v>
      </c>
      <c r="D456" s="115">
        <v>354</v>
      </c>
      <c r="E456" s="115">
        <v>384</v>
      </c>
      <c r="F456" s="115">
        <v>377.95</v>
      </c>
      <c r="G456">
        <v>156</v>
      </c>
      <c r="H456" s="115"/>
      <c r="I456" s="115"/>
      <c r="L456" s="160">
        <v>42675</v>
      </c>
      <c r="M456" s="115">
        <v>702.65</v>
      </c>
      <c r="N456" s="115">
        <v>707</v>
      </c>
      <c r="O456" s="115">
        <v>695</v>
      </c>
      <c r="P456" s="115">
        <v>699.9</v>
      </c>
      <c r="Q456" s="115">
        <v>702.65</v>
      </c>
      <c r="R456">
        <v>20095</v>
      </c>
    </row>
    <row r="457" spans="1:18" x14ac:dyDescent="0.25">
      <c r="A457" s="160">
        <v>42697</v>
      </c>
      <c r="B457" s="115">
        <v>363.05</v>
      </c>
      <c r="C457" s="115">
        <v>363.05</v>
      </c>
      <c r="D457" s="115">
        <v>361.05</v>
      </c>
      <c r="E457" s="115">
        <v>361.05</v>
      </c>
      <c r="F457" s="115">
        <v>363.05</v>
      </c>
      <c r="G457">
        <v>15</v>
      </c>
      <c r="H457" s="115"/>
      <c r="I457" s="115"/>
      <c r="L457" s="160">
        <v>42676</v>
      </c>
      <c r="M457" s="115">
        <v>699.65</v>
      </c>
      <c r="N457" s="115">
        <v>704.9</v>
      </c>
      <c r="O457" s="115">
        <v>691</v>
      </c>
      <c r="P457" s="115">
        <v>693.6</v>
      </c>
      <c r="Q457" s="115">
        <v>699.65</v>
      </c>
      <c r="R457">
        <v>28575</v>
      </c>
    </row>
    <row r="458" spans="1:18" x14ac:dyDescent="0.25">
      <c r="A458" s="160">
        <v>42698</v>
      </c>
      <c r="B458" s="115">
        <v>394.9</v>
      </c>
      <c r="C458" s="115">
        <v>366.7</v>
      </c>
      <c r="D458" s="115">
        <v>357</v>
      </c>
      <c r="E458" s="115">
        <v>357</v>
      </c>
      <c r="F458" s="115">
        <v>366.7</v>
      </c>
      <c r="G458">
        <v>528</v>
      </c>
      <c r="H458" s="115"/>
      <c r="I458" s="115"/>
      <c r="L458" s="160">
        <v>42677</v>
      </c>
      <c r="M458" s="115">
        <v>697.85</v>
      </c>
      <c r="N458" s="115">
        <v>702</v>
      </c>
      <c r="O458" s="115">
        <v>691.1</v>
      </c>
      <c r="P458" s="115">
        <v>694</v>
      </c>
      <c r="Q458" s="115">
        <v>697.85</v>
      </c>
      <c r="R458">
        <v>14428</v>
      </c>
    </row>
    <row r="459" spans="1:18" x14ac:dyDescent="0.25">
      <c r="A459" s="160">
        <v>42699</v>
      </c>
      <c r="B459" s="115">
        <v>375</v>
      </c>
      <c r="C459" s="115">
        <v>375</v>
      </c>
      <c r="D459" s="115">
        <v>374.95</v>
      </c>
      <c r="E459" s="115">
        <v>374.95</v>
      </c>
      <c r="F459" s="115">
        <v>375</v>
      </c>
      <c r="G459">
        <v>60</v>
      </c>
      <c r="H459" s="115"/>
      <c r="I459" s="115"/>
      <c r="L459" s="160">
        <v>42678</v>
      </c>
      <c r="M459" s="115">
        <v>669.7</v>
      </c>
      <c r="N459" s="115">
        <v>703.5</v>
      </c>
      <c r="O459" s="115">
        <v>660.7</v>
      </c>
      <c r="P459" s="115">
        <v>692.1</v>
      </c>
      <c r="Q459" s="115">
        <v>669.7</v>
      </c>
      <c r="R459">
        <v>32554</v>
      </c>
    </row>
    <row r="460" spans="1:18" x14ac:dyDescent="0.25">
      <c r="A460" s="160">
        <v>42702</v>
      </c>
      <c r="B460" s="115">
        <v>383</v>
      </c>
      <c r="C460" s="115">
        <v>383</v>
      </c>
      <c r="D460" s="115">
        <v>380</v>
      </c>
      <c r="E460" s="115">
        <v>380</v>
      </c>
      <c r="F460" s="115">
        <v>383</v>
      </c>
      <c r="G460">
        <v>3110</v>
      </c>
      <c r="H460" s="115"/>
      <c r="I460" s="115"/>
      <c r="L460" s="160">
        <v>42681</v>
      </c>
      <c r="M460" s="115">
        <v>690.55</v>
      </c>
      <c r="N460" s="115">
        <v>695</v>
      </c>
      <c r="O460" s="115">
        <v>663.5</v>
      </c>
      <c r="P460" s="115">
        <v>670</v>
      </c>
      <c r="Q460" s="115">
        <v>690.55</v>
      </c>
      <c r="R460">
        <v>12651</v>
      </c>
    </row>
    <row r="461" spans="1:18" x14ac:dyDescent="0.25">
      <c r="A461" s="160">
        <v>42703</v>
      </c>
      <c r="B461" s="115">
        <v>396.95</v>
      </c>
      <c r="C461" s="115">
        <v>395.2</v>
      </c>
      <c r="D461" s="115">
        <v>382.25</v>
      </c>
      <c r="E461" s="115">
        <v>396.95</v>
      </c>
      <c r="F461" s="115">
        <v>395.2</v>
      </c>
      <c r="G461">
        <v>85</v>
      </c>
      <c r="H461" s="115"/>
      <c r="I461" s="115"/>
      <c r="L461" s="160">
        <v>42682</v>
      </c>
      <c r="M461" s="115">
        <v>685.75</v>
      </c>
      <c r="N461" s="115">
        <v>696.85</v>
      </c>
      <c r="O461" s="115">
        <v>682.05</v>
      </c>
      <c r="P461" s="115">
        <v>693.35</v>
      </c>
      <c r="Q461" s="115">
        <v>685.75</v>
      </c>
      <c r="R461">
        <v>9717</v>
      </c>
    </row>
    <row r="462" spans="1:18" x14ac:dyDescent="0.25">
      <c r="A462" s="160">
        <v>42704</v>
      </c>
      <c r="B462" s="115">
        <v>429</v>
      </c>
      <c r="C462" s="115">
        <v>425.7</v>
      </c>
      <c r="D462" s="115">
        <v>378.55</v>
      </c>
      <c r="E462" s="115">
        <v>378.55</v>
      </c>
      <c r="F462" s="115">
        <v>425.7</v>
      </c>
      <c r="G462">
        <v>2025</v>
      </c>
      <c r="H462" s="115"/>
      <c r="I462" s="115"/>
      <c r="L462" s="160">
        <v>42683</v>
      </c>
      <c r="M462" s="115">
        <v>678.45</v>
      </c>
      <c r="N462" s="115">
        <v>699</v>
      </c>
      <c r="O462" s="115">
        <v>580</v>
      </c>
      <c r="P462" s="115">
        <v>600</v>
      </c>
      <c r="Q462" s="115">
        <v>678.45</v>
      </c>
      <c r="R462">
        <v>27583</v>
      </c>
    </row>
    <row r="463" spans="1:18" x14ac:dyDescent="0.25">
      <c r="A463" s="160">
        <v>42705</v>
      </c>
      <c r="B463" s="115">
        <v>411</v>
      </c>
      <c r="C463" s="115">
        <v>410.05</v>
      </c>
      <c r="D463" s="115">
        <v>410</v>
      </c>
      <c r="E463" s="115">
        <v>410.05</v>
      </c>
      <c r="F463" s="115">
        <v>410.05</v>
      </c>
      <c r="G463">
        <v>176</v>
      </c>
      <c r="H463" s="115"/>
      <c r="I463" s="115"/>
      <c r="L463" s="160">
        <v>42684</v>
      </c>
      <c r="M463" s="115">
        <v>727.4</v>
      </c>
      <c r="N463" s="115">
        <v>733.8</v>
      </c>
      <c r="O463" s="115">
        <v>682.5</v>
      </c>
      <c r="P463" s="115">
        <v>705</v>
      </c>
      <c r="Q463" s="115">
        <v>727.4</v>
      </c>
      <c r="R463">
        <v>117590</v>
      </c>
    </row>
    <row r="464" spans="1:18" x14ac:dyDescent="0.25">
      <c r="A464" s="160">
        <v>42706</v>
      </c>
      <c r="B464" s="115">
        <v>400</v>
      </c>
      <c r="C464" s="115">
        <v>396.7</v>
      </c>
      <c r="D464" s="115">
        <v>394.05</v>
      </c>
      <c r="E464" s="115">
        <v>397.5</v>
      </c>
      <c r="F464" s="115">
        <v>396.7</v>
      </c>
      <c r="G464">
        <v>225</v>
      </c>
      <c r="H464" s="115"/>
      <c r="I464" s="115"/>
      <c r="L464" s="160">
        <v>42685</v>
      </c>
      <c r="M464" s="115">
        <v>741.7</v>
      </c>
      <c r="N464" s="115">
        <v>751</v>
      </c>
      <c r="O464" s="115">
        <v>727.4</v>
      </c>
      <c r="P464" s="115">
        <v>741.65</v>
      </c>
      <c r="Q464" s="115">
        <v>741.7</v>
      </c>
      <c r="R464">
        <v>64645</v>
      </c>
    </row>
    <row r="465" spans="1:18" x14ac:dyDescent="0.25">
      <c r="A465" s="160">
        <v>42710</v>
      </c>
      <c r="B465" s="115">
        <v>412</v>
      </c>
      <c r="C465" s="115">
        <v>397.85</v>
      </c>
      <c r="D465" s="115">
        <v>383</v>
      </c>
      <c r="E465" s="115">
        <v>383</v>
      </c>
      <c r="F465" s="115">
        <v>397.85</v>
      </c>
      <c r="G465">
        <v>1259</v>
      </c>
      <c r="H465" s="115"/>
      <c r="I465" s="115"/>
      <c r="L465" s="160">
        <v>42689</v>
      </c>
      <c r="M465" s="115">
        <v>707.75</v>
      </c>
      <c r="N465" s="115">
        <v>751</v>
      </c>
      <c r="O465" s="115">
        <v>690.15</v>
      </c>
      <c r="P465" s="115">
        <v>742.2</v>
      </c>
      <c r="Q465" s="115">
        <v>707.75</v>
      </c>
      <c r="R465">
        <v>28321</v>
      </c>
    </row>
    <row r="466" spans="1:18" x14ac:dyDescent="0.25">
      <c r="A466" s="160">
        <v>42711</v>
      </c>
      <c r="B466" s="115">
        <v>400.15</v>
      </c>
      <c r="C466" s="115">
        <v>400.15</v>
      </c>
      <c r="D466" s="115">
        <v>400.15</v>
      </c>
      <c r="E466" s="115">
        <v>400.15</v>
      </c>
      <c r="F466" s="115">
        <v>400.15</v>
      </c>
      <c r="G466">
        <v>7</v>
      </c>
      <c r="H466" s="115"/>
      <c r="I466" s="115"/>
      <c r="L466" s="160">
        <v>42690</v>
      </c>
      <c r="M466" s="115">
        <v>711.55</v>
      </c>
      <c r="N466" s="115">
        <v>720.15</v>
      </c>
      <c r="O466" s="115">
        <v>700</v>
      </c>
      <c r="P466" s="115">
        <v>710</v>
      </c>
      <c r="Q466" s="115">
        <v>711.55</v>
      </c>
      <c r="R466">
        <v>13000</v>
      </c>
    </row>
    <row r="467" spans="1:18" x14ac:dyDescent="0.25">
      <c r="A467" s="160">
        <v>42712</v>
      </c>
      <c r="B467" s="115">
        <v>431.3</v>
      </c>
      <c r="C467" s="115">
        <v>417.65</v>
      </c>
      <c r="D467" s="115">
        <v>401.05</v>
      </c>
      <c r="E467" s="115">
        <v>431.3</v>
      </c>
      <c r="F467" s="115">
        <v>417.65</v>
      </c>
      <c r="G467">
        <v>752</v>
      </c>
      <c r="H467" s="115"/>
      <c r="I467" s="115"/>
      <c r="L467" s="160">
        <v>42691</v>
      </c>
      <c r="M467" s="115">
        <v>695.95</v>
      </c>
      <c r="N467" s="115">
        <v>716.7</v>
      </c>
      <c r="O467" s="115">
        <v>690.5</v>
      </c>
      <c r="P467" s="115">
        <v>714.5</v>
      </c>
      <c r="Q467" s="115">
        <v>695.95</v>
      </c>
      <c r="R467">
        <v>11070</v>
      </c>
    </row>
    <row r="468" spans="1:18" x14ac:dyDescent="0.25">
      <c r="A468" s="160">
        <v>42713</v>
      </c>
      <c r="B468" s="115">
        <v>501.15</v>
      </c>
      <c r="C468" s="115">
        <v>488.45</v>
      </c>
      <c r="D468" s="115">
        <v>413.05</v>
      </c>
      <c r="E468" s="115">
        <v>426</v>
      </c>
      <c r="F468" s="115">
        <v>488.45</v>
      </c>
      <c r="G468">
        <v>8567</v>
      </c>
      <c r="H468" s="115"/>
      <c r="I468" s="115"/>
      <c r="L468" s="160">
        <v>42692</v>
      </c>
      <c r="M468" s="115">
        <v>705.3</v>
      </c>
      <c r="N468" s="115">
        <v>710</v>
      </c>
      <c r="O468" s="115">
        <v>691.6</v>
      </c>
      <c r="P468" s="115">
        <v>700</v>
      </c>
      <c r="Q468" s="115">
        <v>705.3</v>
      </c>
      <c r="R468">
        <v>4774</v>
      </c>
    </row>
    <row r="469" spans="1:18" x14ac:dyDescent="0.25">
      <c r="A469" s="160">
        <v>42716</v>
      </c>
      <c r="B469" s="115">
        <v>508</v>
      </c>
      <c r="C469" s="115">
        <v>497.75</v>
      </c>
      <c r="D469" s="115">
        <v>489</v>
      </c>
      <c r="E469" s="115">
        <v>489</v>
      </c>
      <c r="F469" s="115">
        <v>497.75</v>
      </c>
      <c r="G469">
        <v>678</v>
      </c>
      <c r="H469" s="115"/>
      <c r="I469" s="115"/>
      <c r="L469" s="160">
        <v>42695</v>
      </c>
      <c r="M469" s="115">
        <v>680.2</v>
      </c>
      <c r="N469" s="115">
        <v>718</v>
      </c>
      <c r="O469" s="115">
        <v>675.1</v>
      </c>
      <c r="P469" s="115">
        <v>700</v>
      </c>
      <c r="Q469" s="115">
        <v>680.2</v>
      </c>
      <c r="R469">
        <v>10280</v>
      </c>
    </row>
    <row r="470" spans="1:18" x14ac:dyDescent="0.25">
      <c r="A470" s="160">
        <v>42717</v>
      </c>
      <c r="B470" s="115">
        <v>496.95</v>
      </c>
      <c r="C470" s="115">
        <v>490.95</v>
      </c>
      <c r="D470" s="115">
        <v>490</v>
      </c>
      <c r="E470" s="115">
        <v>496.75</v>
      </c>
      <c r="F470" s="115">
        <v>490.95</v>
      </c>
      <c r="G470">
        <v>214</v>
      </c>
      <c r="H470" s="115"/>
      <c r="I470" s="115"/>
      <c r="L470" s="160">
        <v>42696</v>
      </c>
      <c r="M470" s="115">
        <v>679.25</v>
      </c>
      <c r="N470" s="115">
        <v>700</v>
      </c>
      <c r="O470" s="115">
        <v>672.05</v>
      </c>
      <c r="P470" s="115">
        <v>700</v>
      </c>
      <c r="Q470" s="115">
        <v>679.25</v>
      </c>
      <c r="R470">
        <v>5706</v>
      </c>
    </row>
    <row r="471" spans="1:18" x14ac:dyDescent="0.25">
      <c r="A471" s="160">
        <v>42718</v>
      </c>
      <c r="B471" s="115">
        <v>490</v>
      </c>
      <c r="C471" s="115">
        <v>468.4</v>
      </c>
      <c r="D471" s="115">
        <v>467</v>
      </c>
      <c r="E471" s="115">
        <v>476.05</v>
      </c>
      <c r="F471" s="115">
        <v>468.4</v>
      </c>
      <c r="G471">
        <v>583</v>
      </c>
      <c r="H471" s="115"/>
      <c r="I471" s="115"/>
      <c r="L471" s="160">
        <v>42697</v>
      </c>
      <c r="M471" s="115">
        <v>685.25</v>
      </c>
      <c r="N471" s="115">
        <v>700</v>
      </c>
      <c r="O471" s="115">
        <v>669.75</v>
      </c>
      <c r="P471" s="115">
        <v>678.1</v>
      </c>
      <c r="Q471" s="115">
        <v>685.25</v>
      </c>
      <c r="R471">
        <v>12752</v>
      </c>
    </row>
    <row r="472" spans="1:18" x14ac:dyDescent="0.25">
      <c r="A472" s="160">
        <v>42719</v>
      </c>
      <c r="B472" s="115">
        <v>479.5</v>
      </c>
      <c r="C472" s="115">
        <v>464</v>
      </c>
      <c r="D472" s="115">
        <v>463</v>
      </c>
      <c r="E472" s="115">
        <v>479.5</v>
      </c>
      <c r="F472" s="115">
        <v>464</v>
      </c>
      <c r="G472">
        <v>37</v>
      </c>
      <c r="H472" s="115"/>
      <c r="I472" s="115"/>
      <c r="L472" s="160">
        <v>42698</v>
      </c>
      <c r="M472" s="115">
        <v>692.6</v>
      </c>
      <c r="N472" s="115">
        <v>705</v>
      </c>
      <c r="O472" s="115">
        <v>675.45</v>
      </c>
      <c r="P472" s="115">
        <v>685</v>
      </c>
      <c r="Q472" s="115">
        <v>692.6</v>
      </c>
      <c r="R472">
        <v>36030</v>
      </c>
    </row>
    <row r="473" spans="1:18" x14ac:dyDescent="0.25">
      <c r="A473" s="160">
        <v>42720</v>
      </c>
      <c r="B473" s="115">
        <v>463.8</v>
      </c>
      <c r="C473" s="115">
        <v>454.65</v>
      </c>
      <c r="D473" s="115">
        <v>454</v>
      </c>
      <c r="E473" s="115">
        <v>454.05</v>
      </c>
      <c r="F473" s="115">
        <v>454.65</v>
      </c>
      <c r="G473">
        <v>261</v>
      </c>
      <c r="H473" s="115"/>
      <c r="I473" s="115"/>
      <c r="L473" s="160">
        <v>42699</v>
      </c>
      <c r="M473" s="115">
        <v>708</v>
      </c>
      <c r="N473" s="115">
        <v>709.5</v>
      </c>
      <c r="O473" s="115">
        <v>687</v>
      </c>
      <c r="P473" s="115">
        <v>690.1</v>
      </c>
      <c r="Q473" s="115">
        <v>708</v>
      </c>
      <c r="R473">
        <v>14294</v>
      </c>
    </row>
    <row r="474" spans="1:18" x14ac:dyDescent="0.25">
      <c r="A474" s="160">
        <v>42723</v>
      </c>
      <c r="B474" s="115">
        <v>468.25</v>
      </c>
      <c r="C474" s="115">
        <v>456</v>
      </c>
      <c r="D474" s="115">
        <v>452.5</v>
      </c>
      <c r="E474" s="115">
        <v>467</v>
      </c>
      <c r="F474" s="115">
        <v>456</v>
      </c>
      <c r="G474">
        <v>370</v>
      </c>
      <c r="H474" s="115"/>
      <c r="I474" s="115"/>
      <c r="L474" s="160">
        <v>42702</v>
      </c>
      <c r="M474" s="115">
        <v>711.45</v>
      </c>
      <c r="N474" s="115">
        <v>715</v>
      </c>
      <c r="O474" s="115">
        <v>693.1</v>
      </c>
      <c r="P474" s="115">
        <v>708</v>
      </c>
      <c r="Q474" s="115">
        <v>711.45</v>
      </c>
      <c r="R474">
        <v>10363</v>
      </c>
    </row>
    <row r="475" spans="1:18" x14ac:dyDescent="0.25">
      <c r="A475" s="160">
        <v>42725</v>
      </c>
      <c r="B475" s="115">
        <v>462.2</v>
      </c>
      <c r="C475" s="115">
        <v>442.1</v>
      </c>
      <c r="D475" s="115">
        <v>441.9</v>
      </c>
      <c r="E475" s="115">
        <v>462.2</v>
      </c>
      <c r="F475" s="115">
        <v>442.1</v>
      </c>
      <c r="G475">
        <v>169</v>
      </c>
      <c r="H475" s="115"/>
      <c r="I475" s="115"/>
      <c r="L475" s="160">
        <v>42703</v>
      </c>
      <c r="M475" s="115">
        <v>702.4</v>
      </c>
      <c r="N475" s="115">
        <v>713.3</v>
      </c>
      <c r="O475" s="115">
        <v>700</v>
      </c>
      <c r="P475" s="115">
        <v>703.1</v>
      </c>
      <c r="Q475" s="115">
        <v>702.4</v>
      </c>
      <c r="R475">
        <v>11765</v>
      </c>
    </row>
    <row r="476" spans="1:18" x14ac:dyDescent="0.25">
      <c r="A476" s="160">
        <v>42726</v>
      </c>
      <c r="B476" s="115">
        <v>444.9</v>
      </c>
      <c r="C476" s="115">
        <v>419.4</v>
      </c>
      <c r="D476" s="115">
        <v>416</v>
      </c>
      <c r="E476" s="115">
        <v>432.05</v>
      </c>
      <c r="F476" s="115">
        <v>419.4</v>
      </c>
      <c r="G476">
        <v>1541</v>
      </c>
      <c r="H476" s="115"/>
      <c r="I476" s="115"/>
      <c r="L476" s="160">
        <v>42704</v>
      </c>
      <c r="M476" s="115">
        <v>719.5</v>
      </c>
      <c r="N476" s="115">
        <v>720</v>
      </c>
      <c r="O476" s="115">
        <v>700</v>
      </c>
      <c r="P476" s="115">
        <v>700</v>
      </c>
      <c r="Q476" s="115">
        <v>719.5</v>
      </c>
      <c r="R476">
        <v>10772</v>
      </c>
    </row>
    <row r="477" spans="1:18" x14ac:dyDescent="0.25">
      <c r="A477" s="160">
        <v>42727</v>
      </c>
      <c r="B477" s="115">
        <v>427</v>
      </c>
      <c r="C477" s="115">
        <v>413.05</v>
      </c>
      <c r="D477" s="115">
        <v>410.05</v>
      </c>
      <c r="E477" s="115">
        <v>427</v>
      </c>
      <c r="F477" s="115">
        <v>413.05</v>
      </c>
      <c r="G477">
        <v>135</v>
      </c>
      <c r="H477" s="115"/>
      <c r="I477" s="115"/>
      <c r="L477" s="160">
        <v>42705</v>
      </c>
      <c r="M477" s="115">
        <v>708.9</v>
      </c>
      <c r="N477" s="115">
        <v>724.9</v>
      </c>
      <c r="O477" s="115">
        <v>703.6</v>
      </c>
      <c r="P477" s="115">
        <v>724.9</v>
      </c>
      <c r="Q477" s="115">
        <v>708.9</v>
      </c>
      <c r="R477">
        <v>16283</v>
      </c>
    </row>
    <row r="478" spans="1:18" x14ac:dyDescent="0.25">
      <c r="A478" s="160">
        <v>42730</v>
      </c>
      <c r="B478" s="115">
        <v>405.05</v>
      </c>
      <c r="C478" s="115">
        <v>405.05</v>
      </c>
      <c r="D478" s="115">
        <v>405.05</v>
      </c>
      <c r="E478" s="115">
        <v>405.05</v>
      </c>
      <c r="F478" s="115">
        <v>405.05</v>
      </c>
      <c r="G478">
        <v>50</v>
      </c>
      <c r="H478" s="115"/>
      <c r="I478" s="115"/>
      <c r="L478" s="160">
        <v>42706</v>
      </c>
      <c r="M478" s="115">
        <v>706.45</v>
      </c>
      <c r="N478" s="115">
        <v>719</v>
      </c>
      <c r="O478" s="115">
        <v>697.85</v>
      </c>
      <c r="P478" s="115">
        <v>705.05</v>
      </c>
      <c r="Q478" s="115">
        <v>706.45</v>
      </c>
      <c r="R478">
        <v>7965</v>
      </c>
    </row>
    <row r="479" spans="1:18" x14ac:dyDescent="0.25">
      <c r="A479" s="160">
        <v>42731</v>
      </c>
      <c r="B479" s="115">
        <v>419.9</v>
      </c>
      <c r="C479" s="115">
        <v>418</v>
      </c>
      <c r="D479" s="115">
        <v>400</v>
      </c>
      <c r="E479" s="115">
        <v>406.25</v>
      </c>
      <c r="F479" s="115">
        <v>418</v>
      </c>
      <c r="G479">
        <v>281</v>
      </c>
      <c r="H479" s="115"/>
      <c r="I479" s="115"/>
      <c r="L479" s="160">
        <v>42709</v>
      </c>
      <c r="M479" s="115">
        <v>694.85</v>
      </c>
      <c r="N479" s="115">
        <v>708.55</v>
      </c>
      <c r="O479" s="115">
        <v>692</v>
      </c>
      <c r="P479" s="115">
        <v>695.55</v>
      </c>
      <c r="Q479" s="115">
        <v>694.85</v>
      </c>
      <c r="R479">
        <v>21412</v>
      </c>
    </row>
    <row r="480" spans="1:18" x14ac:dyDescent="0.25">
      <c r="A480" s="160">
        <v>42732</v>
      </c>
      <c r="B480" s="115">
        <v>414.9</v>
      </c>
      <c r="C480" s="115">
        <v>404.8</v>
      </c>
      <c r="D480" s="115">
        <v>401.1</v>
      </c>
      <c r="E480" s="115">
        <v>408.5</v>
      </c>
      <c r="F480" s="115">
        <v>404.8</v>
      </c>
      <c r="G480">
        <v>317</v>
      </c>
      <c r="H480" s="115"/>
      <c r="I480" s="115"/>
      <c r="L480" s="160">
        <v>42710</v>
      </c>
      <c r="M480" s="115">
        <v>706.25</v>
      </c>
      <c r="N480" s="115">
        <v>708</v>
      </c>
      <c r="O480" s="115">
        <v>695.35</v>
      </c>
      <c r="P480" s="115">
        <v>699.9</v>
      </c>
      <c r="Q480" s="115">
        <v>706.25</v>
      </c>
      <c r="R480">
        <v>7865</v>
      </c>
    </row>
    <row r="481" spans="1:18" x14ac:dyDescent="0.25">
      <c r="A481" s="160">
        <v>42733</v>
      </c>
      <c r="B481" s="115">
        <v>415.4</v>
      </c>
      <c r="C481" s="115">
        <v>404.2</v>
      </c>
      <c r="D481" s="115">
        <v>395</v>
      </c>
      <c r="E481" s="115">
        <v>406</v>
      </c>
      <c r="F481" s="115">
        <v>404.2</v>
      </c>
      <c r="G481">
        <v>440</v>
      </c>
      <c r="H481" s="115"/>
      <c r="I481" s="115"/>
      <c r="L481" s="160">
        <v>42711</v>
      </c>
      <c r="M481" s="115">
        <v>702.2</v>
      </c>
      <c r="N481" s="115">
        <v>710</v>
      </c>
      <c r="O481" s="115">
        <v>696.05</v>
      </c>
      <c r="P481" s="115">
        <v>710</v>
      </c>
      <c r="Q481" s="115">
        <v>702.2</v>
      </c>
      <c r="R481">
        <v>10271</v>
      </c>
    </row>
    <row r="482" spans="1:18" x14ac:dyDescent="0.25">
      <c r="A482" s="160">
        <v>42734</v>
      </c>
      <c r="B482" s="115">
        <v>445</v>
      </c>
      <c r="C482" s="115">
        <v>434.05</v>
      </c>
      <c r="D482" s="115">
        <v>410</v>
      </c>
      <c r="E482" s="115">
        <v>418.8</v>
      </c>
      <c r="F482" s="115">
        <v>434.05</v>
      </c>
      <c r="G482">
        <v>1709</v>
      </c>
      <c r="H482" s="115"/>
      <c r="I482" s="115"/>
      <c r="L482" s="160">
        <v>42712</v>
      </c>
      <c r="M482" s="115">
        <v>700.75</v>
      </c>
      <c r="N482" s="115">
        <v>709</v>
      </c>
      <c r="O482" s="115">
        <v>698.8</v>
      </c>
      <c r="P482" s="115">
        <v>702</v>
      </c>
      <c r="Q482" s="115">
        <v>700.75</v>
      </c>
      <c r="R482">
        <v>8183</v>
      </c>
    </row>
    <row r="483" spans="1:18" x14ac:dyDescent="0.25">
      <c r="A483" s="160">
        <v>42737</v>
      </c>
      <c r="B483" s="115">
        <v>449</v>
      </c>
      <c r="C483" s="115">
        <v>426.5</v>
      </c>
      <c r="D483" s="115">
        <v>425</v>
      </c>
      <c r="E483" s="115">
        <v>435</v>
      </c>
      <c r="F483" s="115">
        <v>426.5</v>
      </c>
      <c r="G483">
        <v>494</v>
      </c>
      <c r="H483" s="115"/>
      <c r="I483" s="115"/>
      <c r="L483" s="160">
        <v>42713</v>
      </c>
      <c r="M483" s="115">
        <v>701.75</v>
      </c>
      <c r="N483" s="115">
        <v>715</v>
      </c>
      <c r="O483" s="115">
        <v>698.25</v>
      </c>
      <c r="P483" s="115">
        <v>706.8</v>
      </c>
      <c r="Q483" s="115">
        <v>701.75</v>
      </c>
      <c r="R483">
        <v>16805</v>
      </c>
    </row>
    <row r="484" spans="1:18" x14ac:dyDescent="0.25">
      <c r="A484" s="160">
        <v>42738</v>
      </c>
      <c r="B484" s="115">
        <v>453</v>
      </c>
      <c r="C484" s="115">
        <v>439</v>
      </c>
      <c r="D484" s="115">
        <v>425</v>
      </c>
      <c r="E484" s="115">
        <v>435</v>
      </c>
      <c r="F484" s="115">
        <v>439</v>
      </c>
      <c r="G484">
        <v>226</v>
      </c>
      <c r="H484" s="115"/>
      <c r="I484" s="115"/>
      <c r="L484" s="160">
        <v>42716</v>
      </c>
      <c r="M484" s="115">
        <v>701.2</v>
      </c>
      <c r="N484" s="115">
        <v>708</v>
      </c>
      <c r="O484" s="115">
        <v>696.15</v>
      </c>
      <c r="P484" s="115">
        <v>700</v>
      </c>
      <c r="Q484" s="115">
        <v>701.2</v>
      </c>
      <c r="R484">
        <v>6999</v>
      </c>
    </row>
    <row r="485" spans="1:18" x14ac:dyDescent="0.25">
      <c r="A485" s="160">
        <v>42739</v>
      </c>
      <c r="B485" s="115">
        <v>435</v>
      </c>
      <c r="C485" s="115">
        <v>422.35</v>
      </c>
      <c r="D485" s="115">
        <v>420</v>
      </c>
      <c r="E485" s="115">
        <v>426.7</v>
      </c>
      <c r="F485" s="115">
        <v>422.35</v>
      </c>
      <c r="G485">
        <v>546</v>
      </c>
      <c r="H485" s="115"/>
      <c r="I485" s="115"/>
      <c r="L485" s="160">
        <v>42717</v>
      </c>
      <c r="M485" s="115">
        <v>709.1</v>
      </c>
      <c r="N485" s="115">
        <v>713.5</v>
      </c>
      <c r="O485" s="115">
        <v>699.2</v>
      </c>
      <c r="P485" s="115">
        <v>701.2</v>
      </c>
      <c r="Q485" s="115">
        <v>709.1</v>
      </c>
      <c r="R485">
        <v>11522</v>
      </c>
    </row>
    <row r="486" spans="1:18" x14ac:dyDescent="0.25">
      <c r="A486" s="160">
        <v>42740</v>
      </c>
      <c r="B486" s="115">
        <v>437.7</v>
      </c>
      <c r="C486" s="115">
        <v>420.5</v>
      </c>
      <c r="D486" s="115">
        <v>418</v>
      </c>
      <c r="E486" s="115">
        <v>418.1</v>
      </c>
      <c r="F486" s="115">
        <v>420.5</v>
      </c>
      <c r="G486">
        <v>86</v>
      </c>
      <c r="H486" s="115"/>
      <c r="I486" s="115"/>
      <c r="L486" s="160">
        <v>42718</v>
      </c>
      <c r="M486" s="115">
        <v>701.1</v>
      </c>
      <c r="N486" s="115">
        <v>715</v>
      </c>
      <c r="O486" s="115">
        <v>699.2</v>
      </c>
      <c r="P486" s="115">
        <v>715</v>
      </c>
      <c r="Q486" s="115">
        <v>701.1</v>
      </c>
      <c r="R486">
        <v>16053</v>
      </c>
    </row>
    <row r="487" spans="1:18" x14ac:dyDescent="0.25">
      <c r="A487" s="160">
        <v>42741</v>
      </c>
      <c r="B487" s="115">
        <v>460</v>
      </c>
      <c r="C487" s="115">
        <v>451.1</v>
      </c>
      <c r="D487" s="115">
        <v>425</v>
      </c>
      <c r="E487" s="115">
        <v>434</v>
      </c>
      <c r="F487" s="115">
        <v>451.1</v>
      </c>
      <c r="G487">
        <v>1476</v>
      </c>
      <c r="H487" s="115"/>
      <c r="I487" s="115"/>
      <c r="L487" s="160">
        <v>42719</v>
      </c>
      <c r="M487" s="115">
        <v>701.8</v>
      </c>
      <c r="N487" s="115">
        <v>710</v>
      </c>
      <c r="O487" s="115">
        <v>697</v>
      </c>
      <c r="P487" s="115">
        <v>701.1</v>
      </c>
      <c r="Q487" s="115">
        <v>701.8</v>
      </c>
      <c r="R487">
        <v>14366</v>
      </c>
    </row>
    <row r="488" spans="1:18" x14ac:dyDescent="0.25">
      <c r="A488" s="160">
        <v>42744</v>
      </c>
      <c r="B488" s="115">
        <v>451.95</v>
      </c>
      <c r="C488" s="115">
        <v>444.9</v>
      </c>
      <c r="D488" s="115">
        <v>432.5</v>
      </c>
      <c r="E488" s="115">
        <v>432.5</v>
      </c>
      <c r="F488" s="115">
        <v>444.9</v>
      </c>
      <c r="G488">
        <v>109</v>
      </c>
      <c r="H488" s="115"/>
      <c r="I488" s="115"/>
      <c r="L488" s="160">
        <v>42720</v>
      </c>
      <c r="M488" s="115">
        <v>702.35</v>
      </c>
      <c r="N488" s="115">
        <v>710</v>
      </c>
      <c r="O488" s="115">
        <v>695</v>
      </c>
      <c r="P488" s="115">
        <v>695</v>
      </c>
      <c r="Q488" s="115">
        <v>702.35</v>
      </c>
      <c r="R488">
        <v>13192</v>
      </c>
    </row>
    <row r="489" spans="1:18" x14ac:dyDescent="0.25">
      <c r="A489" s="160">
        <v>42745</v>
      </c>
      <c r="B489" s="115">
        <v>445</v>
      </c>
      <c r="C489" s="115">
        <v>442</v>
      </c>
      <c r="D489" s="115">
        <v>430</v>
      </c>
      <c r="E489" s="115">
        <v>430</v>
      </c>
      <c r="F489" s="115">
        <v>442</v>
      </c>
      <c r="G489">
        <v>666</v>
      </c>
      <c r="H489" s="115"/>
      <c r="I489" s="115"/>
      <c r="L489" s="160">
        <v>42723</v>
      </c>
      <c r="M489" s="115">
        <v>717.5</v>
      </c>
      <c r="N489" s="115">
        <v>720</v>
      </c>
      <c r="O489" s="115">
        <v>700</v>
      </c>
      <c r="P489" s="115">
        <v>703</v>
      </c>
      <c r="Q489" s="115">
        <v>717.5</v>
      </c>
      <c r="R489">
        <v>20486</v>
      </c>
    </row>
    <row r="490" spans="1:18" x14ac:dyDescent="0.25">
      <c r="A490" s="160">
        <v>42746</v>
      </c>
      <c r="B490" s="115">
        <v>460</v>
      </c>
      <c r="C490" s="115">
        <v>442.6</v>
      </c>
      <c r="D490" s="115">
        <v>434</v>
      </c>
      <c r="E490" s="115">
        <v>434</v>
      </c>
      <c r="F490" s="115">
        <v>442.6</v>
      </c>
      <c r="G490">
        <v>1078</v>
      </c>
      <c r="H490" s="115"/>
      <c r="I490" s="115"/>
      <c r="L490" s="160">
        <v>42724</v>
      </c>
      <c r="M490" s="115">
        <v>718.65</v>
      </c>
      <c r="N490" s="115">
        <v>720</v>
      </c>
      <c r="O490" s="115">
        <v>708</v>
      </c>
      <c r="P490" s="115">
        <v>720</v>
      </c>
      <c r="Q490" s="115">
        <v>718.65</v>
      </c>
      <c r="R490">
        <v>9875</v>
      </c>
    </row>
    <row r="491" spans="1:18" x14ac:dyDescent="0.25">
      <c r="A491" s="160">
        <v>42747</v>
      </c>
      <c r="B491" s="115">
        <v>450</v>
      </c>
      <c r="C491" s="115">
        <v>438.2</v>
      </c>
      <c r="D491" s="115">
        <v>437.5</v>
      </c>
      <c r="E491" s="115">
        <v>438</v>
      </c>
      <c r="F491" s="115">
        <v>438.2</v>
      </c>
      <c r="G491">
        <v>571</v>
      </c>
      <c r="H491" s="115"/>
      <c r="I491" s="115"/>
      <c r="L491" s="160">
        <v>42725</v>
      </c>
      <c r="M491" s="115">
        <v>720.1</v>
      </c>
      <c r="N491" s="115">
        <v>724.9</v>
      </c>
      <c r="O491" s="115">
        <v>711.8</v>
      </c>
      <c r="P491" s="115">
        <v>711.8</v>
      </c>
      <c r="Q491" s="115">
        <v>720.1</v>
      </c>
      <c r="R491">
        <v>5152</v>
      </c>
    </row>
    <row r="492" spans="1:18" x14ac:dyDescent="0.25">
      <c r="A492" s="160">
        <v>42748</v>
      </c>
      <c r="B492" s="115">
        <v>439.1</v>
      </c>
      <c r="C492" s="115">
        <v>439.1</v>
      </c>
      <c r="D492" s="115">
        <v>438</v>
      </c>
      <c r="E492" s="115">
        <v>438</v>
      </c>
      <c r="F492" s="115">
        <v>439.1</v>
      </c>
      <c r="G492">
        <v>20</v>
      </c>
      <c r="H492" s="115"/>
      <c r="I492" s="115"/>
      <c r="L492" s="160">
        <v>42726</v>
      </c>
      <c r="M492" s="115">
        <v>715.6</v>
      </c>
      <c r="N492" s="115">
        <v>723</v>
      </c>
      <c r="O492" s="115">
        <v>713</v>
      </c>
      <c r="P492" s="115">
        <v>721.9</v>
      </c>
      <c r="Q492" s="115">
        <v>715.6</v>
      </c>
      <c r="R492">
        <v>7007</v>
      </c>
    </row>
    <row r="493" spans="1:18" x14ac:dyDescent="0.25">
      <c r="A493" s="160">
        <v>42751</v>
      </c>
      <c r="B493" s="115">
        <v>448.5</v>
      </c>
      <c r="C493" s="115">
        <v>445</v>
      </c>
      <c r="D493" s="115">
        <v>440</v>
      </c>
      <c r="E493" s="115">
        <v>448.5</v>
      </c>
      <c r="F493" s="115">
        <v>445</v>
      </c>
      <c r="G493">
        <v>386</v>
      </c>
      <c r="H493" s="115"/>
      <c r="I493" s="115"/>
      <c r="L493" s="160">
        <v>42727</v>
      </c>
      <c r="M493" s="115">
        <v>713.65</v>
      </c>
      <c r="N493" s="115">
        <v>717.4</v>
      </c>
      <c r="O493" s="115">
        <v>706.05</v>
      </c>
      <c r="P493" s="115">
        <v>711</v>
      </c>
      <c r="Q493" s="115">
        <v>713.65</v>
      </c>
      <c r="R493">
        <v>11261</v>
      </c>
    </row>
    <row r="494" spans="1:18" x14ac:dyDescent="0.25">
      <c r="A494" s="160">
        <v>42752</v>
      </c>
      <c r="B494" s="115">
        <v>447</v>
      </c>
      <c r="C494" s="115">
        <v>445</v>
      </c>
      <c r="D494" s="115">
        <v>442.9</v>
      </c>
      <c r="E494" s="115">
        <v>447</v>
      </c>
      <c r="F494" s="115">
        <v>445</v>
      </c>
      <c r="G494">
        <v>65</v>
      </c>
      <c r="H494" s="115"/>
      <c r="I494" s="115"/>
      <c r="L494" s="160">
        <v>42730</v>
      </c>
      <c r="M494" s="115">
        <v>713.25</v>
      </c>
      <c r="N494" s="115">
        <v>720</v>
      </c>
      <c r="O494" s="115">
        <v>702.05</v>
      </c>
      <c r="P494" s="115">
        <v>711</v>
      </c>
      <c r="Q494" s="115">
        <v>713.25</v>
      </c>
      <c r="R494">
        <v>7205</v>
      </c>
    </row>
    <row r="495" spans="1:18" x14ac:dyDescent="0.25">
      <c r="A495" s="160">
        <v>42753</v>
      </c>
      <c r="B495" s="115">
        <v>443.95</v>
      </c>
      <c r="C495" s="115">
        <v>436.1</v>
      </c>
      <c r="D495" s="115">
        <v>435.25</v>
      </c>
      <c r="E495" s="115">
        <v>440</v>
      </c>
      <c r="F495" s="115">
        <v>436.1</v>
      </c>
      <c r="G495">
        <v>176</v>
      </c>
      <c r="H495" s="115"/>
      <c r="I495" s="115"/>
      <c r="L495" s="160">
        <v>42731</v>
      </c>
      <c r="M495" s="115">
        <v>716.45</v>
      </c>
      <c r="N495" s="115">
        <v>718.75</v>
      </c>
      <c r="O495" s="115">
        <v>700</v>
      </c>
      <c r="P495" s="115">
        <v>715</v>
      </c>
      <c r="Q495" s="115">
        <v>716.45</v>
      </c>
      <c r="R495">
        <v>261757</v>
      </c>
    </row>
    <row r="496" spans="1:18" x14ac:dyDescent="0.25">
      <c r="A496" s="160">
        <v>42754</v>
      </c>
      <c r="B496" s="115">
        <v>431</v>
      </c>
      <c r="C496" s="115">
        <v>430</v>
      </c>
      <c r="D496" s="115">
        <v>430</v>
      </c>
      <c r="E496" s="115">
        <v>430</v>
      </c>
      <c r="F496" s="115">
        <v>430</v>
      </c>
      <c r="G496">
        <v>70</v>
      </c>
      <c r="H496" s="115"/>
      <c r="I496" s="115"/>
      <c r="L496" s="160">
        <v>42732</v>
      </c>
      <c r="M496" s="115">
        <v>727</v>
      </c>
      <c r="N496" s="115">
        <v>737.9</v>
      </c>
      <c r="O496" s="115">
        <v>722</v>
      </c>
      <c r="P496" s="115">
        <v>728</v>
      </c>
      <c r="Q496" s="115">
        <v>727</v>
      </c>
      <c r="R496">
        <v>27099</v>
      </c>
    </row>
    <row r="497" spans="1:18" x14ac:dyDescent="0.25">
      <c r="A497" s="160">
        <v>42755</v>
      </c>
      <c r="B497" s="115">
        <v>435</v>
      </c>
      <c r="C497" s="115">
        <v>422</v>
      </c>
      <c r="D497" s="115">
        <v>422</v>
      </c>
      <c r="E497" s="115">
        <v>423</v>
      </c>
      <c r="F497" s="115">
        <v>422</v>
      </c>
      <c r="G497">
        <v>739</v>
      </c>
      <c r="H497" s="115"/>
      <c r="I497" s="115"/>
      <c r="L497" s="160">
        <v>42733</v>
      </c>
      <c r="M497" s="115">
        <v>734.85</v>
      </c>
      <c r="N497" s="115">
        <v>738.85</v>
      </c>
      <c r="O497" s="115">
        <v>725.05</v>
      </c>
      <c r="P497" s="115">
        <v>738.85</v>
      </c>
      <c r="Q497" s="115">
        <v>734.85</v>
      </c>
      <c r="R497">
        <v>10098</v>
      </c>
    </row>
    <row r="498" spans="1:18" x14ac:dyDescent="0.25">
      <c r="A498" s="160">
        <v>42758</v>
      </c>
      <c r="B498" s="115">
        <v>420</v>
      </c>
      <c r="C498" s="115">
        <v>420</v>
      </c>
      <c r="D498" s="115">
        <v>420</v>
      </c>
      <c r="E498" s="115">
        <v>420</v>
      </c>
      <c r="F498" s="115">
        <v>420</v>
      </c>
      <c r="G498">
        <v>40</v>
      </c>
      <c r="H498" s="115"/>
      <c r="I498" s="115"/>
      <c r="L498" s="160">
        <v>42734</v>
      </c>
      <c r="M498" s="115">
        <v>734.6</v>
      </c>
      <c r="N498" s="115">
        <v>744.3</v>
      </c>
      <c r="O498" s="115">
        <v>725.05</v>
      </c>
      <c r="P498" s="115">
        <v>730.05</v>
      </c>
      <c r="Q498" s="115">
        <v>734.6</v>
      </c>
      <c r="R498">
        <v>18557</v>
      </c>
    </row>
    <row r="499" spans="1:18" x14ac:dyDescent="0.25">
      <c r="A499" s="160">
        <v>42759</v>
      </c>
      <c r="B499" s="115">
        <v>434</v>
      </c>
      <c r="C499" s="115">
        <v>434</v>
      </c>
      <c r="D499" s="115">
        <v>416.55</v>
      </c>
      <c r="E499" s="115">
        <v>422.5</v>
      </c>
      <c r="F499" s="115">
        <v>434</v>
      </c>
      <c r="G499">
        <v>1129</v>
      </c>
      <c r="H499" s="115"/>
      <c r="I499" s="115"/>
      <c r="L499" s="160">
        <v>42737</v>
      </c>
      <c r="M499" s="115">
        <v>746.45</v>
      </c>
      <c r="N499" s="115">
        <v>748.8</v>
      </c>
      <c r="O499" s="115">
        <v>730.7</v>
      </c>
      <c r="P499" s="115">
        <v>736</v>
      </c>
      <c r="Q499" s="115">
        <v>746.45</v>
      </c>
      <c r="R499">
        <v>11586</v>
      </c>
    </row>
    <row r="500" spans="1:18" x14ac:dyDescent="0.25">
      <c r="A500" s="160">
        <v>42760</v>
      </c>
      <c r="B500" s="115">
        <v>440</v>
      </c>
      <c r="C500" s="115">
        <v>431.4</v>
      </c>
      <c r="D500" s="115">
        <v>427.5</v>
      </c>
      <c r="E500" s="115">
        <v>439</v>
      </c>
      <c r="F500" s="115">
        <v>431.4</v>
      </c>
      <c r="G500">
        <v>892</v>
      </c>
      <c r="H500" s="115"/>
      <c r="I500" s="115"/>
      <c r="L500" s="160">
        <v>42738</v>
      </c>
      <c r="M500" s="115">
        <v>759.65</v>
      </c>
      <c r="N500" s="115">
        <v>774.95</v>
      </c>
      <c r="O500" s="115">
        <v>749.05</v>
      </c>
      <c r="P500" s="115">
        <v>751.9</v>
      </c>
      <c r="Q500" s="115">
        <v>759.65</v>
      </c>
      <c r="R500">
        <v>57798</v>
      </c>
    </row>
    <row r="501" spans="1:18" x14ac:dyDescent="0.25">
      <c r="A501" s="160">
        <v>42762</v>
      </c>
      <c r="B501" s="115">
        <v>435</v>
      </c>
      <c r="C501" s="115">
        <v>435</v>
      </c>
      <c r="D501" s="115">
        <v>425.4</v>
      </c>
      <c r="E501" s="115">
        <v>434.9</v>
      </c>
      <c r="F501" s="115">
        <v>435</v>
      </c>
      <c r="G501">
        <v>364</v>
      </c>
      <c r="H501" s="115"/>
      <c r="I501" s="115"/>
      <c r="L501" s="160">
        <v>42739</v>
      </c>
      <c r="M501" s="115">
        <v>764.05</v>
      </c>
      <c r="N501" s="115">
        <v>769</v>
      </c>
      <c r="O501" s="115">
        <v>757.45</v>
      </c>
      <c r="P501" s="115">
        <v>757.45</v>
      </c>
      <c r="Q501" s="115">
        <v>764.05</v>
      </c>
      <c r="R501">
        <v>20508</v>
      </c>
    </row>
    <row r="502" spans="1:18" x14ac:dyDescent="0.25">
      <c r="A502" s="160">
        <v>42765</v>
      </c>
      <c r="B502" s="115">
        <v>436</v>
      </c>
      <c r="C502" s="115">
        <v>420.35</v>
      </c>
      <c r="D502" s="115">
        <v>417</v>
      </c>
      <c r="E502" s="115">
        <v>432.3</v>
      </c>
      <c r="F502" s="115">
        <v>420.35</v>
      </c>
      <c r="G502">
        <v>1956</v>
      </c>
      <c r="H502" s="115"/>
      <c r="I502" s="115"/>
      <c r="L502" s="160">
        <v>42740</v>
      </c>
      <c r="M502" s="115">
        <v>776.1</v>
      </c>
      <c r="N502" s="115">
        <v>779</v>
      </c>
      <c r="O502" s="115">
        <v>763.5</v>
      </c>
      <c r="P502" s="115">
        <v>765</v>
      </c>
      <c r="Q502" s="115">
        <v>776.1</v>
      </c>
      <c r="R502">
        <v>21321</v>
      </c>
    </row>
    <row r="503" spans="1:18" x14ac:dyDescent="0.25">
      <c r="A503" s="160">
        <v>42766</v>
      </c>
      <c r="B503" s="115">
        <v>429</v>
      </c>
      <c r="C503" s="115">
        <v>419.25</v>
      </c>
      <c r="D503" s="115">
        <v>419.1</v>
      </c>
      <c r="E503" s="115">
        <v>422</v>
      </c>
      <c r="F503" s="115">
        <v>419.25</v>
      </c>
      <c r="G503">
        <v>749</v>
      </c>
      <c r="H503" s="115"/>
      <c r="I503" s="115"/>
      <c r="L503" s="160">
        <v>42741</v>
      </c>
      <c r="M503" s="115">
        <v>775.45</v>
      </c>
      <c r="N503" s="115">
        <v>778</v>
      </c>
      <c r="O503" s="115">
        <v>770.5</v>
      </c>
      <c r="P503" s="115">
        <v>772</v>
      </c>
      <c r="Q503" s="115">
        <v>775.45</v>
      </c>
      <c r="R503">
        <v>15242</v>
      </c>
    </row>
    <row r="504" spans="1:18" x14ac:dyDescent="0.25">
      <c r="A504" s="160">
        <v>42767</v>
      </c>
      <c r="B504" s="115">
        <v>434</v>
      </c>
      <c r="C504" s="115">
        <v>429.5</v>
      </c>
      <c r="D504" s="115">
        <v>408.5</v>
      </c>
      <c r="E504" s="115">
        <v>422</v>
      </c>
      <c r="F504" s="115">
        <v>429.5</v>
      </c>
      <c r="G504">
        <v>193</v>
      </c>
      <c r="H504" s="115"/>
      <c r="I504" s="115"/>
      <c r="L504" s="160">
        <v>42744</v>
      </c>
      <c r="M504" s="115">
        <v>786.1</v>
      </c>
      <c r="N504" s="115">
        <v>793.8</v>
      </c>
      <c r="O504" s="115">
        <v>771.65</v>
      </c>
      <c r="P504" s="115">
        <v>780</v>
      </c>
      <c r="Q504" s="115">
        <v>786.1</v>
      </c>
      <c r="R504">
        <v>33468</v>
      </c>
    </row>
    <row r="505" spans="1:18" x14ac:dyDescent="0.25">
      <c r="A505" s="160">
        <v>42768</v>
      </c>
      <c r="B505" s="115">
        <v>440</v>
      </c>
      <c r="C505" s="115">
        <v>438.3</v>
      </c>
      <c r="D505" s="115">
        <v>430</v>
      </c>
      <c r="E505" s="115">
        <v>430</v>
      </c>
      <c r="F505" s="115">
        <v>438.3</v>
      </c>
      <c r="G505">
        <v>767</v>
      </c>
      <c r="H505" s="115"/>
      <c r="I505" s="115"/>
      <c r="L505" s="160">
        <v>42745</v>
      </c>
      <c r="M505" s="115">
        <v>786.75</v>
      </c>
      <c r="N505" s="115">
        <v>798</v>
      </c>
      <c r="O505" s="115">
        <v>782.15</v>
      </c>
      <c r="P505" s="115">
        <v>798</v>
      </c>
      <c r="Q505" s="115">
        <v>786.75</v>
      </c>
      <c r="R505">
        <v>25181</v>
      </c>
    </row>
    <row r="506" spans="1:18" x14ac:dyDescent="0.25">
      <c r="A506" s="160">
        <v>42769</v>
      </c>
      <c r="B506" s="115">
        <v>444.4</v>
      </c>
      <c r="C506" s="115">
        <v>431.45</v>
      </c>
      <c r="D506" s="115">
        <v>430.05</v>
      </c>
      <c r="E506" s="115">
        <v>438.3</v>
      </c>
      <c r="F506" s="115">
        <v>431.45</v>
      </c>
      <c r="G506">
        <v>163</v>
      </c>
      <c r="H506" s="115"/>
      <c r="I506" s="115"/>
      <c r="L506" s="160">
        <v>42746</v>
      </c>
      <c r="M506" s="115">
        <v>786.2</v>
      </c>
      <c r="N506" s="115">
        <v>791.8</v>
      </c>
      <c r="O506" s="115">
        <v>783.95</v>
      </c>
      <c r="P506" s="115">
        <v>790</v>
      </c>
      <c r="Q506" s="115">
        <v>786.2</v>
      </c>
      <c r="R506">
        <v>55195</v>
      </c>
    </row>
    <row r="507" spans="1:18" x14ac:dyDescent="0.25">
      <c r="A507" s="160">
        <v>42772</v>
      </c>
      <c r="B507" s="115">
        <v>450</v>
      </c>
      <c r="C507" s="115">
        <v>446.65</v>
      </c>
      <c r="D507" s="115">
        <v>434.5</v>
      </c>
      <c r="E507" s="115">
        <v>449.8</v>
      </c>
      <c r="F507" s="115">
        <v>446.65</v>
      </c>
      <c r="G507">
        <v>730</v>
      </c>
      <c r="H507" s="115"/>
      <c r="I507" s="115"/>
      <c r="L507" s="160">
        <v>42747</v>
      </c>
      <c r="M507" s="115">
        <v>769.45</v>
      </c>
      <c r="N507" s="115">
        <v>773.4</v>
      </c>
      <c r="O507" s="115">
        <v>753.75</v>
      </c>
      <c r="P507" s="115">
        <v>767.5</v>
      </c>
      <c r="Q507" s="115">
        <v>769.45</v>
      </c>
      <c r="R507">
        <v>19764</v>
      </c>
    </row>
    <row r="508" spans="1:18" x14ac:dyDescent="0.25">
      <c r="A508" s="160">
        <v>42773</v>
      </c>
      <c r="B508" s="115">
        <v>446.65</v>
      </c>
      <c r="C508" s="115">
        <v>440</v>
      </c>
      <c r="D508" s="115">
        <v>433</v>
      </c>
      <c r="E508" s="115">
        <v>433</v>
      </c>
      <c r="F508" s="115">
        <v>440</v>
      </c>
      <c r="G508">
        <v>551</v>
      </c>
      <c r="H508" s="115"/>
      <c r="I508" s="115"/>
      <c r="L508" s="160">
        <v>42748</v>
      </c>
      <c r="M508" s="115">
        <v>768.15</v>
      </c>
      <c r="N508" s="115">
        <v>775.5</v>
      </c>
      <c r="O508" s="115">
        <v>755.5</v>
      </c>
      <c r="P508" s="115">
        <v>770.05</v>
      </c>
      <c r="Q508" s="115">
        <v>768.15</v>
      </c>
      <c r="R508">
        <v>12920</v>
      </c>
    </row>
    <row r="509" spans="1:18" x14ac:dyDescent="0.25">
      <c r="A509" s="160">
        <v>42774</v>
      </c>
      <c r="B509" s="115">
        <v>476</v>
      </c>
      <c r="C509" s="115">
        <v>454.7</v>
      </c>
      <c r="D509" s="115">
        <v>447.2</v>
      </c>
      <c r="E509" s="115">
        <v>460</v>
      </c>
      <c r="F509" s="115">
        <v>454.7</v>
      </c>
      <c r="G509">
        <v>2401</v>
      </c>
      <c r="H509" s="115"/>
      <c r="I509" s="115"/>
      <c r="L509" s="160">
        <v>42751</v>
      </c>
      <c r="M509" s="115">
        <v>772.3</v>
      </c>
      <c r="N509" s="115">
        <v>774.95</v>
      </c>
      <c r="O509" s="115">
        <v>763.8</v>
      </c>
      <c r="P509" s="115">
        <v>768</v>
      </c>
      <c r="Q509" s="115">
        <v>772.3</v>
      </c>
      <c r="R509">
        <v>11023</v>
      </c>
    </row>
    <row r="510" spans="1:18" x14ac:dyDescent="0.25">
      <c r="A510" s="160">
        <v>42775</v>
      </c>
      <c r="B510" s="115">
        <v>450</v>
      </c>
      <c r="C510" s="115">
        <v>441.5</v>
      </c>
      <c r="D510" s="115">
        <v>437</v>
      </c>
      <c r="E510" s="115">
        <v>450</v>
      </c>
      <c r="F510" s="115">
        <v>441.5</v>
      </c>
      <c r="G510">
        <v>945</v>
      </c>
      <c r="H510" s="115"/>
      <c r="I510" s="115"/>
      <c r="L510" s="160">
        <v>42752</v>
      </c>
      <c r="M510" s="115">
        <v>780.5</v>
      </c>
      <c r="N510" s="115">
        <v>787.4</v>
      </c>
      <c r="O510" s="115">
        <v>763.5</v>
      </c>
      <c r="P510" s="115">
        <v>772.3</v>
      </c>
      <c r="Q510" s="115">
        <v>780.5</v>
      </c>
      <c r="R510">
        <v>7772</v>
      </c>
    </row>
    <row r="511" spans="1:18" x14ac:dyDescent="0.25">
      <c r="A511" s="160">
        <v>42776</v>
      </c>
      <c r="B511" s="115">
        <v>524</v>
      </c>
      <c r="C511" s="115">
        <v>489.4</v>
      </c>
      <c r="D511" s="115">
        <v>480</v>
      </c>
      <c r="E511" s="115">
        <v>480</v>
      </c>
      <c r="F511" s="115">
        <v>489.4</v>
      </c>
      <c r="G511">
        <v>13631</v>
      </c>
      <c r="H511" s="115"/>
      <c r="I511" s="115"/>
      <c r="L511" s="160">
        <v>42753</v>
      </c>
      <c r="M511" s="115">
        <v>756.95</v>
      </c>
      <c r="N511" s="115">
        <v>779.9</v>
      </c>
      <c r="O511" s="115">
        <v>750</v>
      </c>
      <c r="P511" s="115">
        <v>773</v>
      </c>
      <c r="Q511" s="115">
        <v>756.95</v>
      </c>
      <c r="R511">
        <v>15383</v>
      </c>
    </row>
    <row r="512" spans="1:18" x14ac:dyDescent="0.25">
      <c r="A512" s="160">
        <v>42779</v>
      </c>
      <c r="B512" s="115">
        <v>506</v>
      </c>
      <c r="C512" s="115">
        <v>497.5</v>
      </c>
      <c r="D512" s="115">
        <v>470</v>
      </c>
      <c r="E512" s="115">
        <v>499</v>
      </c>
      <c r="F512" s="115">
        <v>497.5</v>
      </c>
      <c r="G512">
        <v>4551</v>
      </c>
      <c r="H512" s="115"/>
      <c r="I512" s="115"/>
      <c r="L512" s="160">
        <v>42754</v>
      </c>
      <c r="M512" s="115">
        <v>744.95</v>
      </c>
      <c r="N512" s="115">
        <v>765</v>
      </c>
      <c r="O512" s="115">
        <v>740.5</v>
      </c>
      <c r="P512" s="115">
        <v>765</v>
      </c>
      <c r="Q512" s="115">
        <v>744.95</v>
      </c>
      <c r="R512">
        <v>15583</v>
      </c>
    </row>
    <row r="513" spans="1:18" x14ac:dyDescent="0.25">
      <c r="A513" s="160">
        <v>42780</v>
      </c>
      <c r="B513" s="115">
        <v>509.95</v>
      </c>
      <c r="C513" s="115">
        <v>490.1</v>
      </c>
      <c r="D513" s="115">
        <v>490</v>
      </c>
      <c r="E513" s="115">
        <v>509.95</v>
      </c>
      <c r="F513" s="115">
        <v>490.1</v>
      </c>
      <c r="G513">
        <v>1069</v>
      </c>
      <c r="H513" s="115"/>
      <c r="I513" s="115"/>
      <c r="L513" s="160">
        <v>42755</v>
      </c>
      <c r="M513" s="115">
        <v>731.45</v>
      </c>
      <c r="N513" s="115">
        <v>754.8</v>
      </c>
      <c r="O513" s="115">
        <v>726.55</v>
      </c>
      <c r="P513" s="115">
        <v>741.05</v>
      </c>
      <c r="Q513" s="115">
        <v>731.45</v>
      </c>
      <c r="R513">
        <v>15897</v>
      </c>
    </row>
    <row r="514" spans="1:18" x14ac:dyDescent="0.25">
      <c r="A514" s="160">
        <v>42781</v>
      </c>
      <c r="B514" s="115">
        <v>500</v>
      </c>
      <c r="C514" s="115">
        <v>468.15</v>
      </c>
      <c r="D514" s="115">
        <v>465</v>
      </c>
      <c r="E514" s="115">
        <v>500</v>
      </c>
      <c r="F514" s="115">
        <v>468.15</v>
      </c>
      <c r="G514">
        <v>2551</v>
      </c>
      <c r="H514" s="115"/>
      <c r="I514" s="115"/>
      <c r="L514" s="160">
        <v>42758</v>
      </c>
      <c r="M514" s="115">
        <v>739.25</v>
      </c>
      <c r="N514" s="115">
        <v>746.75</v>
      </c>
      <c r="O514" s="115">
        <v>725</v>
      </c>
      <c r="P514" s="115">
        <v>725</v>
      </c>
      <c r="Q514" s="115">
        <v>739.25</v>
      </c>
      <c r="R514">
        <v>15610</v>
      </c>
    </row>
    <row r="515" spans="1:18" x14ac:dyDescent="0.25">
      <c r="A515" s="160">
        <v>42782</v>
      </c>
      <c r="B515" s="115">
        <v>486.9</v>
      </c>
      <c r="C515" s="115">
        <v>481.8</v>
      </c>
      <c r="D515" s="115">
        <v>473</v>
      </c>
      <c r="E515" s="115">
        <v>477.9</v>
      </c>
      <c r="F515" s="115">
        <v>481.8</v>
      </c>
      <c r="G515">
        <v>946</v>
      </c>
      <c r="H515" s="115"/>
      <c r="I515" s="115"/>
      <c r="L515" s="160">
        <v>42759</v>
      </c>
      <c r="M515" s="115">
        <v>737.45</v>
      </c>
      <c r="N515" s="115">
        <v>745</v>
      </c>
      <c r="O515" s="115">
        <v>730.5</v>
      </c>
      <c r="P515" s="115">
        <v>745</v>
      </c>
      <c r="Q515" s="115">
        <v>737.45</v>
      </c>
      <c r="R515">
        <v>11360</v>
      </c>
    </row>
    <row r="516" spans="1:18" x14ac:dyDescent="0.25">
      <c r="A516" s="160">
        <v>42783</v>
      </c>
      <c r="B516" s="115">
        <v>504.35</v>
      </c>
      <c r="C516" s="115">
        <v>496.75</v>
      </c>
      <c r="D516" s="115">
        <v>472</v>
      </c>
      <c r="E516" s="115">
        <v>472</v>
      </c>
      <c r="F516" s="115">
        <v>496.75</v>
      </c>
      <c r="G516">
        <v>1729</v>
      </c>
      <c r="H516" s="115"/>
      <c r="I516" s="115"/>
      <c r="L516" s="160">
        <v>42760</v>
      </c>
      <c r="M516" s="115">
        <v>729.25</v>
      </c>
      <c r="N516" s="115">
        <v>748.1</v>
      </c>
      <c r="O516" s="115">
        <v>725</v>
      </c>
      <c r="P516" s="115">
        <v>748</v>
      </c>
      <c r="Q516" s="115">
        <v>729.25</v>
      </c>
      <c r="R516">
        <v>24532</v>
      </c>
    </row>
    <row r="517" spans="1:18" x14ac:dyDescent="0.25">
      <c r="A517" s="160">
        <v>42786</v>
      </c>
      <c r="B517" s="115">
        <v>596.1</v>
      </c>
      <c r="C517" s="115">
        <v>596.1</v>
      </c>
      <c r="D517" s="115">
        <v>500</v>
      </c>
      <c r="E517" s="115">
        <v>500</v>
      </c>
      <c r="F517" s="115">
        <v>596.1</v>
      </c>
      <c r="G517">
        <v>10674</v>
      </c>
      <c r="H517" s="115"/>
      <c r="I517" s="115"/>
      <c r="L517" s="160">
        <v>42762</v>
      </c>
      <c r="M517" s="115">
        <v>747.8</v>
      </c>
      <c r="N517" s="115">
        <v>758</v>
      </c>
      <c r="O517" s="115">
        <v>721.85</v>
      </c>
      <c r="P517" s="115">
        <v>735.4</v>
      </c>
      <c r="Q517" s="115">
        <v>747.8</v>
      </c>
      <c r="R517">
        <v>18110</v>
      </c>
    </row>
    <row r="518" spans="1:18" x14ac:dyDescent="0.25">
      <c r="A518" s="160">
        <v>42787</v>
      </c>
      <c r="B518" s="115">
        <v>699</v>
      </c>
      <c r="C518" s="115">
        <v>650.6</v>
      </c>
      <c r="D518" s="115">
        <v>632.1</v>
      </c>
      <c r="E518" s="115">
        <v>662</v>
      </c>
      <c r="F518" s="115">
        <v>650.6</v>
      </c>
      <c r="G518">
        <v>20106</v>
      </c>
      <c r="H518" s="115"/>
      <c r="I518" s="115"/>
      <c r="L518" s="160">
        <v>42765</v>
      </c>
      <c r="M518" s="115">
        <v>730.45</v>
      </c>
      <c r="N518" s="115">
        <v>757</v>
      </c>
      <c r="O518" s="115">
        <v>722</v>
      </c>
      <c r="P518" s="115">
        <v>757</v>
      </c>
      <c r="Q518" s="115">
        <v>730.45</v>
      </c>
      <c r="R518">
        <v>22307</v>
      </c>
    </row>
    <row r="519" spans="1:18" x14ac:dyDescent="0.25">
      <c r="A519" s="160">
        <v>42788</v>
      </c>
      <c r="B519" s="115">
        <v>666</v>
      </c>
      <c r="C519" s="115">
        <v>638.6</v>
      </c>
      <c r="D519" s="115">
        <v>625</v>
      </c>
      <c r="E519" s="115">
        <v>645</v>
      </c>
      <c r="F519" s="115">
        <v>638.6</v>
      </c>
      <c r="G519">
        <v>4584</v>
      </c>
      <c r="H519" s="115"/>
      <c r="I519" s="115"/>
      <c r="L519" s="160">
        <v>42766</v>
      </c>
      <c r="M519" s="115">
        <v>687.45</v>
      </c>
      <c r="N519" s="115">
        <v>745.05</v>
      </c>
      <c r="O519" s="115">
        <v>675</v>
      </c>
      <c r="P519" s="115">
        <v>731</v>
      </c>
      <c r="Q519" s="115">
        <v>687.45</v>
      </c>
      <c r="R519">
        <v>142021</v>
      </c>
    </row>
    <row r="520" spans="1:18" x14ac:dyDescent="0.25">
      <c r="A520" s="160">
        <v>42789</v>
      </c>
      <c r="B520" s="115">
        <v>645</v>
      </c>
      <c r="C520" s="115">
        <v>641.79999999999995</v>
      </c>
      <c r="D520" s="115">
        <v>631</v>
      </c>
      <c r="E520" s="115">
        <v>631</v>
      </c>
      <c r="F520" s="115">
        <v>641.79999999999995</v>
      </c>
      <c r="G520">
        <v>1270</v>
      </c>
      <c r="H520" s="115"/>
      <c r="I520" s="115"/>
      <c r="L520" s="160">
        <v>42767</v>
      </c>
      <c r="M520" s="115">
        <v>720.65</v>
      </c>
      <c r="N520" s="115">
        <v>744.5</v>
      </c>
      <c r="O520" s="115">
        <v>690</v>
      </c>
      <c r="P520" s="115">
        <v>707.75</v>
      </c>
      <c r="Q520" s="115">
        <v>720.65</v>
      </c>
      <c r="R520">
        <v>31760</v>
      </c>
    </row>
    <row r="521" spans="1:18" x14ac:dyDescent="0.25">
      <c r="A521" s="160">
        <v>42793</v>
      </c>
      <c r="B521" s="115">
        <v>659.95</v>
      </c>
      <c r="C521" s="115">
        <v>630.1</v>
      </c>
      <c r="D521" s="115">
        <v>620</v>
      </c>
      <c r="E521" s="115">
        <v>640</v>
      </c>
      <c r="F521" s="115">
        <v>630.1</v>
      </c>
      <c r="G521">
        <v>1947</v>
      </c>
      <c r="H521" s="115"/>
      <c r="I521" s="115"/>
      <c r="L521" s="160">
        <v>42768</v>
      </c>
      <c r="M521" s="115">
        <v>730.15</v>
      </c>
      <c r="N521" s="115">
        <v>737.45</v>
      </c>
      <c r="O521" s="115">
        <v>716</v>
      </c>
      <c r="P521" s="115">
        <v>718.9</v>
      </c>
      <c r="Q521" s="115">
        <v>730.15</v>
      </c>
      <c r="R521">
        <v>12910</v>
      </c>
    </row>
    <row r="522" spans="1:18" x14ac:dyDescent="0.25">
      <c r="A522" s="160">
        <v>42794</v>
      </c>
      <c r="B522" s="115">
        <v>650</v>
      </c>
      <c r="C522" s="115">
        <v>647.4</v>
      </c>
      <c r="D522" s="115">
        <v>630</v>
      </c>
      <c r="E522" s="115">
        <v>630</v>
      </c>
      <c r="F522" s="115">
        <v>647.4</v>
      </c>
      <c r="G522">
        <v>2846</v>
      </c>
      <c r="H522" s="115"/>
      <c r="I522" s="115"/>
      <c r="L522" s="160">
        <v>42769</v>
      </c>
      <c r="M522" s="115">
        <v>756.25</v>
      </c>
      <c r="N522" s="115">
        <v>759.5</v>
      </c>
      <c r="O522" s="115">
        <v>730.9</v>
      </c>
      <c r="P522" s="115">
        <v>745</v>
      </c>
      <c r="Q522" s="115">
        <v>756.25</v>
      </c>
      <c r="R522">
        <v>19106</v>
      </c>
    </row>
    <row r="523" spans="1:18" x14ac:dyDescent="0.25">
      <c r="A523" s="160">
        <v>42795</v>
      </c>
      <c r="B523" s="115">
        <v>646.45000000000005</v>
      </c>
      <c r="C523" s="115">
        <v>637.9</v>
      </c>
      <c r="D523" s="115">
        <v>634</v>
      </c>
      <c r="E523" s="115">
        <v>635.5</v>
      </c>
      <c r="F523" s="115">
        <v>637.9</v>
      </c>
      <c r="G523">
        <v>704</v>
      </c>
      <c r="H523" s="115"/>
      <c r="I523" s="115"/>
      <c r="L523" s="160">
        <v>42772</v>
      </c>
      <c r="M523" s="115">
        <v>758.35</v>
      </c>
      <c r="N523" s="115">
        <v>767.75</v>
      </c>
      <c r="O523" s="115">
        <v>745.05</v>
      </c>
      <c r="P523" s="115">
        <v>757</v>
      </c>
      <c r="Q523" s="115">
        <v>758.35</v>
      </c>
      <c r="R523">
        <v>17663</v>
      </c>
    </row>
    <row r="524" spans="1:18" x14ac:dyDescent="0.25">
      <c r="A524" s="160">
        <v>42796</v>
      </c>
      <c r="B524" s="115">
        <v>643.9</v>
      </c>
      <c r="C524" s="115">
        <v>627.29999999999995</v>
      </c>
      <c r="D524" s="115">
        <v>625.6</v>
      </c>
      <c r="E524" s="115">
        <v>637.9</v>
      </c>
      <c r="F524" s="115">
        <v>627.29999999999995</v>
      </c>
      <c r="G524">
        <v>2156</v>
      </c>
      <c r="H524" s="115"/>
      <c r="I524" s="115"/>
      <c r="L524" s="160">
        <v>42773</v>
      </c>
      <c r="M524" s="115">
        <v>741.6</v>
      </c>
      <c r="N524" s="115">
        <v>764.5</v>
      </c>
      <c r="O524" s="115">
        <v>731.1</v>
      </c>
      <c r="P524" s="115">
        <v>752</v>
      </c>
      <c r="Q524" s="115">
        <v>741.6</v>
      </c>
      <c r="R524">
        <v>59652</v>
      </c>
    </row>
    <row r="525" spans="1:18" x14ac:dyDescent="0.25">
      <c r="A525" s="160">
        <v>42797</v>
      </c>
      <c r="B525" s="115">
        <v>635.95000000000005</v>
      </c>
      <c r="C525" s="115">
        <v>635.20000000000005</v>
      </c>
      <c r="D525" s="115">
        <v>625</v>
      </c>
      <c r="E525" s="115">
        <v>635</v>
      </c>
      <c r="F525" s="115">
        <v>635.20000000000005</v>
      </c>
      <c r="G525">
        <v>770</v>
      </c>
      <c r="H525" s="115"/>
      <c r="I525" s="115"/>
      <c r="L525" s="160">
        <v>42774</v>
      </c>
      <c r="M525" s="115">
        <v>758.4</v>
      </c>
      <c r="N525" s="115">
        <v>762</v>
      </c>
      <c r="O525" s="115">
        <v>749.5</v>
      </c>
      <c r="P525" s="115">
        <v>750</v>
      </c>
      <c r="Q525" s="115">
        <v>758.4</v>
      </c>
      <c r="R525">
        <v>13961</v>
      </c>
    </row>
    <row r="526" spans="1:18" x14ac:dyDescent="0.25">
      <c r="A526" s="160">
        <v>42800</v>
      </c>
      <c r="B526" s="115">
        <v>650</v>
      </c>
      <c r="C526" s="115">
        <v>630.79999999999995</v>
      </c>
      <c r="D526" s="115">
        <v>630</v>
      </c>
      <c r="E526" s="115">
        <v>639.9</v>
      </c>
      <c r="F526" s="115">
        <v>630.79999999999995</v>
      </c>
      <c r="G526">
        <v>20819</v>
      </c>
      <c r="H526" s="115"/>
      <c r="I526" s="115"/>
      <c r="L526" s="160">
        <v>42775</v>
      </c>
      <c r="M526" s="115">
        <v>779.3</v>
      </c>
      <c r="N526" s="115">
        <v>790</v>
      </c>
      <c r="O526" s="115">
        <v>761</v>
      </c>
      <c r="P526" s="115">
        <v>764.9</v>
      </c>
      <c r="Q526" s="115">
        <v>779.3</v>
      </c>
      <c r="R526">
        <v>39903</v>
      </c>
    </row>
    <row r="527" spans="1:18" x14ac:dyDescent="0.25">
      <c r="A527" s="160">
        <v>42801</v>
      </c>
      <c r="B527" s="115">
        <v>641</v>
      </c>
      <c r="C527" s="115">
        <v>639.85</v>
      </c>
      <c r="D527" s="115">
        <v>629</v>
      </c>
      <c r="E527" s="115">
        <v>632</v>
      </c>
      <c r="F527" s="115">
        <v>639.85</v>
      </c>
      <c r="G527">
        <v>383</v>
      </c>
      <c r="H527" s="115"/>
      <c r="I527" s="115"/>
      <c r="L527" s="160">
        <v>42776</v>
      </c>
      <c r="M527" s="115">
        <v>778.95</v>
      </c>
      <c r="N527" s="115">
        <v>792.45</v>
      </c>
      <c r="O527" s="115">
        <v>771.4</v>
      </c>
      <c r="P527" s="115">
        <v>787.5</v>
      </c>
      <c r="Q527" s="115">
        <v>778.95</v>
      </c>
      <c r="R527">
        <v>24630</v>
      </c>
    </row>
    <row r="528" spans="1:18" x14ac:dyDescent="0.25">
      <c r="A528" s="160">
        <v>42802</v>
      </c>
      <c r="B528" s="115">
        <v>644.95000000000005</v>
      </c>
      <c r="C528" s="115">
        <v>633.20000000000005</v>
      </c>
      <c r="D528" s="115">
        <v>630.5</v>
      </c>
      <c r="E528" s="115">
        <v>639</v>
      </c>
      <c r="F528" s="115">
        <v>633.20000000000005</v>
      </c>
      <c r="G528">
        <v>1433</v>
      </c>
      <c r="H528" s="115"/>
      <c r="I528" s="115"/>
      <c r="L528" s="160">
        <v>42779</v>
      </c>
      <c r="M528" s="115">
        <v>773.3</v>
      </c>
      <c r="N528" s="115">
        <v>785</v>
      </c>
      <c r="O528" s="115">
        <v>760</v>
      </c>
      <c r="P528" s="115">
        <v>785</v>
      </c>
      <c r="Q528" s="115">
        <v>773.3</v>
      </c>
      <c r="R528">
        <v>13813</v>
      </c>
    </row>
    <row r="529" spans="1:18" x14ac:dyDescent="0.25">
      <c r="A529" s="160">
        <v>42803</v>
      </c>
      <c r="B529" s="115">
        <v>632.9</v>
      </c>
      <c r="C529" s="115">
        <v>606.75</v>
      </c>
      <c r="D529" s="115">
        <v>606.75</v>
      </c>
      <c r="E529" s="115">
        <v>632.9</v>
      </c>
      <c r="F529" s="115">
        <v>606.75</v>
      </c>
      <c r="G529">
        <v>20591</v>
      </c>
      <c r="H529" s="115"/>
      <c r="I529" s="115"/>
      <c r="L529" s="160">
        <v>42780</v>
      </c>
      <c r="M529" s="115">
        <v>767.1</v>
      </c>
      <c r="N529" s="115">
        <v>776.95</v>
      </c>
      <c r="O529" s="115">
        <v>755</v>
      </c>
      <c r="P529" s="115">
        <v>770</v>
      </c>
      <c r="Q529" s="115">
        <v>767.1</v>
      </c>
      <c r="R529">
        <v>15380</v>
      </c>
    </row>
    <row r="530" spans="1:18" x14ac:dyDescent="0.25">
      <c r="A530" s="160">
        <v>42804</v>
      </c>
      <c r="B530" s="115">
        <v>616.5</v>
      </c>
      <c r="C530" s="115">
        <v>601.20000000000005</v>
      </c>
      <c r="D530" s="115">
        <v>597.1</v>
      </c>
      <c r="E530" s="115">
        <v>600</v>
      </c>
      <c r="F530" s="115">
        <v>601.20000000000005</v>
      </c>
      <c r="G530">
        <v>955</v>
      </c>
      <c r="H530" s="115"/>
      <c r="I530" s="115"/>
      <c r="L530" s="160">
        <v>42781</v>
      </c>
      <c r="M530" s="115">
        <v>755.95</v>
      </c>
      <c r="N530" s="115">
        <v>774</v>
      </c>
      <c r="O530" s="115">
        <v>750.15</v>
      </c>
      <c r="P530" s="115">
        <v>764.3</v>
      </c>
      <c r="Q530" s="115">
        <v>755.95</v>
      </c>
      <c r="R530">
        <v>13794</v>
      </c>
    </row>
    <row r="531" spans="1:18" x14ac:dyDescent="0.25">
      <c r="A531" s="160">
        <v>42808</v>
      </c>
      <c r="B531" s="115">
        <v>620</v>
      </c>
      <c r="C531" s="115">
        <v>619.85</v>
      </c>
      <c r="D531" s="115">
        <v>581.04999999999995</v>
      </c>
      <c r="E531" s="115">
        <v>601.20000000000005</v>
      </c>
      <c r="F531" s="115">
        <v>619.85</v>
      </c>
      <c r="G531">
        <v>281</v>
      </c>
      <c r="H531" s="115"/>
      <c r="I531" s="115"/>
      <c r="L531" s="160">
        <v>42782</v>
      </c>
      <c r="M531" s="115">
        <v>764.8</v>
      </c>
      <c r="N531" s="115">
        <v>770.1</v>
      </c>
      <c r="O531" s="115">
        <v>751</v>
      </c>
      <c r="P531" s="115">
        <v>753.05</v>
      </c>
      <c r="Q531" s="115">
        <v>764.8</v>
      </c>
      <c r="R531">
        <v>18495</v>
      </c>
    </row>
    <row r="532" spans="1:18" x14ac:dyDescent="0.25">
      <c r="A532" s="160">
        <v>42809</v>
      </c>
      <c r="B532" s="115">
        <v>614.5</v>
      </c>
      <c r="C532" s="115">
        <v>607.1</v>
      </c>
      <c r="D532" s="115">
        <v>605</v>
      </c>
      <c r="E532" s="115">
        <v>614.5</v>
      </c>
      <c r="F532" s="115">
        <v>607.1</v>
      </c>
      <c r="G532">
        <v>82</v>
      </c>
      <c r="H532" s="115"/>
      <c r="I532" s="115"/>
      <c r="L532" s="160">
        <v>42783</v>
      </c>
      <c r="M532" s="115">
        <v>758</v>
      </c>
      <c r="N532" s="115">
        <v>770</v>
      </c>
      <c r="O532" s="115">
        <v>748</v>
      </c>
      <c r="P532" s="115">
        <v>761.05</v>
      </c>
      <c r="Q532" s="115">
        <v>758</v>
      </c>
      <c r="R532">
        <v>14345</v>
      </c>
    </row>
    <row r="533" spans="1:18" x14ac:dyDescent="0.25">
      <c r="A533" s="160">
        <v>42810</v>
      </c>
      <c r="B533" s="115">
        <v>619.79999999999995</v>
      </c>
      <c r="C533" s="115">
        <v>611.75</v>
      </c>
      <c r="D533" s="115">
        <v>600.5</v>
      </c>
      <c r="E533" s="115">
        <v>610</v>
      </c>
      <c r="F533" s="115">
        <v>611.75</v>
      </c>
      <c r="G533">
        <v>863</v>
      </c>
      <c r="H533" s="115"/>
      <c r="I533" s="115"/>
      <c r="L533" s="160">
        <v>42786</v>
      </c>
      <c r="M533" s="115">
        <v>774.5</v>
      </c>
      <c r="N533" s="115">
        <v>777.7</v>
      </c>
      <c r="O533" s="115">
        <v>741</v>
      </c>
      <c r="P533" s="115">
        <v>750</v>
      </c>
      <c r="Q533" s="115">
        <v>774.5</v>
      </c>
      <c r="R533">
        <v>9502</v>
      </c>
    </row>
    <row r="534" spans="1:18" x14ac:dyDescent="0.25">
      <c r="A534" s="160">
        <v>42811</v>
      </c>
      <c r="B534" s="115">
        <v>621</v>
      </c>
      <c r="C534" s="115">
        <v>615.35</v>
      </c>
      <c r="D534" s="115">
        <v>605.15</v>
      </c>
      <c r="E534" s="115">
        <v>617.6</v>
      </c>
      <c r="F534" s="115">
        <v>615.35</v>
      </c>
      <c r="G534">
        <v>12617</v>
      </c>
      <c r="H534" s="115"/>
      <c r="I534" s="115"/>
      <c r="L534" s="160">
        <v>42787</v>
      </c>
      <c r="M534" s="115">
        <v>774.7</v>
      </c>
      <c r="N534" s="115">
        <v>779.65</v>
      </c>
      <c r="O534" s="115">
        <v>764.7</v>
      </c>
      <c r="P534" s="115">
        <v>779.65</v>
      </c>
      <c r="Q534" s="115">
        <v>774.7</v>
      </c>
      <c r="R534">
        <v>7001</v>
      </c>
    </row>
    <row r="535" spans="1:18" x14ac:dyDescent="0.25">
      <c r="A535" s="160">
        <v>42814</v>
      </c>
      <c r="B535" s="115">
        <v>613.5</v>
      </c>
      <c r="C535" s="115">
        <v>608.1</v>
      </c>
      <c r="D535" s="115">
        <v>594.5</v>
      </c>
      <c r="E535" s="115">
        <v>594.5</v>
      </c>
      <c r="F535" s="115">
        <v>608.1</v>
      </c>
      <c r="G535">
        <v>724</v>
      </c>
      <c r="H535" s="115"/>
      <c r="I535" s="115"/>
      <c r="L535" s="160">
        <v>42788</v>
      </c>
      <c r="M535" s="115">
        <v>768.45</v>
      </c>
      <c r="N535" s="115">
        <v>775</v>
      </c>
      <c r="O535" s="115">
        <v>765</v>
      </c>
      <c r="P535" s="115">
        <v>765</v>
      </c>
      <c r="Q535" s="115">
        <v>768.45</v>
      </c>
      <c r="R535">
        <v>7051</v>
      </c>
    </row>
    <row r="536" spans="1:18" x14ac:dyDescent="0.25">
      <c r="A536" s="160">
        <v>42815</v>
      </c>
      <c r="B536" s="115">
        <v>608.95000000000005</v>
      </c>
      <c r="C536" s="115">
        <v>603.1</v>
      </c>
      <c r="D536" s="115">
        <v>602</v>
      </c>
      <c r="E536" s="115">
        <v>605</v>
      </c>
      <c r="F536" s="115">
        <v>603.1</v>
      </c>
      <c r="G536">
        <v>1066</v>
      </c>
      <c r="H536" s="115"/>
      <c r="I536" s="115"/>
      <c r="L536" s="160">
        <v>42789</v>
      </c>
      <c r="M536" s="115">
        <v>776.65</v>
      </c>
      <c r="N536" s="115">
        <v>787.9</v>
      </c>
      <c r="O536" s="115">
        <v>761</v>
      </c>
      <c r="P536" s="115">
        <v>773.95</v>
      </c>
      <c r="Q536" s="115">
        <v>776.65</v>
      </c>
      <c r="R536">
        <v>8834</v>
      </c>
    </row>
    <row r="537" spans="1:18" x14ac:dyDescent="0.25">
      <c r="A537" s="160">
        <v>42816</v>
      </c>
      <c r="B537" s="115">
        <v>611</v>
      </c>
      <c r="C537" s="115">
        <v>599.70000000000005</v>
      </c>
      <c r="D537" s="115">
        <v>591</v>
      </c>
      <c r="E537" s="115">
        <v>600</v>
      </c>
      <c r="F537" s="115">
        <v>599.70000000000005</v>
      </c>
      <c r="G537">
        <v>720</v>
      </c>
      <c r="H537" s="115"/>
      <c r="I537" s="115"/>
      <c r="L537" s="160">
        <v>42793</v>
      </c>
      <c r="M537" s="115">
        <v>774.05</v>
      </c>
      <c r="N537" s="115">
        <v>789.7</v>
      </c>
      <c r="O537" s="115">
        <v>761.9</v>
      </c>
      <c r="P537" s="115">
        <v>784.95</v>
      </c>
      <c r="Q537" s="115">
        <v>774.05</v>
      </c>
      <c r="R537">
        <v>32070</v>
      </c>
    </row>
    <row r="538" spans="1:18" x14ac:dyDescent="0.25">
      <c r="A538" s="160">
        <v>42817</v>
      </c>
      <c r="B538" s="115">
        <v>610</v>
      </c>
      <c r="C538" s="115">
        <v>596</v>
      </c>
      <c r="D538" s="115">
        <v>583</v>
      </c>
      <c r="E538" s="115">
        <v>599.70000000000005</v>
      </c>
      <c r="F538" s="115">
        <v>596</v>
      </c>
      <c r="G538">
        <v>671</v>
      </c>
      <c r="H538" s="115"/>
      <c r="I538" s="115"/>
      <c r="L538" s="160">
        <v>42794</v>
      </c>
      <c r="M538" s="115">
        <v>777.05</v>
      </c>
      <c r="N538" s="115">
        <v>783</v>
      </c>
      <c r="O538" s="115">
        <v>768</v>
      </c>
      <c r="P538" s="115">
        <v>768</v>
      </c>
      <c r="Q538" s="115">
        <v>777.05</v>
      </c>
      <c r="R538">
        <v>27453</v>
      </c>
    </row>
    <row r="539" spans="1:18" x14ac:dyDescent="0.25">
      <c r="A539" s="160">
        <v>42818</v>
      </c>
      <c r="B539" s="115">
        <v>610.95000000000005</v>
      </c>
      <c r="C539" s="115">
        <v>603.20000000000005</v>
      </c>
      <c r="D539" s="115">
        <v>585.5</v>
      </c>
      <c r="E539" s="115">
        <v>604.04999999999995</v>
      </c>
      <c r="F539" s="115">
        <v>603.20000000000005</v>
      </c>
      <c r="G539">
        <v>587</v>
      </c>
      <c r="H539" s="115"/>
      <c r="I539" s="115"/>
      <c r="L539" s="160">
        <v>42795</v>
      </c>
      <c r="M539" s="115">
        <v>782.15</v>
      </c>
      <c r="N539" s="115">
        <v>788</v>
      </c>
      <c r="O539" s="115">
        <v>772</v>
      </c>
      <c r="P539" s="115">
        <v>780</v>
      </c>
      <c r="Q539" s="115">
        <v>782.15</v>
      </c>
      <c r="R539">
        <v>14932</v>
      </c>
    </row>
    <row r="540" spans="1:18" x14ac:dyDescent="0.25">
      <c r="A540" s="160">
        <v>42821</v>
      </c>
      <c r="B540" s="115">
        <v>611</v>
      </c>
      <c r="C540" s="115">
        <v>585.9</v>
      </c>
      <c r="D540" s="115">
        <v>585.70000000000005</v>
      </c>
      <c r="E540" s="115">
        <v>611</v>
      </c>
      <c r="F540" s="115">
        <v>585.9</v>
      </c>
      <c r="G540">
        <v>53</v>
      </c>
      <c r="H540" s="115"/>
      <c r="I540" s="115"/>
      <c r="L540" s="160">
        <v>42796</v>
      </c>
      <c r="M540" s="115">
        <v>785.1</v>
      </c>
      <c r="N540" s="115">
        <v>790</v>
      </c>
      <c r="O540" s="115">
        <v>775</v>
      </c>
      <c r="P540" s="115">
        <v>779</v>
      </c>
      <c r="Q540" s="115">
        <v>785.1</v>
      </c>
      <c r="R540">
        <v>12618</v>
      </c>
    </row>
    <row r="541" spans="1:18" x14ac:dyDescent="0.25">
      <c r="A541" s="160">
        <v>42822</v>
      </c>
      <c r="B541" s="115">
        <v>597.9</v>
      </c>
      <c r="C541" s="115">
        <v>597.9</v>
      </c>
      <c r="D541" s="115">
        <v>580</v>
      </c>
      <c r="E541" s="115">
        <v>580</v>
      </c>
      <c r="F541" s="115">
        <v>597.9</v>
      </c>
      <c r="G541">
        <v>226</v>
      </c>
      <c r="H541" s="115"/>
      <c r="I541" s="115"/>
      <c r="L541" s="160">
        <v>42797</v>
      </c>
      <c r="M541" s="115">
        <v>782.15</v>
      </c>
      <c r="N541" s="115">
        <v>790</v>
      </c>
      <c r="O541" s="115">
        <v>775.1</v>
      </c>
      <c r="P541" s="115">
        <v>777.6</v>
      </c>
      <c r="Q541" s="115">
        <v>782.15</v>
      </c>
      <c r="R541">
        <v>12955</v>
      </c>
    </row>
    <row r="542" spans="1:18" x14ac:dyDescent="0.25">
      <c r="A542" s="160">
        <v>42823</v>
      </c>
      <c r="B542" s="115">
        <v>600</v>
      </c>
      <c r="C542" s="115">
        <v>569.6</v>
      </c>
      <c r="D542" s="115">
        <v>568.04999999999995</v>
      </c>
      <c r="E542" s="115">
        <v>580.25</v>
      </c>
      <c r="F542" s="115">
        <v>569.6</v>
      </c>
      <c r="G542">
        <v>2060</v>
      </c>
      <c r="H542" s="115"/>
      <c r="I542" s="115"/>
      <c r="L542" s="160">
        <v>42800</v>
      </c>
      <c r="M542" s="115">
        <v>786.5</v>
      </c>
      <c r="N542" s="115">
        <v>795.25</v>
      </c>
      <c r="O542" s="115">
        <v>772.5</v>
      </c>
      <c r="P542" s="115">
        <v>780.75</v>
      </c>
      <c r="Q542" s="115">
        <v>786.5</v>
      </c>
      <c r="R542">
        <v>14244</v>
      </c>
    </row>
    <row r="543" spans="1:18" x14ac:dyDescent="0.25">
      <c r="A543" s="160">
        <v>42824</v>
      </c>
      <c r="B543" s="115">
        <v>598</v>
      </c>
      <c r="C543" s="115">
        <v>595</v>
      </c>
      <c r="D543" s="115">
        <v>580.20000000000005</v>
      </c>
      <c r="E543" s="115">
        <v>598</v>
      </c>
      <c r="F543" s="115">
        <v>595</v>
      </c>
      <c r="G543">
        <v>577</v>
      </c>
      <c r="H543" s="115"/>
      <c r="I543" s="115"/>
      <c r="L543" s="160">
        <v>42801</v>
      </c>
      <c r="M543" s="115">
        <v>780.2</v>
      </c>
      <c r="N543" s="115">
        <v>799.95</v>
      </c>
      <c r="O543" s="115">
        <v>775.25</v>
      </c>
      <c r="P543" s="115">
        <v>795.15</v>
      </c>
      <c r="Q543" s="115">
        <v>780.2</v>
      </c>
      <c r="R543">
        <v>11396</v>
      </c>
    </row>
    <row r="544" spans="1:18" x14ac:dyDescent="0.25">
      <c r="A544" s="160">
        <v>42825</v>
      </c>
      <c r="B544" s="115">
        <v>593</v>
      </c>
      <c r="C544" s="115">
        <v>585.29999999999995</v>
      </c>
      <c r="D544" s="115">
        <v>572.04999999999995</v>
      </c>
      <c r="E544" s="115">
        <v>590</v>
      </c>
      <c r="F544" s="115">
        <v>585.29999999999995</v>
      </c>
      <c r="G544">
        <v>352</v>
      </c>
      <c r="H544" s="115"/>
      <c r="I544" s="115"/>
      <c r="L544" s="160">
        <v>42802</v>
      </c>
      <c r="M544" s="115">
        <v>786.05</v>
      </c>
      <c r="N544" s="115">
        <v>789.95</v>
      </c>
      <c r="O544" s="115">
        <v>773.55</v>
      </c>
      <c r="P544" s="115">
        <v>789</v>
      </c>
      <c r="Q544" s="115">
        <v>786.05</v>
      </c>
      <c r="R544">
        <v>12969</v>
      </c>
    </row>
    <row r="545" spans="1:18" x14ac:dyDescent="0.25">
      <c r="A545" s="160">
        <v>42828</v>
      </c>
      <c r="B545" s="115">
        <v>595</v>
      </c>
      <c r="C545" s="115">
        <v>585.4</v>
      </c>
      <c r="D545" s="115">
        <v>585.29999999999995</v>
      </c>
      <c r="E545" s="115">
        <v>593</v>
      </c>
      <c r="F545" s="115">
        <v>585.4</v>
      </c>
      <c r="G545">
        <v>298</v>
      </c>
      <c r="H545" s="115"/>
      <c r="I545" s="115"/>
      <c r="L545" s="160">
        <v>42803</v>
      </c>
      <c r="M545" s="115">
        <v>788.15</v>
      </c>
      <c r="N545" s="115">
        <v>789.9</v>
      </c>
      <c r="O545" s="115">
        <v>772.95</v>
      </c>
      <c r="P545" s="115">
        <v>788</v>
      </c>
      <c r="Q545" s="115">
        <v>788.15</v>
      </c>
      <c r="R545">
        <v>15505</v>
      </c>
    </row>
    <row r="546" spans="1:18" x14ac:dyDescent="0.25">
      <c r="A546" s="160">
        <v>42830</v>
      </c>
      <c r="B546" s="115">
        <v>594.95000000000005</v>
      </c>
      <c r="C546" s="115">
        <v>581.04999999999995</v>
      </c>
      <c r="D546" s="115">
        <v>570.04999999999995</v>
      </c>
      <c r="E546" s="115">
        <v>570.04999999999995</v>
      </c>
      <c r="F546" s="115">
        <v>581.04999999999995</v>
      </c>
      <c r="G546">
        <v>363</v>
      </c>
      <c r="H546" s="115"/>
      <c r="I546" s="115"/>
      <c r="L546" s="160">
        <v>42804</v>
      </c>
      <c r="M546" s="115">
        <v>791.8</v>
      </c>
      <c r="N546" s="115">
        <v>795</v>
      </c>
      <c r="O546" s="115">
        <v>776.05</v>
      </c>
      <c r="P546" s="115">
        <v>776.05</v>
      </c>
      <c r="Q546" s="115">
        <v>791.8</v>
      </c>
      <c r="R546">
        <v>17775</v>
      </c>
    </row>
    <row r="547" spans="1:18" x14ac:dyDescent="0.25">
      <c r="A547" s="160">
        <v>42831</v>
      </c>
      <c r="B547" s="115">
        <v>595</v>
      </c>
      <c r="C547" s="115">
        <v>587.20000000000005</v>
      </c>
      <c r="D547" s="115">
        <v>569</v>
      </c>
      <c r="E547" s="115">
        <v>595</v>
      </c>
      <c r="F547" s="115">
        <v>587.20000000000005</v>
      </c>
      <c r="G547">
        <v>1031</v>
      </c>
      <c r="H547" s="115"/>
      <c r="I547" s="115"/>
      <c r="L547" s="160">
        <v>42808</v>
      </c>
      <c r="M547" s="115">
        <v>794.75</v>
      </c>
      <c r="N547" s="115">
        <v>799</v>
      </c>
      <c r="O547" s="115">
        <v>753.6</v>
      </c>
      <c r="P547" s="115">
        <v>799</v>
      </c>
      <c r="Q547" s="115">
        <v>794.75</v>
      </c>
      <c r="R547">
        <v>23315</v>
      </c>
    </row>
    <row r="548" spans="1:18" x14ac:dyDescent="0.25">
      <c r="A548" s="160">
        <v>42832</v>
      </c>
      <c r="B548" s="115">
        <v>595</v>
      </c>
      <c r="C548" s="115">
        <v>586.25</v>
      </c>
      <c r="D548" s="115">
        <v>586.25</v>
      </c>
      <c r="E548" s="115">
        <v>587.20000000000005</v>
      </c>
      <c r="F548" s="115">
        <v>586.25</v>
      </c>
      <c r="G548">
        <v>493</v>
      </c>
      <c r="H548" s="115"/>
      <c r="I548" s="115"/>
      <c r="L548" s="160">
        <v>42809</v>
      </c>
      <c r="M548" s="115">
        <v>795.35</v>
      </c>
      <c r="N548" s="115">
        <v>798.5</v>
      </c>
      <c r="O548" s="115">
        <v>783.8</v>
      </c>
      <c r="P548" s="115">
        <v>794.8</v>
      </c>
      <c r="Q548" s="115">
        <v>795.35</v>
      </c>
      <c r="R548">
        <v>25849</v>
      </c>
    </row>
    <row r="549" spans="1:18" x14ac:dyDescent="0.25">
      <c r="A549" s="160">
        <v>42835</v>
      </c>
      <c r="B549" s="115">
        <v>585.04999999999995</v>
      </c>
      <c r="C549" s="115">
        <v>575.1</v>
      </c>
      <c r="D549" s="115">
        <v>572.1</v>
      </c>
      <c r="E549" s="115">
        <v>580</v>
      </c>
      <c r="F549" s="115">
        <v>575.1</v>
      </c>
      <c r="G549">
        <v>475</v>
      </c>
      <c r="H549" s="115"/>
      <c r="I549" s="115"/>
      <c r="L549" s="160">
        <v>42810</v>
      </c>
      <c r="M549" s="115">
        <v>794.55</v>
      </c>
      <c r="N549" s="115">
        <v>800</v>
      </c>
      <c r="O549" s="115">
        <v>781.5</v>
      </c>
      <c r="P549" s="115">
        <v>797</v>
      </c>
      <c r="Q549" s="115">
        <v>794.55</v>
      </c>
      <c r="R549">
        <v>19475</v>
      </c>
    </row>
    <row r="550" spans="1:18" x14ac:dyDescent="0.25">
      <c r="A550" s="160">
        <v>42836</v>
      </c>
      <c r="B550" s="115">
        <v>585</v>
      </c>
      <c r="C550" s="115">
        <v>578.45000000000005</v>
      </c>
      <c r="D550" s="115">
        <v>570</v>
      </c>
      <c r="E550" s="115">
        <v>585</v>
      </c>
      <c r="F550" s="115">
        <v>578.45000000000005</v>
      </c>
      <c r="G550">
        <v>1004</v>
      </c>
      <c r="H550" s="115"/>
      <c r="I550" s="115"/>
      <c r="L550" s="160">
        <v>42811</v>
      </c>
      <c r="M550" s="115">
        <v>797.2</v>
      </c>
      <c r="N550" s="115">
        <v>816.7</v>
      </c>
      <c r="O550" s="115">
        <v>787.5</v>
      </c>
      <c r="P550" s="115">
        <v>790.05</v>
      </c>
      <c r="Q550" s="115">
        <v>797.2</v>
      </c>
      <c r="R550">
        <v>30440</v>
      </c>
    </row>
    <row r="551" spans="1:18" x14ac:dyDescent="0.25">
      <c r="A551" s="160">
        <v>42837</v>
      </c>
      <c r="B551" s="115">
        <v>592.9</v>
      </c>
      <c r="C551" s="115">
        <v>592.29999999999995</v>
      </c>
      <c r="D551" s="115">
        <v>565</v>
      </c>
      <c r="E551" s="115">
        <v>571</v>
      </c>
      <c r="F551" s="115">
        <v>592.29999999999995</v>
      </c>
      <c r="G551">
        <v>809</v>
      </c>
      <c r="H551" s="115"/>
      <c r="I551" s="115"/>
      <c r="L551" s="160">
        <v>42814</v>
      </c>
      <c r="M551" s="115">
        <v>815.8</v>
      </c>
      <c r="N551" s="115">
        <v>825</v>
      </c>
      <c r="O551" s="115">
        <v>790</v>
      </c>
      <c r="P551" s="115">
        <v>803.9</v>
      </c>
      <c r="Q551" s="115">
        <v>815.8</v>
      </c>
      <c r="R551">
        <v>51629</v>
      </c>
    </row>
    <row r="552" spans="1:18" x14ac:dyDescent="0.25">
      <c r="A552" s="160">
        <v>42838</v>
      </c>
      <c r="B552" s="115">
        <v>588</v>
      </c>
      <c r="C552" s="115">
        <v>577.45000000000005</v>
      </c>
      <c r="D552" s="115">
        <v>570.1</v>
      </c>
      <c r="E552" s="115">
        <v>580</v>
      </c>
      <c r="F552" s="115">
        <v>577.45000000000005</v>
      </c>
      <c r="G552">
        <v>982</v>
      </c>
      <c r="H552" s="115"/>
      <c r="I552" s="115"/>
      <c r="L552" s="160">
        <v>42815</v>
      </c>
      <c r="M552" s="115">
        <v>815.6</v>
      </c>
      <c r="N552" s="115">
        <v>823</v>
      </c>
      <c r="O552" s="115">
        <v>789.35</v>
      </c>
      <c r="P552" s="115">
        <v>815.8</v>
      </c>
      <c r="Q552" s="115">
        <v>815.6</v>
      </c>
      <c r="R552">
        <v>56452</v>
      </c>
    </row>
    <row r="553" spans="1:18" x14ac:dyDescent="0.25">
      <c r="A553" s="160">
        <v>42842</v>
      </c>
      <c r="B553" s="115">
        <v>591.4</v>
      </c>
      <c r="C553" s="115">
        <v>590.04999999999995</v>
      </c>
      <c r="D553" s="115">
        <v>570.04999999999995</v>
      </c>
      <c r="E553" s="115">
        <v>570.04999999999995</v>
      </c>
      <c r="F553" s="115">
        <v>590.04999999999995</v>
      </c>
      <c r="G553">
        <v>609</v>
      </c>
      <c r="H553" s="115"/>
      <c r="I553" s="115"/>
      <c r="L553" s="160">
        <v>42816</v>
      </c>
      <c r="M553" s="115">
        <v>792.05</v>
      </c>
      <c r="N553" s="115">
        <v>809</v>
      </c>
      <c r="O553" s="115">
        <v>783</v>
      </c>
      <c r="P553" s="115">
        <v>809</v>
      </c>
      <c r="Q553" s="115">
        <v>792.05</v>
      </c>
      <c r="R553">
        <v>28617</v>
      </c>
    </row>
    <row r="554" spans="1:18" x14ac:dyDescent="0.25">
      <c r="A554" s="160">
        <v>42843</v>
      </c>
      <c r="B554" s="115">
        <v>595</v>
      </c>
      <c r="C554" s="115">
        <v>587.20000000000005</v>
      </c>
      <c r="D554" s="115">
        <v>583.5</v>
      </c>
      <c r="E554" s="115">
        <v>593.95000000000005</v>
      </c>
      <c r="F554" s="115">
        <v>587.20000000000005</v>
      </c>
      <c r="G554">
        <v>1090</v>
      </c>
      <c r="H554" s="115"/>
      <c r="I554" s="115"/>
      <c r="L554" s="160">
        <v>42817</v>
      </c>
      <c r="M554" s="115">
        <v>804.6</v>
      </c>
      <c r="N554" s="115">
        <v>809</v>
      </c>
      <c r="O554" s="115">
        <v>780.05</v>
      </c>
      <c r="P554" s="115">
        <v>795</v>
      </c>
      <c r="Q554" s="115">
        <v>804.6</v>
      </c>
      <c r="R554">
        <v>20196</v>
      </c>
    </row>
    <row r="555" spans="1:18" x14ac:dyDescent="0.25">
      <c r="A555" s="160">
        <v>42844</v>
      </c>
      <c r="B555" s="115">
        <v>590.04999999999995</v>
      </c>
      <c r="C555" s="115">
        <v>583.04999999999995</v>
      </c>
      <c r="D555" s="115">
        <v>575</v>
      </c>
      <c r="E555" s="115">
        <v>590.04999999999995</v>
      </c>
      <c r="F555" s="115">
        <v>583.04999999999995</v>
      </c>
      <c r="G555">
        <v>517</v>
      </c>
      <c r="H555" s="115"/>
      <c r="I555" s="115"/>
      <c r="L555" s="160">
        <v>42818</v>
      </c>
      <c r="M555" s="115">
        <v>812.25</v>
      </c>
      <c r="N555" s="115">
        <v>820</v>
      </c>
      <c r="O555" s="115">
        <v>791</v>
      </c>
      <c r="P555" s="115">
        <v>795.55</v>
      </c>
      <c r="Q555" s="115">
        <v>812.25</v>
      </c>
      <c r="R555">
        <v>22905</v>
      </c>
    </row>
    <row r="556" spans="1:18" x14ac:dyDescent="0.25">
      <c r="A556" s="160">
        <v>42845</v>
      </c>
      <c r="B556" s="115">
        <v>586</v>
      </c>
      <c r="C556" s="115">
        <v>585.4</v>
      </c>
      <c r="D556" s="115">
        <v>581.04999999999995</v>
      </c>
      <c r="E556" s="115">
        <v>581.04999999999995</v>
      </c>
      <c r="F556" s="115">
        <v>585.4</v>
      </c>
      <c r="G556">
        <v>175</v>
      </c>
      <c r="H556" s="115"/>
      <c r="I556" s="115"/>
      <c r="L556" s="160">
        <v>42821</v>
      </c>
      <c r="M556" s="115">
        <v>819.75</v>
      </c>
      <c r="N556" s="115">
        <v>822</v>
      </c>
      <c r="O556" s="115">
        <v>795.8</v>
      </c>
      <c r="P556" s="115">
        <v>818.5</v>
      </c>
      <c r="Q556" s="115">
        <v>819.75</v>
      </c>
      <c r="R556">
        <v>25453</v>
      </c>
    </row>
    <row r="557" spans="1:18" x14ac:dyDescent="0.25">
      <c r="A557" s="160">
        <v>42846</v>
      </c>
      <c r="B557" s="115">
        <v>593.95000000000005</v>
      </c>
      <c r="C557" s="115">
        <v>585.95000000000005</v>
      </c>
      <c r="D557" s="115">
        <v>572.25</v>
      </c>
      <c r="E557" s="115">
        <v>593.95000000000005</v>
      </c>
      <c r="F557" s="115">
        <v>585.95000000000005</v>
      </c>
      <c r="G557">
        <v>782</v>
      </c>
      <c r="H557" s="115"/>
      <c r="I557" s="115"/>
      <c r="L557" s="160">
        <v>42822</v>
      </c>
      <c r="M557" s="115">
        <v>801.8</v>
      </c>
      <c r="N557" s="115">
        <v>819.75</v>
      </c>
      <c r="O557" s="115">
        <v>800</v>
      </c>
      <c r="P557" s="115">
        <v>819.75</v>
      </c>
      <c r="Q557" s="115">
        <v>801.8</v>
      </c>
      <c r="R557">
        <v>22601</v>
      </c>
    </row>
    <row r="558" spans="1:18" x14ac:dyDescent="0.25">
      <c r="A558" s="160">
        <v>42849</v>
      </c>
      <c r="B558" s="115">
        <v>589.5</v>
      </c>
      <c r="C558" s="115">
        <v>575.15</v>
      </c>
      <c r="D558" s="115">
        <v>557</v>
      </c>
      <c r="E558" s="115">
        <v>589.5</v>
      </c>
      <c r="F558" s="115">
        <v>575.15</v>
      </c>
      <c r="G558">
        <v>4295</v>
      </c>
      <c r="H558" s="115"/>
      <c r="I558" s="115"/>
      <c r="L558" s="160">
        <v>42823</v>
      </c>
      <c r="M558" s="115">
        <v>797.05</v>
      </c>
      <c r="N558" s="115">
        <v>808</v>
      </c>
      <c r="O558" s="115">
        <v>791.5</v>
      </c>
      <c r="P558" s="115">
        <v>801.05</v>
      </c>
      <c r="Q558" s="115">
        <v>797.05</v>
      </c>
      <c r="R558">
        <v>17337</v>
      </c>
    </row>
    <row r="559" spans="1:18" x14ac:dyDescent="0.25">
      <c r="A559" s="160">
        <v>42850</v>
      </c>
      <c r="B559" s="115">
        <v>590</v>
      </c>
      <c r="C559" s="115">
        <v>587.75</v>
      </c>
      <c r="D559" s="115">
        <v>571.5</v>
      </c>
      <c r="E559" s="115">
        <v>580</v>
      </c>
      <c r="F559" s="115">
        <v>587.75</v>
      </c>
      <c r="G559">
        <v>486</v>
      </c>
      <c r="H559" s="115"/>
      <c r="I559" s="115"/>
      <c r="L559" s="160">
        <v>42824</v>
      </c>
      <c r="M559" s="115">
        <v>793</v>
      </c>
      <c r="N559" s="115">
        <v>801.8</v>
      </c>
      <c r="O559" s="115">
        <v>765.5</v>
      </c>
      <c r="P559" s="115">
        <v>792</v>
      </c>
      <c r="Q559" s="115">
        <v>793</v>
      </c>
      <c r="R559">
        <v>42449</v>
      </c>
    </row>
    <row r="560" spans="1:18" x14ac:dyDescent="0.25">
      <c r="A560" s="160">
        <v>42851</v>
      </c>
      <c r="B560" s="115">
        <v>585</v>
      </c>
      <c r="C560" s="115">
        <v>582.85</v>
      </c>
      <c r="D560" s="115">
        <v>578</v>
      </c>
      <c r="E560" s="115">
        <v>585</v>
      </c>
      <c r="F560" s="115">
        <v>582.85</v>
      </c>
      <c r="G560">
        <v>375</v>
      </c>
      <c r="H560" s="115"/>
      <c r="I560" s="115"/>
      <c r="L560" s="160">
        <v>42825</v>
      </c>
      <c r="M560" s="115">
        <v>795.25</v>
      </c>
      <c r="N560" s="115">
        <v>800</v>
      </c>
      <c r="O560" s="115">
        <v>786.1</v>
      </c>
      <c r="P560" s="115">
        <v>790</v>
      </c>
      <c r="Q560" s="115">
        <v>795.25</v>
      </c>
      <c r="R560">
        <v>29914</v>
      </c>
    </row>
    <row r="561" spans="1:18" x14ac:dyDescent="0.25">
      <c r="A561" s="160">
        <v>42852</v>
      </c>
      <c r="B561" s="115">
        <v>578.1</v>
      </c>
      <c r="C561" s="115">
        <v>570.85</v>
      </c>
      <c r="D561" s="115">
        <v>570</v>
      </c>
      <c r="E561" s="115">
        <v>578</v>
      </c>
      <c r="F561" s="115">
        <v>570.85</v>
      </c>
      <c r="G561">
        <v>588</v>
      </c>
      <c r="H561" s="115"/>
      <c r="I561" s="115"/>
      <c r="L561" s="160">
        <v>42828</v>
      </c>
      <c r="M561" s="115">
        <v>795.55</v>
      </c>
      <c r="N561" s="115">
        <v>809.8</v>
      </c>
      <c r="O561" s="115">
        <v>780</v>
      </c>
      <c r="P561" s="115">
        <v>790</v>
      </c>
      <c r="Q561" s="115">
        <v>795.55</v>
      </c>
      <c r="R561">
        <v>22978</v>
      </c>
    </row>
    <row r="562" spans="1:18" x14ac:dyDescent="0.25">
      <c r="A562" s="160">
        <v>42853</v>
      </c>
      <c r="B562" s="115">
        <v>585</v>
      </c>
      <c r="C562" s="115">
        <v>574</v>
      </c>
      <c r="D562" s="115">
        <v>561</v>
      </c>
      <c r="E562" s="115">
        <v>561</v>
      </c>
      <c r="F562" s="115">
        <v>574</v>
      </c>
      <c r="G562">
        <v>141</v>
      </c>
      <c r="H562" s="115"/>
      <c r="I562" s="115"/>
      <c r="L562" s="160">
        <v>42830</v>
      </c>
      <c r="M562" s="115">
        <v>791.85</v>
      </c>
      <c r="N562" s="115">
        <v>799.9</v>
      </c>
      <c r="O562" s="115">
        <v>780.2</v>
      </c>
      <c r="P562" s="115">
        <v>798.55</v>
      </c>
      <c r="Q562" s="115">
        <v>791.85</v>
      </c>
      <c r="R562">
        <v>27679</v>
      </c>
    </row>
    <row r="563" spans="1:18" x14ac:dyDescent="0.25">
      <c r="A563" s="160">
        <v>42857</v>
      </c>
      <c r="B563" s="115">
        <v>588.95000000000005</v>
      </c>
      <c r="C563" s="115">
        <v>574</v>
      </c>
      <c r="D563" s="115">
        <v>570</v>
      </c>
      <c r="E563" s="115">
        <v>588.95000000000005</v>
      </c>
      <c r="F563" s="115">
        <v>574</v>
      </c>
      <c r="G563">
        <v>256</v>
      </c>
      <c r="H563" s="115"/>
      <c r="I563" s="115"/>
      <c r="L563" s="160">
        <v>42831</v>
      </c>
      <c r="M563" s="115">
        <v>789.1</v>
      </c>
      <c r="N563" s="115">
        <v>794.2</v>
      </c>
      <c r="O563" s="115">
        <v>782</v>
      </c>
      <c r="P563" s="115">
        <v>791.85</v>
      </c>
      <c r="Q563" s="115">
        <v>789.1</v>
      </c>
      <c r="R563">
        <v>13370</v>
      </c>
    </row>
    <row r="564" spans="1:18" x14ac:dyDescent="0.25">
      <c r="A564" s="160">
        <v>42858</v>
      </c>
      <c r="B564" s="115">
        <v>585.5</v>
      </c>
      <c r="C564" s="115">
        <v>580</v>
      </c>
      <c r="D564" s="115">
        <v>572.04999999999995</v>
      </c>
      <c r="E564" s="115">
        <v>585.25</v>
      </c>
      <c r="F564" s="115">
        <v>580</v>
      </c>
      <c r="G564">
        <v>2460</v>
      </c>
      <c r="H564" s="115"/>
      <c r="I564" s="115"/>
      <c r="L564" s="160">
        <v>42832</v>
      </c>
      <c r="M564" s="115">
        <v>777.2</v>
      </c>
      <c r="N564" s="115">
        <v>789.1</v>
      </c>
      <c r="O564" s="115">
        <v>764.1</v>
      </c>
      <c r="P564" s="115">
        <v>789.1</v>
      </c>
      <c r="Q564" s="115">
        <v>777.2</v>
      </c>
      <c r="R564">
        <v>26383</v>
      </c>
    </row>
    <row r="565" spans="1:18" x14ac:dyDescent="0.25">
      <c r="A565" s="160">
        <v>42859</v>
      </c>
      <c r="B565" s="115">
        <v>590</v>
      </c>
      <c r="C565" s="115">
        <v>575.85</v>
      </c>
      <c r="D565" s="115">
        <v>575.85</v>
      </c>
      <c r="E565" s="115">
        <v>587.79999999999995</v>
      </c>
      <c r="F565" s="115">
        <v>575.85</v>
      </c>
      <c r="G565">
        <v>448</v>
      </c>
      <c r="H565" s="115"/>
      <c r="I565" s="115"/>
      <c r="L565" s="160">
        <v>42835</v>
      </c>
      <c r="M565" s="115">
        <v>786.55</v>
      </c>
      <c r="N565" s="115">
        <v>795</v>
      </c>
      <c r="O565" s="115">
        <v>764.95</v>
      </c>
      <c r="P565" s="115">
        <v>785.95</v>
      </c>
      <c r="Q565" s="115">
        <v>786.55</v>
      </c>
      <c r="R565">
        <v>29197</v>
      </c>
    </row>
    <row r="566" spans="1:18" x14ac:dyDescent="0.25">
      <c r="A566" s="160">
        <v>42860</v>
      </c>
      <c r="B566" s="115">
        <v>591</v>
      </c>
      <c r="C566" s="115">
        <v>590</v>
      </c>
      <c r="D566" s="115">
        <v>579.04999999999995</v>
      </c>
      <c r="E566" s="115">
        <v>579.04999999999995</v>
      </c>
      <c r="F566" s="115">
        <v>590</v>
      </c>
      <c r="G566">
        <v>1409</v>
      </c>
      <c r="H566" s="115"/>
      <c r="I566" s="115"/>
      <c r="L566" s="160">
        <v>42836</v>
      </c>
      <c r="M566" s="115">
        <v>807.55</v>
      </c>
      <c r="N566" s="115">
        <v>819.85</v>
      </c>
      <c r="O566" s="115">
        <v>778.85</v>
      </c>
      <c r="P566" s="115">
        <v>786.55</v>
      </c>
      <c r="Q566" s="115">
        <v>807.55</v>
      </c>
      <c r="R566">
        <v>133899</v>
      </c>
    </row>
    <row r="567" spans="1:18" x14ac:dyDescent="0.25">
      <c r="A567" s="160">
        <v>42863</v>
      </c>
      <c r="B567" s="115">
        <v>590</v>
      </c>
      <c r="C567" s="115">
        <v>582.15</v>
      </c>
      <c r="D567" s="115">
        <v>580</v>
      </c>
      <c r="E567" s="115">
        <v>580</v>
      </c>
      <c r="F567" s="115">
        <v>582.15</v>
      </c>
      <c r="G567">
        <v>666</v>
      </c>
      <c r="H567" s="115"/>
      <c r="I567" s="115"/>
      <c r="L567" s="160">
        <v>42837</v>
      </c>
      <c r="M567" s="115">
        <v>815.65</v>
      </c>
      <c r="N567" s="115">
        <v>819</v>
      </c>
      <c r="O567" s="115">
        <v>792.7</v>
      </c>
      <c r="P567" s="115">
        <v>814.9</v>
      </c>
      <c r="Q567" s="115">
        <v>815.65</v>
      </c>
      <c r="R567">
        <v>25546</v>
      </c>
    </row>
    <row r="568" spans="1:18" x14ac:dyDescent="0.25">
      <c r="A568" s="160">
        <v>42864</v>
      </c>
      <c r="B568" s="115">
        <v>599</v>
      </c>
      <c r="C568" s="115">
        <v>594.4</v>
      </c>
      <c r="D568" s="115">
        <v>570</v>
      </c>
      <c r="E568" s="115">
        <v>570</v>
      </c>
      <c r="F568" s="115">
        <v>594.4</v>
      </c>
      <c r="G568">
        <v>836</v>
      </c>
      <c r="H568" s="115"/>
      <c r="I568" s="115"/>
      <c r="L568" s="160">
        <v>42838</v>
      </c>
      <c r="M568" s="115">
        <v>819.1</v>
      </c>
      <c r="N568" s="115">
        <v>824.4</v>
      </c>
      <c r="O568" s="115">
        <v>804</v>
      </c>
      <c r="P568" s="115">
        <v>815.65</v>
      </c>
      <c r="Q568" s="115">
        <v>819.1</v>
      </c>
      <c r="R568">
        <v>21271</v>
      </c>
    </row>
    <row r="569" spans="1:18" x14ac:dyDescent="0.25">
      <c r="A569" s="160">
        <v>42865</v>
      </c>
      <c r="B569" s="115">
        <v>600</v>
      </c>
      <c r="C569" s="115">
        <v>596.54999999999995</v>
      </c>
      <c r="D569" s="115">
        <v>570.15</v>
      </c>
      <c r="E569" s="115">
        <v>570.15</v>
      </c>
      <c r="F569" s="115">
        <v>596.54999999999995</v>
      </c>
      <c r="G569">
        <v>470</v>
      </c>
      <c r="H569" s="115"/>
      <c r="I569" s="115"/>
      <c r="L569" s="160">
        <v>42842</v>
      </c>
      <c r="M569" s="115">
        <v>813.65</v>
      </c>
      <c r="N569" s="115">
        <v>819.15</v>
      </c>
      <c r="O569" s="115">
        <v>802</v>
      </c>
      <c r="P569" s="115">
        <v>802</v>
      </c>
      <c r="Q569" s="115">
        <v>813.65</v>
      </c>
      <c r="R569">
        <v>25685</v>
      </c>
    </row>
    <row r="570" spans="1:18" x14ac:dyDescent="0.25">
      <c r="A570" s="160">
        <v>42866</v>
      </c>
      <c r="B570" s="115">
        <v>601</v>
      </c>
      <c r="C570" s="115">
        <v>601</v>
      </c>
      <c r="D570" s="115">
        <v>592.20000000000005</v>
      </c>
      <c r="E570" s="115">
        <v>595</v>
      </c>
      <c r="F570" s="115">
        <v>601</v>
      </c>
      <c r="G570">
        <v>41</v>
      </c>
      <c r="H570" s="115"/>
      <c r="I570" s="115"/>
      <c r="L570" s="160">
        <v>42843</v>
      </c>
      <c r="M570" s="115">
        <v>827.9</v>
      </c>
      <c r="N570" s="115">
        <v>838.95</v>
      </c>
      <c r="O570" s="115">
        <v>802</v>
      </c>
      <c r="P570" s="115">
        <v>815</v>
      </c>
      <c r="Q570" s="115">
        <v>827.9</v>
      </c>
      <c r="R570">
        <v>31651</v>
      </c>
    </row>
    <row r="571" spans="1:18" x14ac:dyDescent="0.25">
      <c r="A571" s="160">
        <v>42867</v>
      </c>
      <c r="B571" s="115">
        <v>592</v>
      </c>
      <c r="C571" s="115">
        <v>581.15</v>
      </c>
      <c r="D571" s="115">
        <v>580</v>
      </c>
      <c r="E571" s="115">
        <v>592</v>
      </c>
      <c r="F571" s="115">
        <v>581.15</v>
      </c>
      <c r="G571">
        <v>830</v>
      </c>
      <c r="H571" s="115"/>
      <c r="I571" s="115"/>
      <c r="L571" s="160">
        <v>42844</v>
      </c>
      <c r="M571" s="115">
        <v>829.95</v>
      </c>
      <c r="N571" s="115">
        <v>832.1</v>
      </c>
      <c r="O571" s="115">
        <v>822</v>
      </c>
      <c r="P571" s="115">
        <v>829.05</v>
      </c>
      <c r="Q571" s="115">
        <v>829.95</v>
      </c>
      <c r="R571">
        <v>20981</v>
      </c>
    </row>
    <row r="572" spans="1:18" x14ac:dyDescent="0.25">
      <c r="A572" s="160">
        <v>42870</v>
      </c>
      <c r="B572" s="115">
        <v>592.95000000000005</v>
      </c>
      <c r="C572" s="115">
        <v>592.95000000000005</v>
      </c>
      <c r="D572" s="115">
        <v>570</v>
      </c>
      <c r="E572" s="115">
        <v>570</v>
      </c>
      <c r="F572" s="115">
        <v>592.95000000000005</v>
      </c>
      <c r="G572">
        <v>140</v>
      </c>
      <c r="H572" s="115"/>
      <c r="I572" s="115"/>
      <c r="L572" s="160">
        <v>42845</v>
      </c>
      <c r="M572" s="115">
        <v>859.15</v>
      </c>
      <c r="N572" s="115">
        <v>929.5</v>
      </c>
      <c r="O572" s="115">
        <v>823.1</v>
      </c>
      <c r="P572" s="115">
        <v>829</v>
      </c>
      <c r="Q572" s="115">
        <v>859.15</v>
      </c>
      <c r="R572">
        <v>26910</v>
      </c>
    </row>
    <row r="573" spans="1:18" x14ac:dyDescent="0.25">
      <c r="A573" s="160">
        <v>42871</v>
      </c>
      <c r="B573" s="115">
        <v>594.5</v>
      </c>
      <c r="C573" s="115">
        <v>578.04999999999995</v>
      </c>
      <c r="D573" s="115">
        <v>575</v>
      </c>
      <c r="E573" s="115">
        <v>593</v>
      </c>
      <c r="F573" s="115">
        <v>578.04999999999995</v>
      </c>
      <c r="G573">
        <v>422</v>
      </c>
      <c r="H573" s="115"/>
      <c r="I573" s="115"/>
      <c r="L573" s="160">
        <v>42846</v>
      </c>
      <c r="M573" s="115">
        <v>875.45</v>
      </c>
      <c r="N573" s="115">
        <v>885.5</v>
      </c>
      <c r="O573" s="115">
        <v>840</v>
      </c>
      <c r="P573" s="115">
        <v>859.5</v>
      </c>
      <c r="Q573" s="115">
        <v>875.45</v>
      </c>
      <c r="R573">
        <v>20816</v>
      </c>
    </row>
    <row r="574" spans="1:18" x14ac:dyDescent="0.25">
      <c r="A574" s="160">
        <v>42872</v>
      </c>
      <c r="B574" s="115">
        <v>590</v>
      </c>
      <c r="C574" s="115">
        <v>580.45000000000005</v>
      </c>
      <c r="D574" s="115">
        <v>580</v>
      </c>
      <c r="E574" s="115">
        <v>589.5</v>
      </c>
      <c r="F574" s="115">
        <v>580.45000000000005</v>
      </c>
      <c r="G574">
        <v>273</v>
      </c>
      <c r="H574" s="115"/>
      <c r="I574" s="115"/>
      <c r="L574" s="160">
        <v>42849</v>
      </c>
      <c r="M574" s="115">
        <v>896.3</v>
      </c>
      <c r="N574" s="115">
        <v>908.95</v>
      </c>
      <c r="O574" s="115">
        <v>872.85</v>
      </c>
      <c r="P574" s="115">
        <v>875.45</v>
      </c>
      <c r="Q574" s="115">
        <v>896.3</v>
      </c>
      <c r="R574">
        <v>18130</v>
      </c>
    </row>
    <row r="575" spans="1:18" x14ac:dyDescent="0.25">
      <c r="A575" s="160">
        <v>42873</v>
      </c>
      <c r="B575" s="115">
        <v>590</v>
      </c>
      <c r="C575" s="115">
        <v>585</v>
      </c>
      <c r="D575" s="115">
        <v>577.04999999999995</v>
      </c>
      <c r="E575" s="115">
        <v>580</v>
      </c>
      <c r="F575" s="115">
        <v>585</v>
      </c>
      <c r="G575">
        <v>462</v>
      </c>
      <c r="H575" s="115"/>
      <c r="I575" s="115"/>
      <c r="L575" s="160">
        <v>42850</v>
      </c>
      <c r="M575" s="115">
        <v>889.1</v>
      </c>
      <c r="N575" s="115">
        <v>901.85</v>
      </c>
      <c r="O575" s="115">
        <v>875.05</v>
      </c>
      <c r="P575" s="115">
        <v>896.35</v>
      </c>
      <c r="Q575" s="115">
        <v>889.1</v>
      </c>
      <c r="R575">
        <v>26916</v>
      </c>
    </row>
    <row r="576" spans="1:18" x14ac:dyDescent="0.25">
      <c r="A576" s="160">
        <v>42874</v>
      </c>
      <c r="B576" s="115">
        <v>589.95000000000005</v>
      </c>
      <c r="C576" s="115">
        <v>589.95000000000005</v>
      </c>
      <c r="D576" s="115">
        <v>583.04999999999995</v>
      </c>
      <c r="E576" s="115">
        <v>585</v>
      </c>
      <c r="F576" s="115">
        <v>589.95000000000005</v>
      </c>
      <c r="G576">
        <v>190</v>
      </c>
      <c r="H576" s="115"/>
      <c r="I576" s="115"/>
      <c r="L576" s="160">
        <v>42851</v>
      </c>
      <c r="M576" s="115">
        <v>875.05</v>
      </c>
      <c r="N576" s="115">
        <v>899</v>
      </c>
      <c r="O576" s="115">
        <v>866.5</v>
      </c>
      <c r="P576" s="115">
        <v>889</v>
      </c>
      <c r="Q576" s="115">
        <v>875.05</v>
      </c>
      <c r="R576">
        <v>19375</v>
      </c>
    </row>
    <row r="577" spans="1:18" x14ac:dyDescent="0.25">
      <c r="A577" s="160">
        <v>42877</v>
      </c>
      <c r="B577" s="115">
        <v>600</v>
      </c>
      <c r="C577" s="115">
        <v>588.25</v>
      </c>
      <c r="D577" s="115">
        <v>588.25</v>
      </c>
      <c r="E577" s="115">
        <v>600</v>
      </c>
      <c r="F577" s="115">
        <v>588.25</v>
      </c>
      <c r="G577">
        <v>766</v>
      </c>
      <c r="H577" s="115"/>
      <c r="I577" s="115"/>
      <c r="L577" s="160">
        <v>42852</v>
      </c>
      <c r="M577" s="115">
        <v>868.85</v>
      </c>
      <c r="N577" s="115">
        <v>887</v>
      </c>
      <c r="O577" s="115">
        <v>854.05</v>
      </c>
      <c r="P577" s="115">
        <v>875.05</v>
      </c>
      <c r="Q577" s="115">
        <v>868.85</v>
      </c>
      <c r="R577">
        <v>20321</v>
      </c>
    </row>
    <row r="578" spans="1:18" x14ac:dyDescent="0.25">
      <c r="A578" s="160">
        <v>42878</v>
      </c>
      <c r="B578" s="115">
        <v>589.95000000000005</v>
      </c>
      <c r="C578" s="115">
        <v>577.35</v>
      </c>
      <c r="D578" s="115">
        <v>575.15</v>
      </c>
      <c r="E578" s="115">
        <v>585</v>
      </c>
      <c r="F578" s="115">
        <v>577.35</v>
      </c>
      <c r="G578">
        <v>301</v>
      </c>
      <c r="H578" s="115"/>
      <c r="I578" s="115"/>
      <c r="L578" s="160">
        <v>42853</v>
      </c>
      <c r="M578" s="115">
        <v>903.95</v>
      </c>
      <c r="N578" s="115">
        <v>914</v>
      </c>
      <c r="O578" s="115">
        <v>860.05</v>
      </c>
      <c r="P578" s="115">
        <v>865</v>
      </c>
      <c r="Q578" s="115">
        <v>903.95</v>
      </c>
      <c r="R578">
        <v>26399</v>
      </c>
    </row>
    <row r="579" spans="1:18" x14ac:dyDescent="0.25">
      <c r="A579" s="160">
        <v>42879</v>
      </c>
      <c r="B579" s="115">
        <v>593.95000000000005</v>
      </c>
      <c r="C579" s="115">
        <v>593.95000000000005</v>
      </c>
      <c r="D579" s="115">
        <v>580</v>
      </c>
      <c r="E579" s="115">
        <v>587</v>
      </c>
      <c r="F579" s="115">
        <v>593.95000000000005</v>
      </c>
      <c r="G579">
        <v>37</v>
      </c>
      <c r="H579" s="115"/>
      <c r="I579" s="115"/>
      <c r="L579" s="160">
        <v>42857</v>
      </c>
      <c r="M579" s="115">
        <v>916.5</v>
      </c>
      <c r="N579" s="115">
        <v>929.8</v>
      </c>
      <c r="O579" s="115">
        <v>896</v>
      </c>
      <c r="P579" s="115">
        <v>901.9</v>
      </c>
      <c r="Q579" s="115">
        <v>916.5</v>
      </c>
      <c r="R579">
        <v>33430</v>
      </c>
    </row>
    <row r="580" spans="1:18" x14ac:dyDescent="0.25">
      <c r="A580" s="160">
        <v>42880</v>
      </c>
      <c r="B580" s="115">
        <v>599</v>
      </c>
      <c r="C580" s="115">
        <v>592.65</v>
      </c>
      <c r="D580" s="115">
        <v>573.1</v>
      </c>
      <c r="E580" s="115">
        <v>599</v>
      </c>
      <c r="F580" s="115">
        <v>592.65</v>
      </c>
      <c r="G580">
        <v>332</v>
      </c>
      <c r="H580" s="115"/>
      <c r="I580" s="115"/>
      <c r="L580" s="160">
        <v>42858</v>
      </c>
      <c r="M580" s="115">
        <v>897.2</v>
      </c>
      <c r="N580" s="115">
        <v>920</v>
      </c>
      <c r="O580" s="115">
        <v>895</v>
      </c>
      <c r="P580" s="115">
        <v>906.65</v>
      </c>
      <c r="Q580" s="115">
        <v>897.2</v>
      </c>
      <c r="R580">
        <v>22923</v>
      </c>
    </row>
    <row r="581" spans="1:18" x14ac:dyDescent="0.25">
      <c r="A581" s="160">
        <v>42881</v>
      </c>
      <c r="B581" s="115">
        <v>599.75</v>
      </c>
      <c r="C581" s="115">
        <v>590.15</v>
      </c>
      <c r="D581" s="115">
        <v>580</v>
      </c>
      <c r="E581" s="115">
        <v>599.75</v>
      </c>
      <c r="F581" s="115">
        <v>590.15</v>
      </c>
      <c r="G581">
        <v>1236</v>
      </c>
      <c r="H581" s="115"/>
      <c r="I581" s="115"/>
      <c r="L581" s="160">
        <v>42859</v>
      </c>
      <c r="M581" s="115">
        <v>896.95</v>
      </c>
      <c r="N581" s="115">
        <v>925</v>
      </c>
      <c r="O581" s="115">
        <v>885.3</v>
      </c>
      <c r="P581" s="115">
        <v>912.95</v>
      </c>
      <c r="Q581" s="115">
        <v>896.95</v>
      </c>
      <c r="R581">
        <v>20447</v>
      </c>
    </row>
    <row r="582" spans="1:18" x14ac:dyDescent="0.25">
      <c r="A582" s="160">
        <v>42884</v>
      </c>
      <c r="B582" s="115">
        <v>595.70000000000005</v>
      </c>
      <c r="C582" s="115">
        <v>568.04999999999995</v>
      </c>
      <c r="D582" s="115">
        <v>567.1</v>
      </c>
      <c r="E582" s="115">
        <v>585</v>
      </c>
      <c r="F582" s="115">
        <v>568.04999999999995</v>
      </c>
      <c r="G582">
        <v>1051</v>
      </c>
      <c r="H582" s="115"/>
      <c r="I582" s="115"/>
      <c r="L582" s="160">
        <v>42860</v>
      </c>
      <c r="M582" s="115">
        <v>883.85</v>
      </c>
      <c r="N582" s="115">
        <v>902.65</v>
      </c>
      <c r="O582" s="115">
        <v>869.05</v>
      </c>
      <c r="P582" s="115">
        <v>895.05</v>
      </c>
      <c r="Q582" s="115">
        <v>883.85</v>
      </c>
      <c r="R582">
        <v>39117</v>
      </c>
    </row>
    <row r="583" spans="1:18" x14ac:dyDescent="0.25">
      <c r="A583" s="160">
        <v>42885</v>
      </c>
      <c r="B583" s="115">
        <v>577</v>
      </c>
      <c r="C583" s="115">
        <v>574.1</v>
      </c>
      <c r="D583" s="115">
        <v>550.5</v>
      </c>
      <c r="E583" s="115">
        <v>577</v>
      </c>
      <c r="F583" s="115">
        <v>574.1</v>
      </c>
      <c r="G583">
        <v>739</v>
      </c>
      <c r="H583" s="115"/>
      <c r="I583" s="115"/>
      <c r="L583" s="160">
        <v>42863</v>
      </c>
      <c r="M583" s="115">
        <v>894.65</v>
      </c>
      <c r="N583" s="115">
        <v>899.65</v>
      </c>
      <c r="O583" s="115">
        <v>875.55</v>
      </c>
      <c r="P583" s="115">
        <v>884</v>
      </c>
      <c r="Q583" s="115">
        <v>894.65</v>
      </c>
      <c r="R583">
        <v>18642</v>
      </c>
    </row>
    <row r="584" spans="1:18" x14ac:dyDescent="0.25">
      <c r="A584" s="160">
        <v>42886</v>
      </c>
      <c r="B584" s="115">
        <v>559</v>
      </c>
      <c r="C584" s="115">
        <v>545.4</v>
      </c>
      <c r="D584" s="115">
        <v>545.4</v>
      </c>
      <c r="E584" s="115">
        <v>547.5</v>
      </c>
      <c r="F584" s="115">
        <v>545.4</v>
      </c>
      <c r="G584">
        <v>428</v>
      </c>
      <c r="H584" s="115"/>
      <c r="I584" s="115"/>
      <c r="L584" s="160">
        <v>42864</v>
      </c>
      <c r="M584" s="115">
        <v>896.85</v>
      </c>
      <c r="N584" s="115">
        <v>904.95</v>
      </c>
      <c r="O584" s="115">
        <v>888</v>
      </c>
      <c r="P584" s="115">
        <v>894</v>
      </c>
      <c r="Q584" s="115">
        <v>896.85</v>
      </c>
      <c r="R584">
        <v>12878</v>
      </c>
    </row>
    <row r="585" spans="1:18" x14ac:dyDescent="0.25">
      <c r="A585" s="160">
        <v>42887</v>
      </c>
      <c r="B585" s="115">
        <v>518.15</v>
      </c>
      <c r="C585" s="115">
        <v>518.15</v>
      </c>
      <c r="D585" s="115">
        <v>518.15</v>
      </c>
      <c r="E585" s="115">
        <v>518.15</v>
      </c>
      <c r="F585" s="115">
        <v>518.15</v>
      </c>
      <c r="G585">
        <v>257</v>
      </c>
      <c r="H585" s="115"/>
      <c r="I585" s="115"/>
      <c r="L585" s="160">
        <v>42865</v>
      </c>
      <c r="M585" s="115">
        <v>898.65</v>
      </c>
      <c r="N585" s="115">
        <v>903.95</v>
      </c>
      <c r="O585" s="115">
        <v>890</v>
      </c>
      <c r="P585" s="115">
        <v>900</v>
      </c>
      <c r="Q585" s="115">
        <v>898.65</v>
      </c>
      <c r="R585">
        <v>18442</v>
      </c>
    </row>
    <row r="586" spans="1:18" x14ac:dyDescent="0.25">
      <c r="A586" s="160">
        <v>42888</v>
      </c>
      <c r="B586" s="115">
        <v>517.9</v>
      </c>
      <c r="C586" s="115">
        <v>498.25</v>
      </c>
      <c r="D586" s="115">
        <v>492.25</v>
      </c>
      <c r="E586" s="115">
        <v>510.05</v>
      </c>
      <c r="F586" s="115">
        <v>498.25</v>
      </c>
      <c r="G586">
        <v>1263</v>
      </c>
      <c r="H586" s="115"/>
      <c r="I586" s="115"/>
      <c r="L586" s="160">
        <v>42866</v>
      </c>
      <c r="M586" s="115">
        <v>898.4</v>
      </c>
      <c r="N586" s="115">
        <v>901.5</v>
      </c>
      <c r="O586" s="115">
        <v>887.5</v>
      </c>
      <c r="P586" s="115">
        <v>898.55</v>
      </c>
      <c r="Q586" s="115">
        <v>898.4</v>
      </c>
      <c r="R586">
        <v>15569</v>
      </c>
    </row>
    <row r="587" spans="1:18" x14ac:dyDescent="0.25">
      <c r="A587" s="160">
        <v>42891</v>
      </c>
      <c r="B587" s="115">
        <v>505</v>
      </c>
      <c r="C587" s="115">
        <v>501.1</v>
      </c>
      <c r="D587" s="115">
        <v>490.15</v>
      </c>
      <c r="E587" s="115">
        <v>504</v>
      </c>
      <c r="F587" s="115">
        <v>501.1</v>
      </c>
      <c r="G587">
        <v>789</v>
      </c>
      <c r="H587" s="115"/>
      <c r="I587" s="115"/>
      <c r="L587" s="160">
        <v>42867</v>
      </c>
      <c r="M587" s="115">
        <v>910.65</v>
      </c>
      <c r="N587" s="115">
        <v>914</v>
      </c>
      <c r="O587" s="115">
        <v>892.2</v>
      </c>
      <c r="P587" s="115">
        <v>898.4</v>
      </c>
      <c r="Q587" s="115">
        <v>910.65</v>
      </c>
      <c r="R587">
        <v>26360</v>
      </c>
    </row>
    <row r="588" spans="1:18" x14ac:dyDescent="0.25">
      <c r="A588" s="160">
        <v>42892</v>
      </c>
      <c r="B588" s="115">
        <v>503.95</v>
      </c>
      <c r="C588" s="115">
        <v>490</v>
      </c>
      <c r="D588" s="115">
        <v>486.1</v>
      </c>
      <c r="E588" s="115">
        <v>503.95</v>
      </c>
      <c r="F588" s="115">
        <v>490</v>
      </c>
      <c r="G588">
        <v>577</v>
      </c>
      <c r="H588" s="115"/>
      <c r="I588" s="115"/>
      <c r="L588" s="160">
        <v>42870</v>
      </c>
      <c r="M588" s="115">
        <v>904.45</v>
      </c>
      <c r="N588" s="115">
        <v>920</v>
      </c>
      <c r="O588" s="115">
        <v>896.95</v>
      </c>
      <c r="P588" s="115">
        <v>920</v>
      </c>
      <c r="Q588" s="115">
        <v>904.45</v>
      </c>
      <c r="R588">
        <v>46894</v>
      </c>
    </row>
    <row r="589" spans="1:18" x14ac:dyDescent="0.25">
      <c r="A589" s="160">
        <v>42893</v>
      </c>
      <c r="B589" s="115">
        <v>509</v>
      </c>
      <c r="C589" s="115">
        <v>507.25</v>
      </c>
      <c r="D589" s="115">
        <v>486</v>
      </c>
      <c r="E589" s="115">
        <v>502.45</v>
      </c>
      <c r="F589" s="115">
        <v>507.25</v>
      </c>
      <c r="G589">
        <v>456</v>
      </c>
      <c r="H589" s="115"/>
      <c r="I589" s="115"/>
      <c r="L589" s="160">
        <v>42871</v>
      </c>
      <c r="M589" s="115">
        <v>898.1</v>
      </c>
      <c r="N589" s="115">
        <v>907.9</v>
      </c>
      <c r="O589" s="115">
        <v>890.9</v>
      </c>
      <c r="P589" s="115">
        <v>900</v>
      </c>
      <c r="Q589" s="115">
        <v>898.1</v>
      </c>
      <c r="R589">
        <v>20112</v>
      </c>
    </row>
    <row r="590" spans="1:18" x14ac:dyDescent="0.25">
      <c r="A590" s="160">
        <v>42894</v>
      </c>
      <c r="B590" s="115">
        <v>510</v>
      </c>
      <c r="C590" s="115">
        <v>500.45</v>
      </c>
      <c r="D590" s="115">
        <v>496.7</v>
      </c>
      <c r="E590" s="115">
        <v>509</v>
      </c>
      <c r="F590" s="115">
        <v>500.45</v>
      </c>
      <c r="G590">
        <v>379</v>
      </c>
      <c r="H590" s="115"/>
      <c r="I590" s="115"/>
      <c r="L590" s="160">
        <v>42872</v>
      </c>
      <c r="M590" s="115">
        <v>904.9</v>
      </c>
      <c r="N590" s="115">
        <v>909.9</v>
      </c>
      <c r="O590" s="115">
        <v>884.6</v>
      </c>
      <c r="P590" s="115">
        <v>884.6</v>
      </c>
      <c r="Q590" s="115">
        <v>904.9</v>
      </c>
      <c r="R590">
        <v>32625</v>
      </c>
    </row>
    <row r="591" spans="1:18" x14ac:dyDescent="0.25">
      <c r="A591" s="160">
        <v>42895</v>
      </c>
      <c r="B591" s="115">
        <v>505</v>
      </c>
      <c r="C591" s="115">
        <v>500</v>
      </c>
      <c r="D591" s="115">
        <v>500</v>
      </c>
      <c r="E591" s="115">
        <v>500</v>
      </c>
      <c r="F591" s="115">
        <v>500</v>
      </c>
      <c r="G591">
        <v>95</v>
      </c>
      <c r="H591" s="115"/>
      <c r="I591" s="115"/>
      <c r="L591" s="160">
        <v>42873</v>
      </c>
      <c r="M591" s="115">
        <v>879.35</v>
      </c>
      <c r="N591" s="115">
        <v>905.8</v>
      </c>
      <c r="O591" s="115">
        <v>871</v>
      </c>
      <c r="P591" s="115">
        <v>895</v>
      </c>
      <c r="Q591" s="115">
        <v>879.35</v>
      </c>
      <c r="R591">
        <v>21233</v>
      </c>
    </row>
    <row r="592" spans="1:18" x14ac:dyDescent="0.25">
      <c r="A592" s="160">
        <v>42898</v>
      </c>
      <c r="B592" s="115">
        <v>519</v>
      </c>
      <c r="C592" s="115">
        <v>501.25</v>
      </c>
      <c r="D592" s="115">
        <v>500</v>
      </c>
      <c r="E592" s="115">
        <v>518.5</v>
      </c>
      <c r="F592" s="115">
        <v>501.25</v>
      </c>
      <c r="G592">
        <v>313</v>
      </c>
      <c r="H592" s="115"/>
      <c r="I592" s="115"/>
      <c r="L592" s="160">
        <v>42874</v>
      </c>
      <c r="M592" s="115">
        <v>832.05</v>
      </c>
      <c r="N592" s="115">
        <v>899.95</v>
      </c>
      <c r="O592" s="115">
        <v>773.3</v>
      </c>
      <c r="P592" s="115">
        <v>880</v>
      </c>
      <c r="Q592" s="115">
        <v>832.05</v>
      </c>
      <c r="R592">
        <v>181226</v>
      </c>
    </row>
    <row r="593" spans="1:18" x14ac:dyDescent="0.25">
      <c r="A593" s="160">
        <v>42899</v>
      </c>
      <c r="B593" s="115">
        <v>503.95</v>
      </c>
      <c r="C593" s="115">
        <v>503.95</v>
      </c>
      <c r="D593" s="115">
        <v>486.05</v>
      </c>
      <c r="E593" s="115">
        <v>492.05</v>
      </c>
      <c r="F593" s="115">
        <v>503.95</v>
      </c>
      <c r="G593">
        <v>1451</v>
      </c>
      <c r="H593" s="115"/>
      <c r="I593" s="115"/>
      <c r="L593" s="160">
        <v>42877</v>
      </c>
      <c r="M593" s="115">
        <v>794.15</v>
      </c>
      <c r="N593" s="115">
        <v>836</v>
      </c>
      <c r="O593" s="115">
        <v>776.95</v>
      </c>
      <c r="P593" s="115">
        <v>820</v>
      </c>
      <c r="Q593" s="115">
        <v>794.15</v>
      </c>
      <c r="R593">
        <v>157638</v>
      </c>
    </row>
    <row r="594" spans="1:18" x14ac:dyDescent="0.25">
      <c r="A594" s="160">
        <v>42900</v>
      </c>
      <c r="B594" s="115">
        <v>504.75</v>
      </c>
      <c r="C594" s="115">
        <v>491</v>
      </c>
      <c r="D594" s="115">
        <v>487</v>
      </c>
      <c r="E594" s="115">
        <v>490.15</v>
      </c>
      <c r="F594" s="115">
        <v>491</v>
      </c>
      <c r="G594">
        <v>718</v>
      </c>
      <c r="H594" s="115"/>
      <c r="I594" s="115"/>
      <c r="L594" s="160">
        <v>42878</v>
      </c>
      <c r="M594" s="115">
        <v>782.35</v>
      </c>
      <c r="N594" s="115">
        <v>819.9</v>
      </c>
      <c r="O594" s="115">
        <v>770.5</v>
      </c>
      <c r="P594" s="115">
        <v>819.9</v>
      </c>
      <c r="Q594" s="115">
        <v>782.35</v>
      </c>
      <c r="R594">
        <v>25117</v>
      </c>
    </row>
    <row r="595" spans="1:18" x14ac:dyDescent="0.25">
      <c r="A595" s="160">
        <v>42901</v>
      </c>
      <c r="B595" s="115">
        <v>499</v>
      </c>
      <c r="C595" s="115">
        <v>495</v>
      </c>
      <c r="D595" s="115">
        <v>495</v>
      </c>
      <c r="E595" s="115">
        <v>499</v>
      </c>
      <c r="F595" s="115">
        <v>495</v>
      </c>
      <c r="G595">
        <v>85</v>
      </c>
      <c r="H595" s="115"/>
      <c r="I595" s="115"/>
      <c r="L595" s="160">
        <v>42879</v>
      </c>
      <c r="M595" s="115">
        <v>767.6</v>
      </c>
      <c r="N595" s="115">
        <v>792.2</v>
      </c>
      <c r="O595" s="115">
        <v>760</v>
      </c>
      <c r="P595" s="115">
        <v>772</v>
      </c>
      <c r="Q595" s="115">
        <v>767.6</v>
      </c>
      <c r="R595">
        <v>22029</v>
      </c>
    </row>
    <row r="596" spans="1:18" x14ac:dyDescent="0.25">
      <c r="A596" s="160">
        <v>42902</v>
      </c>
      <c r="B596" s="115">
        <v>501.8</v>
      </c>
      <c r="C596" s="115">
        <v>496.95</v>
      </c>
      <c r="D596" s="115">
        <v>491.7</v>
      </c>
      <c r="E596" s="115">
        <v>496</v>
      </c>
      <c r="F596" s="115">
        <v>496.95</v>
      </c>
      <c r="G596">
        <v>227</v>
      </c>
      <c r="H596" s="115"/>
      <c r="I596" s="115"/>
      <c r="L596" s="160">
        <v>42880</v>
      </c>
      <c r="M596" s="115">
        <v>786.95</v>
      </c>
      <c r="N596" s="115">
        <v>789.5</v>
      </c>
      <c r="O596" s="115">
        <v>765.5</v>
      </c>
      <c r="P596" s="115">
        <v>768</v>
      </c>
      <c r="Q596" s="115">
        <v>786.95</v>
      </c>
      <c r="R596">
        <v>19709</v>
      </c>
    </row>
    <row r="597" spans="1:18" x14ac:dyDescent="0.25">
      <c r="A597" s="160">
        <v>42905</v>
      </c>
      <c r="B597" s="115">
        <v>496.95</v>
      </c>
      <c r="C597" s="115">
        <v>491.85</v>
      </c>
      <c r="D597" s="115">
        <v>491.8</v>
      </c>
      <c r="E597" s="115">
        <v>491.8</v>
      </c>
      <c r="F597" s="115">
        <v>491.85</v>
      </c>
      <c r="G597">
        <v>160</v>
      </c>
      <c r="H597" s="115"/>
      <c r="I597" s="115"/>
      <c r="L597" s="160">
        <v>42881</v>
      </c>
      <c r="M597" s="115">
        <v>786.45</v>
      </c>
      <c r="N597" s="115">
        <v>799</v>
      </c>
      <c r="O597" s="115">
        <v>769.85</v>
      </c>
      <c r="P597" s="115">
        <v>785.95</v>
      </c>
      <c r="Q597" s="115">
        <v>786.45</v>
      </c>
      <c r="R597">
        <v>30966</v>
      </c>
    </row>
    <row r="598" spans="1:18" x14ac:dyDescent="0.25">
      <c r="A598" s="160">
        <v>42906</v>
      </c>
      <c r="B598" s="115">
        <v>509</v>
      </c>
      <c r="C598" s="115">
        <v>500.05</v>
      </c>
      <c r="D598" s="115">
        <v>492.6</v>
      </c>
      <c r="E598" s="115">
        <v>492.6</v>
      </c>
      <c r="F598" s="115">
        <v>500.05</v>
      </c>
      <c r="G598">
        <v>673</v>
      </c>
      <c r="H598" s="115"/>
      <c r="I598" s="115"/>
      <c r="L598" s="160">
        <v>42884</v>
      </c>
      <c r="M598" s="115">
        <v>806.2</v>
      </c>
      <c r="N598" s="115">
        <v>828</v>
      </c>
      <c r="O598" s="115">
        <v>770.1</v>
      </c>
      <c r="P598" s="115">
        <v>786</v>
      </c>
      <c r="Q598" s="115">
        <v>806.2</v>
      </c>
      <c r="R598">
        <v>17263</v>
      </c>
    </row>
    <row r="599" spans="1:18" x14ac:dyDescent="0.25">
      <c r="A599" s="160">
        <v>42907</v>
      </c>
      <c r="B599" s="115">
        <v>500.05</v>
      </c>
      <c r="C599" s="115">
        <v>495</v>
      </c>
      <c r="D599" s="115">
        <v>495</v>
      </c>
      <c r="E599" s="115">
        <v>500.05</v>
      </c>
      <c r="F599" s="115">
        <v>495</v>
      </c>
      <c r="G599">
        <v>31</v>
      </c>
      <c r="H599" s="115"/>
      <c r="I599" s="115"/>
      <c r="L599" s="160">
        <v>42885</v>
      </c>
      <c r="M599" s="115">
        <v>843.6</v>
      </c>
      <c r="N599" s="115">
        <v>859.55</v>
      </c>
      <c r="O599" s="115">
        <v>801.75</v>
      </c>
      <c r="P599" s="115">
        <v>825</v>
      </c>
      <c r="Q599" s="115">
        <v>843.6</v>
      </c>
      <c r="R599">
        <v>25132</v>
      </c>
    </row>
    <row r="600" spans="1:18" x14ac:dyDescent="0.25">
      <c r="A600" s="160">
        <v>42908</v>
      </c>
      <c r="B600" s="115">
        <v>495</v>
      </c>
      <c r="C600" s="115">
        <v>490</v>
      </c>
      <c r="D600" s="115">
        <v>490</v>
      </c>
      <c r="E600" s="115">
        <v>491</v>
      </c>
      <c r="F600" s="115">
        <v>490</v>
      </c>
      <c r="G600">
        <v>624</v>
      </c>
      <c r="H600" s="115"/>
      <c r="I600" s="115"/>
      <c r="L600" s="160">
        <v>42886</v>
      </c>
      <c r="M600" s="115">
        <v>874.3</v>
      </c>
      <c r="N600" s="115">
        <v>879.95</v>
      </c>
      <c r="O600" s="115">
        <v>830</v>
      </c>
      <c r="P600" s="115">
        <v>832.8</v>
      </c>
      <c r="Q600" s="115">
        <v>874.3</v>
      </c>
      <c r="R600">
        <v>42813</v>
      </c>
    </row>
    <row r="601" spans="1:18" x14ac:dyDescent="0.25">
      <c r="A601" s="160">
        <v>42909</v>
      </c>
      <c r="B601" s="115">
        <v>489</v>
      </c>
      <c r="C601" s="115">
        <v>484.9</v>
      </c>
      <c r="D601" s="115">
        <v>484.9</v>
      </c>
      <c r="E601" s="115">
        <v>488.1</v>
      </c>
      <c r="F601" s="115">
        <v>484.9</v>
      </c>
      <c r="G601">
        <v>437</v>
      </c>
      <c r="H601" s="115"/>
      <c r="I601" s="115"/>
      <c r="L601" s="160">
        <v>42887</v>
      </c>
      <c r="M601" s="115">
        <v>888.05</v>
      </c>
      <c r="N601" s="115">
        <v>892</v>
      </c>
      <c r="O601" s="115">
        <v>864.1</v>
      </c>
      <c r="P601" s="115">
        <v>864.1</v>
      </c>
      <c r="Q601" s="115">
        <v>888.05</v>
      </c>
      <c r="R601">
        <v>27115</v>
      </c>
    </row>
    <row r="602" spans="1:18" x14ac:dyDescent="0.25">
      <c r="A602" s="160">
        <v>42913</v>
      </c>
      <c r="B602" s="115">
        <v>493.95</v>
      </c>
      <c r="C602" s="115">
        <v>493.95</v>
      </c>
      <c r="D602" s="115">
        <v>477.2</v>
      </c>
      <c r="E602" s="115">
        <v>488</v>
      </c>
      <c r="F602" s="115">
        <v>493.95</v>
      </c>
      <c r="G602">
        <v>180</v>
      </c>
      <c r="H602" s="115"/>
      <c r="I602" s="115"/>
      <c r="L602" s="160">
        <v>42888</v>
      </c>
      <c r="M602" s="115">
        <v>884.35</v>
      </c>
      <c r="N602" s="115">
        <v>891.9</v>
      </c>
      <c r="O602" s="115">
        <v>878</v>
      </c>
      <c r="P602" s="115">
        <v>880</v>
      </c>
      <c r="Q602" s="115">
        <v>884.35</v>
      </c>
      <c r="R602">
        <v>16063</v>
      </c>
    </row>
    <row r="603" spans="1:18" x14ac:dyDescent="0.25">
      <c r="A603" s="160">
        <v>42914</v>
      </c>
      <c r="B603" s="115">
        <v>500</v>
      </c>
      <c r="C603" s="115">
        <v>473</v>
      </c>
      <c r="D603" s="115">
        <v>470.1</v>
      </c>
      <c r="E603" s="115">
        <v>500</v>
      </c>
      <c r="F603" s="115">
        <v>473</v>
      </c>
      <c r="G603">
        <v>531</v>
      </c>
      <c r="H603" s="115"/>
      <c r="I603" s="115"/>
      <c r="L603" s="160">
        <v>42891</v>
      </c>
      <c r="M603" s="115">
        <v>903.25</v>
      </c>
      <c r="N603" s="115">
        <v>910</v>
      </c>
      <c r="O603" s="115">
        <v>875.15</v>
      </c>
      <c r="P603" s="115">
        <v>880</v>
      </c>
      <c r="Q603" s="115">
        <v>903.25</v>
      </c>
      <c r="R603">
        <v>24538</v>
      </c>
    </row>
    <row r="604" spans="1:18" x14ac:dyDescent="0.25">
      <c r="A604" s="160">
        <v>42915</v>
      </c>
      <c r="B604" s="115">
        <v>495.35</v>
      </c>
      <c r="C604" s="115">
        <v>477</v>
      </c>
      <c r="D604" s="115">
        <v>477</v>
      </c>
      <c r="E604" s="115">
        <v>489.95</v>
      </c>
      <c r="F604" s="115">
        <v>477</v>
      </c>
      <c r="G604">
        <v>149</v>
      </c>
      <c r="H604" s="115"/>
      <c r="I604" s="115"/>
      <c r="L604" s="160">
        <v>42892</v>
      </c>
      <c r="M604" s="115">
        <v>896.8</v>
      </c>
      <c r="N604" s="115">
        <v>907.95</v>
      </c>
      <c r="O604" s="115">
        <v>885</v>
      </c>
      <c r="P604" s="115">
        <v>903.5</v>
      </c>
      <c r="Q604" s="115">
        <v>896.8</v>
      </c>
      <c r="R604">
        <v>19639</v>
      </c>
    </row>
    <row r="605" spans="1:18" x14ac:dyDescent="0.25">
      <c r="A605" s="160">
        <v>42916</v>
      </c>
      <c r="B605" s="115">
        <v>498</v>
      </c>
      <c r="C605" s="115">
        <v>498</v>
      </c>
      <c r="D605" s="115">
        <v>486.15</v>
      </c>
      <c r="E605" s="115">
        <v>490</v>
      </c>
      <c r="F605" s="115">
        <v>498</v>
      </c>
      <c r="G605">
        <v>1985</v>
      </c>
      <c r="H605" s="115"/>
      <c r="I605" s="115"/>
      <c r="L605" s="160">
        <v>42893</v>
      </c>
      <c r="M605" s="115">
        <v>893.65</v>
      </c>
      <c r="N605" s="115">
        <v>904.45</v>
      </c>
      <c r="O605" s="115">
        <v>890</v>
      </c>
      <c r="P605" s="115">
        <v>896.8</v>
      </c>
      <c r="Q605" s="115">
        <v>893.65</v>
      </c>
      <c r="R605">
        <v>18769</v>
      </c>
    </row>
    <row r="606" spans="1:18" x14ac:dyDescent="0.25">
      <c r="A606" s="160">
        <v>42919</v>
      </c>
      <c r="B606" s="115">
        <v>498</v>
      </c>
      <c r="C606" s="115">
        <v>496.95</v>
      </c>
      <c r="D606" s="115">
        <v>487.05</v>
      </c>
      <c r="E606" s="115">
        <v>497</v>
      </c>
      <c r="F606" s="115">
        <v>496.95</v>
      </c>
      <c r="G606">
        <v>1008</v>
      </c>
      <c r="H606" s="115"/>
      <c r="I606" s="115"/>
      <c r="L606" s="160">
        <v>42894</v>
      </c>
      <c r="M606" s="115">
        <v>907.8</v>
      </c>
      <c r="N606" s="115">
        <v>914</v>
      </c>
      <c r="O606" s="115">
        <v>885.2</v>
      </c>
      <c r="P606" s="115">
        <v>893.65</v>
      </c>
      <c r="Q606" s="115">
        <v>907.8</v>
      </c>
      <c r="R606">
        <v>16227</v>
      </c>
    </row>
    <row r="607" spans="1:18" x14ac:dyDescent="0.25">
      <c r="A607" s="160">
        <v>42920</v>
      </c>
      <c r="B607" s="115">
        <v>497.95</v>
      </c>
      <c r="C607" s="115">
        <v>486</v>
      </c>
      <c r="D607" s="115">
        <v>484.6</v>
      </c>
      <c r="E607" s="115">
        <v>496.95</v>
      </c>
      <c r="F607" s="115">
        <v>486</v>
      </c>
      <c r="G607">
        <v>170</v>
      </c>
      <c r="H607" s="115"/>
      <c r="I607" s="115"/>
      <c r="L607" s="160">
        <v>42895</v>
      </c>
      <c r="M607" s="115">
        <v>919.05</v>
      </c>
      <c r="N607" s="115">
        <v>921</v>
      </c>
      <c r="O607" s="115">
        <v>896.5</v>
      </c>
      <c r="P607" s="115">
        <v>900.05</v>
      </c>
      <c r="Q607" s="115">
        <v>919.05</v>
      </c>
      <c r="R607">
        <v>12709</v>
      </c>
    </row>
    <row r="608" spans="1:18" x14ac:dyDescent="0.25">
      <c r="A608" s="160">
        <v>42921</v>
      </c>
      <c r="B608" s="115">
        <v>498</v>
      </c>
      <c r="C608" s="115">
        <v>498</v>
      </c>
      <c r="D608" s="115">
        <v>488.15</v>
      </c>
      <c r="E608" s="115">
        <v>497.95</v>
      </c>
      <c r="F608" s="115">
        <v>498</v>
      </c>
      <c r="G608">
        <v>3913</v>
      </c>
      <c r="H608" s="115"/>
      <c r="I608" s="115"/>
      <c r="L608" s="160">
        <v>42898</v>
      </c>
      <c r="M608" s="115">
        <v>885.6</v>
      </c>
      <c r="N608" s="115">
        <v>920.4</v>
      </c>
      <c r="O608" s="115">
        <v>867.35</v>
      </c>
      <c r="P608" s="115">
        <v>920</v>
      </c>
      <c r="Q608" s="115">
        <v>885.6</v>
      </c>
      <c r="R608">
        <v>39116</v>
      </c>
    </row>
    <row r="609" spans="1:18" x14ac:dyDescent="0.25">
      <c r="A609" s="160">
        <v>42922</v>
      </c>
      <c r="B609" s="115">
        <v>521</v>
      </c>
      <c r="C609" s="115">
        <v>499.05</v>
      </c>
      <c r="D609" s="115">
        <v>499</v>
      </c>
      <c r="E609" s="115">
        <v>510.9</v>
      </c>
      <c r="F609" s="115">
        <v>499.05</v>
      </c>
      <c r="G609">
        <v>795</v>
      </c>
      <c r="H609" s="115"/>
      <c r="I609" s="115"/>
      <c r="L609" s="160">
        <v>42899</v>
      </c>
      <c r="M609" s="115">
        <v>895.75</v>
      </c>
      <c r="N609" s="115">
        <v>902.5</v>
      </c>
      <c r="O609" s="115">
        <v>871</v>
      </c>
      <c r="P609" s="115">
        <v>880</v>
      </c>
      <c r="Q609" s="115">
        <v>895.75</v>
      </c>
      <c r="R609">
        <v>11325</v>
      </c>
    </row>
    <row r="610" spans="1:18" x14ac:dyDescent="0.25">
      <c r="A610" s="160">
        <v>42923</v>
      </c>
      <c r="B610" s="115">
        <v>515</v>
      </c>
      <c r="C610" s="115">
        <v>512</v>
      </c>
      <c r="D610" s="115">
        <v>495</v>
      </c>
      <c r="E610" s="115">
        <v>495.05</v>
      </c>
      <c r="F610" s="115">
        <v>512</v>
      </c>
      <c r="G610">
        <v>1411</v>
      </c>
      <c r="H610" s="115"/>
      <c r="I610" s="115"/>
      <c r="L610" s="160">
        <v>42900</v>
      </c>
      <c r="M610" s="115">
        <v>898.35</v>
      </c>
      <c r="N610" s="115">
        <v>912.4</v>
      </c>
      <c r="O610" s="115">
        <v>892.2</v>
      </c>
      <c r="P610" s="115">
        <v>910</v>
      </c>
      <c r="Q610" s="115">
        <v>898.35</v>
      </c>
      <c r="R610">
        <v>11179</v>
      </c>
    </row>
    <row r="611" spans="1:18" x14ac:dyDescent="0.25">
      <c r="A611" s="160">
        <v>42926</v>
      </c>
      <c r="B611" s="115">
        <v>509.9</v>
      </c>
      <c r="C611" s="115">
        <v>509.9</v>
      </c>
      <c r="D611" s="115">
        <v>500</v>
      </c>
      <c r="E611" s="115">
        <v>500</v>
      </c>
      <c r="F611" s="115">
        <v>509.9</v>
      </c>
      <c r="G611">
        <v>65</v>
      </c>
      <c r="H611" s="115"/>
      <c r="I611" s="115"/>
      <c r="L611" s="160">
        <v>42901</v>
      </c>
      <c r="M611" s="115">
        <v>897.7</v>
      </c>
      <c r="N611" s="115">
        <v>900</v>
      </c>
      <c r="O611" s="115">
        <v>884.05</v>
      </c>
      <c r="P611" s="115">
        <v>891.1</v>
      </c>
      <c r="Q611" s="115">
        <v>897.7</v>
      </c>
      <c r="R611">
        <v>18723</v>
      </c>
    </row>
    <row r="612" spans="1:18" x14ac:dyDescent="0.25">
      <c r="A612" s="160">
        <v>42927</v>
      </c>
      <c r="B612" s="115">
        <v>524.70000000000005</v>
      </c>
      <c r="C612" s="115">
        <v>524.70000000000005</v>
      </c>
      <c r="D612" s="115">
        <v>498</v>
      </c>
      <c r="E612" s="115">
        <v>509.9</v>
      </c>
      <c r="F612" s="115">
        <v>524.70000000000005</v>
      </c>
      <c r="G612">
        <v>357</v>
      </c>
      <c r="H612" s="115"/>
      <c r="I612" s="115"/>
      <c r="L612" s="160">
        <v>42902</v>
      </c>
      <c r="M612" s="115">
        <v>897.55</v>
      </c>
      <c r="N612" s="115">
        <v>905.45</v>
      </c>
      <c r="O612" s="115">
        <v>892.85</v>
      </c>
      <c r="P612" s="115">
        <v>895.15</v>
      </c>
      <c r="Q612" s="115">
        <v>897.55</v>
      </c>
      <c r="R612">
        <v>20291</v>
      </c>
    </row>
    <row r="613" spans="1:18" x14ac:dyDescent="0.25">
      <c r="A613" s="160">
        <v>42928</v>
      </c>
      <c r="B613" s="115">
        <v>515</v>
      </c>
      <c r="C613" s="115">
        <v>515</v>
      </c>
      <c r="D613" s="115">
        <v>506.05</v>
      </c>
      <c r="E613" s="115">
        <v>506.05</v>
      </c>
      <c r="F613" s="115">
        <v>515</v>
      </c>
      <c r="G613">
        <v>42</v>
      </c>
      <c r="H613" s="115"/>
      <c r="I613" s="115"/>
      <c r="L613" s="160">
        <v>42905</v>
      </c>
      <c r="M613" s="115">
        <v>889.9</v>
      </c>
      <c r="N613" s="115">
        <v>907</v>
      </c>
      <c r="O613" s="115">
        <v>883.45</v>
      </c>
      <c r="P613" s="115">
        <v>907</v>
      </c>
      <c r="Q613" s="115">
        <v>889.9</v>
      </c>
      <c r="R613">
        <v>17688</v>
      </c>
    </row>
    <row r="614" spans="1:18" x14ac:dyDescent="0.25">
      <c r="A614" s="160">
        <v>42929</v>
      </c>
      <c r="B614" s="115">
        <v>521</v>
      </c>
      <c r="C614" s="115">
        <v>515</v>
      </c>
      <c r="D614" s="115">
        <v>503.75</v>
      </c>
      <c r="E614" s="115">
        <v>515</v>
      </c>
      <c r="F614" s="115">
        <v>515</v>
      </c>
      <c r="G614">
        <v>930</v>
      </c>
      <c r="H614" s="115"/>
      <c r="I614" s="115"/>
      <c r="L614" s="160">
        <v>42906</v>
      </c>
      <c r="M614" s="115">
        <v>863.85</v>
      </c>
      <c r="N614" s="115">
        <v>895</v>
      </c>
      <c r="O614" s="115">
        <v>851.1</v>
      </c>
      <c r="P614" s="115">
        <v>894.25</v>
      </c>
      <c r="Q614" s="115">
        <v>863.85</v>
      </c>
      <c r="R614">
        <v>44516</v>
      </c>
    </row>
    <row r="615" spans="1:18" x14ac:dyDescent="0.25">
      <c r="A615" s="160">
        <v>42930</v>
      </c>
      <c r="B615" s="115">
        <v>521</v>
      </c>
      <c r="C615" s="115">
        <v>509.8</v>
      </c>
      <c r="D615" s="115">
        <v>499</v>
      </c>
      <c r="E615" s="115">
        <v>499</v>
      </c>
      <c r="F615" s="115">
        <v>509.8</v>
      </c>
      <c r="G615">
        <v>255</v>
      </c>
      <c r="H615" s="115"/>
      <c r="I615" s="115"/>
      <c r="L615" s="160">
        <v>42907</v>
      </c>
      <c r="M615" s="115">
        <v>872.35</v>
      </c>
      <c r="N615" s="115">
        <v>889</v>
      </c>
      <c r="O615" s="115">
        <v>851.2</v>
      </c>
      <c r="P615" s="115">
        <v>863.85</v>
      </c>
      <c r="Q615" s="115">
        <v>872.35</v>
      </c>
      <c r="R615">
        <v>28675</v>
      </c>
    </row>
    <row r="616" spans="1:18" x14ac:dyDescent="0.25">
      <c r="A616" s="160">
        <v>42933</v>
      </c>
      <c r="B616" s="115">
        <v>516.45000000000005</v>
      </c>
      <c r="C616" s="115">
        <v>515.29999999999995</v>
      </c>
      <c r="D616" s="115">
        <v>499.05</v>
      </c>
      <c r="E616" s="115">
        <v>509.8</v>
      </c>
      <c r="F616" s="115">
        <v>515.29999999999995</v>
      </c>
      <c r="G616">
        <v>369</v>
      </c>
      <c r="H616" s="115"/>
      <c r="I616" s="115"/>
      <c r="L616" s="160">
        <v>42908</v>
      </c>
      <c r="M616" s="115">
        <v>856.85</v>
      </c>
      <c r="N616" s="115">
        <v>873</v>
      </c>
      <c r="O616" s="115">
        <v>852.5</v>
      </c>
      <c r="P616" s="115">
        <v>872.4</v>
      </c>
      <c r="Q616" s="115">
        <v>856.85</v>
      </c>
      <c r="R616">
        <v>24814</v>
      </c>
    </row>
    <row r="617" spans="1:18" x14ac:dyDescent="0.25">
      <c r="A617" s="160">
        <v>42934</v>
      </c>
      <c r="B617" s="115">
        <v>521</v>
      </c>
      <c r="C617" s="115">
        <v>511.25</v>
      </c>
      <c r="D617" s="115">
        <v>505.05</v>
      </c>
      <c r="E617" s="115">
        <v>517.70000000000005</v>
      </c>
      <c r="F617" s="115">
        <v>511.25</v>
      </c>
      <c r="G617">
        <v>1205</v>
      </c>
      <c r="H617" s="115"/>
      <c r="I617" s="115"/>
      <c r="L617" s="160">
        <v>42909</v>
      </c>
      <c r="M617" s="115">
        <v>865.5</v>
      </c>
      <c r="N617" s="115">
        <v>874.5</v>
      </c>
      <c r="O617" s="115">
        <v>838.95</v>
      </c>
      <c r="P617" s="115">
        <v>860</v>
      </c>
      <c r="Q617" s="115">
        <v>865.5</v>
      </c>
      <c r="R617">
        <v>23051</v>
      </c>
    </row>
    <row r="618" spans="1:18" x14ac:dyDescent="0.25">
      <c r="A618" s="160">
        <v>42935</v>
      </c>
      <c r="B618" s="115">
        <v>515</v>
      </c>
      <c r="C618" s="115">
        <v>515</v>
      </c>
      <c r="D618" s="115">
        <v>513.04999999999995</v>
      </c>
      <c r="E618" s="115">
        <v>513.04999999999995</v>
      </c>
      <c r="F618" s="115">
        <v>515</v>
      </c>
      <c r="G618">
        <v>103</v>
      </c>
      <c r="H618" s="115"/>
      <c r="I618" s="115"/>
      <c r="L618" s="160">
        <v>42913</v>
      </c>
      <c r="M618" s="115">
        <v>873.45</v>
      </c>
      <c r="N618" s="115">
        <v>878</v>
      </c>
      <c r="O618" s="115">
        <v>841.65</v>
      </c>
      <c r="P618" s="115">
        <v>860</v>
      </c>
      <c r="Q618" s="115">
        <v>873.45</v>
      </c>
      <c r="R618">
        <v>16363</v>
      </c>
    </row>
    <row r="619" spans="1:18" x14ac:dyDescent="0.25">
      <c r="A619" s="160">
        <v>42936</v>
      </c>
      <c r="B619" s="115">
        <v>529.5</v>
      </c>
      <c r="C619" s="115">
        <v>524.15</v>
      </c>
      <c r="D619" s="115">
        <v>520</v>
      </c>
      <c r="E619" s="115">
        <v>524.95000000000005</v>
      </c>
      <c r="F619" s="115">
        <v>524.15</v>
      </c>
      <c r="G619">
        <v>445</v>
      </c>
      <c r="H619" s="115"/>
      <c r="I619" s="115"/>
      <c r="L619" s="160">
        <v>42914</v>
      </c>
      <c r="M619" s="115">
        <v>847.35</v>
      </c>
      <c r="N619" s="115">
        <v>874.9</v>
      </c>
      <c r="O619" s="115">
        <v>840</v>
      </c>
      <c r="P619" s="115">
        <v>856</v>
      </c>
      <c r="Q619" s="115">
        <v>847.35</v>
      </c>
      <c r="R619">
        <v>25775</v>
      </c>
    </row>
    <row r="620" spans="1:18" x14ac:dyDescent="0.25">
      <c r="A620" s="160">
        <v>42937</v>
      </c>
      <c r="B620" s="115">
        <v>539.95000000000005</v>
      </c>
      <c r="C620" s="115">
        <v>534.45000000000005</v>
      </c>
      <c r="D620" s="115">
        <v>524</v>
      </c>
      <c r="E620" s="115">
        <v>525</v>
      </c>
      <c r="F620" s="115">
        <v>534.45000000000005</v>
      </c>
      <c r="G620">
        <v>332</v>
      </c>
      <c r="H620" s="115"/>
      <c r="I620" s="115"/>
      <c r="L620" s="160">
        <v>42915</v>
      </c>
      <c r="M620" s="115">
        <v>848.15</v>
      </c>
      <c r="N620" s="115">
        <v>856</v>
      </c>
      <c r="O620" s="115">
        <v>841.2</v>
      </c>
      <c r="P620" s="115">
        <v>856</v>
      </c>
      <c r="Q620" s="115">
        <v>848.15</v>
      </c>
      <c r="R620">
        <v>19617</v>
      </c>
    </row>
    <row r="621" spans="1:18" x14ac:dyDescent="0.25">
      <c r="A621" s="160">
        <v>42940</v>
      </c>
      <c r="B621" s="115">
        <v>555.29999999999995</v>
      </c>
      <c r="C621" s="115">
        <v>554.9</v>
      </c>
      <c r="D621" s="115">
        <v>527</v>
      </c>
      <c r="E621" s="115">
        <v>527</v>
      </c>
      <c r="F621" s="115">
        <v>554.9</v>
      </c>
      <c r="G621">
        <v>561</v>
      </c>
      <c r="H621" s="115"/>
      <c r="I621" s="115"/>
      <c r="L621" s="160">
        <v>42916</v>
      </c>
      <c r="M621" s="115">
        <v>839.85</v>
      </c>
      <c r="N621" s="115">
        <v>846</v>
      </c>
      <c r="O621" s="115">
        <v>825</v>
      </c>
      <c r="P621" s="115">
        <v>846</v>
      </c>
      <c r="Q621" s="115">
        <v>839.85</v>
      </c>
      <c r="R621">
        <v>33471</v>
      </c>
    </row>
    <row r="622" spans="1:18" x14ac:dyDescent="0.25">
      <c r="A622" s="160">
        <v>42941</v>
      </c>
      <c r="B622" s="115">
        <v>555</v>
      </c>
      <c r="C622" s="115">
        <v>541.75</v>
      </c>
      <c r="D622" s="115">
        <v>536.04999999999995</v>
      </c>
      <c r="E622" s="115">
        <v>536.04999999999995</v>
      </c>
      <c r="F622" s="115">
        <v>541.75</v>
      </c>
      <c r="G622">
        <v>963</v>
      </c>
      <c r="H622" s="115"/>
      <c r="I622" s="115"/>
      <c r="L622" s="160">
        <v>42919</v>
      </c>
      <c r="M622" s="115">
        <v>836.5</v>
      </c>
      <c r="N622" s="115">
        <v>853</v>
      </c>
      <c r="O622" s="115">
        <v>830</v>
      </c>
      <c r="P622" s="115">
        <v>848.8</v>
      </c>
      <c r="Q622" s="115">
        <v>836.5</v>
      </c>
      <c r="R622">
        <v>26322</v>
      </c>
    </row>
    <row r="623" spans="1:18" x14ac:dyDescent="0.25">
      <c r="A623" s="160">
        <v>42942</v>
      </c>
      <c r="B623" s="115">
        <v>556</v>
      </c>
      <c r="C623" s="115">
        <v>554.79999999999995</v>
      </c>
      <c r="D623" s="115">
        <v>540.04999999999995</v>
      </c>
      <c r="E623" s="115">
        <v>541.79999999999995</v>
      </c>
      <c r="F623" s="115">
        <v>554.79999999999995</v>
      </c>
      <c r="G623">
        <v>269</v>
      </c>
      <c r="H623" s="115"/>
      <c r="I623" s="115"/>
      <c r="L623" s="160">
        <v>42920</v>
      </c>
      <c r="M623" s="115">
        <v>835.85</v>
      </c>
      <c r="N623" s="115">
        <v>845</v>
      </c>
      <c r="O623" s="115">
        <v>831</v>
      </c>
      <c r="P623" s="115">
        <v>834.95</v>
      </c>
      <c r="Q623" s="115">
        <v>835.85</v>
      </c>
      <c r="R623">
        <v>16158</v>
      </c>
    </row>
    <row r="624" spans="1:18" x14ac:dyDescent="0.25">
      <c r="A624" s="160">
        <v>42943</v>
      </c>
      <c r="B624" s="115">
        <v>570</v>
      </c>
      <c r="C624" s="115">
        <v>551.04999999999995</v>
      </c>
      <c r="D624" s="115">
        <v>551</v>
      </c>
      <c r="E624" s="115">
        <v>566</v>
      </c>
      <c r="F624" s="115">
        <v>551.04999999999995</v>
      </c>
      <c r="G624">
        <v>850</v>
      </c>
      <c r="H624" s="115"/>
      <c r="I624" s="115"/>
      <c r="L624" s="160">
        <v>42921</v>
      </c>
      <c r="M624" s="115">
        <v>817</v>
      </c>
      <c r="N624" s="115">
        <v>841.05</v>
      </c>
      <c r="O624" s="115">
        <v>814</v>
      </c>
      <c r="P624" s="115">
        <v>840</v>
      </c>
      <c r="Q624" s="115">
        <v>817</v>
      </c>
      <c r="R624">
        <v>34903</v>
      </c>
    </row>
    <row r="625" spans="1:18" x14ac:dyDescent="0.25">
      <c r="A625" s="160">
        <v>42944</v>
      </c>
      <c r="B625" s="115">
        <v>544</v>
      </c>
      <c r="C625" s="115">
        <v>523.5</v>
      </c>
      <c r="D625" s="115">
        <v>523.5</v>
      </c>
      <c r="E625" s="115">
        <v>531</v>
      </c>
      <c r="F625" s="115">
        <v>523.5</v>
      </c>
      <c r="G625">
        <v>3280</v>
      </c>
      <c r="H625" s="115"/>
      <c r="I625" s="115"/>
      <c r="L625" s="160">
        <v>42922</v>
      </c>
      <c r="M625" s="115">
        <v>818.1</v>
      </c>
      <c r="N625" s="115">
        <v>835</v>
      </c>
      <c r="O625" s="115">
        <v>816</v>
      </c>
      <c r="P625" s="115">
        <v>822</v>
      </c>
      <c r="Q625" s="115">
        <v>818.1</v>
      </c>
      <c r="R625">
        <v>7190</v>
      </c>
    </row>
    <row r="626" spans="1:18" x14ac:dyDescent="0.25">
      <c r="A626" s="160">
        <v>42947</v>
      </c>
      <c r="B626" s="115">
        <v>539.9</v>
      </c>
      <c r="C626" s="115">
        <v>528.35</v>
      </c>
      <c r="D626" s="115">
        <v>501.5</v>
      </c>
      <c r="E626" s="115">
        <v>534.79999999999995</v>
      </c>
      <c r="F626" s="115">
        <v>528.35</v>
      </c>
      <c r="G626">
        <v>1806</v>
      </c>
      <c r="H626" s="115"/>
      <c r="I626" s="115"/>
      <c r="L626" s="160">
        <v>42923</v>
      </c>
      <c r="M626" s="115">
        <v>815.85</v>
      </c>
      <c r="N626" s="115">
        <v>823</v>
      </c>
      <c r="O626" s="115">
        <v>814</v>
      </c>
      <c r="P626" s="115">
        <v>818</v>
      </c>
      <c r="Q626" s="115">
        <v>815.85</v>
      </c>
      <c r="R626">
        <v>6662</v>
      </c>
    </row>
    <row r="627" spans="1:18" x14ac:dyDescent="0.25">
      <c r="A627" s="160">
        <v>42948</v>
      </c>
      <c r="B627" s="115">
        <v>545</v>
      </c>
      <c r="C627" s="115">
        <v>544.65</v>
      </c>
      <c r="D627" s="115">
        <v>520</v>
      </c>
      <c r="E627" s="115">
        <v>528</v>
      </c>
      <c r="F627" s="115">
        <v>544.65</v>
      </c>
      <c r="G627">
        <v>467</v>
      </c>
      <c r="H627" s="115"/>
      <c r="I627" s="115"/>
      <c r="L627" s="160">
        <v>42926</v>
      </c>
      <c r="M627" s="115">
        <v>822.85</v>
      </c>
      <c r="N627" s="115">
        <v>835</v>
      </c>
      <c r="O627" s="115">
        <v>815</v>
      </c>
      <c r="P627" s="115">
        <v>815</v>
      </c>
      <c r="Q627" s="115">
        <v>822.85</v>
      </c>
      <c r="R627">
        <v>4565</v>
      </c>
    </row>
    <row r="628" spans="1:18" x14ac:dyDescent="0.25">
      <c r="A628" s="160">
        <v>42949</v>
      </c>
      <c r="B628" s="115">
        <v>545</v>
      </c>
      <c r="C628" s="115">
        <v>540</v>
      </c>
      <c r="D628" s="115">
        <v>530.35</v>
      </c>
      <c r="E628" s="115">
        <v>530.35</v>
      </c>
      <c r="F628" s="115">
        <v>540</v>
      </c>
      <c r="G628">
        <v>375</v>
      </c>
      <c r="H628" s="115"/>
      <c r="I628" s="115"/>
      <c r="L628" s="160">
        <v>42927</v>
      </c>
      <c r="M628" s="115">
        <v>824.1</v>
      </c>
      <c r="N628" s="115">
        <v>835</v>
      </c>
      <c r="O628" s="115">
        <v>819.05</v>
      </c>
      <c r="P628" s="115">
        <v>819.05</v>
      </c>
      <c r="Q628" s="115">
        <v>824.1</v>
      </c>
      <c r="R628">
        <v>7043</v>
      </c>
    </row>
    <row r="629" spans="1:18" x14ac:dyDescent="0.25">
      <c r="A629" s="160">
        <v>42950</v>
      </c>
      <c r="B629" s="115">
        <v>536</v>
      </c>
      <c r="C629" s="115">
        <v>532.25</v>
      </c>
      <c r="D629" s="115">
        <v>516.5</v>
      </c>
      <c r="E629" s="115">
        <v>516.5</v>
      </c>
      <c r="F629" s="115">
        <v>532.25</v>
      </c>
      <c r="G629">
        <v>346</v>
      </c>
      <c r="H629" s="115"/>
      <c r="I629" s="115"/>
      <c r="L629" s="160">
        <v>42928</v>
      </c>
      <c r="M629" s="115">
        <v>814.7</v>
      </c>
      <c r="N629" s="115">
        <v>828</v>
      </c>
      <c r="O629" s="115">
        <v>813.1</v>
      </c>
      <c r="P629" s="115">
        <v>825</v>
      </c>
      <c r="Q629" s="115">
        <v>814.7</v>
      </c>
      <c r="R629">
        <v>8820</v>
      </c>
    </row>
    <row r="630" spans="1:18" x14ac:dyDescent="0.25">
      <c r="A630" s="160">
        <v>42951</v>
      </c>
      <c r="B630" s="115">
        <v>557</v>
      </c>
      <c r="C630" s="115">
        <v>551.29999999999995</v>
      </c>
      <c r="D630" s="115">
        <v>540</v>
      </c>
      <c r="E630" s="115">
        <v>549</v>
      </c>
      <c r="F630" s="115">
        <v>551.29999999999995</v>
      </c>
      <c r="G630">
        <v>1519</v>
      </c>
      <c r="H630" s="115"/>
      <c r="I630" s="115"/>
      <c r="L630" s="160">
        <v>42929</v>
      </c>
      <c r="M630" s="115">
        <v>809.55</v>
      </c>
      <c r="N630" s="115">
        <v>825</v>
      </c>
      <c r="O630" s="115">
        <v>807</v>
      </c>
      <c r="P630" s="115">
        <v>823.35</v>
      </c>
      <c r="Q630" s="115">
        <v>809.55</v>
      </c>
      <c r="R630">
        <v>20155</v>
      </c>
    </row>
    <row r="631" spans="1:18" x14ac:dyDescent="0.25">
      <c r="A631" s="160">
        <v>42954</v>
      </c>
      <c r="B631" s="115">
        <v>565</v>
      </c>
      <c r="C631" s="115">
        <v>555.04999999999995</v>
      </c>
      <c r="D631" s="115">
        <v>546.25</v>
      </c>
      <c r="E631" s="115">
        <v>560</v>
      </c>
      <c r="F631" s="115">
        <v>555.04999999999995</v>
      </c>
      <c r="G631">
        <v>221</v>
      </c>
      <c r="H631" s="115"/>
      <c r="I631" s="115"/>
      <c r="L631" s="160">
        <v>42930</v>
      </c>
      <c r="M631" s="115">
        <v>798.55</v>
      </c>
      <c r="N631" s="115">
        <v>810.05</v>
      </c>
      <c r="O631" s="115">
        <v>795</v>
      </c>
      <c r="P631" s="115">
        <v>809.55</v>
      </c>
      <c r="Q631" s="115">
        <v>798.55</v>
      </c>
      <c r="R631">
        <v>16635</v>
      </c>
    </row>
    <row r="632" spans="1:18" x14ac:dyDescent="0.25">
      <c r="A632" s="160">
        <v>42955</v>
      </c>
      <c r="B632" s="115">
        <v>580</v>
      </c>
      <c r="C632" s="115">
        <v>562.29999999999995</v>
      </c>
      <c r="D632" s="115">
        <v>536</v>
      </c>
      <c r="E632" s="115">
        <v>536</v>
      </c>
      <c r="F632" s="115">
        <v>562.29999999999995</v>
      </c>
      <c r="G632">
        <v>2496</v>
      </c>
      <c r="H632" s="115"/>
      <c r="I632" s="115"/>
      <c r="L632" s="160">
        <v>42933</v>
      </c>
      <c r="M632" s="115">
        <v>798.95</v>
      </c>
      <c r="N632" s="115">
        <v>804.95</v>
      </c>
      <c r="O632" s="115">
        <v>788.15</v>
      </c>
      <c r="P632" s="115">
        <v>800</v>
      </c>
      <c r="Q632" s="115">
        <v>798.95</v>
      </c>
      <c r="R632">
        <v>15431</v>
      </c>
    </row>
    <row r="633" spans="1:18" x14ac:dyDescent="0.25">
      <c r="A633" s="160">
        <v>42956</v>
      </c>
      <c r="B633" s="115">
        <v>615</v>
      </c>
      <c r="C633" s="115">
        <v>600.1</v>
      </c>
      <c r="D633" s="115">
        <v>560.04999999999995</v>
      </c>
      <c r="E633" s="115">
        <v>570</v>
      </c>
      <c r="F633" s="115">
        <v>600.1</v>
      </c>
      <c r="G633">
        <v>3860</v>
      </c>
      <c r="H633" s="115"/>
      <c r="I633" s="115"/>
      <c r="L633" s="160">
        <v>42934</v>
      </c>
      <c r="M633" s="115">
        <v>805.95</v>
      </c>
      <c r="N633" s="115">
        <v>809</v>
      </c>
      <c r="O633" s="115">
        <v>796.55</v>
      </c>
      <c r="P633" s="115">
        <v>798.95</v>
      </c>
      <c r="Q633" s="115">
        <v>805.95</v>
      </c>
      <c r="R633">
        <v>15836</v>
      </c>
    </row>
    <row r="634" spans="1:18" x14ac:dyDescent="0.25">
      <c r="A634" s="160">
        <v>42957</v>
      </c>
      <c r="B634" s="115">
        <v>600</v>
      </c>
      <c r="C634" s="115">
        <v>582.75</v>
      </c>
      <c r="D634" s="115">
        <v>578</v>
      </c>
      <c r="E634" s="115">
        <v>590</v>
      </c>
      <c r="F634" s="115">
        <v>582.75</v>
      </c>
      <c r="G634">
        <v>713</v>
      </c>
      <c r="H634" s="115"/>
      <c r="I634" s="115"/>
      <c r="L634" s="160">
        <v>42935</v>
      </c>
      <c r="M634" s="115">
        <v>805.8</v>
      </c>
      <c r="N634" s="115">
        <v>814.9</v>
      </c>
      <c r="O634" s="115">
        <v>800</v>
      </c>
      <c r="P634" s="115">
        <v>800.5</v>
      </c>
      <c r="Q634" s="115">
        <v>805.8</v>
      </c>
      <c r="R634">
        <v>10704</v>
      </c>
    </row>
    <row r="635" spans="1:18" x14ac:dyDescent="0.25">
      <c r="A635" s="160">
        <v>42958</v>
      </c>
      <c r="B635" s="115">
        <v>574.4</v>
      </c>
      <c r="C635" s="115">
        <v>560</v>
      </c>
      <c r="D635" s="115">
        <v>555</v>
      </c>
      <c r="E635" s="115">
        <v>562.5</v>
      </c>
      <c r="F635" s="115">
        <v>560</v>
      </c>
      <c r="G635">
        <v>2606</v>
      </c>
      <c r="H635" s="115"/>
      <c r="I635" s="115"/>
      <c r="L635" s="160">
        <v>42936</v>
      </c>
      <c r="M635" s="115">
        <v>821.8</v>
      </c>
      <c r="N635" s="115">
        <v>825</v>
      </c>
      <c r="O635" s="115">
        <v>803</v>
      </c>
      <c r="P635" s="115">
        <v>805.8</v>
      </c>
      <c r="Q635" s="115">
        <v>821.8</v>
      </c>
      <c r="R635">
        <v>9419</v>
      </c>
    </row>
    <row r="636" spans="1:18" x14ac:dyDescent="0.25">
      <c r="A636" s="160">
        <v>42961</v>
      </c>
      <c r="B636" s="115">
        <v>584.70000000000005</v>
      </c>
      <c r="C636" s="115">
        <v>575.9</v>
      </c>
      <c r="D636" s="115">
        <v>570</v>
      </c>
      <c r="E636" s="115">
        <v>570</v>
      </c>
      <c r="F636" s="115">
        <v>575.9</v>
      </c>
      <c r="G636">
        <v>1798</v>
      </c>
      <c r="H636" s="115"/>
      <c r="I636" s="115"/>
      <c r="L636" s="160">
        <v>42937</v>
      </c>
      <c r="M636" s="115">
        <v>819.5</v>
      </c>
      <c r="N636" s="115">
        <v>825</v>
      </c>
      <c r="O636" s="115">
        <v>812</v>
      </c>
      <c r="P636" s="115">
        <v>824</v>
      </c>
      <c r="Q636" s="115">
        <v>819.5</v>
      </c>
      <c r="R636">
        <v>4877</v>
      </c>
    </row>
    <row r="637" spans="1:18" x14ac:dyDescent="0.25">
      <c r="A637" s="160">
        <v>42963</v>
      </c>
      <c r="B637" s="115">
        <v>621</v>
      </c>
      <c r="C637" s="115">
        <v>605.04999999999995</v>
      </c>
      <c r="D637" s="115">
        <v>580</v>
      </c>
      <c r="E637" s="115">
        <v>580</v>
      </c>
      <c r="F637" s="115">
        <v>605.04999999999995</v>
      </c>
      <c r="G637">
        <v>1355</v>
      </c>
      <c r="H637" s="115"/>
      <c r="I637" s="115"/>
      <c r="L637" s="160">
        <v>42940</v>
      </c>
      <c r="M637" s="115">
        <v>810.15</v>
      </c>
      <c r="N637" s="115">
        <v>822.7</v>
      </c>
      <c r="O637" s="115">
        <v>804.6</v>
      </c>
      <c r="P637" s="115">
        <v>812.15</v>
      </c>
      <c r="Q637" s="115">
        <v>810.15</v>
      </c>
      <c r="R637">
        <v>11732</v>
      </c>
    </row>
    <row r="638" spans="1:18" x14ac:dyDescent="0.25">
      <c r="A638" s="160">
        <v>42964</v>
      </c>
      <c r="B638" s="115">
        <v>663</v>
      </c>
      <c r="C638" s="115">
        <v>661.95</v>
      </c>
      <c r="D638" s="115">
        <v>620</v>
      </c>
      <c r="E638" s="115">
        <v>620</v>
      </c>
      <c r="F638" s="115">
        <v>661.95</v>
      </c>
      <c r="G638">
        <v>3782</v>
      </c>
      <c r="H638" s="115"/>
      <c r="I638" s="115"/>
      <c r="L638" s="160">
        <v>42941</v>
      </c>
      <c r="M638" s="115">
        <v>808.55</v>
      </c>
      <c r="N638" s="115">
        <v>814.65</v>
      </c>
      <c r="O638" s="115">
        <v>795.15</v>
      </c>
      <c r="P638" s="115">
        <v>810.15</v>
      </c>
      <c r="Q638" s="115">
        <v>808.55</v>
      </c>
      <c r="R638">
        <v>23719</v>
      </c>
    </row>
    <row r="639" spans="1:18" x14ac:dyDescent="0.25">
      <c r="A639" s="160">
        <v>42965</v>
      </c>
      <c r="B639" s="115">
        <v>690.3</v>
      </c>
      <c r="C639" s="115">
        <v>676.9</v>
      </c>
      <c r="D639" s="115">
        <v>632.04999999999995</v>
      </c>
      <c r="E639" s="115">
        <v>632.04999999999995</v>
      </c>
      <c r="F639" s="115">
        <v>676.9</v>
      </c>
      <c r="G639">
        <v>1495</v>
      </c>
      <c r="H639" s="115"/>
      <c r="I639" s="115"/>
      <c r="L639" s="160">
        <v>42942</v>
      </c>
      <c r="M639" s="115">
        <v>783.1</v>
      </c>
      <c r="N639" s="115">
        <v>814.7</v>
      </c>
      <c r="O639" s="115">
        <v>773.1</v>
      </c>
      <c r="P639" s="115">
        <v>808.6</v>
      </c>
      <c r="Q639" s="115">
        <v>783.1</v>
      </c>
      <c r="R639">
        <v>34472</v>
      </c>
    </row>
    <row r="640" spans="1:18" x14ac:dyDescent="0.25">
      <c r="A640" s="160">
        <v>42968</v>
      </c>
      <c r="B640" s="115">
        <v>690</v>
      </c>
      <c r="C640" s="115">
        <v>674.35</v>
      </c>
      <c r="D640" s="115">
        <v>670.05</v>
      </c>
      <c r="E640" s="115">
        <v>676</v>
      </c>
      <c r="F640" s="115">
        <v>674.35</v>
      </c>
      <c r="G640">
        <v>1058</v>
      </c>
      <c r="H640" s="115"/>
      <c r="I640" s="115"/>
      <c r="L640" s="160">
        <v>42943</v>
      </c>
      <c r="M640" s="115">
        <v>764.95</v>
      </c>
      <c r="N640" s="115">
        <v>791.95</v>
      </c>
      <c r="O640" s="115">
        <v>760</v>
      </c>
      <c r="P640" s="115">
        <v>785</v>
      </c>
      <c r="Q640" s="115">
        <v>764.95</v>
      </c>
      <c r="R640">
        <v>34492</v>
      </c>
    </row>
    <row r="641" spans="1:18" x14ac:dyDescent="0.25">
      <c r="A641" s="160">
        <v>42969</v>
      </c>
      <c r="B641" s="115">
        <v>684</v>
      </c>
      <c r="C641" s="115">
        <v>680.85</v>
      </c>
      <c r="D641" s="115">
        <v>666.05</v>
      </c>
      <c r="E641" s="115">
        <v>683.9</v>
      </c>
      <c r="F641" s="115">
        <v>680.85</v>
      </c>
      <c r="G641">
        <v>1212</v>
      </c>
      <c r="H641" s="115"/>
      <c r="I641" s="115"/>
      <c r="L641" s="160">
        <v>42944</v>
      </c>
      <c r="M641" s="115">
        <v>750.3</v>
      </c>
      <c r="N641" s="115">
        <v>764</v>
      </c>
      <c r="O641" s="115">
        <v>746.5</v>
      </c>
      <c r="P641" s="115">
        <v>753</v>
      </c>
      <c r="Q641" s="115">
        <v>750.3</v>
      </c>
      <c r="R641">
        <v>32113</v>
      </c>
    </row>
    <row r="642" spans="1:18" x14ac:dyDescent="0.25">
      <c r="A642" s="160">
        <v>42970</v>
      </c>
      <c r="B642" s="115">
        <v>693.9</v>
      </c>
      <c r="C642" s="115">
        <v>658.15</v>
      </c>
      <c r="D642" s="115">
        <v>657</v>
      </c>
      <c r="E642" s="115">
        <v>693.9</v>
      </c>
      <c r="F642" s="115">
        <v>658.15</v>
      </c>
      <c r="G642">
        <v>1384</v>
      </c>
      <c r="H642" s="115"/>
      <c r="I642" s="115"/>
      <c r="L642" s="160">
        <v>42947</v>
      </c>
      <c r="M642" s="115">
        <v>749.35</v>
      </c>
      <c r="N642" s="115">
        <v>768</v>
      </c>
      <c r="O642" s="115">
        <v>742</v>
      </c>
      <c r="P642" s="115">
        <v>768</v>
      </c>
      <c r="Q642" s="115">
        <v>749.35</v>
      </c>
      <c r="R642">
        <v>27221</v>
      </c>
    </row>
    <row r="643" spans="1:18" x14ac:dyDescent="0.25">
      <c r="A643" s="160">
        <v>42971</v>
      </c>
      <c r="B643" s="115">
        <v>677.9</v>
      </c>
      <c r="C643" s="115">
        <v>647.1</v>
      </c>
      <c r="D643" s="115">
        <v>646.1</v>
      </c>
      <c r="E643" s="115">
        <v>677.9</v>
      </c>
      <c r="F643" s="115">
        <v>647.1</v>
      </c>
      <c r="G643">
        <v>448</v>
      </c>
      <c r="H643" s="115"/>
      <c r="I643" s="115"/>
      <c r="L643" s="160">
        <v>42948</v>
      </c>
      <c r="M643" s="115">
        <v>758.1</v>
      </c>
      <c r="N643" s="115">
        <v>769</v>
      </c>
      <c r="O643" s="115">
        <v>740</v>
      </c>
      <c r="P643" s="115">
        <v>741.5</v>
      </c>
      <c r="Q643" s="115">
        <v>758.1</v>
      </c>
      <c r="R643">
        <v>22452</v>
      </c>
    </row>
    <row r="644" spans="1:18" x14ac:dyDescent="0.25">
      <c r="A644" s="160">
        <v>42975</v>
      </c>
      <c r="B644" s="115">
        <v>647.1</v>
      </c>
      <c r="C644" s="115">
        <v>645</v>
      </c>
      <c r="D644" s="115">
        <v>636.15</v>
      </c>
      <c r="E644" s="115">
        <v>646</v>
      </c>
      <c r="F644" s="115">
        <v>645</v>
      </c>
      <c r="G644">
        <v>215</v>
      </c>
      <c r="H644" s="115"/>
      <c r="I644" s="115"/>
      <c r="L644" s="160">
        <v>42949</v>
      </c>
      <c r="M644" s="115">
        <v>760.45</v>
      </c>
      <c r="N644" s="115">
        <v>765</v>
      </c>
      <c r="O644" s="115">
        <v>746</v>
      </c>
      <c r="P644" s="115">
        <v>751.1</v>
      </c>
      <c r="Q644" s="115">
        <v>760.45</v>
      </c>
      <c r="R644">
        <v>16189</v>
      </c>
    </row>
    <row r="645" spans="1:18" x14ac:dyDescent="0.25">
      <c r="A645" s="160">
        <v>42976</v>
      </c>
      <c r="B645" s="115">
        <v>646</v>
      </c>
      <c r="C645" s="115">
        <v>645</v>
      </c>
      <c r="D645" s="115">
        <v>636</v>
      </c>
      <c r="E645" s="115">
        <v>636.1</v>
      </c>
      <c r="F645" s="115">
        <v>645</v>
      </c>
      <c r="G645">
        <v>309</v>
      </c>
      <c r="H645" s="115"/>
      <c r="I645" s="115"/>
      <c r="L645" s="160">
        <v>42950</v>
      </c>
      <c r="M645" s="115">
        <v>759.55</v>
      </c>
      <c r="N645" s="115">
        <v>774.7</v>
      </c>
      <c r="O645" s="115">
        <v>755</v>
      </c>
      <c r="P645" s="115">
        <v>762</v>
      </c>
      <c r="Q645" s="115">
        <v>759.55</v>
      </c>
      <c r="R645">
        <v>14975</v>
      </c>
    </row>
    <row r="646" spans="1:18" x14ac:dyDescent="0.25">
      <c r="A646" s="160">
        <v>42977</v>
      </c>
      <c r="B646" s="115">
        <v>645</v>
      </c>
      <c r="C646" s="115">
        <v>638.04999999999995</v>
      </c>
      <c r="D646" s="115">
        <v>638.04999999999995</v>
      </c>
      <c r="E646" s="115">
        <v>645</v>
      </c>
      <c r="F646" s="115">
        <v>638.04999999999995</v>
      </c>
      <c r="G646">
        <v>101</v>
      </c>
      <c r="H646" s="115"/>
      <c r="I646" s="115"/>
      <c r="L646" s="160">
        <v>42951</v>
      </c>
      <c r="M646" s="115">
        <v>734.6</v>
      </c>
      <c r="N646" s="115">
        <v>766.4</v>
      </c>
      <c r="O646" s="115">
        <v>730.1</v>
      </c>
      <c r="P646" s="115">
        <v>766.4</v>
      </c>
      <c r="Q646" s="115">
        <v>734.6</v>
      </c>
      <c r="R646">
        <v>35588</v>
      </c>
    </row>
    <row r="647" spans="1:18" x14ac:dyDescent="0.25">
      <c r="A647" s="160">
        <v>42978</v>
      </c>
      <c r="B647" s="115">
        <v>656</v>
      </c>
      <c r="C647" s="115">
        <v>634.5</v>
      </c>
      <c r="D647" s="115">
        <v>634.5</v>
      </c>
      <c r="E647" s="115">
        <v>653</v>
      </c>
      <c r="F647" s="115">
        <v>634.5</v>
      </c>
      <c r="G647">
        <v>1085</v>
      </c>
      <c r="H647" s="115"/>
      <c r="I647" s="115"/>
      <c r="L647" s="160">
        <v>42954</v>
      </c>
      <c r="M647" s="115">
        <v>755.7</v>
      </c>
      <c r="N647" s="115">
        <v>764.95</v>
      </c>
      <c r="O647" s="115">
        <v>725.7</v>
      </c>
      <c r="P647" s="115">
        <v>747</v>
      </c>
      <c r="Q647" s="115">
        <v>755.7</v>
      </c>
      <c r="R647">
        <v>30052</v>
      </c>
    </row>
    <row r="648" spans="1:18" x14ac:dyDescent="0.25">
      <c r="A648" s="160">
        <v>42979</v>
      </c>
      <c r="B648" s="115">
        <v>664.8</v>
      </c>
      <c r="C648" s="115">
        <v>655.04999999999995</v>
      </c>
      <c r="D648" s="115">
        <v>635</v>
      </c>
      <c r="E648" s="115">
        <v>635</v>
      </c>
      <c r="F648" s="115">
        <v>655.04999999999995</v>
      </c>
      <c r="G648">
        <v>344</v>
      </c>
      <c r="H648" s="115"/>
      <c r="I648" s="115"/>
      <c r="L648" s="160">
        <v>42955</v>
      </c>
      <c r="M648" s="115">
        <v>765.2</v>
      </c>
      <c r="N648" s="115">
        <v>777</v>
      </c>
      <c r="O648" s="115">
        <v>741</v>
      </c>
      <c r="P648" s="115">
        <v>755.7</v>
      </c>
      <c r="Q648" s="115">
        <v>765.2</v>
      </c>
      <c r="R648">
        <v>14768</v>
      </c>
    </row>
    <row r="649" spans="1:18" x14ac:dyDescent="0.25">
      <c r="A649" s="160">
        <v>42982</v>
      </c>
      <c r="B649" s="115">
        <v>641.1</v>
      </c>
      <c r="C649" s="115">
        <v>641.1</v>
      </c>
      <c r="D649" s="115">
        <v>636</v>
      </c>
      <c r="E649" s="115">
        <v>641</v>
      </c>
      <c r="F649" s="115">
        <v>641.1</v>
      </c>
      <c r="G649">
        <v>131</v>
      </c>
      <c r="H649" s="115"/>
      <c r="I649" s="115"/>
      <c r="L649" s="160">
        <v>42956</v>
      </c>
      <c r="M649" s="115">
        <v>776.9</v>
      </c>
      <c r="N649" s="115">
        <v>779.65</v>
      </c>
      <c r="O649" s="115">
        <v>750.1</v>
      </c>
      <c r="P649" s="115">
        <v>755</v>
      </c>
      <c r="Q649" s="115">
        <v>776.9</v>
      </c>
      <c r="R649">
        <v>10898</v>
      </c>
    </row>
    <row r="650" spans="1:18" x14ac:dyDescent="0.25">
      <c r="A650" s="160">
        <v>42983</v>
      </c>
      <c r="B650" s="115">
        <v>660</v>
      </c>
      <c r="C650" s="115">
        <v>660</v>
      </c>
      <c r="D650" s="115">
        <v>645.1</v>
      </c>
      <c r="E650" s="115">
        <v>651.9</v>
      </c>
      <c r="F650" s="115">
        <v>660</v>
      </c>
      <c r="G650">
        <v>327</v>
      </c>
      <c r="H650" s="115"/>
      <c r="I650" s="115"/>
      <c r="L650" s="160">
        <v>42957</v>
      </c>
      <c r="M650" s="115">
        <v>758.4</v>
      </c>
      <c r="N650" s="115">
        <v>785</v>
      </c>
      <c r="O650" s="115">
        <v>751</v>
      </c>
      <c r="P650" s="115">
        <v>770</v>
      </c>
      <c r="Q650" s="115">
        <v>758.4</v>
      </c>
      <c r="R650">
        <v>18919</v>
      </c>
    </row>
    <row r="651" spans="1:18" x14ac:dyDescent="0.25">
      <c r="A651" s="160">
        <v>42984</v>
      </c>
      <c r="B651" s="115">
        <v>650</v>
      </c>
      <c r="C651" s="115">
        <v>645.65</v>
      </c>
      <c r="D651" s="115">
        <v>635</v>
      </c>
      <c r="E651" s="115">
        <v>650</v>
      </c>
      <c r="F651" s="115">
        <v>645.65</v>
      </c>
      <c r="G651">
        <v>852</v>
      </c>
      <c r="H651" s="115"/>
      <c r="I651" s="115"/>
      <c r="L651" s="160">
        <v>42958</v>
      </c>
      <c r="M651" s="115">
        <v>730.6</v>
      </c>
      <c r="N651" s="115">
        <v>760</v>
      </c>
      <c r="O651" s="115">
        <v>719.05</v>
      </c>
      <c r="P651" s="115">
        <v>750</v>
      </c>
      <c r="Q651" s="115">
        <v>730.6</v>
      </c>
      <c r="R651">
        <v>34356</v>
      </c>
    </row>
    <row r="652" spans="1:18" x14ac:dyDescent="0.25">
      <c r="A652" s="160">
        <v>42985</v>
      </c>
      <c r="B652" s="115">
        <v>650</v>
      </c>
      <c r="C652" s="115">
        <v>649.65</v>
      </c>
      <c r="D652" s="115">
        <v>640.15</v>
      </c>
      <c r="E652" s="115">
        <v>643</v>
      </c>
      <c r="F652" s="115">
        <v>649.65</v>
      </c>
      <c r="G652">
        <v>264</v>
      </c>
      <c r="H652" s="115"/>
      <c r="I652" s="115"/>
      <c r="L652" s="160">
        <v>42961</v>
      </c>
      <c r="M652" s="115">
        <v>754.45</v>
      </c>
      <c r="N652" s="115">
        <v>759.65</v>
      </c>
      <c r="O652" s="115">
        <v>722.35</v>
      </c>
      <c r="P652" s="115">
        <v>726</v>
      </c>
      <c r="Q652" s="115">
        <v>754.45</v>
      </c>
      <c r="R652">
        <v>12779</v>
      </c>
    </row>
    <row r="653" spans="1:18" x14ac:dyDescent="0.25">
      <c r="A653" s="160">
        <v>42986</v>
      </c>
      <c r="B653" s="115">
        <v>655</v>
      </c>
      <c r="C653" s="115">
        <v>641.15</v>
      </c>
      <c r="D653" s="115">
        <v>641.15</v>
      </c>
      <c r="E653" s="115">
        <v>649</v>
      </c>
      <c r="F653" s="115">
        <v>641.15</v>
      </c>
      <c r="G653">
        <v>306</v>
      </c>
      <c r="H653" s="115"/>
      <c r="I653" s="115"/>
      <c r="L653" s="160">
        <v>42963</v>
      </c>
      <c r="M653" s="115">
        <v>744.55</v>
      </c>
      <c r="N653" s="115">
        <v>761.65</v>
      </c>
      <c r="O653" s="115">
        <v>734.15</v>
      </c>
      <c r="P653" s="115">
        <v>746</v>
      </c>
      <c r="Q653" s="115">
        <v>744.55</v>
      </c>
      <c r="R653">
        <v>26893</v>
      </c>
    </row>
    <row r="654" spans="1:18" x14ac:dyDescent="0.25">
      <c r="A654" s="160">
        <v>42989</v>
      </c>
      <c r="B654" s="115">
        <v>666.55</v>
      </c>
      <c r="C654" s="115">
        <v>651.5</v>
      </c>
      <c r="D654" s="115">
        <v>651.5</v>
      </c>
      <c r="E654" s="115">
        <v>654.5</v>
      </c>
      <c r="F654" s="115">
        <v>651.5</v>
      </c>
      <c r="G654">
        <v>688</v>
      </c>
      <c r="H654" s="115"/>
      <c r="I654" s="115"/>
      <c r="L654" s="160">
        <v>42964</v>
      </c>
      <c r="M654" s="115">
        <v>744.7</v>
      </c>
      <c r="N654" s="115">
        <v>750</v>
      </c>
      <c r="O654" s="115">
        <v>738</v>
      </c>
      <c r="P654" s="115">
        <v>738</v>
      </c>
      <c r="Q654" s="115">
        <v>744.7</v>
      </c>
      <c r="R654">
        <v>12449</v>
      </c>
    </row>
    <row r="655" spans="1:18" x14ac:dyDescent="0.25">
      <c r="A655" s="160">
        <v>42990</v>
      </c>
      <c r="B655" s="115">
        <v>651</v>
      </c>
      <c r="C655" s="115">
        <v>651</v>
      </c>
      <c r="D655" s="115">
        <v>645.04999999999995</v>
      </c>
      <c r="E655" s="115">
        <v>645.04999999999995</v>
      </c>
      <c r="F655" s="115">
        <v>651</v>
      </c>
      <c r="G655">
        <v>210</v>
      </c>
      <c r="H655" s="115"/>
      <c r="I655" s="115"/>
      <c r="L655" s="160">
        <v>42965</v>
      </c>
      <c r="M655" s="115">
        <v>733.6</v>
      </c>
      <c r="N655" s="115">
        <v>749.9</v>
      </c>
      <c r="O655" s="115">
        <v>727.95</v>
      </c>
      <c r="P655" s="115">
        <v>743</v>
      </c>
      <c r="Q655" s="115">
        <v>733.6</v>
      </c>
      <c r="R655">
        <v>17449</v>
      </c>
    </row>
    <row r="656" spans="1:18" x14ac:dyDescent="0.25">
      <c r="A656" s="160">
        <v>42991</v>
      </c>
      <c r="B656" s="115">
        <v>660</v>
      </c>
      <c r="C656" s="115">
        <v>660</v>
      </c>
      <c r="D656" s="115">
        <v>660</v>
      </c>
      <c r="E656" s="115">
        <v>660</v>
      </c>
      <c r="F656" s="115">
        <v>660</v>
      </c>
      <c r="G656">
        <v>50</v>
      </c>
      <c r="H656" s="115"/>
      <c r="I656" s="115"/>
      <c r="L656" s="160">
        <v>42968</v>
      </c>
      <c r="M656" s="115">
        <v>726.4</v>
      </c>
      <c r="N656" s="115">
        <v>737.75</v>
      </c>
      <c r="O656" s="115">
        <v>720</v>
      </c>
      <c r="P656" s="115">
        <v>733.6</v>
      </c>
      <c r="Q656" s="115">
        <v>726.4</v>
      </c>
      <c r="R656">
        <v>14637</v>
      </c>
    </row>
    <row r="657" spans="1:18" x14ac:dyDescent="0.25">
      <c r="A657" s="160">
        <v>42992</v>
      </c>
      <c r="B657" s="115">
        <v>660</v>
      </c>
      <c r="C657" s="115">
        <v>660</v>
      </c>
      <c r="D657" s="115">
        <v>650.04999999999995</v>
      </c>
      <c r="E657" s="115">
        <v>650.70000000000005</v>
      </c>
      <c r="F657" s="115">
        <v>660</v>
      </c>
      <c r="G657">
        <v>1145</v>
      </c>
      <c r="H657" s="115"/>
      <c r="I657" s="115"/>
      <c r="L657" s="160">
        <v>42969</v>
      </c>
      <c r="M657" s="115">
        <v>708.95</v>
      </c>
      <c r="N657" s="115">
        <v>726.45</v>
      </c>
      <c r="O657" s="115">
        <v>696.2</v>
      </c>
      <c r="P657" s="115">
        <v>720.3</v>
      </c>
      <c r="Q657" s="115">
        <v>708.95</v>
      </c>
      <c r="R657">
        <v>16706</v>
      </c>
    </row>
    <row r="658" spans="1:18" x14ac:dyDescent="0.25">
      <c r="A658" s="160">
        <v>42993</v>
      </c>
      <c r="B658" s="115">
        <v>726</v>
      </c>
      <c r="C658" s="115">
        <v>726</v>
      </c>
      <c r="D658" s="115">
        <v>659.7</v>
      </c>
      <c r="E658" s="115">
        <v>659.7</v>
      </c>
      <c r="F658" s="115">
        <v>726</v>
      </c>
      <c r="G658">
        <v>3001</v>
      </c>
      <c r="H658" s="115"/>
      <c r="I658" s="115"/>
      <c r="L658" s="160">
        <v>42970</v>
      </c>
      <c r="M658" s="115">
        <v>704.55</v>
      </c>
      <c r="N658" s="115">
        <v>750</v>
      </c>
      <c r="O658" s="115">
        <v>697.05</v>
      </c>
      <c r="P658" s="115">
        <v>718</v>
      </c>
      <c r="Q658" s="115">
        <v>704.55</v>
      </c>
      <c r="R658">
        <v>14657</v>
      </c>
    </row>
    <row r="659" spans="1:18" x14ac:dyDescent="0.25">
      <c r="A659" s="160">
        <v>42996</v>
      </c>
      <c r="B659" s="115">
        <v>798.6</v>
      </c>
      <c r="C659" s="115">
        <v>798.6</v>
      </c>
      <c r="D659" s="115">
        <v>733.4</v>
      </c>
      <c r="E659" s="115">
        <v>733.4</v>
      </c>
      <c r="F659" s="115">
        <v>798.6</v>
      </c>
      <c r="G659">
        <v>3981</v>
      </c>
      <c r="H659" s="115"/>
      <c r="I659" s="115"/>
      <c r="L659" s="160">
        <v>42971</v>
      </c>
      <c r="M659" s="115">
        <v>699.8</v>
      </c>
      <c r="N659" s="115">
        <v>710</v>
      </c>
      <c r="O659" s="115">
        <v>696.6</v>
      </c>
      <c r="P659" s="115">
        <v>710</v>
      </c>
      <c r="Q659" s="115">
        <v>699.8</v>
      </c>
      <c r="R659">
        <v>24313</v>
      </c>
    </row>
    <row r="660" spans="1:18" x14ac:dyDescent="0.25">
      <c r="A660" s="160">
        <v>42997</v>
      </c>
      <c r="B660" s="115">
        <v>878.45</v>
      </c>
      <c r="C660" s="115">
        <v>878.45</v>
      </c>
      <c r="D660" s="115">
        <v>833</v>
      </c>
      <c r="E660" s="115">
        <v>847</v>
      </c>
      <c r="F660" s="115">
        <v>878.45</v>
      </c>
      <c r="G660">
        <v>5827</v>
      </c>
      <c r="H660" s="115"/>
      <c r="I660" s="115"/>
      <c r="L660" s="160">
        <v>42975</v>
      </c>
      <c r="M660" s="115">
        <v>699.6</v>
      </c>
      <c r="N660" s="115">
        <v>713.65</v>
      </c>
      <c r="O660" s="115">
        <v>696</v>
      </c>
      <c r="P660" s="115">
        <v>705.05</v>
      </c>
      <c r="Q660" s="115">
        <v>699.6</v>
      </c>
      <c r="R660">
        <v>24858</v>
      </c>
    </row>
    <row r="661" spans="1:18" x14ac:dyDescent="0.25">
      <c r="A661" s="160">
        <v>42998</v>
      </c>
      <c r="B661" s="115">
        <v>922.35</v>
      </c>
      <c r="C661" s="115">
        <v>922.35</v>
      </c>
      <c r="D661" s="115">
        <v>900</v>
      </c>
      <c r="E661" s="115">
        <v>918</v>
      </c>
      <c r="F661" s="115">
        <v>922.35</v>
      </c>
      <c r="G661">
        <v>3217</v>
      </c>
      <c r="H661" s="115"/>
      <c r="I661" s="115"/>
      <c r="L661" s="160">
        <v>42976</v>
      </c>
      <c r="M661" s="115">
        <v>694.25</v>
      </c>
      <c r="N661" s="115">
        <v>705.9</v>
      </c>
      <c r="O661" s="115">
        <v>692.75</v>
      </c>
      <c r="P661" s="115">
        <v>699.65</v>
      </c>
      <c r="Q661" s="115">
        <v>694.25</v>
      </c>
      <c r="R661">
        <v>12624</v>
      </c>
    </row>
    <row r="662" spans="1:18" x14ac:dyDescent="0.25">
      <c r="A662" s="160">
        <v>42999</v>
      </c>
      <c r="B662" s="115">
        <v>968.45</v>
      </c>
      <c r="C662" s="115">
        <v>968.45</v>
      </c>
      <c r="D662" s="115">
        <v>901</v>
      </c>
      <c r="E662" s="115">
        <v>968.45</v>
      </c>
      <c r="F662" s="115">
        <v>968.45</v>
      </c>
      <c r="G662">
        <v>12854</v>
      </c>
      <c r="H662" s="115"/>
      <c r="I662" s="115"/>
      <c r="L662" s="160">
        <v>42977</v>
      </c>
      <c r="M662" s="115">
        <v>685</v>
      </c>
      <c r="N662" s="115">
        <v>700.55</v>
      </c>
      <c r="O662" s="115">
        <v>683</v>
      </c>
      <c r="P662" s="115">
        <v>692</v>
      </c>
      <c r="Q662" s="115">
        <v>685</v>
      </c>
      <c r="R662">
        <v>25203</v>
      </c>
    </row>
    <row r="663" spans="1:18" x14ac:dyDescent="0.25">
      <c r="A663" s="160">
        <v>43000</v>
      </c>
      <c r="B663" s="115">
        <v>999</v>
      </c>
      <c r="C663" s="115">
        <v>920.9</v>
      </c>
      <c r="D663" s="115">
        <v>920.1</v>
      </c>
      <c r="E663" s="115">
        <v>999</v>
      </c>
      <c r="F663" s="115">
        <v>920.9</v>
      </c>
      <c r="G663">
        <v>2672</v>
      </c>
      <c r="H663" s="115"/>
      <c r="I663" s="115"/>
      <c r="L663" s="160">
        <v>42978</v>
      </c>
      <c r="M663" s="115">
        <v>687.6</v>
      </c>
      <c r="N663" s="115">
        <v>699</v>
      </c>
      <c r="O663" s="115">
        <v>666</v>
      </c>
      <c r="P663" s="115">
        <v>699</v>
      </c>
      <c r="Q663" s="115">
        <v>687.6</v>
      </c>
      <c r="R663">
        <v>28404</v>
      </c>
    </row>
    <row r="664" spans="1:18" x14ac:dyDescent="0.25">
      <c r="A664" s="160">
        <v>43003</v>
      </c>
      <c r="B664" s="115">
        <v>960</v>
      </c>
      <c r="C664" s="115">
        <v>949.7</v>
      </c>
      <c r="D664" s="115">
        <v>874.9</v>
      </c>
      <c r="E664" s="115">
        <v>901.1</v>
      </c>
      <c r="F664" s="115">
        <v>949.7</v>
      </c>
      <c r="G664">
        <v>4928</v>
      </c>
      <c r="H664" s="115"/>
      <c r="I664" s="115"/>
      <c r="L664" s="160">
        <v>42979</v>
      </c>
      <c r="M664" s="115">
        <v>682.35</v>
      </c>
      <c r="N664" s="115">
        <v>694.95</v>
      </c>
      <c r="O664" s="115">
        <v>674.25</v>
      </c>
      <c r="P664" s="115">
        <v>690.05</v>
      </c>
      <c r="Q664" s="115">
        <v>682.35</v>
      </c>
      <c r="R664">
        <v>22340</v>
      </c>
    </row>
    <row r="665" spans="1:18" x14ac:dyDescent="0.25">
      <c r="A665" s="160">
        <v>43004</v>
      </c>
      <c r="B665" s="115">
        <v>964</v>
      </c>
      <c r="C665" s="115">
        <v>929.65</v>
      </c>
      <c r="D665" s="115">
        <v>924</v>
      </c>
      <c r="E665" s="115">
        <v>930.05</v>
      </c>
      <c r="F665" s="115">
        <v>929.65</v>
      </c>
      <c r="G665">
        <v>2077</v>
      </c>
      <c r="H665" s="115"/>
      <c r="I665" s="115"/>
      <c r="L665" s="160">
        <v>42982</v>
      </c>
      <c r="M665" s="115">
        <v>681.1</v>
      </c>
      <c r="N665" s="115">
        <v>684.05</v>
      </c>
      <c r="O665" s="115">
        <v>674</v>
      </c>
      <c r="P665" s="115">
        <v>678</v>
      </c>
      <c r="Q665" s="115">
        <v>681.1</v>
      </c>
      <c r="R665">
        <v>14792</v>
      </c>
    </row>
    <row r="666" spans="1:18" x14ac:dyDescent="0.25">
      <c r="A666" s="160">
        <v>43005</v>
      </c>
      <c r="B666" s="115">
        <v>949</v>
      </c>
      <c r="C666" s="115">
        <v>910.05</v>
      </c>
      <c r="D666" s="115">
        <v>910.05</v>
      </c>
      <c r="E666" s="115">
        <v>930</v>
      </c>
      <c r="F666" s="115">
        <v>910.05</v>
      </c>
      <c r="G666">
        <v>1631</v>
      </c>
      <c r="H666" s="115"/>
      <c r="I666" s="115"/>
      <c r="L666" s="160">
        <v>42983</v>
      </c>
      <c r="M666" s="115">
        <v>683.9</v>
      </c>
      <c r="N666" s="115">
        <v>686.9</v>
      </c>
      <c r="O666" s="115">
        <v>670</v>
      </c>
      <c r="P666" s="115">
        <v>682</v>
      </c>
      <c r="Q666" s="115">
        <v>683.9</v>
      </c>
      <c r="R666">
        <v>20368</v>
      </c>
    </row>
    <row r="667" spans="1:18" x14ac:dyDescent="0.25">
      <c r="A667" s="160">
        <v>43006</v>
      </c>
      <c r="B667" s="115">
        <v>935</v>
      </c>
      <c r="C667" s="115">
        <v>920</v>
      </c>
      <c r="D667" s="115">
        <v>919</v>
      </c>
      <c r="E667" s="115">
        <v>935</v>
      </c>
      <c r="F667" s="115">
        <v>920</v>
      </c>
      <c r="G667">
        <v>100</v>
      </c>
      <c r="H667" s="115"/>
      <c r="I667" s="115"/>
      <c r="L667" s="160">
        <v>42984</v>
      </c>
      <c r="M667" s="115">
        <v>684.2</v>
      </c>
      <c r="N667" s="115">
        <v>688</v>
      </c>
      <c r="O667" s="115">
        <v>677</v>
      </c>
      <c r="P667" s="115">
        <v>684.25</v>
      </c>
      <c r="Q667" s="115">
        <v>684.2</v>
      </c>
      <c r="R667">
        <v>26451</v>
      </c>
    </row>
    <row r="668" spans="1:18" x14ac:dyDescent="0.25">
      <c r="A668" s="160">
        <v>43007</v>
      </c>
      <c r="B668" s="115">
        <v>900</v>
      </c>
      <c r="C668" s="115">
        <v>899.85</v>
      </c>
      <c r="D668" s="115">
        <v>894</v>
      </c>
      <c r="E668" s="115">
        <v>894</v>
      </c>
      <c r="F668" s="115">
        <v>899.85</v>
      </c>
      <c r="G668">
        <v>444</v>
      </c>
      <c r="H668" s="115"/>
      <c r="I668" s="115"/>
      <c r="L668" s="160">
        <v>42985</v>
      </c>
      <c r="M668" s="115">
        <v>702.95</v>
      </c>
      <c r="N668" s="115">
        <v>710.3</v>
      </c>
      <c r="O668" s="115">
        <v>680.05</v>
      </c>
      <c r="P668" s="115">
        <v>689.9</v>
      </c>
      <c r="Q668" s="115">
        <v>702.95</v>
      </c>
      <c r="R668">
        <v>20112</v>
      </c>
    </row>
    <row r="669" spans="1:18" x14ac:dyDescent="0.25">
      <c r="A669" s="160">
        <v>43011</v>
      </c>
      <c r="B669" s="115">
        <v>895</v>
      </c>
      <c r="C669" s="115">
        <v>855</v>
      </c>
      <c r="D669" s="115">
        <v>854.9</v>
      </c>
      <c r="E669" s="115">
        <v>895</v>
      </c>
      <c r="F669" s="115">
        <v>855</v>
      </c>
      <c r="G669">
        <v>1311</v>
      </c>
      <c r="H669" s="115"/>
      <c r="I669" s="115"/>
      <c r="L669" s="160">
        <v>42986</v>
      </c>
      <c r="M669" s="115">
        <v>696.7</v>
      </c>
      <c r="N669" s="115">
        <v>708.95</v>
      </c>
      <c r="O669" s="115">
        <v>692.3</v>
      </c>
      <c r="P669" s="115">
        <v>708.95</v>
      </c>
      <c r="Q669" s="115">
        <v>696.7</v>
      </c>
      <c r="R669">
        <v>16880</v>
      </c>
    </row>
    <row r="670" spans="1:18" x14ac:dyDescent="0.25">
      <c r="A670" s="160">
        <v>43012</v>
      </c>
      <c r="B670" s="115">
        <v>879.75</v>
      </c>
      <c r="C670" s="115">
        <v>852.4</v>
      </c>
      <c r="D670" s="115">
        <v>826.55</v>
      </c>
      <c r="E670" s="115">
        <v>850</v>
      </c>
      <c r="F670" s="115">
        <v>852.4</v>
      </c>
      <c r="G670">
        <v>279</v>
      </c>
      <c r="H670" s="115"/>
      <c r="I670" s="115"/>
      <c r="L670" s="160">
        <v>42989</v>
      </c>
      <c r="M670" s="115">
        <v>679.2</v>
      </c>
      <c r="N670" s="115">
        <v>712.9</v>
      </c>
      <c r="O670" s="115">
        <v>675.3</v>
      </c>
      <c r="P670" s="115">
        <v>692.1</v>
      </c>
      <c r="Q670" s="115">
        <v>679.2</v>
      </c>
      <c r="R670">
        <v>30728</v>
      </c>
    </row>
    <row r="671" spans="1:18" x14ac:dyDescent="0.25">
      <c r="A671" s="160">
        <v>43013</v>
      </c>
      <c r="B671" s="115">
        <v>895</v>
      </c>
      <c r="C671" s="115">
        <v>895</v>
      </c>
      <c r="D671" s="115">
        <v>850</v>
      </c>
      <c r="E671" s="115">
        <v>851</v>
      </c>
      <c r="F671" s="115">
        <v>895</v>
      </c>
      <c r="G671">
        <v>2432</v>
      </c>
      <c r="H671" s="115"/>
      <c r="I671" s="115"/>
      <c r="L671" s="160">
        <v>42990</v>
      </c>
      <c r="M671" s="115">
        <v>673.1</v>
      </c>
      <c r="N671" s="115">
        <v>684.5</v>
      </c>
      <c r="O671" s="115">
        <v>670.3</v>
      </c>
      <c r="P671" s="115">
        <v>679.1</v>
      </c>
      <c r="Q671" s="115">
        <v>673.1</v>
      </c>
      <c r="R671">
        <v>27721</v>
      </c>
    </row>
    <row r="672" spans="1:18" x14ac:dyDescent="0.25">
      <c r="A672" s="160">
        <v>43014</v>
      </c>
      <c r="B672" s="115">
        <v>939.75</v>
      </c>
      <c r="C672" s="115">
        <v>939.75</v>
      </c>
      <c r="D672" s="115">
        <v>939</v>
      </c>
      <c r="E672" s="115">
        <v>939</v>
      </c>
      <c r="F672" s="115">
        <v>939.75</v>
      </c>
      <c r="G672">
        <v>1525</v>
      </c>
      <c r="H672" s="115"/>
      <c r="I672" s="115"/>
      <c r="L672" s="160">
        <v>42991</v>
      </c>
      <c r="M672" s="115">
        <v>655.04999999999995</v>
      </c>
      <c r="N672" s="115">
        <v>673</v>
      </c>
      <c r="O672" s="115">
        <v>650.20000000000005</v>
      </c>
      <c r="P672" s="115">
        <v>673</v>
      </c>
      <c r="Q672" s="115">
        <v>655.04999999999995</v>
      </c>
      <c r="R672">
        <v>37721</v>
      </c>
    </row>
    <row r="673" spans="1:18" x14ac:dyDescent="0.25">
      <c r="A673" s="160">
        <v>43017</v>
      </c>
      <c r="B673" s="115">
        <v>986.7</v>
      </c>
      <c r="C673" s="115">
        <v>972</v>
      </c>
      <c r="D673" s="115">
        <v>930.05</v>
      </c>
      <c r="E673" s="115">
        <v>986.7</v>
      </c>
      <c r="F673" s="115">
        <v>972</v>
      </c>
      <c r="G673">
        <v>2337</v>
      </c>
      <c r="H673" s="115"/>
      <c r="I673" s="115"/>
      <c r="L673" s="160">
        <v>42992</v>
      </c>
      <c r="M673" s="115">
        <v>694.4</v>
      </c>
      <c r="N673" s="115">
        <v>702.95</v>
      </c>
      <c r="O673" s="115">
        <v>655</v>
      </c>
      <c r="P673" s="115">
        <v>661.65</v>
      </c>
      <c r="Q673" s="115">
        <v>694.4</v>
      </c>
      <c r="R673">
        <v>65148</v>
      </c>
    </row>
    <row r="674" spans="1:18" x14ac:dyDescent="0.25">
      <c r="A674" s="160">
        <v>43018</v>
      </c>
      <c r="B674" s="115">
        <v>1000</v>
      </c>
      <c r="C674" s="115">
        <v>950.05</v>
      </c>
      <c r="D674" s="115">
        <v>927.65</v>
      </c>
      <c r="E674" s="115">
        <v>999</v>
      </c>
      <c r="F674" s="115">
        <v>950.05</v>
      </c>
      <c r="G674">
        <v>1604</v>
      </c>
      <c r="H674" s="115"/>
      <c r="I674" s="115"/>
      <c r="L674" s="160">
        <v>42993</v>
      </c>
      <c r="M674" s="115">
        <v>703.2</v>
      </c>
      <c r="N674" s="115">
        <v>713.75</v>
      </c>
      <c r="O674" s="115">
        <v>696.4</v>
      </c>
      <c r="P674" s="115">
        <v>699</v>
      </c>
      <c r="Q674" s="115">
        <v>703.2</v>
      </c>
      <c r="R674">
        <v>77537</v>
      </c>
    </row>
    <row r="675" spans="1:18" x14ac:dyDescent="0.25">
      <c r="A675" s="160">
        <v>43019</v>
      </c>
      <c r="B675" s="115">
        <v>955</v>
      </c>
      <c r="C675" s="115">
        <v>902.55</v>
      </c>
      <c r="D675" s="115">
        <v>902.55</v>
      </c>
      <c r="E675" s="115">
        <v>952</v>
      </c>
      <c r="F675" s="115">
        <v>902.55</v>
      </c>
      <c r="G675">
        <v>1827</v>
      </c>
      <c r="H675" s="115"/>
      <c r="I675" s="115"/>
      <c r="L675" s="160">
        <v>42996</v>
      </c>
      <c r="M675" s="115">
        <v>687.3</v>
      </c>
      <c r="N675" s="115">
        <v>708.15</v>
      </c>
      <c r="O675" s="115">
        <v>685</v>
      </c>
      <c r="P675" s="115">
        <v>707.5</v>
      </c>
      <c r="Q675" s="115">
        <v>687.3</v>
      </c>
      <c r="R675">
        <v>36083</v>
      </c>
    </row>
    <row r="676" spans="1:18" x14ac:dyDescent="0.25">
      <c r="A676" s="160">
        <v>43020</v>
      </c>
      <c r="B676" s="115">
        <v>899.95</v>
      </c>
      <c r="C676" s="115">
        <v>889.95</v>
      </c>
      <c r="D676" s="115">
        <v>865</v>
      </c>
      <c r="E676" s="115">
        <v>865</v>
      </c>
      <c r="F676" s="115">
        <v>889.95</v>
      </c>
      <c r="G676">
        <v>676</v>
      </c>
      <c r="H676" s="115"/>
      <c r="I676" s="115"/>
      <c r="L676" s="160">
        <v>42997</v>
      </c>
      <c r="M676" s="115">
        <v>676</v>
      </c>
      <c r="N676" s="115">
        <v>687.3</v>
      </c>
      <c r="O676" s="115">
        <v>672.25</v>
      </c>
      <c r="P676" s="115">
        <v>687</v>
      </c>
      <c r="Q676" s="115">
        <v>676</v>
      </c>
      <c r="R676">
        <v>27742</v>
      </c>
    </row>
    <row r="677" spans="1:18" x14ac:dyDescent="0.25">
      <c r="A677" s="160">
        <v>43021</v>
      </c>
      <c r="B677" s="115">
        <v>927</v>
      </c>
      <c r="C677" s="115">
        <v>850.35</v>
      </c>
      <c r="D677" s="115">
        <v>850.2</v>
      </c>
      <c r="E677" s="115">
        <v>927</v>
      </c>
      <c r="F677" s="115">
        <v>850.35</v>
      </c>
      <c r="G677">
        <v>230</v>
      </c>
      <c r="H677" s="115"/>
      <c r="I677" s="115"/>
      <c r="L677" s="160">
        <v>42998</v>
      </c>
      <c r="M677" s="115">
        <v>685</v>
      </c>
      <c r="N677" s="115">
        <v>695.95</v>
      </c>
      <c r="O677" s="115">
        <v>675.05</v>
      </c>
      <c r="P677" s="115">
        <v>679</v>
      </c>
      <c r="Q677" s="115">
        <v>685</v>
      </c>
      <c r="R677">
        <v>21457</v>
      </c>
    </row>
    <row r="678" spans="1:18" x14ac:dyDescent="0.25">
      <c r="A678" s="160">
        <v>43024</v>
      </c>
      <c r="B678" s="115">
        <v>890</v>
      </c>
      <c r="C678" s="115">
        <v>840.6</v>
      </c>
      <c r="D678" s="115">
        <v>834</v>
      </c>
      <c r="E678" s="115">
        <v>834</v>
      </c>
      <c r="F678" s="115">
        <v>840.6</v>
      </c>
      <c r="G678">
        <v>372</v>
      </c>
      <c r="H678" s="115"/>
      <c r="I678" s="115"/>
      <c r="L678" s="160">
        <v>42999</v>
      </c>
      <c r="M678" s="115">
        <v>686.5</v>
      </c>
      <c r="N678" s="115">
        <v>689</v>
      </c>
      <c r="O678" s="115">
        <v>671.1</v>
      </c>
      <c r="P678" s="115">
        <v>685</v>
      </c>
      <c r="Q678" s="115">
        <v>686.5</v>
      </c>
      <c r="R678">
        <v>13843</v>
      </c>
    </row>
    <row r="679" spans="1:18" x14ac:dyDescent="0.25">
      <c r="A679" s="160">
        <v>43025</v>
      </c>
      <c r="B679" s="115">
        <v>866.7</v>
      </c>
      <c r="C679" s="115">
        <v>840</v>
      </c>
      <c r="D679" s="115">
        <v>821</v>
      </c>
      <c r="E679" s="115">
        <v>821.05</v>
      </c>
      <c r="F679" s="115">
        <v>840</v>
      </c>
      <c r="G679">
        <v>364</v>
      </c>
      <c r="H679" s="115"/>
      <c r="I679" s="115"/>
      <c r="L679" s="160">
        <v>43000</v>
      </c>
      <c r="M679" s="115">
        <v>679.15</v>
      </c>
      <c r="N679" s="115">
        <v>686.9</v>
      </c>
      <c r="O679" s="115">
        <v>661.95</v>
      </c>
      <c r="P679" s="115">
        <v>686.9</v>
      </c>
      <c r="Q679" s="115">
        <v>679.15</v>
      </c>
      <c r="R679">
        <v>27230</v>
      </c>
    </row>
    <row r="680" spans="1:18" x14ac:dyDescent="0.25">
      <c r="A680" s="160">
        <v>43026</v>
      </c>
      <c r="B680" s="115">
        <v>867</v>
      </c>
      <c r="C680" s="115">
        <v>823.95</v>
      </c>
      <c r="D680" s="115">
        <v>808</v>
      </c>
      <c r="E680" s="115">
        <v>808</v>
      </c>
      <c r="F680" s="115">
        <v>823.95</v>
      </c>
      <c r="G680">
        <v>765</v>
      </c>
      <c r="H680" s="115"/>
      <c r="I680" s="115"/>
      <c r="L680" s="160">
        <v>43003</v>
      </c>
      <c r="M680" s="115">
        <v>661.65</v>
      </c>
      <c r="N680" s="115">
        <v>679.15</v>
      </c>
      <c r="O680" s="115">
        <v>655.1</v>
      </c>
      <c r="P680" s="115">
        <v>679.15</v>
      </c>
      <c r="Q680" s="115">
        <v>661.65</v>
      </c>
      <c r="R680">
        <v>19539</v>
      </c>
    </row>
    <row r="681" spans="1:18" x14ac:dyDescent="0.25">
      <c r="A681" s="160">
        <v>43027</v>
      </c>
      <c r="B681" s="115">
        <v>856.9</v>
      </c>
      <c r="C681" s="115">
        <v>807.4</v>
      </c>
      <c r="D681" s="115">
        <v>794.05</v>
      </c>
      <c r="E681" s="115">
        <v>856.9</v>
      </c>
      <c r="F681" s="115">
        <v>807.4</v>
      </c>
      <c r="G681">
        <v>169</v>
      </c>
      <c r="H681" s="115"/>
      <c r="I681" s="115"/>
      <c r="L681" s="160">
        <v>43004</v>
      </c>
      <c r="M681" s="115">
        <v>654.70000000000005</v>
      </c>
      <c r="N681" s="115">
        <v>665.5</v>
      </c>
      <c r="O681" s="115">
        <v>650</v>
      </c>
      <c r="P681" s="115">
        <v>663</v>
      </c>
      <c r="Q681" s="115">
        <v>654.70000000000005</v>
      </c>
      <c r="R681">
        <v>24617</v>
      </c>
    </row>
    <row r="682" spans="1:18" x14ac:dyDescent="0.25">
      <c r="A682" s="160">
        <v>43031</v>
      </c>
      <c r="B682" s="115">
        <v>844</v>
      </c>
      <c r="C682" s="115">
        <v>837.9</v>
      </c>
      <c r="D682" s="115">
        <v>770</v>
      </c>
      <c r="E682" s="115">
        <v>770</v>
      </c>
      <c r="F682" s="115">
        <v>837.9</v>
      </c>
      <c r="G682">
        <v>852</v>
      </c>
      <c r="H682" s="115"/>
      <c r="I682" s="115"/>
      <c r="L682" s="160">
        <v>43005</v>
      </c>
      <c r="M682" s="115">
        <v>659.3</v>
      </c>
      <c r="N682" s="115">
        <v>670</v>
      </c>
      <c r="O682" s="115">
        <v>645</v>
      </c>
      <c r="P682" s="115">
        <v>658.45</v>
      </c>
      <c r="Q682" s="115">
        <v>659.3</v>
      </c>
      <c r="R682">
        <v>17146</v>
      </c>
    </row>
    <row r="683" spans="1:18" x14ac:dyDescent="0.25">
      <c r="A683" s="160">
        <v>43032</v>
      </c>
      <c r="B683" s="115">
        <v>850</v>
      </c>
      <c r="C683" s="115">
        <v>849.4</v>
      </c>
      <c r="D683" s="115">
        <v>802</v>
      </c>
      <c r="E683" s="115">
        <v>803</v>
      </c>
      <c r="F683" s="115">
        <v>849.4</v>
      </c>
      <c r="G683">
        <v>493</v>
      </c>
      <c r="H683" s="115"/>
      <c r="I683" s="115"/>
      <c r="L683" s="160">
        <v>43006</v>
      </c>
      <c r="M683" s="115">
        <v>676.55</v>
      </c>
      <c r="N683" s="115">
        <v>688.95</v>
      </c>
      <c r="O683" s="115">
        <v>643</v>
      </c>
      <c r="P683" s="115">
        <v>650.04999999999995</v>
      </c>
      <c r="Q683" s="115">
        <v>676.55</v>
      </c>
      <c r="R683">
        <v>26120</v>
      </c>
    </row>
    <row r="684" spans="1:18" x14ac:dyDescent="0.25">
      <c r="A684" s="160">
        <v>43033</v>
      </c>
      <c r="B684" s="115">
        <v>844</v>
      </c>
      <c r="C684" s="115">
        <v>826.65</v>
      </c>
      <c r="D684" s="115">
        <v>812</v>
      </c>
      <c r="E684" s="115">
        <v>812</v>
      </c>
      <c r="F684" s="115">
        <v>826.65</v>
      </c>
      <c r="G684">
        <v>353</v>
      </c>
      <c r="H684" s="115"/>
      <c r="I684" s="115"/>
      <c r="L684" s="160">
        <v>43007</v>
      </c>
      <c r="M684" s="115">
        <v>672.1</v>
      </c>
      <c r="N684" s="115">
        <v>682.15</v>
      </c>
      <c r="O684" s="115">
        <v>655.1</v>
      </c>
      <c r="P684" s="115">
        <v>676.5</v>
      </c>
      <c r="Q684" s="115">
        <v>672.1</v>
      </c>
      <c r="R684">
        <v>34097</v>
      </c>
    </row>
    <row r="685" spans="1:18" x14ac:dyDescent="0.25">
      <c r="A685" s="160">
        <v>43034</v>
      </c>
      <c r="B685" s="115">
        <v>850</v>
      </c>
      <c r="C685" s="115">
        <v>806.4</v>
      </c>
      <c r="D685" s="115">
        <v>800</v>
      </c>
      <c r="E685" s="115">
        <v>825.05</v>
      </c>
      <c r="F685" s="115">
        <v>806.4</v>
      </c>
      <c r="G685">
        <v>1022</v>
      </c>
      <c r="H685" s="115"/>
      <c r="I685" s="115"/>
      <c r="L685" s="160">
        <v>43011</v>
      </c>
      <c r="M685" s="115">
        <v>672.15</v>
      </c>
      <c r="N685" s="115">
        <v>680.9</v>
      </c>
      <c r="O685" s="115">
        <v>664.25</v>
      </c>
      <c r="P685" s="115">
        <v>672.5</v>
      </c>
      <c r="Q685" s="115">
        <v>672.15</v>
      </c>
      <c r="R685">
        <v>19804</v>
      </c>
    </row>
    <row r="686" spans="1:18" x14ac:dyDescent="0.25">
      <c r="A686" s="160">
        <v>43035</v>
      </c>
      <c r="B686" s="115">
        <v>839.8</v>
      </c>
      <c r="C686" s="115">
        <v>820</v>
      </c>
      <c r="D686" s="115">
        <v>800</v>
      </c>
      <c r="E686" s="115">
        <v>810</v>
      </c>
      <c r="F686" s="115">
        <v>820</v>
      </c>
      <c r="G686">
        <v>2972</v>
      </c>
      <c r="H686" s="115"/>
      <c r="I686" s="115"/>
      <c r="L686" s="160">
        <v>43012</v>
      </c>
      <c r="M686" s="115">
        <v>676.55</v>
      </c>
      <c r="N686" s="115">
        <v>685</v>
      </c>
      <c r="O686" s="115">
        <v>668</v>
      </c>
      <c r="P686" s="115">
        <v>668</v>
      </c>
      <c r="Q686" s="115">
        <v>676.55</v>
      </c>
      <c r="R686">
        <v>17823</v>
      </c>
    </row>
    <row r="687" spans="1:18" x14ac:dyDescent="0.25">
      <c r="A687" s="160">
        <v>43038</v>
      </c>
      <c r="B687" s="115">
        <v>822.5</v>
      </c>
      <c r="C687" s="115">
        <v>805.35</v>
      </c>
      <c r="D687" s="115">
        <v>800</v>
      </c>
      <c r="E687" s="115">
        <v>820</v>
      </c>
      <c r="F687" s="115">
        <v>805.35</v>
      </c>
      <c r="G687">
        <v>1696</v>
      </c>
      <c r="H687" s="115"/>
      <c r="I687" s="115"/>
      <c r="L687" s="160">
        <v>43013</v>
      </c>
      <c r="M687" s="115">
        <v>667.15</v>
      </c>
      <c r="N687" s="115">
        <v>680</v>
      </c>
      <c r="O687" s="115">
        <v>663.45</v>
      </c>
      <c r="P687" s="115">
        <v>676.55</v>
      </c>
      <c r="Q687" s="115">
        <v>667.15</v>
      </c>
      <c r="R687">
        <v>15220</v>
      </c>
    </row>
    <row r="688" spans="1:18" x14ac:dyDescent="0.25">
      <c r="A688" s="160">
        <v>43039</v>
      </c>
      <c r="B688" s="115">
        <v>843</v>
      </c>
      <c r="C688" s="115">
        <v>807</v>
      </c>
      <c r="D688" s="115">
        <v>805</v>
      </c>
      <c r="E688" s="115">
        <v>810</v>
      </c>
      <c r="F688" s="115">
        <v>807</v>
      </c>
      <c r="G688">
        <v>1916</v>
      </c>
      <c r="H688" s="115"/>
      <c r="I688" s="115"/>
      <c r="L688" s="160">
        <v>43014</v>
      </c>
      <c r="M688" s="115">
        <v>669.8</v>
      </c>
      <c r="N688" s="115">
        <v>671.95</v>
      </c>
      <c r="O688" s="115">
        <v>662</v>
      </c>
      <c r="P688" s="115">
        <v>662</v>
      </c>
      <c r="Q688" s="115">
        <v>669.8</v>
      </c>
      <c r="R688">
        <v>12495</v>
      </c>
    </row>
    <row r="689" spans="1:18" x14ac:dyDescent="0.25">
      <c r="A689" s="160">
        <v>43040</v>
      </c>
      <c r="B689" s="115">
        <v>838</v>
      </c>
      <c r="C689" s="115">
        <v>813.5</v>
      </c>
      <c r="D689" s="115">
        <v>810</v>
      </c>
      <c r="E689" s="115">
        <v>810</v>
      </c>
      <c r="F689" s="115">
        <v>813.5</v>
      </c>
      <c r="G689">
        <v>265</v>
      </c>
      <c r="H689" s="115"/>
      <c r="I689" s="115"/>
      <c r="L689" s="160">
        <v>43017</v>
      </c>
      <c r="M689" s="115">
        <v>662.7</v>
      </c>
      <c r="N689" s="115">
        <v>672.95</v>
      </c>
      <c r="O689" s="115">
        <v>655</v>
      </c>
      <c r="P689" s="115">
        <v>670</v>
      </c>
      <c r="Q689" s="115">
        <v>662.7</v>
      </c>
      <c r="R689">
        <v>22286</v>
      </c>
    </row>
    <row r="690" spans="1:18" x14ac:dyDescent="0.25">
      <c r="A690" s="160">
        <v>43041</v>
      </c>
      <c r="B690" s="115">
        <v>839.5</v>
      </c>
      <c r="C690" s="115">
        <v>839.5</v>
      </c>
      <c r="D690" s="115">
        <v>811.5</v>
      </c>
      <c r="E690" s="115">
        <v>811.5</v>
      </c>
      <c r="F690" s="115">
        <v>839.5</v>
      </c>
      <c r="G690">
        <v>363</v>
      </c>
      <c r="H690" s="115"/>
      <c r="I690" s="115"/>
      <c r="L690" s="160">
        <v>43018</v>
      </c>
      <c r="M690" s="115">
        <v>665.6</v>
      </c>
      <c r="N690" s="115">
        <v>670</v>
      </c>
      <c r="O690" s="115">
        <v>655</v>
      </c>
      <c r="P690" s="115">
        <v>661.05</v>
      </c>
      <c r="Q690" s="115">
        <v>665.6</v>
      </c>
      <c r="R690">
        <v>16076</v>
      </c>
    </row>
    <row r="691" spans="1:18" x14ac:dyDescent="0.25">
      <c r="A691" s="160">
        <v>43042</v>
      </c>
      <c r="B691" s="115">
        <v>837.7</v>
      </c>
      <c r="C691" s="115">
        <v>819.6</v>
      </c>
      <c r="D691" s="115">
        <v>819</v>
      </c>
      <c r="E691" s="115">
        <v>837.7</v>
      </c>
      <c r="F691" s="115">
        <v>819.6</v>
      </c>
      <c r="G691">
        <v>468</v>
      </c>
      <c r="H691" s="115"/>
      <c r="I691" s="115"/>
      <c r="L691" s="160">
        <v>43019</v>
      </c>
      <c r="M691" s="115">
        <v>674.8</v>
      </c>
      <c r="N691" s="115">
        <v>686.6</v>
      </c>
      <c r="O691" s="115">
        <v>661.05</v>
      </c>
      <c r="P691" s="115">
        <v>665</v>
      </c>
      <c r="Q691" s="115">
        <v>674.8</v>
      </c>
      <c r="R691">
        <v>17724</v>
      </c>
    </row>
    <row r="692" spans="1:18" x14ac:dyDescent="0.25">
      <c r="A692" s="160">
        <v>43045</v>
      </c>
      <c r="B692" s="115">
        <v>827</v>
      </c>
      <c r="C692" s="115">
        <v>824.85</v>
      </c>
      <c r="D692" s="115">
        <v>800.05</v>
      </c>
      <c r="E692" s="115">
        <v>825</v>
      </c>
      <c r="F692" s="115">
        <v>824.85</v>
      </c>
      <c r="G692">
        <v>1020</v>
      </c>
      <c r="H692" s="115"/>
      <c r="I692" s="115"/>
      <c r="L692" s="160">
        <v>43020</v>
      </c>
      <c r="M692" s="115">
        <v>677.45</v>
      </c>
      <c r="N692" s="115">
        <v>684.55</v>
      </c>
      <c r="O692" s="115">
        <v>671</v>
      </c>
      <c r="P692" s="115">
        <v>676</v>
      </c>
      <c r="Q692" s="115">
        <v>677.45</v>
      </c>
      <c r="R692">
        <v>11883</v>
      </c>
    </row>
    <row r="693" spans="1:18" x14ac:dyDescent="0.25">
      <c r="A693" s="160">
        <v>43046</v>
      </c>
      <c r="B693" s="115">
        <v>855</v>
      </c>
      <c r="C693" s="115">
        <v>820</v>
      </c>
      <c r="D693" s="115">
        <v>814</v>
      </c>
      <c r="E693" s="115">
        <v>855</v>
      </c>
      <c r="F693" s="115">
        <v>820</v>
      </c>
      <c r="G693">
        <v>1569</v>
      </c>
      <c r="H693" s="115"/>
      <c r="I693" s="115"/>
      <c r="L693" s="160">
        <v>43021</v>
      </c>
      <c r="M693" s="115">
        <v>672.45</v>
      </c>
      <c r="N693" s="115">
        <v>681.9</v>
      </c>
      <c r="O693" s="115">
        <v>661.05</v>
      </c>
      <c r="P693" s="115">
        <v>677.45</v>
      </c>
      <c r="Q693" s="115">
        <v>672.45</v>
      </c>
      <c r="R693">
        <v>12253</v>
      </c>
    </row>
    <row r="694" spans="1:18" x14ac:dyDescent="0.25">
      <c r="A694" s="160">
        <v>43047</v>
      </c>
      <c r="B694" s="115">
        <v>825</v>
      </c>
      <c r="C694" s="115">
        <v>822</v>
      </c>
      <c r="D694" s="115">
        <v>820.05</v>
      </c>
      <c r="E694" s="115">
        <v>820.05</v>
      </c>
      <c r="F694" s="115">
        <v>822</v>
      </c>
      <c r="G694">
        <v>580</v>
      </c>
      <c r="H694" s="115"/>
      <c r="I694" s="115"/>
      <c r="L694" s="160">
        <v>43024</v>
      </c>
      <c r="M694" s="115">
        <v>677.85</v>
      </c>
      <c r="N694" s="115">
        <v>688.4</v>
      </c>
      <c r="O694" s="115">
        <v>662.4</v>
      </c>
      <c r="P694" s="115">
        <v>662.4</v>
      </c>
      <c r="Q694" s="115">
        <v>677.85</v>
      </c>
      <c r="R694">
        <v>18712</v>
      </c>
    </row>
    <row r="695" spans="1:18" x14ac:dyDescent="0.25">
      <c r="A695" s="160">
        <v>43048</v>
      </c>
      <c r="B695" s="115">
        <v>840</v>
      </c>
      <c r="C695" s="115">
        <v>833</v>
      </c>
      <c r="D695" s="115">
        <v>820.05</v>
      </c>
      <c r="E695" s="115">
        <v>825</v>
      </c>
      <c r="F695" s="115">
        <v>833</v>
      </c>
      <c r="G695">
        <v>1155</v>
      </c>
      <c r="H695" s="115"/>
      <c r="I695" s="115"/>
      <c r="L695" s="160">
        <v>43025</v>
      </c>
      <c r="M695" s="115">
        <v>673.9</v>
      </c>
      <c r="N695" s="115">
        <v>679.9</v>
      </c>
      <c r="O695" s="115">
        <v>670</v>
      </c>
      <c r="P695" s="115">
        <v>670.15</v>
      </c>
      <c r="Q695" s="115">
        <v>673.9</v>
      </c>
      <c r="R695">
        <v>12076</v>
      </c>
    </row>
    <row r="696" spans="1:18" x14ac:dyDescent="0.25">
      <c r="A696" s="160">
        <v>43049</v>
      </c>
      <c r="B696" s="115">
        <v>874</v>
      </c>
      <c r="C696" s="115">
        <v>850.15</v>
      </c>
      <c r="D696" s="115">
        <v>825.35</v>
      </c>
      <c r="E696" s="115">
        <v>825.5</v>
      </c>
      <c r="F696" s="115">
        <v>850.15</v>
      </c>
      <c r="G696">
        <v>8157</v>
      </c>
      <c r="H696" s="115"/>
      <c r="I696" s="115"/>
      <c r="L696" s="160">
        <v>43026</v>
      </c>
      <c r="M696" s="115">
        <v>672.65</v>
      </c>
      <c r="N696" s="115">
        <v>675.05</v>
      </c>
      <c r="O696" s="115">
        <v>655.20000000000005</v>
      </c>
      <c r="P696" s="115">
        <v>673.9</v>
      </c>
      <c r="Q696" s="115">
        <v>672.65</v>
      </c>
      <c r="R696">
        <v>18491</v>
      </c>
    </row>
    <row r="697" spans="1:18" x14ac:dyDescent="0.25">
      <c r="A697" s="160">
        <v>43052</v>
      </c>
      <c r="B697" s="115">
        <v>892.65</v>
      </c>
      <c r="C697" s="115">
        <v>892.65</v>
      </c>
      <c r="D697" s="115">
        <v>892.65</v>
      </c>
      <c r="E697" s="115">
        <v>892.65</v>
      </c>
      <c r="F697" s="115">
        <v>892.65</v>
      </c>
      <c r="G697">
        <v>32647</v>
      </c>
      <c r="H697" s="115"/>
      <c r="I697" s="115"/>
      <c r="L697" s="160">
        <v>43027</v>
      </c>
      <c r="M697" s="115">
        <v>671.9</v>
      </c>
      <c r="N697" s="115">
        <v>679.9</v>
      </c>
      <c r="O697" s="115">
        <v>668.75</v>
      </c>
      <c r="P697" s="115">
        <v>675</v>
      </c>
      <c r="Q697" s="115">
        <v>671.9</v>
      </c>
      <c r="R697">
        <v>746</v>
      </c>
    </row>
    <row r="698" spans="1:18" x14ac:dyDescent="0.25">
      <c r="A698" s="160">
        <v>43053</v>
      </c>
      <c r="B698" s="115">
        <v>937.25</v>
      </c>
      <c r="C698" s="115">
        <v>937.25</v>
      </c>
      <c r="D698" s="115">
        <v>902.5</v>
      </c>
      <c r="E698" s="115">
        <v>937.25</v>
      </c>
      <c r="F698" s="115">
        <v>937.25</v>
      </c>
      <c r="G698">
        <v>22637</v>
      </c>
      <c r="H698" s="115"/>
      <c r="I698" s="115"/>
      <c r="L698" s="160">
        <v>43031</v>
      </c>
      <c r="M698" s="115">
        <v>675.15</v>
      </c>
      <c r="N698" s="115">
        <v>679.9</v>
      </c>
      <c r="O698" s="115">
        <v>664</v>
      </c>
      <c r="P698" s="115">
        <v>671.9</v>
      </c>
      <c r="Q698" s="115">
        <v>675.15</v>
      </c>
      <c r="R698">
        <v>34130</v>
      </c>
    </row>
    <row r="699" spans="1:18" x14ac:dyDescent="0.25">
      <c r="A699" s="160">
        <v>43054</v>
      </c>
      <c r="B699" s="115">
        <v>984.1</v>
      </c>
      <c r="C699" s="115">
        <v>984.1</v>
      </c>
      <c r="D699" s="115">
        <v>955</v>
      </c>
      <c r="E699" s="115">
        <v>984.1</v>
      </c>
      <c r="F699" s="115">
        <v>984.1</v>
      </c>
      <c r="G699">
        <v>7710</v>
      </c>
      <c r="H699" s="115"/>
      <c r="I699" s="115"/>
      <c r="L699" s="160">
        <v>43032</v>
      </c>
      <c r="M699" s="115">
        <v>666.5</v>
      </c>
      <c r="N699" s="115">
        <v>680.6</v>
      </c>
      <c r="O699" s="115">
        <v>665.15</v>
      </c>
      <c r="P699" s="115">
        <v>676.65</v>
      </c>
      <c r="Q699" s="115">
        <v>666.5</v>
      </c>
      <c r="R699">
        <v>17729</v>
      </c>
    </row>
    <row r="700" spans="1:18" x14ac:dyDescent="0.25">
      <c r="A700" s="160">
        <v>43055</v>
      </c>
      <c r="B700" s="115">
        <v>1033.3</v>
      </c>
      <c r="C700" s="115">
        <v>1033.3</v>
      </c>
      <c r="D700" s="115">
        <v>1033</v>
      </c>
      <c r="E700" s="115">
        <v>1033</v>
      </c>
      <c r="F700" s="115">
        <v>1033.3</v>
      </c>
      <c r="G700">
        <v>952</v>
      </c>
      <c r="H700" s="115"/>
      <c r="I700" s="115"/>
      <c r="L700" s="160">
        <v>43033</v>
      </c>
      <c r="M700" s="115">
        <v>668.05</v>
      </c>
      <c r="N700" s="115">
        <v>674.95</v>
      </c>
      <c r="O700" s="115">
        <v>660.1</v>
      </c>
      <c r="P700" s="115">
        <v>673.1</v>
      </c>
      <c r="Q700" s="115">
        <v>668.05</v>
      </c>
      <c r="R700">
        <v>17129</v>
      </c>
    </row>
    <row r="701" spans="1:18" x14ac:dyDescent="0.25">
      <c r="A701" s="160">
        <v>43056</v>
      </c>
      <c r="B701" s="115">
        <v>1084.95</v>
      </c>
      <c r="C701" s="115">
        <v>1084.95</v>
      </c>
      <c r="D701" s="115">
        <v>1084.95</v>
      </c>
      <c r="E701" s="115">
        <v>1084.95</v>
      </c>
      <c r="F701" s="115">
        <v>1084.95</v>
      </c>
      <c r="G701">
        <v>3720</v>
      </c>
      <c r="H701" s="115"/>
      <c r="I701" s="115"/>
      <c r="L701" s="160">
        <v>43034</v>
      </c>
      <c r="M701" s="115">
        <v>660.35</v>
      </c>
      <c r="N701" s="115">
        <v>668.35</v>
      </c>
      <c r="O701" s="115">
        <v>659</v>
      </c>
      <c r="P701" s="115">
        <v>666.7</v>
      </c>
      <c r="Q701" s="115">
        <v>660.35</v>
      </c>
      <c r="R701">
        <v>13638</v>
      </c>
    </row>
    <row r="702" spans="1:18" x14ac:dyDescent="0.25">
      <c r="A702" s="160">
        <v>43059</v>
      </c>
      <c r="B702" s="115">
        <v>1139.1500000000001</v>
      </c>
      <c r="C702" s="115">
        <v>1139.1500000000001</v>
      </c>
      <c r="D702" s="115">
        <v>1139.1500000000001</v>
      </c>
      <c r="E702" s="115">
        <v>1139.1500000000001</v>
      </c>
      <c r="F702" s="115">
        <v>1139.1500000000001</v>
      </c>
      <c r="G702">
        <v>1031</v>
      </c>
      <c r="H702" s="115"/>
      <c r="I702" s="115"/>
      <c r="L702" s="160">
        <v>43035</v>
      </c>
      <c r="M702" s="115">
        <v>660.3</v>
      </c>
      <c r="N702" s="115">
        <v>670</v>
      </c>
      <c r="O702" s="115">
        <v>656</v>
      </c>
      <c r="P702" s="115">
        <v>670</v>
      </c>
      <c r="Q702" s="115">
        <v>660.3</v>
      </c>
      <c r="R702">
        <v>16791</v>
      </c>
    </row>
    <row r="703" spans="1:18" x14ac:dyDescent="0.25">
      <c r="A703" s="160">
        <v>43060</v>
      </c>
      <c r="B703" s="115">
        <v>1166</v>
      </c>
      <c r="C703" s="115">
        <v>1082.2</v>
      </c>
      <c r="D703" s="115">
        <v>1082.2</v>
      </c>
      <c r="E703" s="115">
        <v>1166</v>
      </c>
      <c r="F703" s="115">
        <v>1082.2</v>
      </c>
      <c r="G703">
        <v>16285</v>
      </c>
      <c r="H703" s="115"/>
      <c r="I703" s="115"/>
      <c r="L703" s="160">
        <v>43038</v>
      </c>
      <c r="M703" s="115">
        <v>648.20000000000005</v>
      </c>
      <c r="N703" s="115">
        <v>669</v>
      </c>
      <c r="O703" s="115">
        <v>646</v>
      </c>
      <c r="P703" s="115">
        <v>668.95</v>
      </c>
      <c r="Q703" s="115">
        <v>648.20000000000005</v>
      </c>
      <c r="R703">
        <v>133199</v>
      </c>
    </row>
    <row r="704" spans="1:18" x14ac:dyDescent="0.25">
      <c r="A704" s="160">
        <v>43061</v>
      </c>
      <c r="B704" s="115">
        <v>1080</v>
      </c>
      <c r="C704" s="115">
        <v>1028.0999999999999</v>
      </c>
      <c r="D704" s="115">
        <v>1028.0999999999999</v>
      </c>
      <c r="E704" s="115">
        <v>1037</v>
      </c>
      <c r="F704" s="115">
        <v>1028.0999999999999</v>
      </c>
      <c r="G704">
        <v>5459</v>
      </c>
      <c r="H704" s="115"/>
      <c r="I704" s="115"/>
      <c r="L704" s="160">
        <v>43039</v>
      </c>
      <c r="M704" s="115">
        <v>646.95000000000005</v>
      </c>
      <c r="N704" s="115">
        <v>657.1</v>
      </c>
      <c r="O704" s="115">
        <v>643.04999999999995</v>
      </c>
      <c r="P704" s="115">
        <v>646</v>
      </c>
      <c r="Q704" s="115">
        <v>646.95000000000005</v>
      </c>
      <c r="R704">
        <v>47790</v>
      </c>
    </row>
    <row r="705" spans="1:18" x14ac:dyDescent="0.25">
      <c r="A705" s="160">
        <v>43062</v>
      </c>
      <c r="B705" s="115">
        <v>1059</v>
      </c>
      <c r="C705" s="115">
        <v>1024.75</v>
      </c>
      <c r="D705" s="115">
        <v>1021</v>
      </c>
      <c r="E705" s="115">
        <v>1059</v>
      </c>
      <c r="F705" s="115">
        <v>1024.75</v>
      </c>
      <c r="G705">
        <v>8750</v>
      </c>
      <c r="H705" s="115"/>
      <c r="I705" s="115"/>
      <c r="L705" s="160">
        <v>43040</v>
      </c>
      <c r="M705" s="115">
        <v>638.95000000000005</v>
      </c>
      <c r="N705" s="115">
        <v>649.9</v>
      </c>
      <c r="O705" s="115">
        <v>636.1</v>
      </c>
      <c r="P705" s="115">
        <v>649.9</v>
      </c>
      <c r="Q705" s="115">
        <v>638.95000000000005</v>
      </c>
      <c r="R705">
        <v>35178</v>
      </c>
    </row>
    <row r="706" spans="1:18" x14ac:dyDescent="0.25">
      <c r="A706" s="160">
        <v>43063</v>
      </c>
      <c r="B706" s="115">
        <v>1025.7</v>
      </c>
      <c r="C706" s="115">
        <v>1019.25</v>
      </c>
      <c r="D706" s="115">
        <v>1005</v>
      </c>
      <c r="E706" s="115">
        <v>1025.7</v>
      </c>
      <c r="F706" s="115">
        <v>1019.25</v>
      </c>
      <c r="G706">
        <v>1259</v>
      </c>
      <c r="H706" s="115"/>
      <c r="I706" s="115"/>
      <c r="L706" s="160">
        <v>43041</v>
      </c>
      <c r="M706" s="115">
        <v>644.4</v>
      </c>
      <c r="N706" s="115">
        <v>648</v>
      </c>
      <c r="O706" s="115">
        <v>629.4</v>
      </c>
      <c r="P706" s="115">
        <v>639.95000000000005</v>
      </c>
      <c r="Q706" s="115">
        <v>644.4</v>
      </c>
      <c r="R706">
        <v>39777</v>
      </c>
    </row>
    <row r="707" spans="1:18" x14ac:dyDescent="0.25">
      <c r="A707" s="160">
        <v>43066</v>
      </c>
      <c r="B707" s="115">
        <v>1035</v>
      </c>
      <c r="C707" s="115">
        <v>1020.65</v>
      </c>
      <c r="D707" s="115">
        <v>1013.05</v>
      </c>
      <c r="E707" s="115">
        <v>1013.05</v>
      </c>
      <c r="F707" s="115">
        <v>1020.65</v>
      </c>
      <c r="G707">
        <v>1124</v>
      </c>
      <c r="H707" s="115"/>
      <c r="I707" s="115"/>
      <c r="L707" s="160">
        <v>43042</v>
      </c>
      <c r="M707" s="115">
        <v>648.75</v>
      </c>
      <c r="N707" s="115">
        <v>655</v>
      </c>
      <c r="O707" s="115">
        <v>636.04999999999995</v>
      </c>
      <c r="P707" s="115">
        <v>652</v>
      </c>
      <c r="Q707" s="115">
        <v>648.75</v>
      </c>
      <c r="R707">
        <v>13461</v>
      </c>
    </row>
    <row r="708" spans="1:18" x14ac:dyDescent="0.25">
      <c r="A708" s="160">
        <v>43067</v>
      </c>
      <c r="B708" s="115">
        <v>1071.6500000000001</v>
      </c>
      <c r="C708" s="115">
        <v>1055.8499999999999</v>
      </c>
      <c r="D708" s="115">
        <v>1021</v>
      </c>
      <c r="E708" s="115">
        <v>1021</v>
      </c>
      <c r="F708" s="115">
        <v>1055.8499999999999</v>
      </c>
      <c r="G708">
        <v>9865</v>
      </c>
      <c r="H708" s="115"/>
      <c r="I708" s="115"/>
      <c r="L708" s="160">
        <v>43045</v>
      </c>
      <c r="M708" s="115">
        <v>649.1</v>
      </c>
      <c r="N708" s="115">
        <v>651.54999999999995</v>
      </c>
      <c r="O708" s="115">
        <v>645</v>
      </c>
      <c r="P708" s="115">
        <v>649.95000000000005</v>
      </c>
      <c r="Q708" s="115">
        <v>649.1</v>
      </c>
      <c r="R708">
        <v>13432</v>
      </c>
    </row>
    <row r="709" spans="1:18" x14ac:dyDescent="0.25">
      <c r="A709" s="160">
        <v>43068</v>
      </c>
      <c r="B709" s="115">
        <v>1060</v>
      </c>
      <c r="C709" s="115">
        <v>1050</v>
      </c>
      <c r="D709" s="115">
        <v>1033.05</v>
      </c>
      <c r="E709" s="115">
        <v>1033.05</v>
      </c>
      <c r="F709" s="115">
        <v>1050</v>
      </c>
      <c r="G709">
        <v>1961</v>
      </c>
      <c r="H709" s="115"/>
      <c r="I709" s="115"/>
      <c r="L709" s="160">
        <v>43046</v>
      </c>
      <c r="M709" s="115">
        <v>645.4</v>
      </c>
      <c r="N709" s="115">
        <v>650</v>
      </c>
      <c r="O709" s="115">
        <v>636</v>
      </c>
      <c r="P709" s="115">
        <v>645.04999999999995</v>
      </c>
      <c r="Q709" s="115">
        <v>645.4</v>
      </c>
      <c r="R709">
        <v>13134</v>
      </c>
    </row>
    <row r="710" spans="1:18" x14ac:dyDescent="0.25">
      <c r="A710" s="160">
        <v>43069</v>
      </c>
      <c r="B710" s="115">
        <v>1065</v>
      </c>
      <c r="C710" s="115">
        <v>1049.05</v>
      </c>
      <c r="D710" s="115">
        <v>1025</v>
      </c>
      <c r="E710" s="115">
        <v>1040</v>
      </c>
      <c r="F710" s="115">
        <v>1049.05</v>
      </c>
      <c r="G710">
        <v>1536</v>
      </c>
      <c r="H710" s="115"/>
      <c r="I710" s="115"/>
      <c r="L710" s="160">
        <v>43047</v>
      </c>
      <c r="M710" s="115">
        <v>647.20000000000005</v>
      </c>
      <c r="N710" s="115">
        <v>649</v>
      </c>
      <c r="O710" s="115">
        <v>643.29999999999995</v>
      </c>
      <c r="P710" s="115">
        <v>646</v>
      </c>
      <c r="Q710" s="115">
        <v>647.20000000000005</v>
      </c>
      <c r="R710">
        <v>7796</v>
      </c>
    </row>
    <row r="711" spans="1:18" x14ac:dyDescent="0.25">
      <c r="A711" s="160">
        <v>43070</v>
      </c>
      <c r="B711" s="115">
        <v>1045</v>
      </c>
      <c r="C711" s="115">
        <v>1025.8</v>
      </c>
      <c r="D711" s="115">
        <v>1013.1</v>
      </c>
      <c r="E711" s="115">
        <v>1030.05</v>
      </c>
      <c r="F711" s="115">
        <v>1025.8</v>
      </c>
      <c r="G711">
        <v>993</v>
      </c>
      <c r="H711" s="115"/>
      <c r="I711" s="115"/>
      <c r="L711" s="160">
        <v>43048</v>
      </c>
      <c r="M711" s="115">
        <v>649.5</v>
      </c>
      <c r="N711" s="115">
        <v>657.95</v>
      </c>
      <c r="O711" s="115">
        <v>640.95000000000005</v>
      </c>
      <c r="P711" s="115">
        <v>643</v>
      </c>
      <c r="Q711" s="115">
        <v>649.5</v>
      </c>
      <c r="R711">
        <v>14255</v>
      </c>
    </row>
    <row r="712" spans="1:18" x14ac:dyDescent="0.25">
      <c r="A712" s="160">
        <v>43073</v>
      </c>
      <c r="B712" s="115">
        <v>1042</v>
      </c>
      <c r="C712" s="115">
        <v>1033.55</v>
      </c>
      <c r="D712" s="115">
        <v>992.05</v>
      </c>
      <c r="E712" s="115">
        <v>1025</v>
      </c>
      <c r="F712" s="115">
        <v>1033.55</v>
      </c>
      <c r="G712">
        <v>536</v>
      </c>
      <c r="H712" s="115"/>
      <c r="I712" s="115"/>
      <c r="L712" s="160">
        <v>43049</v>
      </c>
      <c r="M712" s="115">
        <v>641.75</v>
      </c>
      <c r="N712" s="115">
        <v>655</v>
      </c>
      <c r="O712" s="115">
        <v>638.15</v>
      </c>
      <c r="P712" s="115">
        <v>645</v>
      </c>
      <c r="Q712" s="115">
        <v>641.75</v>
      </c>
      <c r="R712">
        <v>19242</v>
      </c>
    </row>
    <row r="713" spans="1:18" x14ac:dyDescent="0.25">
      <c r="A713" s="160">
        <v>43074</v>
      </c>
      <c r="B713" s="115">
        <v>1075</v>
      </c>
      <c r="C713" s="115">
        <v>1007.1</v>
      </c>
      <c r="D713" s="115">
        <v>991</v>
      </c>
      <c r="E713" s="115">
        <v>1075</v>
      </c>
      <c r="F713" s="115">
        <v>1007.1</v>
      </c>
      <c r="G713">
        <v>1899</v>
      </c>
      <c r="H713" s="115"/>
      <c r="I713" s="115"/>
      <c r="L713" s="160">
        <v>43052</v>
      </c>
      <c r="M713" s="115">
        <v>651.45000000000005</v>
      </c>
      <c r="N713" s="115">
        <v>658</v>
      </c>
      <c r="O713" s="115">
        <v>629.79999999999995</v>
      </c>
      <c r="P713" s="115">
        <v>636</v>
      </c>
      <c r="Q713" s="115">
        <v>651.45000000000005</v>
      </c>
      <c r="R713">
        <v>177204</v>
      </c>
    </row>
    <row r="714" spans="1:18" x14ac:dyDescent="0.25">
      <c r="A714" s="160">
        <v>43075</v>
      </c>
      <c r="B714" s="115">
        <v>1028.95</v>
      </c>
      <c r="C714" s="115">
        <v>1023.75</v>
      </c>
      <c r="D714" s="115">
        <v>1000.05</v>
      </c>
      <c r="E714" s="115">
        <v>1000.05</v>
      </c>
      <c r="F714" s="115">
        <v>1023.75</v>
      </c>
      <c r="G714">
        <v>2527</v>
      </c>
      <c r="H714" s="115"/>
      <c r="I714" s="115"/>
      <c r="L714" s="160">
        <v>43053</v>
      </c>
      <c r="M714" s="115">
        <v>659.4</v>
      </c>
      <c r="N714" s="115">
        <v>664</v>
      </c>
      <c r="O714" s="115">
        <v>642.45000000000005</v>
      </c>
      <c r="P714" s="115">
        <v>659.9</v>
      </c>
      <c r="Q714" s="115">
        <v>659.4</v>
      </c>
      <c r="R714">
        <v>158670</v>
      </c>
    </row>
    <row r="715" spans="1:18" x14ac:dyDescent="0.25">
      <c r="A715" s="160">
        <v>43076</v>
      </c>
      <c r="B715" s="115">
        <v>1048</v>
      </c>
      <c r="C715" s="115">
        <v>1020.5</v>
      </c>
      <c r="D715" s="115">
        <v>1005.05</v>
      </c>
      <c r="E715" s="115">
        <v>1005.05</v>
      </c>
      <c r="F715" s="115">
        <v>1020.5</v>
      </c>
      <c r="G715">
        <v>5221</v>
      </c>
      <c r="H715" s="115"/>
      <c r="I715" s="115"/>
      <c r="L715" s="160">
        <v>43054</v>
      </c>
      <c r="M715" s="115">
        <v>663.95</v>
      </c>
      <c r="N715" s="115">
        <v>669.75</v>
      </c>
      <c r="O715" s="115">
        <v>657.65</v>
      </c>
      <c r="P715" s="115">
        <v>669.3</v>
      </c>
      <c r="Q715" s="115">
        <v>663.95</v>
      </c>
      <c r="R715">
        <v>30561</v>
      </c>
    </row>
    <row r="716" spans="1:18" x14ac:dyDescent="0.25">
      <c r="A716" s="160">
        <v>43077</v>
      </c>
      <c r="B716" s="115">
        <v>1033.95</v>
      </c>
      <c r="C716" s="115">
        <v>991.7</v>
      </c>
      <c r="D716" s="115">
        <v>960</v>
      </c>
      <c r="E716" s="115">
        <v>1030</v>
      </c>
      <c r="F716" s="115">
        <v>991.7</v>
      </c>
      <c r="G716">
        <v>2841</v>
      </c>
      <c r="H716" s="115"/>
      <c r="I716" s="115"/>
      <c r="L716" s="160">
        <v>43055</v>
      </c>
      <c r="M716" s="115">
        <v>663.35</v>
      </c>
      <c r="N716" s="115">
        <v>668.3</v>
      </c>
      <c r="O716" s="115">
        <v>655</v>
      </c>
      <c r="P716" s="115">
        <v>664.85</v>
      </c>
      <c r="Q716" s="115">
        <v>663.35</v>
      </c>
      <c r="R716">
        <v>13242</v>
      </c>
    </row>
    <row r="717" spans="1:18" x14ac:dyDescent="0.25">
      <c r="A717" s="160">
        <v>43080</v>
      </c>
      <c r="B717" s="115">
        <v>1025</v>
      </c>
      <c r="C717" s="115">
        <v>995</v>
      </c>
      <c r="D717" s="115">
        <v>983</v>
      </c>
      <c r="E717" s="115">
        <v>1023</v>
      </c>
      <c r="F717" s="115">
        <v>995</v>
      </c>
      <c r="G717">
        <v>1064</v>
      </c>
      <c r="H717" s="115"/>
      <c r="I717" s="115"/>
      <c r="L717" s="160">
        <v>43056</v>
      </c>
      <c r="M717" s="115">
        <v>670.15</v>
      </c>
      <c r="N717" s="115">
        <v>673.95</v>
      </c>
      <c r="O717" s="115">
        <v>662</v>
      </c>
      <c r="P717" s="115">
        <v>670.95</v>
      </c>
      <c r="Q717" s="115">
        <v>670.15</v>
      </c>
      <c r="R717">
        <v>31996</v>
      </c>
    </row>
    <row r="718" spans="1:18" x14ac:dyDescent="0.25">
      <c r="A718" s="160">
        <v>43081</v>
      </c>
      <c r="B718" s="115">
        <v>1000</v>
      </c>
      <c r="C718" s="115">
        <v>980.55</v>
      </c>
      <c r="D718" s="115">
        <v>975</v>
      </c>
      <c r="E718" s="115">
        <v>990</v>
      </c>
      <c r="F718" s="115">
        <v>980.55</v>
      </c>
      <c r="G718">
        <v>1046</v>
      </c>
      <c r="H718" s="115"/>
      <c r="I718" s="115"/>
      <c r="L718" s="160">
        <v>43059</v>
      </c>
      <c r="M718" s="115">
        <v>689.7</v>
      </c>
      <c r="N718" s="115">
        <v>699</v>
      </c>
      <c r="O718" s="115">
        <v>670</v>
      </c>
      <c r="P718" s="115">
        <v>676.7</v>
      </c>
      <c r="Q718" s="115">
        <v>689.7</v>
      </c>
      <c r="R718">
        <v>16478</v>
      </c>
    </row>
    <row r="719" spans="1:18" x14ac:dyDescent="0.25">
      <c r="A719" s="160">
        <v>43082</v>
      </c>
      <c r="B719" s="115">
        <v>995</v>
      </c>
      <c r="C719" s="115">
        <v>956</v>
      </c>
      <c r="D719" s="115">
        <v>892</v>
      </c>
      <c r="E719" s="115">
        <v>990</v>
      </c>
      <c r="F719" s="115">
        <v>956</v>
      </c>
      <c r="G719">
        <v>1899</v>
      </c>
      <c r="H719" s="115"/>
      <c r="I719" s="115"/>
      <c r="L719" s="160">
        <v>43060</v>
      </c>
      <c r="M719" s="115">
        <v>667.05</v>
      </c>
      <c r="N719" s="115">
        <v>692.5</v>
      </c>
      <c r="O719" s="115">
        <v>660.25</v>
      </c>
      <c r="P719" s="115">
        <v>690.1</v>
      </c>
      <c r="Q719" s="115">
        <v>667.05</v>
      </c>
      <c r="R719">
        <v>34137</v>
      </c>
    </row>
    <row r="720" spans="1:18" x14ac:dyDescent="0.25">
      <c r="A720" s="160">
        <v>43083</v>
      </c>
      <c r="B720" s="115">
        <v>969.95</v>
      </c>
      <c r="C720" s="115">
        <v>942.05</v>
      </c>
      <c r="D720" s="115">
        <v>942</v>
      </c>
      <c r="E720" s="115">
        <v>945</v>
      </c>
      <c r="F720" s="115">
        <v>942.05</v>
      </c>
      <c r="G720">
        <v>433</v>
      </c>
      <c r="H720" s="115"/>
      <c r="I720" s="115"/>
      <c r="L720" s="160">
        <v>43061</v>
      </c>
      <c r="M720" s="115">
        <v>665.95</v>
      </c>
      <c r="N720" s="115">
        <v>678.45</v>
      </c>
      <c r="O720" s="115">
        <v>659.7</v>
      </c>
      <c r="P720" s="115">
        <v>671.05</v>
      </c>
      <c r="Q720" s="115">
        <v>665.95</v>
      </c>
      <c r="R720">
        <v>15610</v>
      </c>
    </row>
    <row r="721" spans="1:18" x14ac:dyDescent="0.25">
      <c r="A721" s="160">
        <v>43084</v>
      </c>
      <c r="B721" s="115">
        <v>955.05</v>
      </c>
      <c r="C721" s="115">
        <v>936.75</v>
      </c>
      <c r="D721" s="115">
        <v>933.2</v>
      </c>
      <c r="E721" s="115">
        <v>950</v>
      </c>
      <c r="F721" s="115">
        <v>936.75</v>
      </c>
      <c r="G721">
        <v>1177</v>
      </c>
      <c r="H721" s="115"/>
      <c r="I721" s="115"/>
      <c r="L721" s="160">
        <v>43062</v>
      </c>
      <c r="M721" s="115">
        <v>666.6</v>
      </c>
      <c r="N721" s="115">
        <v>673.75</v>
      </c>
      <c r="O721" s="115">
        <v>659.8</v>
      </c>
      <c r="P721" s="115">
        <v>665.95</v>
      </c>
      <c r="Q721" s="115">
        <v>666.6</v>
      </c>
      <c r="R721">
        <v>12571</v>
      </c>
    </row>
    <row r="722" spans="1:18" x14ac:dyDescent="0.25">
      <c r="A722" s="160">
        <v>43087</v>
      </c>
      <c r="B722" s="115">
        <v>1024</v>
      </c>
      <c r="C722" s="115">
        <v>970.35</v>
      </c>
      <c r="D722" s="115">
        <v>931.15</v>
      </c>
      <c r="E722" s="115">
        <v>949.9</v>
      </c>
      <c r="F722" s="115">
        <v>970.35</v>
      </c>
      <c r="G722">
        <v>4536</v>
      </c>
      <c r="H722" s="115"/>
      <c r="I722" s="115"/>
      <c r="L722" s="160">
        <v>43063</v>
      </c>
      <c r="M722" s="115">
        <v>658.8</v>
      </c>
      <c r="N722" s="115">
        <v>675.3</v>
      </c>
      <c r="O722" s="115">
        <v>651.29999999999995</v>
      </c>
      <c r="P722" s="115">
        <v>671.05</v>
      </c>
      <c r="Q722" s="115">
        <v>658.8</v>
      </c>
      <c r="R722">
        <v>17785</v>
      </c>
    </row>
    <row r="723" spans="1:18" x14ac:dyDescent="0.25">
      <c r="A723" s="160">
        <v>43088</v>
      </c>
      <c r="B723" s="115">
        <v>1009</v>
      </c>
      <c r="C723" s="115">
        <v>961.3</v>
      </c>
      <c r="D723" s="115">
        <v>953</v>
      </c>
      <c r="E723" s="115">
        <v>1005</v>
      </c>
      <c r="F723" s="115">
        <v>961.3</v>
      </c>
      <c r="G723">
        <v>2621</v>
      </c>
      <c r="H723" s="115"/>
      <c r="I723" s="115"/>
      <c r="L723" s="160">
        <v>43066</v>
      </c>
      <c r="M723" s="115">
        <v>651.4</v>
      </c>
      <c r="N723" s="115">
        <v>666.45</v>
      </c>
      <c r="O723" s="115">
        <v>647.04999999999995</v>
      </c>
      <c r="P723" s="115">
        <v>666.45</v>
      </c>
      <c r="Q723" s="115">
        <v>651.4</v>
      </c>
      <c r="R723">
        <v>75397</v>
      </c>
    </row>
    <row r="724" spans="1:18" x14ac:dyDescent="0.25">
      <c r="A724" s="160">
        <v>43089</v>
      </c>
      <c r="B724" s="115">
        <v>1024</v>
      </c>
      <c r="C724" s="115">
        <v>962.15</v>
      </c>
      <c r="D724" s="115">
        <v>931.05</v>
      </c>
      <c r="E724" s="115">
        <v>967</v>
      </c>
      <c r="F724" s="115">
        <v>962.15</v>
      </c>
      <c r="G724">
        <v>22530</v>
      </c>
      <c r="H724" s="115"/>
      <c r="I724" s="115"/>
      <c r="L724" s="160">
        <v>43067</v>
      </c>
      <c r="M724" s="115">
        <v>661.65</v>
      </c>
      <c r="N724" s="115">
        <v>707.95</v>
      </c>
      <c r="O724" s="115">
        <v>648.04999999999995</v>
      </c>
      <c r="P724" s="115">
        <v>656.55</v>
      </c>
      <c r="Q724" s="115">
        <v>661.65</v>
      </c>
      <c r="R724">
        <v>129683</v>
      </c>
    </row>
    <row r="725" spans="1:18" x14ac:dyDescent="0.25">
      <c r="A725" s="160">
        <v>43090</v>
      </c>
      <c r="B725" s="115">
        <v>980</v>
      </c>
      <c r="C725" s="115">
        <v>960</v>
      </c>
      <c r="D725" s="115">
        <v>958</v>
      </c>
      <c r="E725" s="115">
        <v>975</v>
      </c>
      <c r="F725" s="115">
        <v>960</v>
      </c>
      <c r="G725">
        <v>9357</v>
      </c>
      <c r="H725" s="115"/>
      <c r="I725" s="115"/>
      <c r="L725" s="160">
        <v>43068</v>
      </c>
      <c r="M725" s="115">
        <v>679.3</v>
      </c>
      <c r="N725" s="115">
        <v>688</v>
      </c>
      <c r="O725" s="115">
        <v>665</v>
      </c>
      <c r="P725" s="115">
        <v>674.9</v>
      </c>
      <c r="Q725" s="115">
        <v>679.3</v>
      </c>
      <c r="R725">
        <v>23603</v>
      </c>
    </row>
    <row r="726" spans="1:18" x14ac:dyDescent="0.25">
      <c r="A726" s="160">
        <v>43091</v>
      </c>
      <c r="B726" s="115">
        <v>989</v>
      </c>
      <c r="C726" s="115">
        <v>960.9</v>
      </c>
      <c r="D726" s="115">
        <v>953.05</v>
      </c>
      <c r="E726" s="115">
        <v>965</v>
      </c>
      <c r="F726" s="115">
        <v>960.9</v>
      </c>
      <c r="G726">
        <v>10789</v>
      </c>
      <c r="H726" s="115"/>
      <c r="I726" s="115"/>
      <c r="L726" s="160">
        <v>43069</v>
      </c>
      <c r="M726" s="115">
        <v>686.9</v>
      </c>
      <c r="N726" s="115">
        <v>693.8</v>
      </c>
      <c r="O726" s="115">
        <v>666.65</v>
      </c>
      <c r="P726" s="115">
        <v>687</v>
      </c>
      <c r="Q726" s="115">
        <v>686.9</v>
      </c>
      <c r="R726">
        <v>28644</v>
      </c>
    </row>
    <row r="727" spans="1:18" x14ac:dyDescent="0.25">
      <c r="A727" s="160">
        <v>43095</v>
      </c>
      <c r="B727" s="115">
        <v>984</v>
      </c>
      <c r="C727" s="115">
        <v>960.35</v>
      </c>
      <c r="D727" s="115">
        <v>951.15</v>
      </c>
      <c r="E727" s="115">
        <v>960</v>
      </c>
      <c r="F727" s="115">
        <v>960.35</v>
      </c>
      <c r="G727">
        <v>5550</v>
      </c>
      <c r="H727" s="115"/>
      <c r="I727" s="115"/>
      <c r="L727" s="160">
        <v>43070</v>
      </c>
      <c r="M727" s="115">
        <v>692.3</v>
      </c>
      <c r="N727" s="115">
        <v>710.8</v>
      </c>
      <c r="O727" s="115">
        <v>687</v>
      </c>
      <c r="P727" s="115">
        <v>692.7</v>
      </c>
      <c r="Q727" s="115">
        <v>692.3</v>
      </c>
      <c r="R727">
        <v>42530</v>
      </c>
    </row>
    <row r="728" spans="1:18" x14ac:dyDescent="0.25">
      <c r="A728" s="160">
        <v>43096</v>
      </c>
      <c r="B728" s="115">
        <v>1152.4000000000001</v>
      </c>
      <c r="C728" s="115">
        <v>1152.4000000000001</v>
      </c>
      <c r="D728" s="115">
        <v>965.1</v>
      </c>
      <c r="E728" s="115">
        <v>979.95</v>
      </c>
      <c r="F728" s="115">
        <v>1152.4000000000001</v>
      </c>
      <c r="G728">
        <v>9651</v>
      </c>
      <c r="H728" s="115"/>
      <c r="I728" s="115"/>
      <c r="L728" s="160">
        <v>43073</v>
      </c>
      <c r="M728" s="115">
        <v>696.35</v>
      </c>
      <c r="N728" s="115">
        <v>705</v>
      </c>
      <c r="O728" s="115">
        <v>682.5</v>
      </c>
      <c r="P728" s="115">
        <v>705</v>
      </c>
      <c r="Q728" s="115">
        <v>696.35</v>
      </c>
      <c r="R728">
        <v>15294</v>
      </c>
    </row>
    <row r="729" spans="1:18" x14ac:dyDescent="0.25">
      <c r="A729" s="160">
        <v>43097</v>
      </c>
      <c r="B729" s="115">
        <v>1339.95</v>
      </c>
      <c r="C729" s="115">
        <v>1255.75</v>
      </c>
      <c r="D729" s="115">
        <v>1205</v>
      </c>
      <c r="E729" s="115">
        <v>1225</v>
      </c>
      <c r="F729" s="115">
        <v>1255.75</v>
      </c>
      <c r="G729">
        <v>13924</v>
      </c>
      <c r="H729" s="115"/>
      <c r="I729" s="115"/>
      <c r="L729" s="160">
        <v>43074</v>
      </c>
      <c r="M729" s="115">
        <v>690.15</v>
      </c>
      <c r="N729" s="115">
        <v>704</v>
      </c>
      <c r="O729" s="115">
        <v>680</v>
      </c>
      <c r="P729" s="115">
        <v>704</v>
      </c>
      <c r="Q729" s="115">
        <v>690.15</v>
      </c>
      <c r="R729">
        <v>12336</v>
      </c>
    </row>
    <row r="730" spans="1:18" x14ac:dyDescent="0.25">
      <c r="A730" s="160">
        <v>43098</v>
      </c>
      <c r="B730" s="115">
        <v>1360</v>
      </c>
      <c r="C730" s="115">
        <v>1274.0999999999999</v>
      </c>
      <c r="D730" s="115">
        <v>1266</v>
      </c>
      <c r="E730" s="115">
        <v>1277</v>
      </c>
      <c r="F730" s="115">
        <v>1274.0999999999999</v>
      </c>
      <c r="G730">
        <v>8483</v>
      </c>
      <c r="H730" s="115"/>
      <c r="I730" s="115"/>
      <c r="L730" s="160">
        <v>43075</v>
      </c>
      <c r="M730" s="115">
        <v>693</v>
      </c>
      <c r="N730" s="115">
        <v>697</v>
      </c>
      <c r="O730" s="115">
        <v>685</v>
      </c>
      <c r="P730" s="115">
        <v>694.95</v>
      </c>
      <c r="Q730" s="115">
        <v>693</v>
      </c>
      <c r="R730">
        <v>11327</v>
      </c>
    </row>
    <row r="731" spans="1:18" x14ac:dyDescent="0.25">
      <c r="A731" s="160">
        <v>43101</v>
      </c>
      <c r="B731" s="115">
        <v>1318.9</v>
      </c>
      <c r="C731" s="115">
        <v>1290.6500000000001</v>
      </c>
      <c r="D731" s="115">
        <v>1275</v>
      </c>
      <c r="E731" s="115">
        <v>1298.5</v>
      </c>
      <c r="F731" s="115">
        <v>1290.6500000000001</v>
      </c>
      <c r="G731">
        <v>2880</v>
      </c>
      <c r="H731" s="115"/>
      <c r="I731" s="115"/>
      <c r="L731" s="160">
        <v>43076</v>
      </c>
      <c r="M731" s="115">
        <v>684.85</v>
      </c>
      <c r="N731" s="115">
        <v>696.55</v>
      </c>
      <c r="O731" s="115">
        <v>681.15</v>
      </c>
      <c r="P731" s="115">
        <v>693.95</v>
      </c>
      <c r="Q731" s="115">
        <v>684.85</v>
      </c>
      <c r="R731">
        <v>11627</v>
      </c>
    </row>
    <row r="732" spans="1:18" x14ac:dyDescent="0.25">
      <c r="A732" s="160">
        <v>43102</v>
      </c>
      <c r="B732" s="115">
        <v>1298.45</v>
      </c>
      <c r="C732" s="115">
        <v>1290.3499999999999</v>
      </c>
      <c r="D732" s="115">
        <v>1261</v>
      </c>
      <c r="E732" s="115">
        <v>1285</v>
      </c>
      <c r="F732" s="115">
        <v>1290.3499999999999</v>
      </c>
      <c r="G732">
        <v>3061</v>
      </c>
      <c r="H732" s="115"/>
      <c r="I732" s="115"/>
      <c r="L732" s="160">
        <v>43077</v>
      </c>
      <c r="M732" s="115">
        <v>684.55</v>
      </c>
      <c r="N732" s="115">
        <v>692</v>
      </c>
      <c r="O732" s="115">
        <v>681</v>
      </c>
      <c r="P732" s="115">
        <v>692</v>
      </c>
      <c r="Q732" s="115">
        <v>684.55</v>
      </c>
      <c r="R732">
        <v>9127</v>
      </c>
    </row>
    <row r="733" spans="1:18" x14ac:dyDescent="0.25">
      <c r="A733" s="160">
        <v>43103</v>
      </c>
      <c r="B733" s="115">
        <v>1325</v>
      </c>
      <c r="C733" s="115">
        <v>1273.75</v>
      </c>
      <c r="D733" s="115">
        <v>1260.5</v>
      </c>
      <c r="E733" s="115">
        <v>1295</v>
      </c>
      <c r="F733" s="115">
        <v>1273.75</v>
      </c>
      <c r="G733">
        <v>4631</v>
      </c>
      <c r="H733" s="115"/>
      <c r="I733" s="115"/>
      <c r="L733" s="160">
        <v>43080</v>
      </c>
      <c r="M733" s="115">
        <v>680.75</v>
      </c>
      <c r="N733" s="115">
        <v>695</v>
      </c>
      <c r="O733" s="115">
        <v>673.55</v>
      </c>
      <c r="P733" s="115">
        <v>695</v>
      </c>
      <c r="Q733" s="115">
        <v>680.75</v>
      </c>
      <c r="R733">
        <v>14966</v>
      </c>
    </row>
    <row r="734" spans="1:18" x14ac:dyDescent="0.25">
      <c r="A734" s="160">
        <v>43104</v>
      </c>
      <c r="B734" s="115">
        <v>1297</v>
      </c>
      <c r="C734" s="115">
        <v>1251.3499999999999</v>
      </c>
      <c r="D734" s="115">
        <v>1230</v>
      </c>
      <c r="E734" s="115">
        <v>1250</v>
      </c>
      <c r="F734" s="115">
        <v>1251.3499999999999</v>
      </c>
      <c r="G734">
        <v>2942</v>
      </c>
      <c r="H734" s="115"/>
      <c r="I734" s="115"/>
      <c r="L734" s="160">
        <v>43081</v>
      </c>
      <c r="M734" s="115">
        <v>684.8</v>
      </c>
      <c r="N734" s="115">
        <v>689</v>
      </c>
      <c r="O734" s="115">
        <v>675.5</v>
      </c>
      <c r="P734" s="115">
        <v>675.5</v>
      </c>
      <c r="Q734" s="115">
        <v>684.8</v>
      </c>
      <c r="R734">
        <v>14441</v>
      </c>
    </row>
    <row r="735" spans="1:18" x14ac:dyDescent="0.25">
      <c r="A735" s="160">
        <v>43105</v>
      </c>
      <c r="B735" s="115">
        <v>1268</v>
      </c>
      <c r="C735" s="115">
        <v>1233.75</v>
      </c>
      <c r="D735" s="115">
        <v>1189</v>
      </c>
      <c r="E735" s="115">
        <v>1215</v>
      </c>
      <c r="F735" s="115">
        <v>1233.75</v>
      </c>
      <c r="G735">
        <v>12524</v>
      </c>
      <c r="H735" s="115"/>
      <c r="I735" s="115"/>
      <c r="L735" s="160">
        <v>43082</v>
      </c>
      <c r="M735" s="115">
        <v>689.65</v>
      </c>
      <c r="N735" s="115">
        <v>691.75</v>
      </c>
      <c r="O735" s="115">
        <v>682</v>
      </c>
      <c r="P735" s="115">
        <v>689.45</v>
      </c>
      <c r="Q735" s="115">
        <v>689.65</v>
      </c>
      <c r="R735">
        <v>10179</v>
      </c>
    </row>
    <row r="736" spans="1:18" x14ac:dyDescent="0.25">
      <c r="A736" s="160">
        <v>43108</v>
      </c>
      <c r="B736" s="115">
        <v>1273</v>
      </c>
      <c r="C736" s="115">
        <v>1199</v>
      </c>
      <c r="D736" s="115">
        <v>1180.0999999999999</v>
      </c>
      <c r="E736" s="115">
        <v>1273</v>
      </c>
      <c r="F736" s="115">
        <v>1199</v>
      </c>
      <c r="G736">
        <v>3866</v>
      </c>
      <c r="H736" s="115"/>
      <c r="I736" s="115"/>
      <c r="L736" s="160">
        <v>43083</v>
      </c>
      <c r="M736" s="115">
        <v>687.6</v>
      </c>
      <c r="N736" s="115">
        <v>690.7</v>
      </c>
      <c r="O736" s="115">
        <v>681.1</v>
      </c>
      <c r="P736" s="115">
        <v>689.75</v>
      </c>
      <c r="Q736" s="115">
        <v>687.6</v>
      </c>
      <c r="R736">
        <v>6364</v>
      </c>
    </row>
    <row r="737" spans="1:18" x14ac:dyDescent="0.25">
      <c r="A737" s="160">
        <v>43109</v>
      </c>
      <c r="B737" s="115">
        <v>1212</v>
      </c>
      <c r="C737" s="115">
        <v>1164.55</v>
      </c>
      <c r="D737" s="115">
        <v>1160</v>
      </c>
      <c r="E737" s="115">
        <v>1212</v>
      </c>
      <c r="F737" s="115">
        <v>1164.55</v>
      </c>
      <c r="G737">
        <v>1498</v>
      </c>
      <c r="H737" s="115"/>
      <c r="I737" s="115"/>
      <c r="L737" s="160">
        <v>43084</v>
      </c>
      <c r="M737" s="115">
        <v>697.75</v>
      </c>
      <c r="N737" s="115">
        <v>701</v>
      </c>
      <c r="O737" s="115">
        <v>690.1</v>
      </c>
      <c r="P737" s="115">
        <v>696.9</v>
      </c>
      <c r="Q737" s="115">
        <v>697.75</v>
      </c>
      <c r="R737">
        <v>16306</v>
      </c>
    </row>
    <row r="738" spans="1:18" x14ac:dyDescent="0.25">
      <c r="A738" s="160">
        <v>43110</v>
      </c>
      <c r="B738" s="115">
        <v>1192.7</v>
      </c>
      <c r="C738" s="115">
        <v>1148.4000000000001</v>
      </c>
      <c r="D738" s="115">
        <v>1140.05</v>
      </c>
      <c r="E738" s="115">
        <v>1190</v>
      </c>
      <c r="F738" s="115">
        <v>1148.4000000000001</v>
      </c>
      <c r="G738">
        <v>1336</v>
      </c>
      <c r="H738" s="115"/>
      <c r="I738" s="115"/>
      <c r="L738" s="160">
        <v>43087</v>
      </c>
      <c r="M738" s="115">
        <v>703.7</v>
      </c>
      <c r="N738" s="115">
        <v>704.9</v>
      </c>
      <c r="O738" s="115">
        <v>685.9</v>
      </c>
      <c r="P738" s="115">
        <v>701.9</v>
      </c>
      <c r="Q738" s="115">
        <v>703.7</v>
      </c>
      <c r="R738">
        <v>16539</v>
      </c>
    </row>
    <row r="739" spans="1:18" x14ac:dyDescent="0.25">
      <c r="A739" s="160">
        <v>43111</v>
      </c>
      <c r="B739" s="115">
        <v>1174.95</v>
      </c>
      <c r="C739" s="115">
        <v>1147.55</v>
      </c>
      <c r="D739" s="115">
        <v>1125.05</v>
      </c>
      <c r="E739" s="115">
        <v>1150.8499999999999</v>
      </c>
      <c r="F739" s="115">
        <v>1147.55</v>
      </c>
      <c r="G739">
        <v>1300</v>
      </c>
      <c r="H739" s="115"/>
      <c r="I739" s="115"/>
      <c r="L739" s="160">
        <v>43088</v>
      </c>
      <c r="M739" s="115">
        <v>707.3</v>
      </c>
      <c r="N739" s="115">
        <v>719</v>
      </c>
      <c r="O739" s="115">
        <v>703.7</v>
      </c>
      <c r="P739" s="115">
        <v>703.95</v>
      </c>
      <c r="Q739" s="115">
        <v>707.3</v>
      </c>
      <c r="R739">
        <v>24276</v>
      </c>
    </row>
    <row r="740" spans="1:18" x14ac:dyDescent="0.25">
      <c r="A740" s="160">
        <v>43112</v>
      </c>
      <c r="B740" s="115">
        <v>1186</v>
      </c>
      <c r="C740" s="115">
        <v>1152.8</v>
      </c>
      <c r="D740" s="115">
        <v>1130.05</v>
      </c>
      <c r="E740" s="115">
        <v>1160.05</v>
      </c>
      <c r="F740" s="115">
        <v>1152.8</v>
      </c>
      <c r="G740">
        <v>553</v>
      </c>
      <c r="H740" s="115"/>
      <c r="I740" s="115"/>
      <c r="L740" s="160">
        <v>43089</v>
      </c>
      <c r="M740" s="115">
        <v>727.55</v>
      </c>
      <c r="N740" s="115">
        <v>745</v>
      </c>
      <c r="O740" s="115">
        <v>710</v>
      </c>
      <c r="P740" s="115">
        <v>710</v>
      </c>
      <c r="Q740" s="115">
        <v>727.55</v>
      </c>
      <c r="R740">
        <v>41969</v>
      </c>
    </row>
    <row r="741" spans="1:18" x14ac:dyDescent="0.25">
      <c r="A741" s="160">
        <v>43115</v>
      </c>
      <c r="B741" s="115">
        <v>1195</v>
      </c>
      <c r="C741" s="115">
        <v>1183.45</v>
      </c>
      <c r="D741" s="115">
        <v>1140</v>
      </c>
      <c r="E741" s="115">
        <v>1140.05</v>
      </c>
      <c r="F741" s="115">
        <v>1183.45</v>
      </c>
      <c r="G741">
        <v>3139</v>
      </c>
      <c r="H741" s="115"/>
      <c r="I741" s="115"/>
      <c r="L741" s="160">
        <v>43090</v>
      </c>
      <c r="M741" s="115">
        <v>729.4</v>
      </c>
      <c r="N741" s="115">
        <v>744.9</v>
      </c>
      <c r="O741" s="115">
        <v>725.1</v>
      </c>
      <c r="P741" s="115">
        <v>744.9</v>
      </c>
      <c r="Q741" s="115">
        <v>729.4</v>
      </c>
      <c r="R741">
        <v>16794</v>
      </c>
    </row>
    <row r="742" spans="1:18" x14ac:dyDescent="0.25">
      <c r="A742" s="160">
        <v>43116</v>
      </c>
      <c r="B742" s="115">
        <v>1389</v>
      </c>
      <c r="C742" s="115">
        <v>1302.7</v>
      </c>
      <c r="D742" s="115">
        <v>1241</v>
      </c>
      <c r="E742" s="115">
        <v>1241</v>
      </c>
      <c r="F742" s="115">
        <v>1302.7</v>
      </c>
      <c r="G742">
        <v>15152</v>
      </c>
      <c r="H742" s="115"/>
      <c r="I742" s="115"/>
      <c r="L742" s="160">
        <v>43091</v>
      </c>
      <c r="M742" s="115">
        <v>721.9</v>
      </c>
      <c r="N742" s="115">
        <v>731.05</v>
      </c>
      <c r="O742" s="115">
        <v>717</v>
      </c>
      <c r="P742" s="115">
        <v>731.05</v>
      </c>
      <c r="Q742" s="115">
        <v>721.9</v>
      </c>
      <c r="R742">
        <v>16950</v>
      </c>
    </row>
    <row r="743" spans="1:18" x14ac:dyDescent="0.25">
      <c r="A743" s="160">
        <v>43117</v>
      </c>
      <c r="B743" s="115">
        <v>1329</v>
      </c>
      <c r="C743" s="115">
        <v>1300</v>
      </c>
      <c r="D743" s="115">
        <v>1185</v>
      </c>
      <c r="E743" s="115">
        <v>1329</v>
      </c>
      <c r="F743" s="115">
        <v>1300</v>
      </c>
      <c r="G743">
        <v>2026</v>
      </c>
      <c r="H743" s="115"/>
      <c r="I743" s="115"/>
      <c r="L743" s="160">
        <v>43095</v>
      </c>
      <c r="M743" s="115">
        <v>723.65</v>
      </c>
      <c r="N743" s="115">
        <v>729</v>
      </c>
      <c r="O743" s="115">
        <v>719.9</v>
      </c>
      <c r="P743" s="115">
        <v>729</v>
      </c>
      <c r="Q743" s="115">
        <v>723.65</v>
      </c>
      <c r="R743">
        <v>17224</v>
      </c>
    </row>
    <row r="744" spans="1:18" x14ac:dyDescent="0.25">
      <c r="A744" s="160">
        <v>43118</v>
      </c>
      <c r="B744" s="115">
        <v>1347</v>
      </c>
      <c r="C744" s="115">
        <v>1273.4000000000001</v>
      </c>
      <c r="D744" s="115">
        <v>1250.25</v>
      </c>
      <c r="E744" s="115">
        <v>1347</v>
      </c>
      <c r="F744" s="115">
        <v>1273.4000000000001</v>
      </c>
      <c r="G744">
        <v>2323</v>
      </c>
      <c r="H744" s="115"/>
      <c r="I744" s="115"/>
      <c r="L744" s="160">
        <v>43096</v>
      </c>
      <c r="M744" s="115">
        <v>727.2</v>
      </c>
      <c r="N744" s="115">
        <v>732.9</v>
      </c>
      <c r="O744" s="115">
        <v>723</v>
      </c>
      <c r="P744" s="115">
        <v>729</v>
      </c>
      <c r="Q744" s="115">
        <v>727.2</v>
      </c>
      <c r="R744">
        <v>11399</v>
      </c>
    </row>
    <row r="745" spans="1:18" x14ac:dyDescent="0.25">
      <c r="A745" s="160">
        <v>43119</v>
      </c>
      <c r="B745" s="115">
        <v>1304</v>
      </c>
      <c r="C745" s="115">
        <v>1252.5</v>
      </c>
      <c r="D745" s="115">
        <v>1240.05</v>
      </c>
      <c r="E745" s="115">
        <v>1273.4000000000001</v>
      </c>
      <c r="F745" s="115">
        <v>1252.5</v>
      </c>
      <c r="G745">
        <v>1095</v>
      </c>
      <c r="H745" s="115"/>
      <c r="I745" s="115"/>
      <c r="L745" s="160">
        <v>43097</v>
      </c>
      <c r="M745" s="115">
        <v>729.85</v>
      </c>
      <c r="N745" s="115">
        <v>734.75</v>
      </c>
      <c r="O745" s="115">
        <v>721.65</v>
      </c>
      <c r="P745" s="115">
        <v>729</v>
      </c>
      <c r="Q745" s="115">
        <v>729.85</v>
      </c>
      <c r="R745">
        <v>11089</v>
      </c>
    </row>
    <row r="746" spans="1:18" x14ac:dyDescent="0.25">
      <c r="A746" s="160">
        <v>43122</v>
      </c>
      <c r="B746" s="115">
        <v>1284</v>
      </c>
      <c r="C746" s="115">
        <v>1238.2</v>
      </c>
      <c r="D746" s="115">
        <v>1228</v>
      </c>
      <c r="E746" s="115">
        <v>1251</v>
      </c>
      <c r="F746" s="115">
        <v>1238.2</v>
      </c>
      <c r="G746">
        <v>1634</v>
      </c>
      <c r="H746" s="115"/>
      <c r="I746" s="115"/>
      <c r="L746" s="160">
        <v>43098</v>
      </c>
      <c r="M746" s="115">
        <v>733.2</v>
      </c>
      <c r="N746" s="115">
        <v>737</v>
      </c>
      <c r="O746" s="115">
        <v>729.1</v>
      </c>
      <c r="P746" s="115">
        <v>737</v>
      </c>
      <c r="Q746" s="115">
        <v>733.2</v>
      </c>
      <c r="R746">
        <v>8710</v>
      </c>
    </row>
    <row r="747" spans="1:18" x14ac:dyDescent="0.25">
      <c r="A747" s="160">
        <v>43123</v>
      </c>
      <c r="B747" s="115">
        <v>1252</v>
      </c>
      <c r="C747" s="115">
        <v>1205.8</v>
      </c>
      <c r="D747" s="115">
        <v>1177.1500000000001</v>
      </c>
      <c r="E747" s="115">
        <v>1250</v>
      </c>
      <c r="F747" s="115">
        <v>1205.8</v>
      </c>
      <c r="G747">
        <v>2323</v>
      </c>
      <c r="H747" s="115"/>
      <c r="I747" s="115"/>
      <c r="L747" s="160">
        <v>43101</v>
      </c>
      <c r="M747" s="115">
        <v>745.2</v>
      </c>
      <c r="N747" s="115">
        <v>758</v>
      </c>
      <c r="O747" s="115">
        <v>726.6</v>
      </c>
      <c r="P747" s="115">
        <v>735</v>
      </c>
      <c r="Q747" s="115">
        <v>745.2</v>
      </c>
      <c r="R747">
        <v>25186</v>
      </c>
    </row>
    <row r="748" spans="1:18" x14ac:dyDescent="0.25">
      <c r="A748" s="160">
        <v>43124</v>
      </c>
      <c r="B748" s="115">
        <v>1234</v>
      </c>
      <c r="C748" s="115">
        <v>1197.4000000000001</v>
      </c>
      <c r="D748" s="115">
        <v>1190</v>
      </c>
      <c r="E748" s="115">
        <v>1200</v>
      </c>
      <c r="F748" s="115">
        <v>1197.4000000000001</v>
      </c>
      <c r="G748">
        <v>2319</v>
      </c>
      <c r="H748" s="115"/>
      <c r="I748" s="115"/>
      <c r="L748" s="160">
        <v>43102</v>
      </c>
      <c r="M748" s="115">
        <v>747.3</v>
      </c>
      <c r="N748" s="115">
        <v>755</v>
      </c>
      <c r="O748" s="115">
        <v>732.1</v>
      </c>
      <c r="P748" s="115">
        <v>745.2</v>
      </c>
      <c r="Q748" s="115">
        <v>747.3</v>
      </c>
      <c r="R748">
        <v>15539</v>
      </c>
    </row>
    <row r="749" spans="1:18" x14ac:dyDescent="0.25">
      <c r="A749" s="160">
        <v>43125</v>
      </c>
      <c r="B749" s="115">
        <v>1233</v>
      </c>
      <c r="C749" s="115">
        <v>1225.7</v>
      </c>
      <c r="D749" s="115">
        <v>1180.2</v>
      </c>
      <c r="E749" s="115">
        <v>1195</v>
      </c>
      <c r="F749" s="115">
        <v>1225.7</v>
      </c>
      <c r="G749">
        <v>1157</v>
      </c>
      <c r="H749" s="115"/>
      <c r="I749" s="115"/>
      <c r="L749" s="160">
        <v>43103</v>
      </c>
      <c r="M749" s="115">
        <v>764.1</v>
      </c>
      <c r="N749" s="115">
        <v>770</v>
      </c>
      <c r="O749" s="115">
        <v>745</v>
      </c>
      <c r="P749" s="115">
        <v>748</v>
      </c>
      <c r="Q749" s="115">
        <v>764.1</v>
      </c>
      <c r="R749">
        <v>36935</v>
      </c>
    </row>
    <row r="750" spans="1:18" x14ac:dyDescent="0.25">
      <c r="A750" s="160">
        <v>43129</v>
      </c>
      <c r="B750" s="115">
        <v>1238</v>
      </c>
      <c r="C750" s="115">
        <v>1200.8499999999999</v>
      </c>
      <c r="D750" s="115">
        <v>1196</v>
      </c>
      <c r="E750" s="115">
        <v>1205.05</v>
      </c>
      <c r="F750" s="115">
        <v>1200.8499999999999</v>
      </c>
      <c r="G750">
        <v>620</v>
      </c>
      <c r="H750" s="115"/>
      <c r="I750" s="115"/>
      <c r="L750" s="160">
        <v>43104</v>
      </c>
      <c r="M750" s="115">
        <v>773.75</v>
      </c>
      <c r="N750" s="115">
        <v>797.85</v>
      </c>
      <c r="O750" s="115">
        <v>766</v>
      </c>
      <c r="P750" s="115">
        <v>775</v>
      </c>
      <c r="Q750" s="115">
        <v>773.75</v>
      </c>
      <c r="R750">
        <v>49416</v>
      </c>
    </row>
    <row r="751" spans="1:18" x14ac:dyDescent="0.25">
      <c r="A751" s="160">
        <v>43130</v>
      </c>
      <c r="B751" s="115">
        <v>1227</v>
      </c>
      <c r="C751" s="115">
        <v>1191</v>
      </c>
      <c r="D751" s="115">
        <v>1153</v>
      </c>
      <c r="E751" s="115">
        <v>1200.8499999999999</v>
      </c>
      <c r="F751" s="115">
        <v>1191</v>
      </c>
      <c r="G751">
        <v>2374</v>
      </c>
      <c r="H751" s="115"/>
      <c r="I751" s="115"/>
      <c r="L751" s="160">
        <v>43105</v>
      </c>
      <c r="M751" s="115">
        <v>791.9</v>
      </c>
      <c r="N751" s="115">
        <v>798.95</v>
      </c>
      <c r="O751" s="115">
        <v>766.1</v>
      </c>
      <c r="P751" s="115">
        <v>780</v>
      </c>
      <c r="Q751" s="115">
        <v>791.9</v>
      </c>
      <c r="R751">
        <v>61438</v>
      </c>
    </row>
    <row r="752" spans="1:18" x14ac:dyDescent="0.25">
      <c r="A752" s="160">
        <v>43131</v>
      </c>
      <c r="B752" s="115">
        <v>1207</v>
      </c>
      <c r="C752" s="115">
        <v>1174.9000000000001</v>
      </c>
      <c r="D752" s="115">
        <v>1170</v>
      </c>
      <c r="E752" s="115">
        <v>1207</v>
      </c>
      <c r="F752" s="115">
        <v>1174.9000000000001</v>
      </c>
      <c r="G752">
        <v>1234</v>
      </c>
      <c r="H752" s="115"/>
      <c r="I752" s="115"/>
      <c r="L752" s="160">
        <v>43108</v>
      </c>
      <c r="M752" s="115">
        <v>795.85</v>
      </c>
      <c r="N752" s="115">
        <v>803.5</v>
      </c>
      <c r="O752" s="115">
        <v>788.55</v>
      </c>
      <c r="P752" s="115">
        <v>803.5</v>
      </c>
      <c r="Q752" s="115">
        <v>795.85</v>
      </c>
      <c r="R752">
        <v>23907</v>
      </c>
    </row>
    <row r="753" spans="1:18" x14ac:dyDescent="0.25">
      <c r="A753" s="160">
        <v>43132</v>
      </c>
      <c r="B753" s="115">
        <v>1199.9000000000001</v>
      </c>
      <c r="C753" s="115">
        <v>1158.55</v>
      </c>
      <c r="D753" s="115">
        <v>1153</v>
      </c>
      <c r="E753" s="115">
        <v>1177</v>
      </c>
      <c r="F753" s="115">
        <v>1158.55</v>
      </c>
      <c r="G753">
        <v>2370</v>
      </c>
      <c r="H753" s="115"/>
      <c r="I753" s="115"/>
      <c r="L753" s="160">
        <v>43109</v>
      </c>
      <c r="M753" s="115">
        <v>786.05</v>
      </c>
      <c r="N753" s="115">
        <v>796.95</v>
      </c>
      <c r="O753" s="115">
        <v>767.1</v>
      </c>
      <c r="P753" s="115">
        <v>791.55</v>
      </c>
      <c r="Q753" s="115">
        <v>786.05</v>
      </c>
      <c r="R753">
        <v>22654</v>
      </c>
    </row>
    <row r="754" spans="1:18" x14ac:dyDescent="0.25">
      <c r="A754" s="160">
        <v>43133</v>
      </c>
      <c r="B754" s="115">
        <v>1169.95</v>
      </c>
      <c r="C754" s="115">
        <v>1145.7</v>
      </c>
      <c r="D754" s="115">
        <v>1132.05</v>
      </c>
      <c r="E754" s="115">
        <v>1158.55</v>
      </c>
      <c r="F754" s="115">
        <v>1145.7</v>
      </c>
      <c r="G754">
        <v>2369</v>
      </c>
      <c r="H754" s="115"/>
      <c r="I754" s="115"/>
      <c r="L754" s="160">
        <v>43110</v>
      </c>
      <c r="M754" s="115">
        <v>779.55</v>
      </c>
      <c r="N754" s="115">
        <v>790</v>
      </c>
      <c r="O754" s="115">
        <v>772.35</v>
      </c>
      <c r="P754" s="115">
        <v>789</v>
      </c>
      <c r="Q754" s="115">
        <v>779.55</v>
      </c>
      <c r="R754">
        <v>12290</v>
      </c>
    </row>
    <row r="755" spans="1:18" x14ac:dyDescent="0.25">
      <c r="A755" s="160">
        <v>43136</v>
      </c>
      <c r="B755" s="115">
        <v>1140</v>
      </c>
      <c r="C755" s="115">
        <v>1053.1500000000001</v>
      </c>
      <c r="D755" s="115">
        <v>1040</v>
      </c>
      <c r="E755" s="115">
        <v>1140</v>
      </c>
      <c r="F755" s="115">
        <v>1053.1500000000001</v>
      </c>
      <c r="G755">
        <v>3470</v>
      </c>
      <c r="H755" s="115"/>
      <c r="I755" s="115"/>
      <c r="L755" s="160">
        <v>43111</v>
      </c>
      <c r="M755" s="115">
        <v>779.55</v>
      </c>
      <c r="N755" s="115">
        <v>795.05</v>
      </c>
      <c r="O755" s="115">
        <v>775.55</v>
      </c>
      <c r="P755" s="115">
        <v>781</v>
      </c>
      <c r="Q755" s="115">
        <v>779.55</v>
      </c>
      <c r="R755">
        <v>16536</v>
      </c>
    </row>
    <row r="756" spans="1:18" x14ac:dyDescent="0.25">
      <c r="A756" s="160">
        <v>43137</v>
      </c>
      <c r="B756" s="115">
        <v>1030</v>
      </c>
      <c r="C756" s="115">
        <v>1018.15</v>
      </c>
      <c r="D756" s="115">
        <v>910.05</v>
      </c>
      <c r="E756" s="115">
        <v>910.05</v>
      </c>
      <c r="F756" s="115">
        <v>1018.15</v>
      </c>
      <c r="G756">
        <v>4079</v>
      </c>
      <c r="H756" s="115"/>
      <c r="I756" s="115"/>
      <c r="L756" s="160">
        <v>43112</v>
      </c>
      <c r="M756" s="115">
        <v>774.1</v>
      </c>
      <c r="N756" s="115">
        <v>799.8</v>
      </c>
      <c r="O756" s="115">
        <v>770</v>
      </c>
      <c r="P756" s="115">
        <v>790.5</v>
      </c>
      <c r="Q756" s="115">
        <v>774.1</v>
      </c>
      <c r="R756">
        <v>38782</v>
      </c>
    </row>
    <row r="757" spans="1:18" x14ac:dyDescent="0.25">
      <c r="A757" s="160">
        <v>43138</v>
      </c>
      <c r="B757" s="115">
        <v>1050</v>
      </c>
      <c r="C757" s="115">
        <v>1036</v>
      </c>
      <c r="D757" s="115">
        <v>1010.05</v>
      </c>
      <c r="E757" s="115">
        <v>1024</v>
      </c>
      <c r="F757" s="115">
        <v>1036</v>
      </c>
      <c r="G757">
        <v>1239</v>
      </c>
      <c r="H757" s="115"/>
      <c r="I757" s="115"/>
      <c r="L757" s="160">
        <v>43115</v>
      </c>
      <c r="M757" s="115">
        <v>787.75</v>
      </c>
      <c r="N757" s="115">
        <v>794</v>
      </c>
      <c r="O757" s="115">
        <v>770.15</v>
      </c>
      <c r="P757" s="115">
        <v>774.1</v>
      </c>
      <c r="Q757" s="115">
        <v>787.75</v>
      </c>
      <c r="R757">
        <v>24951</v>
      </c>
    </row>
    <row r="758" spans="1:18" x14ac:dyDescent="0.25">
      <c r="A758" s="160">
        <v>43139</v>
      </c>
      <c r="B758" s="115">
        <v>1159.5</v>
      </c>
      <c r="C758" s="115">
        <v>1136.55</v>
      </c>
      <c r="D758" s="115">
        <v>1000</v>
      </c>
      <c r="E758" s="115">
        <v>1026</v>
      </c>
      <c r="F758" s="115">
        <v>1136.55</v>
      </c>
      <c r="G758">
        <v>3114</v>
      </c>
      <c r="H758" s="115"/>
      <c r="I758" s="115"/>
      <c r="L758" s="160">
        <v>43116</v>
      </c>
      <c r="M758" s="115">
        <v>778.45</v>
      </c>
      <c r="N758" s="115">
        <v>795</v>
      </c>
      <c r="O758" s="115">
        <v>774.05</v>
      </c>
      <c r="P758" s="115">
        <v>795</v>
      </c>
      <c r="Q758" s="115">
        <v>778.45</v>
      </c>
      <c r="R758">
        <v>18321</v>
      </c>
    </row>
    <row r="759" spans="1:18" x14ac:dyDescent="0.25">
      <c r="A759" s="160">
        <v>43140</v>
      </c>
      <c r="B759" s="115">
        <v>1134.8</v>
      </c>
      <c r="C759" s="115">
        <v>1017.3</v>
      </c>
      <c r="D759" s="115">
        <v>1001</v>
      </c>
      <c r="E759" s="115">
        <v>1051</v>
      </c>
      <c r="F759" s="115">
        <v>1017.3</v>
      </c>
      <c r="G759">
        <v>8744</v>
      </c>
      <c r="H759" s="115"/>
      <c r="I759" s="115"/>
      <c r="L759" s="160">
        <v>43117</v>
      </c>
      <c r="M759" s="115">
        <v>774.85</v>
      </c>
      <c r="N759" s="115">
        <v>783.75</v>
      </c>
      <c r="O759" s="115">
        <v>761</v>
      </c>
      <c r="P759" s="115">
        <v>776.55</v>
      </c>
      <c r="Q759" s="115">
        <v>774.85</v>
      </c>
      <c r="R759">
        <v>16673</v>
      </c>
    </row>
    <row r="760" spans="1:18" x14ac:dyDescent="0.25">
      <c r="A760" s="160">
        <v>43143</v>
      </c>
      <c r="B760" s="115">
        <v>1049.8</v>
      </c>
      <c r="C760" s="115">
        <v>1003</v>
      </c>
      <c r="D760" s="115">
        <v>975</v>
      </c>
      <c r="E760" s="115">
        <v>1044</v>
      </c>
      <c r="F760" s="115">
        <v>1003</v>
      </c>
      <c r="G760">
        <v>3672</v>
      </c>
      <c r="H760" s="115"/>
      <c r="I760" s="115"/>
      <c r="L760" s="160">
        <v>43118</v>
      </c>
      <c r="M760" s="115">
        <v>774.5</v>
      </c>
      <c r="N760" s="115">
        <v>783</v>
      </c>
      <c r="O760" s="115">
        <v>770</v>
      </c>
      <c r="P760" s="115">
        <v>778</v>
      </c>
      <c r="Q760" s="115">
        <v>774.5</v>
      </c>
      <c r="R760">
        <v>16719</v>
      </c>
    </row>
    <row r="761" spans="1:18" x14ac:dyDescent="0.25">
      <c r="A761" s="160">
        <v>43145</v>
      </c>
      <c r="B761" s="115">
        <v>1034</v>
      </c>
      <c r="C761" s="115">
        <v>970.8</v>
      </c>
      <c r="D761" s="115">
        <v>961.25</v>
      </c>
      <c r="E761" s="115">
        <v>1005</v>
      </c>
      <c r="F761" s="115">
        <v>970.8</v>
      </c>
      <c r="G761">
        <v>4318</v>
      </c>
      <c r="H761" s="115"/>
      <c r="I761" s="115"/>
      <c r="L761" s="160">
        <v>43119</v>
      </c>
      <c r="M761" s="115">
        <v>782.1</v>
      </c>
      <c r="N761" s="115">
        <v>790</v>
      </c>
      <c r="O761" s="115">
        <v>761.45</v>
      </c>
      <c r="P761" s="115">
        <v>779.85</v>
      </c>
      <c r="Q761" s="115">
        <v>782.1</v>
      </c>
      <c r="R761">
        <v>23123</v>
      </c>
    </row>
    <row r="762" spans="1:18" x14ac:dyDescent="0.25">
      <c r="A762" s="160">
        <v>43146</v>
      </c>
      <c r="B762" s="115">
        <v>999</v>
      </c>
      <c r="C762" s="115">
        <v>938.2</v>
      </c>
      <c r="D762" s="115">
        <v>930.5</v>
      </c>
      <c r="E762" s="115">
        <v>999</v>
      </c>
      <c r="F762" s="115">
        <v>938.2</v>
      </c>
      <c r="G762">
        <v>2578</v>
      </c>
      <c r="H762" s="115"/>
      <c r="I762" s="115"/>
      <c r="L762" s="160">
        <v>43122</v>
      </c>
      <c r="M762" s="115">
        <v>793.45</v>
      </c>
      <c r="N762" s="115">
        <v>794.9</v>
      </c>
      <c r="O762" s="115">
        <v>772</v>
      </c>
      <c r="P762" s="115">
        <v>789.95</v>
      </c>
      <c r="Q762" s="115">
        <v>793.45</v>
      </c>
      <c r="R762">
        <v>15320</v>
      </c>
    </row>
    <row r="763" spans="1:18" x14ac:dyDescent="0.25">
      <c r="A763" s="160">
        <v>43147</v>
      </c>
      <c r="B763" s="115">
        <v>960</v>
      </c>
      <c r="C763" s="115">
        <v>924.85</v>
      </c>
      <c r="D763" s="115">
        <v>918</v>
      </c>
      <c r="E763" s="115">
        <v>930</v>
      </c>
      <c r="F763" s="115">
        <v>924.85</v>
      </c>
      <c r="G763">
        <v>4879</v>
      </c>
      <c r="H763" s="115"/>
      <c r="I763" s="115"/>
      <c r="L763" s="160">
        <v>43123</v>
      </c>
      <c r="M763" s="115">
        <v>791.5</v>
      </c>
      <c r="N763" s="115">
        <v>800</v>
      </c>
      <c r="O763" s="115">
        <v>789.9</v>
      </c>
      <c r="P763" s="115">
        <v>800</v>
      </c>
      <c r="Q763" s="115">
        <v>791.5</v>
      </c>
      <c r="R763">
        <v>13571</v>
      </c>
    </row>
    <row r="764" spans="1:18" x14ac:dyDescent="0.25">
      <c r="A764" s="160">
        <v>43150</v>
      </c>
      <c r="B764" s="115">
        <v>950</v>
      </c>
      <c r="C764" s="115">
        <v>908.95</v>
      </c>
      <c r="D764" s="115">
        <v>901.05</v>
      </c>
      <c r="E764" s="115">
        <v>930</v>
      </c>
      <c r="F764" s="115">
        <v>908.95</v>
      </c>
      <c r="G764">
        <v>2198</v>
      </c>
      <c r="H764" s="115"/>
      <c r="I764" s="115"/>
      <c r="L764" s="160">
        <v>43124</v>
      </c>
      <c r="M764" s="115">
        <v>789.95</v>
      </c>
      <c r="N764" s="115">
        <v>800</v>
      </c>
      <c r="O764" s="115">
        <v>781</v>
      </c>
      <c r="P764" s="115">
        <v>800</v>
      </c>
      <c r="Q764" s="115">
        <v>789.95</v>
      </c>
      <c r="R764">
        <v>11898</v>
      </c>
    </row>
    <row r="765" spans="1:18" x14ac:dyDescent="0.25">
      <c r="A765" s="160">
        <v>43151</v>
      </c>
      <c r="B765" s="115">
        <v>924.8</v>
      </c>
      <c r="C765" s="115">
        <v>915.65</v>
      </c>
      <c r="D765" s="115">
        <v>900</v>
      </c>
      <c r="E765" s="115">
        <v>901.85</v>
      </c>
      <c r="F765" s="115">
        <v>915.65</v>
      </c>
      <c r="G765">
        <v>1248</v>
      </c>
      <c r="H765" s="115"/>
      <c r="I765" s="115"/>
      <c r="L765" s="160">
        <v>43125</v>
      </c>
      <c r="M765" s="115">
        <v>786.15</v>
      </c>
      <c r="N765" s="115">
        <v>797.2</v>
      </c>
      <c r="O765" s="115">
        <v>783</v>
      </c>
      <c r="P765" s="115">
        <v>783</v>
      </c>
      <c r="Q765" s="115">
        <v>786.15</v>
      </c>
      <c r="R765">
        <v>14758</v>
      </c>
    </row>
    <row r="766" spans="1:18" x14ac:dyDescent="0.25">
      <c r="A766" s="160">
        <v>43152</v>
      </c>
      <c r="B766" s="115">
        <v>955</v>
      </c>
      <c r="C766" s="115">
        <v>901.65</v>
      </c>
      <c r="D766" s="115">
        <v>890</v>
      </c>
      <c r="E766" s="115">
        <v>955</v>
      </c>
      <c r="F766" s="115">
        <v>901.65</v>
      </c>
      <c r="G766">
        <v>2060</v>
      </c>
      <c r="H766" s="115"/>
      <c r="I766" s="115"/>
      <c r="L766" s="160">
        <v>43129</v>
      </c>
      <c r="M766" s="115">
        <v>786.65</v>
      </c>
      <c r="N766" s="115">
        <v>798.6</v>
      </c>
      <c r="O766" s="115">
        <v>783</v>
      </c>
      <c r="P766" s="115">
        <v>798.6</v>
      </c>
      <c r="Q766" s="115">
        <v>786.65</v>
      </c>
      <c r="R766">
        <v>12103</v>
      </c>
    </row>
    <row r="767" spans="1:18" x14ac:dyDescent="0.25">
      <c r="A767" s="160">
        <v>43153</v>
      </c>
      <c r="B767" s="115">
        <v>910</v>
      </c>
      <c r="C767" s="115">
        <v>900</v>
      </c>
      <c r="D767" s="115">
        <v>889</v>
      </c>
      <c r="E767" s="115">
        <v>889</v>
      </c>
      <c r="F767" s="115">
        <v>900</v>
      </c>
      <c r="G767">
        <v>473</v>
      </c>
      <c r="H767" s="115"/>
      <c r="I767" s="115"/>
      <c r="L767" s="160">
        <v>43130</v>
      </c>
      <c r="M767" s="115">
        <v>769.8</v>
      </c>
      <c r="N767" s="115">
        <v>787.65</v>
      </c>
      <c r="O767" s="115">
        <v>766</v>
      </c>
      <c r="P767" s="115">
        <v>787.65</v>
      </c>
      <c r="Q767" s="115">
        <v>769.8</v>
      </c>
      <c r="R767">
        <v>15064</v>
      </c>
    </row>
    <row r="768" spans="1:18" x14ac:dyDescent="0.25">
      <c r="A768" s="160">
        <v>43154</v>
      </c>
      <c r="B768" s="115">
        <v>935</v>
      </c>
      <c r="C768" s="115">
        <v>925.45</v>
      </c>
      <c r="D768" s="115">
        <v>905</v>
      </c>
      <c r="E768" s="115">
        <v>905</v>
      </c>
      <c r="F768" s="115">
        <v>925.45</v>
      </c>
      <c r="G768">
        <v>2042</v>
      </c>
      <c r="H768" s="115"/>
      <c r="I768" s="115"/>
      <c r="L768" s="160">
        <v>43131</v>
      </c>
      <c r="M768" s="115">
        <v>756.95</v>
      </c>
      <c r="N768" s="115">
        <v>783.75</v>
      </c>
      <c r="O768" s="115">
        <v>746.05</v>
      </c>
      <c r="P768" s="115">
        <v>770</v>
      </c>
      <c r="Q768" s="115">
        <v>756.95</v>
      </c>
      <c r="R768">
        <v>49191</v>
      </c>
    </row>
    <row r="769" spans="1:18" x14ac:dyDescent="0.25">
      <c r="A769" s="160">
        <v>43157</v>
      </c>
      <c r="B769" s="115">
        <v>950</v>
      </c>
      <c r="C769" s="115">
        <v>949.05</v>
      </c>
      <c r="D769" s="115">
        <v>915.1</v>
      </c>
      <c r="E769" s="115">
        <v>915.1</v>
      </c>
      <c r="F769" s="115">
        <v>949.05</v>
      </c>
      <c r="G769">
        <v>845</v>
      </c>
      <c r="H769" s="115"/>
      <c r="I769" s="115"/>
      <c r="L769" s="160">
        <v>43132</v>
      </c>
      <c r="M769" s="115">
        <v>725.55</v>
      </c>
      <c r="N769" s="115">
        <v>774.5</v>
      </c>
      <c r="O769" s="115">
        <v>720.05</v>
      </c>
      <c r="P769" s="115">
        <v>761</v>
      </c>
      <c r="Q769" s="115">
        <v>725.55</v>
      </c>
      <c r="R769">
        <v>68433</v>
      </c>
    </row>
    <row r="770" spans="1:18" x14ac:dyDescent="0.25">
      <c r="A770" s="160">
        <v>43158</v>
      </c>
      <c r="B770" s="115">
        <v>1001</v>
      </c>
      <c r="C770" s="115">
        <v>972.7</v>
      </c>
      <c r="D770" s="115">
        <v>952.05</v>
      </c>
      <c r="E770" s="115">
        <v>952.05</v>
      </c>
      <c r="F770" s="115">
        <v>972.7</v>
      </c>
      <c r="G770">
        <v>1882</v>
      </c>
      <c r="H770" s="115"/>
      <c r="I770" s="115"/>
      <c r="L770" s="160">
        <v>43133</v>
      </c>
      <c r="M770" s="115">
        <v>699.2</v>
      </c>
      <c r="N770" s="115">
        <v>730</v>
      </c>
      <c r="O770" s="115">
        <v>660</v>
      </c>
      <c r="P770" s="115">
        <v>730</v>
      </c>
      <c r="Q770" s="115">
        <v>699.2</v>
      </c>
      <c r="R770">
        <v>36785</v>
      </c>
    </row>
    <row r="771" spans="1:18" x14ac:dyDescent="0.25">
      <c r="A771" s="160">
        <v>43159</v>
      </c>
      <c r="B771" s="115">
        <v>1010</v>
      </c>
      <c r="C771" s="115">
        <v>1000.8</v>
      </c>
      <c r="D771" s="115">
        <v>977.55</v>
      </c>
      <c r="E771" s="115">
        <v>998.95</v>
      </c>
      <c r="F771" s="115">
        <v>1000.8</v>
      </c>
      <c r="G771">
        <v>83</v>
      </c>
      <c r="H771" s="115"/>
      <c r="I771" s="115"/>
      <c r="L771" s="160">
        <v>43136</v>
      </c>
      <c r="M771" s="115">
        <v>694.4</v>
      </c>
      <c r="N771" s="115">
        <v>712.15</v>
      </c>
      <c r="O771" s="115">
        <v>663</v>
      </c>
      <c r="P771" s="115">
        <v>693</v>
      </c>
      <c r="Q771" s="115">
        <v>694.4</v>
      </c>
      <c r="R771">
        <v>22595</v>
      </c>
    </row>
    <row r="772" spans="1:18" x14ac:dyDescent="0.25">
      <c r="A772" s="160">
        <v>43160</v>
      </c>
      <c r="B772" s="115">
        <v>1012.5</v>
      </c>
      <c r="C772" s="115">
        <v>1003.75</v>
      </c>
      <c r="D772" s="115">
        <v>983.05</v>
      </c>
      <c r="E772" s="115">
        <v>1000.05</v>
      </c>
      <c r="F772" s="115">
        <v>1003.75</v>
      </c>
      <c r="G772">
        <v>740</v>
      </c>
      <c r="H772" s="115"/>
      <c r="I772" s="115"/>
      <c r="L772" s="160">
        <v>43137</v>
      </c>
      <c r="M772" s="115">
        <v>655.7</v>
      </c>
      <c r="N772" s="115">
        <v>681.55</v>
      </c>
      <c r="O772" s="115">
        <v>650.5</v>
      </c>
      <c r="P772" s="115">
        <v>652</v>
      </c>
      <c r="Q772" s="115">
        <v>655.7</v>
      </c>
      <c r="R772">
        <v>31131</v>
      </c>
    </row>
    <row r="773" spans="1:18" x14ac:dyDescent="0.25">
      <c r="A773" s="160">
        <v>43164</v>
      </c>
      <c r="B773" s="115">
        <v>1000</v>
      </c>
      <c r="C773" s="115">
        <v>957.55</v>
      </c>
      <c r="D773" s="115">
        <v>950</v>
      </c>
      <c r="E773" s="115">
        <v>990.05</v>
      </c>
      <c r="F773" s="115">
        <v>957.55</v>
      </c>
      <c r="G773">
        <v>1614</v>
      </c>
      <c r="H773" s="115"/>
      <c r="I773" s="115"/>
      <c r="L773" s="160">
        <v>43138</v>
      </c>
      <c r="M773" s="115">
        <v>669.6</v>
      </c>
      <c r="N773" s="115">
        <v>677.75</v>
      </c>
      <c r="O773" s="115">
        <v>661.25</v>
      </c>
      <c r="P773" s="115">
        <v>676.9</v>
      </c>
      <c r="Q773" s="115">
        <v>669.6</v>
      </c>
      <c r="R773">
        <v>15170</v>
      </c>
    </row>
    <row r="774" spans="1:18" x14ac:dyDescent="0.25">
      <c r="A774" s="160">
        <v>43165</v>
      </c>
      <c r="B774" s="115">
        <v>955.05</v>
      </c>
      <c r="C774" s="115">
        <v>930.05</v>
      </c>
      <c r="D774" s="115">
        <v>906.15</v>
      </c>
      <c r="E774" s="115">
        <v>955</v>
      </c>
      <c r="F774" s="115">
        <v>930.05</v>
      </c>
      <c r="G774">
        <v>881</v>
      </c>
      <c r="H774" s="115"/>
      <c r="I774" s="115"/>
      <c r="L774" s="160">
        <v>43139</v>
      </c>
      <c r="M774" s="115">
        <v>692.05</v>
      </c>
      <c r="N774" s="115">
        <v>695.95</v>
      </c>
      <c r="O774" s="115">
        <v>663.3</v>
      </c>
      <c r="P774" s="115">
        <v>663.3</v>
      </c>
      <c r="Q774" s="115">
        <v>692.05</v>
      </c>
      <c r="R774">
        <v>12530</v>
      </c>
    </row>
    <row r="775" spans="1:18" x14ac:dyDescent="0.25">
      <c r="A775" s="160">
        <v>43166</v>
      </c>
      <c r="B775" s="115">
        <v>940</v>
      </c>
      <c r="C775" s="115">
        <v>898.2</v>
      </c>
      <c r="D775" s="115">
        <v>890</v>
      </c>
      <c r="E775" s="115">
        <v>940</v>
      </c>
      <c r="F775" s="115">
        <v>898.2</v>
      </c>
      <c r="G775">
        <v>1405</v>
      </c>
      <c r="H775" s="115"/>
      <c r="I775" s="115"/>
      <c r="L775" s="160">
        <v>43140</v>
      </c>
      <c r="M775" s="115">
        <v>685.5</v>
      </c>
      <c r="N775" s="115">
        <v>697</v>
      </c>
      <c r="O775" s="115">
        <v>669.95</v>
      </c>
      <c r="P775" s="115">
        <v>680</v>
      </c>
      <c r="Q775" s="115">
        <v>685.5</v>
      </c>
      <c r="R775">
        <v>14634</v>
      </c>
    </row>
    <row r="776" spans="1:18" x14ac:dyDescent="0.25">
      <c r="A776" s="160">
        <v>43167</v>
      </c>
      <c r="B776" s="115">
        <v>928.85</v>
      </c>
      <c r="C776" s="115">
        <v>927</v>
      </c>
      <c r="D776" s="115">
        <v>890</v>
      </c>
      <c r="E776" s="115">
        <v>909</v>
      </c>
      <c r="F776" s="115">
        <v>927</v>
      </c>
      <c r="G776">
        <v>1659</v>
      </c>
      <c r="H776" s="115"/>
      <c r="I776" s="115"/>
      <c r="L776" s="160">
        <v>43143</v>
      </c>
      <c r="M776" s="115">
        <v>696.2</v>
      </c>
      <c r="N776" s="115">
        <v>699.95</v>
      </c>
      <c r="O776" s="115">
        <v>687.1</v>
      </c>
      <c r="P776" s="115">
        <v>699</v>
      </c>
      <c r="Q776" s="115">
        <v>696.2</v>
      </c>
      <c r="R776">
        <v>11515</v>
      </c>
    </row>
    <row r="777" spans="1:18" x14ac:dyDescent="0.25">
      <c r="A777" s="160">
        <v>43168</v>
      </c>
      <c r="B777" s="115">
        <v>950</v>
      </c>
      <c r="C777" s="115">
        <v>912.55</v>
      </c>
      <c r="D777" s="115">
        <v>906.35</v>
      </c>
      <c r="E777" s="115">
        <v>950</v>
      </c>
      <c r="F777" s="115">
        <v>912.55</v>
      </c>
      <c r="G777">
        <v>639</v>
      </c>
      <c r="H777" s="115"/>
      <c r="I777" s="115"/>
      <c r="L777" s="160">
        <v>43145</v>
      </c>
      <c r="M777" s="115">
        <v>675.25</v>
      </c>
      <c r="N777" s="115">
        <v>706.5</v>
      </c>
      <c r="O777" s="115">
        <v>661.4</v>
      </c>
      <c r="P777" s="115">
        <v>702</v>
      </c>
      <c r="Q777" s="115">
        <v>675.25</v>
      </c>
      <c r="R777">
        <v>34499</v>
      </c>
    </row>
    <row r="778" spans="1:18" x14ac:dyDescent="0.25">
      <c r="A778" s="160">
        <v>43171</v>
      </c>
      <c r="B778" s="115">
        <v>944</v>
      </c>
      <c r="C778" s="115">
        <v>900.4</v>
      </c>
      <c r="D778" s="115">
        <v>890</v>
      </c>
      <c r="E778" s="115">
        <v>912.55</v>
      </c>
      <c r="F778" s="115">
        <v>900.4</v>
      </c>
      <c r="G778">
        <v>3027</v>
      </c>
      <c r="H778" s="115"/>
      <c r="I778" s="115"/>
      <c r="L778" s="160">
        <v>43146</v>
      </c>
      <c r="M778" s="115">
        <v>664.15</v>
      </c>
      <c r="N778" s="115">
        <v>685.35</v>
      </c>
      <c r="O778" s="115">
        <v>660.2</v>
      </c>
      <c r="P778" s="115">
        <v>680.65</v>
      </c>
      <c r="Q778" s="115">
        <v>664.15</v>
      </c>
      <c r="R778">
        <v>13827</v>
      </c>
    </row>
    <row r="779" spans="1:18" x14ac:dyDescent="0.25">
      <c r="A779" s="160">
        <v>43172</v>
      </c>
      <c r="B779" s="115">
        <v>910</v>
      </c>
      <c r="C779" s="115">
        <v>900</v>
      </c>
      <c r="D779" s="115">
        <v>900</v>
      </c>
      <c r="E779" s="115">
        <v>909.95</v>
      </c>
      <c r="F779" s="115">
        <v>900</v>
      </c>
      <c r="G779">
        <v>5147</v>
      </c>
      <c r="H779" s="115"/>
      <c r="I779" s="115"/>
      <c r="L779" s="160">
        <v>43147</v>
      </c>
      <c r="M779" s="115">
        <v>662.95</v>
      </c>
      <c r="N779" s="115">
        <v>678.55</v>
      </c>
      <c r="O779" s="115">
        <v>662.1</v>
      </c>
      <c r="P779" s="115">
        <v>666</v>
      </c>
      <c r="Q779" s="115">
        <v>662.95</v>
      </c>
      <c r="R779">
        <v>8921</v>
      </c>
    </row>
    <row r="780" spans="1:18" x14ac:dyDescent="0.25">
      <c r="A780" s="160">
        <v>43173</v>
      </c>
      <c r="B780" s="115">
        <v>945</v>
      </c>
      <c r="C780" s="115">
        <v>890</v>
      </c>
      <c r="D780" s="115">
        <v>890</v>
      </c>
      <c r="E780" s="115">
        <v>945</v>
      </c>
      <c r="F780" s="115">
        <v>890</v>
      </c>
      <c r="G780">
        <v>5688</v>
      </c>
      <c r="H780" s="115"/>
      <c r="I780" s="115"/>
      <c r="L780" s="160">
        <v>43150</v>
      </c>
      <c r="M780" s="115">
        <v>670.25</v>
      </c>
      <c r="N780" s="115">
        <v>690</v>
      </c>
      <c r="O780" s="115">
        <v>654.29999999999995</v>
      </c>
      <c r="P780" s="115">
        <v>672.85</v>
      </c>
      <c r="Q780" s="115">
        <v>670.25</v>
      </c>
      <c r="R780">
        <v>7951</v>
      </c>
    </row>
    <row r="781" spans="1:18" x14ac:dyDescent="0.25">
      <c r="A781" s="160">
        <v>43174</v>
      </c>
      <c r="B781" s="115">
        <v>890</v>
      </c>
      <c r="C781" s="115">
        <v>878.7</v>
      </c>
      <c r="D781" s="115">
        <v>870.4</v>
      </c>
      <c r="E781" s="115">
        <v>890</v>
      </c>
      <c r="F781" s="115">
        <v>878.7</v>
      </c>
      <c r="G781">
        <v>2248</v>
      </c>
      <c r="H781" s="115"/>
      <c r="I781" s="115"/>
      <c r="L781" s="160">
        <v>43151</v>
      </c>
      <c r="M781" s="115">
        <v>649.70000000000005</v>
      </c>
      <c r="N781" s="115">
        <v>683.95</v>
      </c>
      <c r="O781" s="115">
        <v>643.15</v>
      </c>
      <c r="P781" s="115">
        <v>672.1</v>
      </c>
      <c r="Q781" s="115">
        <v>649.70000000000005</v>
      </c>
      <c r="R781">
        <v>17573</v>
      </c>
    </row>
    <row r="782" spans="1:18" x14ac:dyDescent="0.25">
      <c r="A782" s="160">
        <v>43175</v>
      </c>
      <c r="B782" s="115">
        <v>890.1</v>
      </c>
      <c r="C782" s="115">
        <v>888.95</v>
      </c>
      <c r="D782" s="115">
        <v>855</v>
      </c>
      <c r="E782" s="115">
        <v>890.1</v>
      </c>
      <c r="F782" s="115">
        <v>888.95</v>
      </c>
      <c r="G782">
        <v>2078</v>
      </c>
      <c r="H782" s="115"/>
      <c r="I782" s="115"/>
      <c r="L782" s="160">
        <v>43152</v>
      </c>
      <c r="M782" s="115">
        <v>641.5</v>
      </c>
      <c r="N782" s="115">
        <v>656.5</v>
      </c>
      <c r="O782" s="115">
        <v>639</v>
      </c>
      <c r="P782" s="115">
        <v>655</v>
      </c>
      <c r="Q782" s="115">
        <v>641.5</v>
      </c>
      <c r="R782">
        <v>10898</v>
      </c>
    </row>
    <row r="783" spans="1:18" x14ac:dyDescent="0.25">
      <c r="A783" s="160">
        <v>43178</v>
      </c>
      <c r="B783" s="115">
        <v>890</v>
      </c>
      <c r="C783" s="115">
        <v>886.8</v>
      </c>
      <c r="D783" s="115">
        <v>874</v>
      </c>
      <c r="E783" s="115">
        <v>888</v>
      </c>
      <c r="F783" s="115">
        <v>886.8</v>
      </c>
      <c r="G783">
        <v>1673</v>
      </c>
      <c r="H783" s="115"/>
      <c r="I783" s="115"/>
      <c r="L783" s="160">
        <v>43153</v>
      </c>
      <c r="M783" s="115">
        <v>627.29999999999995</v>
      </c>
      <c r="N783" s="115">
        <v>644.85</v>
      </c>
      <c r="O783" s="115">
        <v>623</v>
      </c>
      <c r="P783" s="115">
        <v>643.04999999999995</v>
      </c>
      <c r="Q783" s="115">
        <v>627.29999999999995</v>
      </c>
      <c r="R783">
        <v>17309</v>
      </c>
    </row>
    <row r="784" spans="1:18" x14ac:dyDescent="0.25">
      <c r="A784" s="160">
        <v>43179</v>
      </c>
      <c r="B784" s="115">
        <v>915</v>
      </c>
      <c r="C784" s="115">
        <v>872.95</v>
      </c>
      <c r="D784" s="115">
        <v>851</v>
      </c>
      <c r="E784" s="115">
        <v>915</v>
      </c>
      <c r="F784" s="115">
        <v>872.95</v>
      </c>
      <c r="G784">
        <v>2619</v>
      </c>
      <c r="H784" s="115"/>
      <c r="I784" s="115"/>
      <c r="L784" s="160">
        <v>43154</v>
      </c>
      <c r="M784" s="115">
        <v>640.6</v>
      </c>
      <c r="N784" s="115">
        <v>642</v>
      </c>
      <c r="O784" s="115">
        <v>631</v>
      </c>
      <c r="P784" s="115">
        <v>636</v>
      </c>
      <c r="Q784" s="115">
        <v>640.6</v>
      </c>
      <c r="R784">
        <v>10850</v>
      </c>
    </row>
    <row r="785" spans="1:18" x14ac:dyDescent="0.25">
      <c r="A785" s="160">
        <v>43180</v>
      </c>
      <c r="B785" s="115">
        <v>894</v>
      </c>
      <c r="C785" s="115">
        <v>874.85</v>
      </c>
      <c r="D785" s="115">
        <v>861</v>
      </c>
      <c r="E785" s="115">
        <v>861</v>
      </c>
      <c r="F785" s="115">
        <v>874.85</v>
      </c>
      <c r="G785">
        <v>3947</v>
      </c>
      <c r="H785" s="115"/>
      <c r="I785" s="115"/>
      <c r="L785" s="160">
        <v>43157</v>
      </c>
      <c r="M785" s="115">
        <v>643.79999999999995</v>
      </c>
      <c r="N785" s="115">
        <v>653</v>
      </c>
      <c r="O785" s="115">
        <v>633.1</v>
      </c>
      <c r="P785" s="115">
        <v>653</v>
      </c>
      <c r="Q785" s="115">
        <v>643.79999999999995</v>
      </c>
      <c r="R785">
        <v>6584</v>
      </c>
    </row>
    <row r="786" spans="1:18" x14ac:dyDescent="0.25">
      <c r="A786" s="160">
        <v>43181</v>
      </c>
      <c r="B786" s="115">
        <v>887.9</v>
      </c>
      <c r="C786" s="115">
        <v>884.25</v>
      </c>
      <c r="D786" s="115">
        <v>856</v>
      </c>
      <c r="E786" s="115">
        <v>874.85</v>
      </c>
      <c r="F786" s="115">
        <v>884.25</v>
      </c>
      <c r="G786">
        <v>1300</v>
      </c>
      <c r="H786" s="115"/>
      <c r="I786" s="115"/>
      <c r="L786" s="160">
        <v>43158</v>
      </c>
      <c r="M786" s="115">
        <v>640.54999999999995</v>
      </c>
      <c r="N786" s="115">
        <v>653.45000000000005</v>
      </c>
      <c r="O786" s="115">
        <v>630.4</v>
      </c>
      <c r="P786" s="115">
        <v>653.45000000000005</v>
      </c>
      <c r="Q786" s="115">
        <v>640.54999999999995</v>
      </c>
      <c r="R786">
        <v>21449</v>
      </c>
    </row>
    <row r="787" spans="1:18" x14ac:dyDescent="0.25">
      <c r="A787" s="160">
        <v>43182</v>
      </c>
      <c r="B787" s="115">
        <v>885</v>
      </c>
      <c r="C787" s="115">
        <v>865.7</v>
      </c>
      <c r="D787" s="115">
        <v>830</v>
      </c>
      <c r="E787" s="115">
        <v>856.5</v>
      </c>
      <c r="F787" s="115">
        <v>865.7</v>
      </c>
      <c r="G787">
        <v>3540</v>
      </c>
      <c r="H787" s="115"/>
      <c r="I787" s="115"/>
      <c r="L787" s="160">
        <v>43159</v>
      </c>
      <c r="M787" s="115">
        <v>619.35</v>
      </c>
      <c r="N787" s="115">
        <v>637.54999999999995</v>
      </c>
      <c r="O787" s="115">
        <v>613</v>
      </c>
      <c r="P787" s="115">
        <v>637.5</v>
      </c>
      <c r="Q787" s="115">
        <v>619.35</v>
      </c>
      <c r="R787">
        <v>22989</v>
      </c>
    </row>
    <row r="788" spans="1:18" x14ac:dyDescent="0.25">
      <c r="A788" s="160">
        <v>43185</v>
      </c>
      <c r="B788" s="115">
        <v>860</v>
      </c>
      <c r="C788" s="115">
        <v>842.85</v>
      </c>
      <c r="D788" s="115">
        <v>832</v>
      </c>
      <c r="E788" s="115">
        <v>840</v>
      </c>
      <c r="F788" s="115">
        <v>842.85</v>
      </c>
      <c r="G788">
        <v>2319</v>
      </c>
      <c r="H788" s="115"/>
      <c r="I788" s="115"/>
      <c r="L788" s="160">
        <v>43160</v>
      </c>
      <c r="M788" s="115">
        <v>621.75</v>
      </c>
      <c r="N788" s="115">
        <v>629.65</v>
      </c>
      <c r="O788" s="115">
        <v>616</v>
      </c>
      <c r="P788" s="115">
        <v>624.9</v>
      </c>
      <c r="Q788" s="115">
        <v>621.75</v>
      </c>
      <c r="R788">
        <v>14838</v>
      </c>
    </row>
    <row r="789" spans="1:18" x14ac:dyDescent="0.25">
      <c r="A789" s="160">
        <v>43186</v>
      </c>
      <c r="B789" s="115">
        <v>910</v>
      </c>
      <c r="C789" s="115">
        <v>879.1</v>
      </c>
      <c r="D789" s="115">
        <v>850</v>
      </c>
      <c r="E789" s="115">
        <v>850</v>
      </c>
      <c r="F789" s="115">
        <v>879.1</v>
      </c>
      <c r="G789">
        <v>924</v>
      </c>
      <c r="H789" s="115"/>
      <c r="I789" s="115"/>
      <c r="L789" s="160">
        <v>43164</v>
      </c>
      <c r="M789" s="115">
        <v>620.20000000000005</v>
      </c>
      <c r="N789" s="115">
        <v>625</v>
      </c>
      <c r="O789" s="115">
        <v>613</v>
      </c>
      <c r="P789" s="115">
        <v>621.75</v>
      </c>
      <c r="Q789" s="115">
        <v>620.20000000000005</v>
      </c>
      <c r="R789">
        <v>10217</v>
      </c>
    </row>
    <row r="790" spans="1:18" x14ac:dyDescent="0.25">
      <c r="A790" s="160">
        <v>43187</v>
      </c>
      <c r="B790" s="115">
        <v>890</v>
      </c>
      <c r="C790" s="115">
        <v>872.55</v>
      </c>
      <c r="D790" s="115">
        <v>855.1</v>
      </c>
      <c r="E790" s="115">
        <v>855.1</v>
      </c>
      <c r="F790" s="115">
        <v>872.55</v>
      </c>
      <c r="G790">
        <v>173</v>
      </c>
      <c r="H790" s="115"/>
      <c r="I790" s="115"/>
      <c r="L790" s="160">
        <v>43165</v>
      </c>
      <c r="M790" s="115">
        <v>613.6</v>
      </c>
      <c r="N790" s="115">
        <v>626</v>
      </c>
      <c r="O790" s="115">
        <v>608.6</v>
      </c>
      <c r="P790" s="115">
        <v>624</v>
      </c>
      <c r="Q790" s="115">
        <v>613.6</v>
      </c>
      <c r="R790">
        <v>20054</v>
      </c>
    </row>
    <row r="791" spans="1:18" x14ac:dyDescent="0.25">
      <c r="A791" s="160">
        <v>43192</v>
      </c>
      <c r="B791" s="115">
        <v>909.8</v>
      </c>
      <c r="C791" s="115">
        <v>885</v>
      </c>
      <c r="D791" s="115">
        <v>865.3</v>
      </c>
      <c r="E791" s="115">
        <v>909.8</v>
      </c>
      <c r="F791" s="115">
        <v>885</v>
      </c>
      <c r="G791">
        <v>501</v>
      </c>
      <c r="H791" s="115"/>
      <c r="I791" s="115"/>
      <c r="L791" s="160">
        <v>43166</v>
      </c>
      <c r="M791" s="115">
        <v>584.4</v>
      </c>
      <c r="N791" s="115">
        <v>613</v>
      </c>
      <c r="O791" s="115">
        <v>575</v>
      </c>
      <c r="P791" s="115">
        <v>613</v>
      </c>
      <c r="Q791" s="115">
        <v>584.4</v>
      </c>
      <c r="R791">
        <v>37310</v>
      </c>
    </row>
    <row r="792" spans="1:18" x14ac:dyDescent="0.25">
      <c r="A792" s="160">
        <v>43193</v>
      </c>
      <c r="B792" s="115">
        <v>906</v>
      </c>
      <c r="C792" s="115">
        <v>887.9</v>
      </c>
      <c r="D792" s="115">
        <v>880.25</v>
      </c>
      <c r="E792" s="115">
        <v>880.25</v>
      </c>
      <c r="F792" s="115">
        <v>887.9</v>
      </c>
      <c r="G792">
        <v>1403</v>
      </c>
      <c r="H792" s="115"/>
      <c r="I792" s="115"/>
      <c r="L792" s="160">
        <v>43167</v>
      </c>
      <c r="M792" s="115">
        <v>600.5</v>
      </c>
      <c r="N792" s="115">
        <v>605</v>
      </c>
      <c r="O792" s="115">
        <v>576</v>
      </c>
      <c r="P792" s="115">
        <v>593.15</v>
      </c>
      <c r="Q792" s="115">
        <v>600.5</v>
      </c>
      <c r="R792">
        <v>14976</v>
      </c>
    </row>
    <row r="793" spans="1:18" x14ac:dyDescent="0.25">
      <c r="A793" s="160">
        <v>43194</v>
      </c>
      <c r="B793" s="115">
        <v>919</v>
      </c>
      <c r="C793" s="115">
        <v>889</v>
      </c>
      <c r="D793" s="115">
        <v>883</v>
      </c>
      <c r="E793" s="115">
        <v>919</v>
      </c>
      <c r="F793" s="115">
        <v>889</v>
      </c>
      <c r="G793">
        <v>936</v>
      </c>
      <c r="H793" s="115"/>
      <c r="I793" s="115"/>
      <c r="L793" s="160">
        <v>43168</v>
      </c>
      <c r="M793" s="115">
        <v>583</v>
      </c>
      <c r="N793" s="115">
        <v>605.95000000000005</v>
      </c>
      <c r="O793" s="115">
        <v>580</v>
      </c>
      <c r="P793" s="115">
        <v>601.15</v>
      </c>
      <c r="Q793" s="115">
        <v>583</v>
      </c>
      <c r="R793">
        <v>21298</v>
      </c>
    </row>
    <row r="794" spans="1:18" x14ac:dyDescent="0.25">
      <c r="A794" s="160">
        <v>43195</v>
      </c>
      <c r="B794" s="115">
        <v>919.95</v>
      </c>
      <c r="C794" s="115">
        <v>908.25</v>
      </c>
      <c r="D794" s="115">
        <v>890</v>
      </c>
      <c r="E794" s="115">
        <v>900.9</v>
      </c>
      <c r="F794" s="115">
        <v>908.25</v>
      </c>
      <c r="G794">
        <v>1180</v>
      </c>
      <c r="H794" s="115"/>
      <c r="I794" s="115"/>
      <c r="L794" s="160">
        <v>43171</v>
      </c>
      <c r="M794" s="115">
        <v>582.6</v>
      </c>
      <c r="N794" s="115">
        <v>594.95000000000005</v>
      </c>
      <c r="O794" s="115">
        <v>580.29999999999995</v>
      </c>
      <c r="P794" s="115">
        <v>583.54999999999995</v>
      </c>
      <c r="Q794" s="115">
        <v>582.6</v>
      </c>
      <c r="R794">
        <v>11760</v>
      </c>
    </row>
    <row r="795" spans="1:18" x14ac:dyDescent="0.25">
      <c r="A795" s="160">
        <v>43196</v>
      </c>
      <c r="B795" s="115">
        <v>1019.5</v>
      </c>
      <c r="C795" s="115">
        <v>985.9</v>
      </c>
      <c r="D795" s="115">
        <v>915</v>
      </c>
      <c r="E795" s="115">
        <v>915</v>
      </c>
      <c r="F795" s="115">
        <v>985.9</v>
      </c>
      <c r="G795">
        <v>2731</v>
      </c>
      <c r="H795" s="115"/>
      <c r="I795" s="115"/>
      <c r="L795" s="160">
        <v>43172</v>
      </c>
      <c r="M795" s="115">
        <v>588.65</v>
      </c>
      <c r="N795" s="115">
        <v>597.75</v>
      </c>
      <c r="O795" s="115">
        <v>583.04999999999995</v>
      </c>
      <c r="P795" s="115">
        <v>589.95000000000005</v>
      </c>
      <c r="Q795" s="115">
        <v>588.65</v>
      </c>
      <c r="R795">
        <v>13433</v>
      </c>
    </row>
    <row r="796" spans="1:18" x14ac:dyDescent="0.25">
      <c r="A796" s="160">
        <v>43199</v>
      </c>
      <c r="B796" s="115">
        <v>986</v>
      </c>
      <c r="C796" s="115">
        <v>979.2</v>
      </c>
      <c r="D796" s="115">
        <v>951</v>
      </c>
      <c r="E796" s="115">
        <v>956</v>
      </c>
      <c r="F796" s="115">
        <v>979.2</v>
      </c>
      <c r="G796">
        <v>1034</v>
      </c>
      <c r="H796" s="115"/>
      <c r="I796" s="115"/>
      <c r="L796" s="160">
        <v>43173</v>
      </c>
      <c r="M796" s="115">
        <v>579.85</v>
      </c>
      <c r="N796" s="115">
        <v>597.45000000000005</v>
      </c>
      <c r="O796" s="115">
        <v>576.65</v>
      </c>
      <c r="P796" s="115">
        <v>597.45000000000005</v>
      </c>
      <c r="Q796" s="115">
        <v>579.85</v>
      </c>
      <c r="R796">
        <v>6839</v>
      </c>
    </row>
    <row r="797" spans="1:18" x14ac:dyDescent="0.25">
      <c r="A797" s="160">
        <v>43200</v>
      </c>
      <c r="B797" s="115">
        <v>975</v>
      </c>
      <c r="C797" s="115">
        <v>968.8</v>
      </c>
      <c r="D797" s="115">
        <v>965</v>
      </c>
      <c r="E797" s="115">
        <v>970.05</v>
      </c>
      <c r="F797" s="115">
        <v>968.8</v>
      </c>
      <c r="G797">
        <v>257</v>
      </c>
      <c r="H797" s="115"/>
      <c r="I797" s="115"/>
      <c r="L797" s="160">
        <v>43174</v>
      </c>
      <c r="M797" s="115">
        <v>589.9</v>
      </c>
      <c r="N797" s="115">
        <v>592</v>
      </c>
      <c r="O797" s="115">
        <v>579</v>
      </c>
      <c r="P797" s="115">
        <v>588.4</v>
      </c>
      <c r="Q797" s="115">
        <v>589.9</v>
      </c>
      <c r="R797">
        <v>37993</v>
      </c>
    </row>
    <row r="798" spans="1:18" x14ac:dyDescent="0.25">
      <c r="A798" s="160">
        <v>43201</v>
      </c>
      <c r="B798" s="115">
        <v>967</v>
      </c>
      <c r="C798" s="115">
        <v>953.8</v>
      </c>
      <c r="D798" s="115">
        <v>891</v>
      </c>
      <c r="E798" s="115">
        <v>950</v>
      </c>
      <c r="F798" s="115">
        <v>953.8</v>
      </c>
      <c r="G798">
        <v>419</v>
      </c>
      <c r="H798" s="115"/>
      <c r="I798" s="115"/>
      <c r="L798" s="160">
        <v>43175</v>
      </c>
      <c r="M798" s="115">
        <v>586.65</v>
      </c>
      <c r="N798" s="115">
        <v>596.95000000000005</v>
      </c>
      <c r="O798" s="115">
        <v>583.9</v>
      </c>
      <c r="P798" s="115">
        <v>588</v>
      </c>
      <c r="Q798" s="115">
        <v>586.65</v>
      </c>
      <c r="R798">
        <v>30237</v>
      </c>
    </row>
    <row r="799" spans="1:18" x14ac:dyDescent="0.25">
      <c r="A799" s="160">
        <v>43202</v>
      </c>
      <c r="B799" s="115">
        <v>938</v>
      </c>
      <c r="C799" s="115">
        <v>915.3</v>
      </c>
      <c r="D799" s="115">
        <v>910.1</v>
      </c>
      <c r="E799" s="115">
        <v>931.2</v>
      </c>
      <c r="F799" s="115">
        <v>915.3</v>
      </c>
      <c r="G799">
        <v>160</v>
      </c>
      <c r="H799" s="115"/>
      <c r="I799" s="115"/>
      <c r="L799" s="160">
        <v>43178</v>
      </c>
      <c r="M799" s="115">
        <v>571.25</v>
      </c>
      <c r="N799" s="115">
        <v>595</v>
      </c>
      <c r="O799" s="115">
        <v>565</v>
      </c>
      <c r="P799" s="115">
        <v>595</v>
      </c>
      <c r="Q799" s="115">
        <v>571.25</v>
      </c>
      <c r="R799">
        <v>13258</v>
      </c>
    </row>
    <row r="800" spans="1:18" x14ac:dyDescent="0.25">
      <c r="A800" s="160">
        <v>43203</v>
      </c>
      <c r="B800" s="115">
        <v>945</v>
      </c>
      <c r="C800" s="115">
        <v>944.75</v>
      </c>
      <c r="D800" s="115">
        <v>914</v>
      </c>
      <c r="E800" s="115">
        <v>914</v>
      </c>
      <c r="F800" s="115">
        <v>944.75</v>
      </c>
      <c r="G800">
        <v>260</v>
      </c>
      <c r="H800" s="115"/>
      <c r="I800" s="115"/>
      <c r="L800" s="160">
        <v>43179</v>
      </c>
      <c r="M800" s="115">
        <v>579.95000000000005</v>
      </c>
      <c r="N800" s="115">
        <v>588.79999999999995</v>
      </c>
      <c r="O800" s="115">
        <v>564.04999999999995</v>
      </c>
      <c r="P800" s="115">
        <v>575</v>
      </c>
      <c r="Q800" s="115">
        <v>579.95000000000005</v>
      </c>
      <c r="R800">
        <v>19310</v>
      </c>
    </row>
    <row r="801" spans="1:18" x14ac:dyDescent="0.25">
      <c r="A801" s="160">
        <v>43206</v>
      </c>
      <c r="B801" s="115">
        <v>945</v>
      </c>
      <c r="C801" s="115">
        <v>935.6</v>
      </c>
      <c r="D801" s="115">
        <v>897</v>
      </c>
      <c r="E801" s="115">
        <v>897</v>
      </c>
      <c r="F801" s="115">
        <v>935.6</v>
      </c>
      <c r="G801">
        <v>226</v>
      </c>
      <c r="H801" s="115"/>
      <c r="I801" s="115"/>
      <c r="L801" s="160">
        <v>43180</v>
      </c>
      <c r="M801" s="115">
        <v>568.20000000000005</v>
      </c>
      <c r="N801" s="115">
        <v>588.25</v>
      </c>
      <c r="O801" s="115">
        <v>566.20000000000005</v>
      </c>
      <c r="P801" s="115">
        <v>588.25</v>
      </c>
      <c r="Q801" s="115">
        <v>568.20000000000005</v>
      </c>
      <c r="R801">
        <v>8769</v>
      </c>
    </row>
    <row r="802" spans="1:18" x14ac:dyDescent="0.25">
      <c r="A802" s="160">
        <v>43207</v>
      </c>
      <c r="B802" s="115">
        <v>950</v>
      </c>
      <c r="C802" s="115">
        <v>933</v>
      </c>
      <c r="D802" s="115">
        <v>906.7</v>
      </c>
      <c r="E802" s="115">
        <v>906.7</v>
      </c>
      <c r="F802" s="115">
        <v>933</v>
      </c>
      <c r="G802">
        <v>358</v>
      </c>
      <c r="H802" s="115"/>
      <c r="I802" s="115"/>
      <c r="L802" s="160">
        <v>43181</v>
      </c>
      <c r="M802" s="115">
        <v>570.65</v>
      </c>
      <c r="N802" s="115">
        <v>580</v>
      </c>
      <c r="O802" s="115">
        <v>570</v>
      </c>
      <c r="P802" s="115">
        <v>570</v>
      </c>
      <c r="Q802" s="115">
        <v>570.65</v>
      </c>
      <c r="R802">
        <v>10547</v>
      </c>
    </row>
    <row r="803" spans="1:18" x14ac:dyDescent="0.25">
      <c r="A803" s="160">
        <v>43208</v>
      </c>
      <c r="B803" s="115">
        <v>928</v>
      </c>
      <c r="C803" s="115">
        <v>909.95</v>
      </c>
      <c r="D803" s="115">
        <v>909.9</v>
      </c>
      <c r="E803" s="115">
        <v>928</v>
      </c>
      <c r="F803" s="115">
        <v>909.95</v>
      </c>
      <c r="G803">
        <v>821</v>
      </c>
      <c r="H803" s="115"/>
      <c r="I803" s="115"/>
      <c r="L803" s="160">
        <v>43182</v>
      </c>
      <c r="M803" s="115">
        <v>549.20000000000005</v>
      </c>
      <c r="N803" s="115">
        <v>570</v>
      </c>
      <c r="O803" s="115">
        <v>545</v>
      </c>
      <c r="P803" s="115">
        <v>570</v>
      </c>
      <c r="Q803" s="115">
        <v>549.20000000000005</v>
      </c>
      <c r="R803">
        <v>25933</v>
      </c>
    </row>
    <row r="804" spans="1:18" x14ac:dyDescent="0.25">
      <c r="A804" s="160">
        <v>43209</v>
      </c>
      <c r="B804" s="115">
        <v>920</v>
      </c>
      <c r="C804" s="115">
        <v>910.3</v>
      </c>
      <c r="D804" s="115">
        <v>895.4</v>
      </c>
      <c r="E804" s="115">
        <v>902.3</v>
      </c>
      <c r="F804" s="115">
        <v>910.3</v>
      </c>
      <c r="G804">
        <v>865</v>
      </c>
      <c r="H804" s="115"/>
      <c r="I804" s="115"/>
      <c r="L804" s="160">
        <v>43185</v>
      </c>
      <c r="M804" s="115">
        <v>545.95000000000005</v>
      </c>
      <c r="N804" s="115">
        <v>558</v>
      </c>
      <c r="O804" s="115">
        <v>542</v>
      </c>
      <c r="P804" s="115">
        <v>545</v>
      </c>
      <c r="Q804" s="115">
        <v>545.95000000000005</v>
      </c>
      <c r="R804">
        <v>24874</v>
      </c>
    </row>
    <row r="805" spans="1:18" x14ac:dyDescent="0.25">
      <c r="A805" s="160">
        <v>43210</v>
      </c>
      <c r="B805" s="115">
        <v>949</v>
      </c>
      <c r="C805" s="115">
        <v>934.05</v>
      </c>
      <c r="D805" s="115">
        <v>912.1</v>
      </c>
      <c r="E805" s="115">
        <v>946</v>
      </c>
      <c r="F805" s="115">
        <v>934.05</v>
      </c>
      <c r="G805">
        <v>645</v>
      </c>
      <c r="H805" s="115"/>
      <c r="I805" s="115"/>
      <c r="L805" s="160">
        <v>43186</v>
      </c>
      <c r="M805" s="115">
        <v>545.25</v>
      </c>
      <c r="N805" s="115">
        <v>558</v>
      </c>
      <c r="O805" s="115">
        <v>542.04999999999995</v>
      </c>
      <c r="P805" s="115">
        <v>558</v>
      </c>
      <c r="Q805" s="115">
        <v>545.25</v>
      </c>
      <c r="R805">
        <v>15405</v>
      </c>
    </row>
    <row r="806" spans="1:18" x14ac:dyDescent="0.25">
      <c r="A806" s="160">
        <v>43213</v>
      </c>
      <c r="B806" s="115">
        <v>940</v>
      </c>
      <c r="C806" s="115">
        <v>940</v>
      </c>
      <c r="D806" s="115">
        <v>905.25</v>
      </c>
      <c r="E806" s="115">
        <v>925</v>
      </c>
      <c r="F806" s="115">
        <v>940</v>
      </c>
      <c r="G806">
        <v>530</v>
      </c>
      <c r="H806" s="115"/>
      <c r="I806" s="115"/>
      <c r="L806" s="160">
        <v>43187</v>
      </c>
      <c r="M806" s="115">
        <v>550.79999999999995</v>
      </c>
      <c r="N806" s="115">
        <v>568.29999999999995</v>
      </c>
      <c r="O806" s="115">
        <v>536</v>
      </c>
      <c r="P806" s="115">
        <v>545.1</v>
      </c>
      <c r="Q806" s="115">
        <v>550.79999999999995</v>
      </c>
      <c r="R806">
        <v>21650</v>
      </c>
    </row>
    <row r="807" spans="1:18" x14ac:dyDescent="0.25">
      <c r="A807" s="160">
        <v>43214</v>
      </c>
      <c r="B807" s="115">
        <v>961.95</v>
      </c>
      <c r="C807" s="115">
        <v>931.45</v>
      </c>
      <c r="D807" s="115">
        <v>906.15</v>
      </c>
      <c r="E807" s="115">
        <v>907.35</v>
      </c>
      <c r="F807" s="115">
        <v>931.45</v>
      </c>
      <c r="G807">
        <v>1036</v>
      </c>
      <c r="H807" s="115"/>
      <c r="I807" s="115"/>
      <c r="L807" s="160">
        <v>43192</v>
      </c>
      <c r="M807" s="115">
        <v>574.1</v>
      </c>
      <c r="N807" s="115">
        <v>579.79999999999995</v>
      </c>
      <c r="O807" s="115">
        <v>550</v>
      </c>
      <c r="P807" s="115">
        <v>550</v>
      </c>
      <c r="Q807" s="115">
        <v>574.1</v>
      </c>
      <c r="R807">
        <v>9255</v>
      </c>
    </row>
    <row r="808" spans="1:18" x14ac:dyDescent="0.25">
      <c r="A808" s="160">
        <v>43215</v>
      </c>
      <c r="B808" s="115">
        <v>921.25</v>
      </c>
      <c r="C808" s="115">
        <v>910</v>
      </c>
      <c r="D808" s="115">
        <v>900</v>
      </c>
      <c r="E808" s="115">
        <v>916.5</v>
      </c>
      <c r="F808" s="115">
        <v>910</v>
      </c>
      <c r="G808">
        <v>1423</v>
      </c>
      <c r="H808" s="115"/>
      <c r="I808" s="115"/>
      <c r="L808" s="160">
        <v>43193</v>
      </c>
      <c r="M808" s="115">
        <v>588.75</v>
      </c>
      <c r="N808" s="115">
        <v>604.79999999999995</v>
      </c>
      <c r="O808" s="115">
        <v>567.29999999999995</v>
      </c>
      <c r="P808" s="115">
        <v>582</v>
      </c>
      <c r="Q808" s="115">
        <v>588.75</v>
      </c>
      <c r="R808">
        <v>9479</v>
      </c>
    </row>
    <row r="809" spans="1:18" x14ac:dyDescent="0.25">
      <c r="A809" s="160">
        <v>43216</v>
      </c>
      <c r="B809" s="115">
        <v>945</v>
      </c>
      <c r="C809" s="115">
        <v>904.7</v>
      </c>
      <c r="D809" s="115">
        <v>900</v>
      </c>
      <c r="E809" s="115">
        <v>900.1</v>
      </c>
      <c r="F809" s="115">
        <v>904.7</v>
      </c>
      <c r="G809">
        <v>879</v>
      </c>
      <c r="H809" s="115"/>
      <c r="I809" s="115"/>
      <c r="L809" s="160">
        <v>43194</v>
      </c>
      <c r="M809" s="115">
        <v>587.20000000000005</v>
      </c>
      <c r="N809" s="115">
        <v>610</v>
      </c>
      <c r="O809" s="115">
        <v>582.5</v>
      </c>
      <c r="P809" s="115">
        <v>599</v>
      </c>
      <c r="Q809" s="115">
        <v>587.20000000000005</v>
      </c>
      <c r="R809">
        <v>32774</v>
      </c>
    </row>
    <row r="810" spans="1:18" x14ac:dyDescent="0.25">
      <c r="A810" s="160">
        <v>43217</v>
      </c>
      <c r="B810" s="115">
        <v>947.7</v>
      </c>
      <c r="C810" s="115">
        <v>938.55</v>
      </c>
      <c r="D810" s="115">
        <v>890.1</v>
      </c>
      <c r="E810" s="115">
        <v>892</v>
      </c>
      <c r="F810" s="115">
        <v>938.55</v>
      </c>
      <c r="G810">
        <v>443</v>
      </c>
      <c r="H810" s="115"/>
      <c r="I810" s="115"/>
      <c r="L810" s="160">
        <v>43195</v>
      </c>
      <c r="M810" s="115">
        <v>587.29999999999995</v>
      </c>
      <c r="N810" s="115">
        <v>604</v>
      </c>
      <c r="O810" s="115">
        <v>584.1</v>
      </c>
      <c r="P810" s="115">
        <v>599.95000000000005</v>
      </c>
      <c r="Q810" s="115">
        <v>587.29999999999995</v>
      </c>
      <c r="R810">
        <v>12530</v>
      </c>
    </row>
    <row r="811" spans="1:18" x14ac:dyDescent="0.25">
      <c r="A811" s="160">
        <v>43220</v>
      </c>
      <c r="B811" s="115">
        <v>940.6</v>
      </c>
      <c r="C811" s="115">
        <v>930.25</v>
      </c>
      <c r="D811" s="115">
        <v>928.05</v>
      </c>
      <c r="E811" s="115">
        <v>940.6</v>
      </c>
      <c r="F811" s="115">
        <v>930.25</v>
      </c>
      <c r="G811">
        <v>722</v>
      </c>
      <c r="H811" s="115"/>
      <c r="I811" s="115"/>
      <c r="L811" s="160">
        <v>43196</v>
      </c>
      <c r="M811" s="115">
        <v>592.5</v>
      </c>
      <c r="N811" s="115">
        <v>606.9</v>
      </c>
      <c r="O811" s="115">
        <v>577.70000000000005</v>
      </c>
      <c r="P811" s="115">
        <v>594.29999999999995</v>
      </c>
      <c r="Q811" s="115">
        <v>592.5</v>
      </c>
      <c r="R811">
        <v>25473</v>
      </c>
    </row>
    <row r="812" spans="1:18" x14ac:dyDescent="0.25">
      <c r="A812" s="160">
        <v>43222</v>
      </c>
      <c r="B812" s="115">
        <v>987.95</v>
      </c>
      <c r="C812" s="115">
        <v>956.85</v>
      </c>
      <c r="D812" s="115">
        <v>920.2</v>
      </c>
      <c r="E812" s="115">
        <v>930</v>
      </c>
      <c r="F812" s="115">
        <v>956.85</v>
      </c>
      <c r="G812">
        <v>1524</v>
      </c>
      <c r="H812" s="115"/>
      <c r="I812" s="115"/>
      <c r="L812" s="160">
        <v>43199</v>
      </c>
      <c r="M812" s="115">
        <v>599.1</v>
      </c>
      <c r="N812" s="115">
        <v>601</v>
      </c>
      <c r="O812" s="115">
        <v>591</v>
      </c>
      <c r="P812" s="115">
        <v>591</v>
      </c>
      <c r="Q812" s="115">
        <v>599.1</v>
      </c>
      <c r="R812">
        <v>13241</v>
      </c>
    </row>
    <row r="813" spans="1:18" x14ac:dyDescent="0.25">
      <c r="A813" s="160">
        <v>43223</v>
      </c>
      <c r="B813" s="115">
        <v>960</v>
      </c>
      <c r="C813" s="115">
        <v>951.15</v>
      </c>
      <c r="D813" s="115">
        <v>932</v>
      </c>
      <c r="E813" s="115">
        <v>960</v>
      </c>
      <c r="F813" s="115">
        <v>951.15</v>
      </c>
      <c r="G813">
        <v>1184</v>
      </c>
      <c r="H813" s="115"/>
      <c r="I813" s="115"/>
      <c r="L813" s="160">
        <v>43200</v>
      </c>
      <c r="M813" s="115">
        <v>595</v>
      </c>
      <c r="N813" s="115">
        <v>606</v>
      </c>
      <c r="O813" s="115">
        <v>587.25</v>
      </c>
      <c r="P813" s="115">
        <v>604</v>
      </c>
      <c r="Q813" s="115">
        <v>595</v>
      </c>
      <c r="R813">
        <v>8657</v>
      </c>
    </row>
    <row r="814" spans="1:18" x14ac:dyDescent="0.25">
      <c r="A814" s="160">
        <v>43224</v>
      </c>
      <c r="B814" s="115">
        <v>969</v>
      </c>
      <c r="C814" s="115">
        <v>940</v>
      </c>
      <c r="D814" s="115">
        <v>940</v>
      </c>
      <c r="E814" s="115">
        <v>950.05</v>
      </c>
      <c r="F814" s="115">
        <v>940</v>
      </c>
      <c r="G814">
        <v>718</v>
      </c>
      <c r="H814" s="115"/>
      <c r="I814" s="115"/>
      <c r="L814" s="160">
        <v>43201</v>
      </c>
      <c r="M814" s="115">
        <v>604.9</v>
      </c>
      <c r="N814" s="115">
        <v>634.95000000000005</v>
      </c>
      <c r="O814" s="115">
        <v>587.04999999999995</v>
      </c>
      <c r="P814" s="115">
        <v>596.04999999999995</v>
      </c>
      <c r="Q814" s="115">
        <v>604.9</v>
      </c>
      <c r="R814">
        <v>72236</v>
      </c>
    </row>
    <row r="815" spans="1:18" x14ac:dyDescent="0.25">
      <c r="A815" s="160">
        <v>43227</v>
      </c>
      <c r="B815" s="115">
        <v>969</v>
      </c>
      <c r="C815" s="115">
        <v>962.85</v>
      </c>
      <c r="D815" s="115">
        <v>940</v>
      </c>
      <c r="E815" s="115">
        <v>940</v>
      </c>
      <c r="F815" s="115">
        <v>962.85</v>
      </c>
      <c r="G815">
        <v>542</v>
      </c>
      <c r="H815" s="115"/>
      <c r="I815" s="115"/>
      <c r="L815" s="160">
        <v>43202</v>
      </c>
      <c r="M815" s="115">
        <v>603.04999999999995</v>
      </c>
      <c r="N815" s="115">
        <v>633</v>
      </c>
      <c r="O815" s="115">
        <v>596</v>
      </c>
      <c r="P815" s="115">
        <v>599.75</v>
      </c>
      <c r="Q815" s="115">
        <v>603.04999999999995</v>
      </c>
      <c r="R815">
        <v>48458</v>
      </c>
    </row>
    <row r="816" spans="1:18" x14ac:dyDescent="0.25">
      <c r="A816" s="160">
        <v>43228</v>
      </c>
      <c r="B816" s="115">
        <v>988</v>
      </c>
      <c r="C816" s="115">
        <v>944.5</v>
      </c>
      <c r="D816" s="115">
        <v>942.2</v>
      </c>
      <c r="E816" s="115">
        <v>962.85</v>
      </c>
      <c r="F816" s="115">
        <v>944.5</v>
      </c>
      <c r="G816">
        <v>1141</v>
      </c>
      <c r="H816" s="115"/>
      <c r="I816" s="115"/>
      <c r="L816" s="160">
        <v>43203</v>
      </c>
      <c r="M816" s="115">
        <v>593.95000000000005</v>
      </c>
      <c r="N816" s="115">
        <v>622.9</v>
      </c>
      <c r="O816" s="115">
        <v>582.20000000000005</v>
      </c>
      <c r="P816" s="115">
        <v>611.70000000000005</v>
      </c>
      <c r="Q816" s="115">
        <v>593.95000000000005</v>
      </c>
      <c r="R816">
        <v>36951</v>
      </c>
    </row>
    <row r="817" spans="1:18" x14ac:dyDescent="0.25">
      <c r="A817" s="160">
        <v>43229</v>
      </c>
      <c r="B817" s="115">
        <v>949.8</v>
      </c>
      <c r="C817" s="115">
        <v>932.7</v>
      </c>
      <c r="D817" s="115">
        <v>930</v>
      </c>
      <c r="E817" s="115">
        <v>930.25</v>
      </c>
      <c r="F817" s="115">
        <v>932.7</v>
      </c>
      <c r="G817">
        <v>1171</v>
      </c>
      <c r="H817" s="115"/>
      <c r="I817" s="115"/>
      <c r="L817" s="160">
        <v>43206</v>
      </c>
      <c r="M817" s="115">
        <v>603.54999999999995</v>
      </c>
      <c r="N817" s="115">
        <v>610.4</v>
      </c>
      <c r="O817" s="115">
        <v>591.9</v>
      </c>
      <c r="P817" s="115">
        <v>594.79999999999995</v>
      </c>
      <c r="Q817" s="115">
        <v>603.54999999999995</v>
      </c>
      <c r="R817">
        <v>16598</v>
      </c>
    </row>
    <row r="818" spans="1:18" x14ac:dyDescent="0.25">
      <c r="A818" s="160">
        <v>43230</v>
      </c>
      <c r="B818" s="115">
        <v>949.95</v>
      </c>
      <c r="C818" s="115">
        <v>945.3</v>
      </c>
      <c r="D818" s="115">
        <v>922</v>
      </c>
      <c r="E818" s="115">
        <v>932.75</v>
      </c>
      <c r="F818" s="115">
        <v>945.3</v>
      </c>
      <c r="G818">
        <v>564</v>
      </c>
      <c r="H818" s="115"/>
      <c r="I818" s="115"/>
      <c r="L818" s="160">
        <v>43207</v>
      </c>
      <c r="M818" s="115">
        <v>602</v>
      </c>
      <c r="N818" s="115">
        <v>612.04999999999995</v>
      </c>
      <c r="O818" s="115">
        <v>600</v>
      </c>
      <c r="P818" s="115">
        <v>610</v>
      </c>
      <c r="Q818" s="115">
        <v>602</v>
      </c>
      <c r="R818">
        <v>22775</v>
      </c>
    </row>
    <row r="819" spans="1:18" x14ac:dyDescent="0.25">
      <c r="A819" s="160">
        <v>43231</v>
      </c>
      <c r="B819" s="115">
        <v>948.5</v>
      </c>
      <c r="C819" s="115">
        <v>948.5</v>
      </c>
      <c r="D819" s="115">
        <v>940</v>
      </c>
      <c r="E819" s="115">
        <v>940</v>
      </c>
      <c r="F819" s="115">
        <v>948.5</v>
      </c>
      <c r="G819">
        <v>110</v>
      </c>
      <c r="H819" s="115"/>
      <c r="I819" s="115"/>
      <c r="L819" s="160">
        <v>43208</v>
      </c>
      <c r="M819" s="115">
        <v>600.54999999999995</v>
      </c>
      <c r="N819" s="115">
        <v>607</v>
      </c>
      <c r="O819" s="115">
        <v>596.6</v>
      </c>
      <c r="P819" s="115">
        <v>597</v>
      </c>
      <c r="Q819" s="115">
        <v>600.54999999999995</v>
      </c>
      <c r="R819">
        <v>6711</v>
      </c>
    </row>
    <row r="820" spans="1:18" x14ac:dyDescent="0.25">
      <c r="A820" s="160">
        <v>43234</v>
      </c>
      <c r="B820" s="115">
        <v>964.8</v>
      </c>
      <c r="C820" s="115">
        <v>922</v>
      </c>
      <c r="D820" s="115">
        <v>901</v>
      </c>
      <c r="E820" s="115">
        <v>919</v>
      </c>
      <c r="F820" s="115">
        <v>922</v>
      </c>
      <c r="G820">
        <v>762</v>
      </c>
      <c r="H820" s="115"/>
      <c r="I820" s="115"/>
      <c r="L820" s="160">
        <v>43209</v>
      </c>
      <c r="M820" s="115">
        <v>593.85</v>
      </c>
      <c r="N820" s="115">
        <v>607</v>
      </c>
      <c r="O820" s="115">
        <v>587.1</v>
      </c>
      <c r="P820" s="115">
        <v>607</v>
      </c>
      <c r="Q820" s="115">
        <v>593.85</v>
      </c>
      <c r="R820">
        <v>18037</v>
      </c>
    </row>
    <row r="821" spans="1:18" x14ac:dyDescent="0.25">
      <c r="A821" s="160">
        <v>43235</v>
      </c>
      <c r="B821" s="115">
        <v>937</v>
      </c>
      <c r="C821" s="115">
        <v>905.35</v>
      </c>
      <c r="D821" s="115">
        <v>902</v>
      </c>
      <c r="E821" s="115">
        <v>930</v>
      </c>
      <c r="F821" s="115">
        <v>905.35</v>
      </c>
      <c r="G821">
        <v>633</v>
      </c>
      <c r="H821" s="115"/>
      <c r="I821" s="115"/>
      <c r="L821" s="160">
        <v>43210</v>
      </c>
      <c r="M821" s="115">
        <v>591.35</v>
      </c>
      <c r="N821" s="115">
        <v>600</v>
      </c>
      <c r="O821" s="115">
        <v>588.5</v>
      </c>
      <c r="P821" s="115">
        <v>600</v>
      </c>
      <c r="Q821" s="115">
        <v>591.35</v>
      </c>
      <c r="R821">
        <v>8413</v>
      </c>
    </row>
    <row r="822" spans="1:18" x14ac:dyDescent="0.25">
      <c r="A822" s="160">
        <v>43236</v>
      </c>
      <c r="B822" s="115">
        <v>910</v>
      </c>
      <c r="C822" s="115">
        <v>886.7</v>
      </c>
      <c r="D822" s="115">
        <v>880.25</v>
      </c>
      <c r="E822" s="115">
        <v>905</v>
      </c>
      <c r="F822" s="115">
        <v>886.7</v>
      </c>
      <c r="G822">
        <v>1667</v>
      </c>
      <c r="H822" s="115"/>
      <c r="I822" s="115"/>
      <c r="L822" s="160">
        <v>43213</v>
      </c>
      <c r="M822" s="115">
        <v>597.5</v>
      </c>
      <c r="N822" s="115">
        <v>602</v>
      </c>
      <c r="O822" s="115">
        <v>586.29999999999995</v>
      </c>
      <c r="P822" s="115">
        <v>586.29999999999995</v>
      </c>
      <c r="Q822" s="115">
        <v>597.5</v>
      </c>
      <c r="R822">
        <v>9201</v>
      </c>
    </row>
    <row r="823" spans="1:18" x14ac:dyDescent="0.25">
      <c r="A823" s="160">
        <v>43237</v>
      </c>
      <c r="B823" s="115">
        <v>911</v>
      </c>
      <c r="C823" s="115">
        <v>884.15</v>
      </c>
      <c r="D823" s="115">
        <v>873</v>
      </c>
      <c r="E823" s="115">
        <v>900</v>
      </c>
      <c r="F823" s="115">
        <v>884.15</v>
      </c>
      <c r="G823">
        <v>3685</v>
      </c>
      <c r="H823" s="115"/>
      <c r="I823" s="115"/>
      <c r="L823" s="160">
        <v>43214</v>
      </c>
      <c r="M823" s="115">
        <v>594.35</v>
      </c>
      <c r="N823" s="115">
        <v>606</v>
      </c>
      <c r="O823" s="115">
        <v>591.9</v>
      </c>
      <c r="P823" s="115">
        <v>599.70000000000005</v>
      </c>
      <c r="Q823" s="115">
        <v>594.35</v>
      </c>
      <c r="R823">
        <v>9739</v>
      </c>
    </row>
    <row r="824" spans="1:18" x14ac:dyDescent="0.25">
      <c r="A824" s="160">
        <v>43238</v>
      </c>
      <c r="B824" s="115">
        <v>925</v>
      </c>
      <c r="C824" s="115">
        <v>886</v>
      </c>
      <c r="D824" s="115">
        <v>880.25</v>
      </c>
      <c r="E824" s="115">
        <v>899</v>
      </c>
      <c r="F824" s="115">
        <v>886</v>
      </c>
      <c r="G824">
        <v>513</v>
      </c>
      <c r="H824" s="115"/>
      <c r="I824" s="115"/>
      <c r="L824" s="160">
        <v>43215</v>
      </c>
      <c r="M824" s="115">
        <v>599.04999999999995</v>
      </c>
      <c r="N824" s="115">
        <v>603.5</v>
      </c>
      <c r="O824" s="115">
        <v>588.20000000000005</v>
      </c>
      <c r="P824" s="115">
        <v>597</v>
      </c>
      <c r="Q824" s="115">
        <v>599.04999999999995</v>
      </c>
      <c r="R824">
        <v>12413</v>
      </c>
    </row>
    <row r="825" spans="1:18" x14ac:dyDescent="0.25">
      <c r="A825" s="160">
        <v>43241</v>
      </c>
      <c r="B825" s="115">
        <v>872.85</v>
      </c>
      <c r="C825" s="115">
        <v>850.1</v>
      </c>
      <c r="D825" s="115">
        <v>837</v>
      </c>
      <c r="E825" s="115">
        <v>860</v>
      </c>
      <c r="F825" s="115">
        <v>850.1</v>
      </c>
      <c r="G825">
        <v>1245</v>
      </c>
      <c r="H825" s="115"/>
      <c r="I825" s="115"/>
      <c r="L825" s="160">
        <v>43216</v>
      </c>
      <c r="M825" s="115">
        <v>595.75</v>
      </c>
      <c r="N825" s="115">
        <v>601.25</v>
      </c>
      <c r="O825" s="115">
        <v>592.4</v>
      </c>
      <c r="P825" s="115">
        <v>601.25</v>
      </c>
      <c r="Q825" s="115">
        <v>595.75</v>
      </c>
      <c r="R825">
        <v>8778</v>
      </c>
    </row>
    <row r="826" spans="1:18" x14ac:dyDescent="0.25">
      <c r="A826" s="160">
        <v>43242</v>
      </c>
      <c r="B826" s="115">
        <v>851</v>
      </c>
      <c r="C826" s="115">
        <v>850.15</v>
      </c>
      <c r="D826" s="115">
        <v>843</v>
      </c>
      <c r="E826" s="115">
        <v>850.1</v>
      </c>
      <c r="F826" s="115">
        <v>850.15</v>
      </c>
      <c r="G826">
        <v>208</v>
      </c>
      <c r="H826" s="115"/>
      <c r="I826" s="115"/>
      <c r="L826" s="160">
        <v>43217</v>
      </c>
      <c r="M826" s="115">
        <v>593.4</v>
      </c>
      <c r="N826" s="115">
        <v>599.79999999999995</v>
      </c>
      <c r="O826" s="115">
        <v>591.54999999999995</v>
      </c>
      <c r="P826" s="115">
        <v>598</v>
      </c>
      <c r="Q826" s="115">
        <v>593.4</v>
      </c>
      <c r="R826">
        <v>5704</v>
      </c>
    </row>
    <row r="827" spans="1:18" x14ac:dyDescent="0.25">
      <c r="A827" s="160">
        <v>43243</v>
      </c>
      <c r="B827" s="115">
        <v>869.95</v>
      </c>
      <c r="C827" s="115">
        <v>849</v>
      </c>
      <c r="D827" s="115">
        <v>840</v>
      </c>
      <c r="E827" s="115">
        <v>868</v>
      </c>
      <c r="F827" s="115">
        <v>849</v>
      </c>
      <c r="G827">
        <v>143</v>
      </c>
      <c r="H827" s="115"/>
      <c r="I827" s="115"/>
      <c r="L827" s="160">
        <v>43220</v>
      </c>
      <c r="M827" s="115">
        <v>592.04999999999995</v>
      </c>
      <c r="N827" s="115">
        <v>600</v>
      </c>
      <c r="O827" s="115">
        <v>591</v>
      </c>
      <c r="P827" s="115">
        <v>594.6</v>
      </c>
      <c r="Q827" s="115">
        <v>592.04999999999995</v>
      </c>
      <c r="R827">
        <v>8245</v>
      </c>
    </row>
    <row r="828" spans="1:18" x14ac:dyDescent="0.25">
      <c r="A828" s="160">
        <v>43244</v>
      </c>
      <c r="B828" s="115">
        <v>895.9</v>
      </c>
      <c r="C828" s="115">
        <v>891.95</v>
      </c>
      <c r="D828" s="115">
        <v>874</v>
      </c>
      <c r="E828" s="115">
        <v>874</v>
      </c>
      <c r="F828" s="115">
        <v>891.95</v>
      </c>
      <c r="G828">
        <v>950</v>
      </c>
      <c r="H828" s="115"/>
      <c r="I828" s="115"/>
      <c r="L828" s="160">
        <v>43222</v>
      </c>
      <c r="M828" s="115">
        <v>595.04999999999995</v>
      </c>
      <c r="N828" s="115">
        <v>601.25</v>
      </c>
      <c r="O828" s="115">
        <v>580.29999999999995</v>
      </c>
      <c r="P828" s="115">
        <v>596.9</v>
      </c>
      <c r="Q828" s="115">
        <v>595.04999999999995</v>
      </c>
      <c r="R828">
        <v>15236</v>
      </c>
    </row>
    <row r="829" spans="1:18" x14ac:dyDescent="0.25">
      <c r="A829" s="160">
        <v>43245</v>
      </c>
      <c r="B829" s="115">
        <v>924.95</v>
      </c>
      <c r="C829" s="115">
        <v>912.5</v>
      </c>
      <c r="D829" s="115">
        <v>850</v>
      </c>
      <c r="E829" s="115">
        <v>850</v>
      </c>
      <c r="F829" s="115">
        <v>912.5</v>
      </c>
      <c r="G829">
        <v>292</v>
      </c>
      <c r="H829" s="115"/>
      <c r="I829" s="115"/>
      <c r="L829" s="160">
        <v>43223</v>
      </c>
      <c r="M829" s="115">
        <v>585.04999999999995</v>
      </c>
      <c r="N829" s="115">
        <v>597</v>
      </c>
      <c r="O829" s="115">
        <v>584</v>
      </c>
      <c r="P829" s="115">
        <v>595.35</v>
      </c>
      <c r="Q829" s="115">
        <v>585.04999999999995</v>
      </c>
      <c r="R829">
        <v>6606</v>
      </c>
    </row>
    <row r="830" spans="1:18" x14ac:dyDescent="0.25">
      <c r="A830" s="160">
        <v>43248</v>
      </c>
      <c r="B830" s="115">
        <v>1035</v>
      </c>
      <c r="C830" s="115">
        <v>1023.15</v>
      </c>
      <c r="D830" s="115">
        <v>912.5</v>
      </c>
      <c r="E830" s="115">
        <v>912.5</v>
      </c>
      <c r="F830" s="115">
        <v>1023.15</v>
      </c>
      <c r="G830">
        <v>3402</v>
      </c>
      <c r="H830" s="115"/>
      <c r="I830" s="115"/>
      <c r="L830" s="160">
        <v>43224</v>
      </c>
      <c r="M830" s="115">
        <v>594.85</v>
      </c>
      <c r="N830" s="115">
        <v>597.29999999999995</v>
      </c>
      <c r="O830" s="115">
        <v>581</v>
      </c>
      <c r="P830" s="115">
        <v>585.85</v>
      </c>
      <c r="Q830" s="115">
        <v>594.85</v>
      </c>
      <c r="R830">
        <v>8657</v>
      </c>
    </row>
    <row r="831" spans="1:18" x14ac:dyDescent="0.25">
      <c r="A831" s="160">
        <v>43249</v>
      </c>
      <c r="B831" s="115">
        <v>1049</v>
      </c>
      <c r="C831" s="115">
        <v>995.95</v>
      </c>
      <c r="D831" s="115">
        <v>977.55</v>
      </c>
      <c r="E831" s="115">
        <v>1030</v>
      </c>
      <c r="F831" s="115">
        <v>995.95</v>
      </c>
      <c r="G831">
        <v>2305</v>
      </c>
      <c r="H831" s="115"/>
      <c r="I831" s="115"/>
      <c r="L831" s="160">
        <v>43227</v>
      </c>
      <c r="M831" s="115">
        <v>594.65</v>
      </c>
      <c r="N831" s="115">
        <v>598.29999999999995</v>
      </c>
      <c r="O831" s="115">
        <v>590</v>
      </c>
      <c r="P831" s="115">
        <v>598.29999999999995</v>
      </c>
      <c r="Q831" s="115">
        <v>594.65</v>
      </c>
      <c r="R831">
        <v>7165</v>
      </c>
    </row>
    <row r="832" spans="1:18" x14ac:dyDescent="0.25">
      <c r="A832" s="160">
        <v>43250</v>
      </c>
      <c r="B832" s="115">
        <v>999</v>
      </c>
      <c r="C832" s="115">
        <v>960.2</v>
      </c>
      <c r="D832" s="115">
        <v>960</v>
      </c>
      <c r="E832" s="115">
        <v>999</v>
      </c>
      <c r="F832" s="115">
        <v>960.2</v>
      </c>
      <c r="G832">
        <v>593</v>
      </c>
      <c r="H832" s="115"/>
      <c r="I832" s="115"/>
      <c r="L832" s="160">
        <v>43228</v>
      </c>
      <c r="M832" s="115">
        <v>596.85</v>
      </c>
      <c r="N832" s="115">
        <v>599</v>
      </c>
      <c r="O832" s="115">
        <v>581.6</v>
      </c>
      <c r="P832" s="115">
        <v>597.35</v>
      </c>
      <c r="Q832" s="115">
        <v>596.85</v>
      </c>
      <c r="R832">
        <v>7248</v>
      </c>
    </row>
    <row r="833" spans="1:18" x14ac:dyDescent="0.25">
      <c r="A833" s="160">
        <v>43251</v>
      </c>
      <c r="B833" s="115">
        <v>951</v>
      </c>
      <c r="C833" s="115">
        <v>890.55</v>
      </c>
      <c r="D833" s="115">
        <v>877.05</v>
      </c>
      <c r="E833" s="115">
        <v>941.5</v>
      </c>
      <c r="F833" s="115">
        <v>890.55</v>
      </c>
      <c r="G833">
        <v>4432</v>
      </c>
      <c r="H833" s="115"/>
      <c r="I833" s="115"/>
      <c r="L833" s="160">
        <v>43229</v>
      </c>
      <c r="M833" s="115">
        <v>595.35</v>
      </c>
      <c r="N833" s="115">
        <v>599.9</v>
      </c>
      <c r="O833" s="115">
        <v>588.75</v>
      </c>
      <c r="P833" s="115">
        <v>598.9</v>
      </c>
      <c r="Q833" s="115">
        <v>595.35</v>
      </c>
      <c r="R833">
        <v>9462</v>
      </c>
    </row>
    <row r="834" spans="1:18" x14ac:dyDescent="0.25">
      <c r="A834" s="160">
        <v>43252</v>
      </c>
      <c r="B834" s="115">
        <v>888.95</v>
      </c>
      <c r="C834" s="115">
        <v>865.7</v>
      </c>
      <c r="D834" s="115">
        <v>860</v>
      </c>
      <c r="E834" s="115">
        <v>860</v>
      </c>
      <c r="F834" s="115">
        <v>865.7</v>
      </c>
      <c r="G834">
        <v>825</v>
      </c>
      <c r="H834" s="115"/>
      <c r="I834" s="115"/>
      <c r="L834" s="160">
        <v>43230</v>
      </c>
      <c r="M834" s="115">
        <v>595</v>
      </c>
      <c r="N834" s="115">
        <v>597</v>
      </c>
      <c r="O834" s="115">
        <v>579.65</v>
      </c>
      <c r="P834" s="115">
        <v>594.5</v>
      </c>
      <c r="Q834" s="115">
        <v>595</v>
      </c>
      <c r="R834">
        <v>7113</v>
      </c>
    </row>
    <row r="835" spans="1:18" x14ac:dyDescent="0.25">
      <c r="A835" s="160">
        <v>43255</v>
      </c>
      <c r="B835" s="115">
        <v>851</v>
      </c>
      <c r="C835" s="115">
        <v>834.35</v>
      </c>
      <c r="D835" s="115">
        <v>832.55</v>
      </c>
      <c r="E835" s="115">
        <v>850</v>
      </c>
      <c r="F835" s="115">
        <v>834.35</v>
      </c>
      <c r="G835">
        <v>266</v>
      </c>
      <c r="H835" s="115"/>
      <c r="I835" s="115"/>
      <c r="L835" s="160">
        <v>43231</v>
      </c>
      <c r="M835" s="115">
        <v>593.20000000000005</v>
      </c>
      <c r="N835" s="115">
        <v>595.79999999999995</v>
      </c>
      <c r="O835" s="115">
        <v>581.5</v>
      </c>
      <c r="P835" s="115">
        <v>590.1</v>
      </c>
      <c r="Q835" s="115">
        <v>593.20000000000005</v>
      </c>
      <c r="R835">
        <v>7441</v>
      </c>
    </row>
    <row r="836" spans="1:18" x14ac:dyDescent="0.25">
      <c r="A836" s="160">
        <v>43256</v>
      </c>
      <c r="B836" s="115">
        <v>837</v>
      </c>
      <c r="C836" s="115">
        <v>799.25</v>
      </c>
      <c r="D836" s="115">
        <v>785</v>
      </c>
      <c r="E836" s="115">
        <v>795</v>
      </c>
      <c r="F836" s="115">
        <v>799.25</v>
      </c>
      <c r="G836">
        <v>696</v>
      </c>
      <c r="H836" s="115"/>
      <c r="I836" s="115"/>
      <c r="L836" s="160">
        <v>43234</v>
      </c>
      <c r="M836" s="115">
        <v>577.75</v>
      </c>
      <c r="N836" s="115">
        <v>594.04999999999995</v>
      </c>
      <c r="O836" s="115">
        <v>575.04999999999995</v>
      </c>
      <c r="P836" s="115">
        <v>590.04999999999995</v>
      </c>
      <c r="Q836" s="115">
        <v>577.75</v>
      </c>
      <c r="R836">
        <v>6956</v>
      </c>
    </row>
    <row r="837" spans="1:18" x14ac:dyDescent="0.25">
      <c r="A837" s="160">
        <v>43257</v>
      </c>
      <c r="B837" s="115">
        <v>829.85</v>
      </c>
      <c r="C837" s="115">
        <v>823.1</v>
      </c>
      <c r="D837" s="115">
        <v>751</v>
      </c>
      <c r="E837" s="115">
        <v>785</v>
      </c>
      <c r="F837" s="115">
        <v>823.1</v>
      </c>
      <c r="G837">
        <v>545</v>
      </c>
      <c r="H837" s="115"/>
      <c r="I837" s="115"/>
      <c r="L837" s="160">
        <v>43235</v>
      </c>
      <c r="M837" s="115">
        <v>581.54999999999995</v>
      </c>
      <c r="N837" s="115">
        <v>594</v>
      </c>
      <c r="O837" s="115">
        <v>557</v>
      </c>
      <c r="P837" s="115">
        <v>577.75</v>
      </c>
      <c r="Q837" s="115">
        <v>581.54999999999995</v>
      </c>
      <c r="R837">
        <v>10385</v>
      </c>
    </row>
    <row r="838" spans="1:18" x14ac:dyDescent="0.25">
      <c r="A838" s="160">
        <v>43258</v>
      </c>
      <c r="B838" s="115">
        <v>846</v>
      </c>
      <c r="C838" s="115">
        <v>839.25</v>
      </c>
      <c r="D838" s="115">
        <v>804</v>
      </c>
      <c r="E838" s="115">
        <v>846</v>
      </c>
      <c r="F838" s="115">
        <v>839.25</v>
      </c>
      <c r="G838">
        <v>111</v>
      </c>
      <c r="H838" s="115"/>
      <c r="I838" s="115"/>
      <c r="L838" s="160">
        <v>43236</v>
      </c>
      <c r="M838" s="115">
        <v>582.20000000000005</v>
      </c>
      <c r="N838" s="115">
        <v>589</v>
      </c>
      <c r="O838" s="115">
        <v>569</v>
      </c>
      <c r="P838" s="115">
        <v>579.29999999999995</v>
      </c>
      <c r="Q838" s="115">
        <v>582.20000000000005</v>
      </c>
      <c r="R838">
        <v>7436</v>
      </c>
    </row>
    <row r="839" spans="1:18" x14ac:dyDescent="0.25">
      <c r="A839" s="160">
        <v>43259</v>
      </c>
      <c r="B839" s="115">
        <v>820</v>
      </c>
      <c r="C839" s="115">
        <v>800.15</v>
      </c>
      <c r="D839" s="115">
        <v>799</v>
      </c>
      <c r="E839" s="115">
        <v>820</v>
      </c>
      <c r="F839" s="115">
        <v>800.15</v>
      </c>
      <c r="G839">
        <v>542</v>
      </c>
      <c r="H839" s="115"/>
      <c r="I839" s="115"/>
      <c r="L839" s="160">
        <v>43237</v>
      </c>
      <c r="M839" s="115">
        <v>578.6</v>
      </c>
      <c r="N839" s="115">
        <v>589.35</v>
      </c>
      <c r="O839" s="115">
        <v>575.04999999999995</v>
      </c>
      <c r="P839" s="115">
        <v>584.20000000000005</v>
      </c>
      <c r="Q839" s="115">
        <v>578.6</v>
      </c>
      <c r="R839">
        <v>6106</v>
      </c>
    </row>
    <row r="840" spans="1:18" x14ac:dyDescent="0.25">
      <c r="A840" s="160">
        <v>43262</v>
      </c>
      <c r="B840" s="115">
        <v>836.7</v>
      </c>
      <c r="C840" s="115">
        <v>836.7</v>
      </c>
      <c r="D840" s="115">
        <v>800.15</v>
      </c>
      <c r="E840" s="115">
        <v>800.15</v>
      </c>
      <c r="F840" s="115">
        <v>836.7</v>
      </c>
      <c r="G840">
        <v>28</v>
      </c>
      <c r="H840" s="115"/>
      <c r="I840" s="115"/>
      <c r="L840" s="160">
        <v>43238</v>
      </c>
      <c r="M840" s="115">
        <v>569.9</v>
      </c>
      <c r="N840" s="115">
        <v>583</v>
      </c>
      <c r="O840" s="115">
        <v>565.25</v>
      </c>
      <c r="P840" s="115">
        <v>577.85</v>
      </c>
      <c r="Q840" s="115">
        <v>569.9</v>
      </c>
      <c r="R840">
        <v>9962</v>
      </c>
    </row>
    <row r="841" spans="1:18" x14ac:dyDescent="0.25">
      <c r="A841" s="160">
        <v>43263</v>
      </c>
      <c r="B841" s="115">
        <v>840</v>
      </c>
      <c r="C841" s="115">
        <v>825.55</v>
      </c>
      <c r="D841" s="115">
        <v>800</v>
      </c>
      <c r="E841" s="115">
        <v>840</v>
      </c>
      <c r="F841" s="115">
        <v>825.55</v>
      </c>
      <c r="G841">
        <v>600</v>
      </c>
      <c r="H841" s="115"/>
      <c r="I841" s="115"/>
      <c r="L841" s="160">
        <v>43241</v>
      </c>
      <c r="M841" s="115">
        <v>563.65</v>
      </c>
      <c r="N841" s="115">
        <v>580</v>
      </c>
      <c r="O841" s="115">
        <v>556.1</v>
      </c>
      <c r="P841" s="115">
        <v>580</v>
      </c>
      <c r="Q841" s="115">
        <v>563.65</v>
      </c>
      <c r="R841">
        <v>13361</v>
      </c>
    </row>
    <row r="842" spans="1:18" x14ac:dyDescent="0.25">
      <c r="A842" s="160">
        <v>43264</v>
      </c>
      <c r="B842" s="115">
        <v>827</v>
      </c>
      <c r="C842" s="115">
        <v>806.65</v>
      </c>
      <c r="D842" s="115">
        <v>805.55</v>
      </c>
      <c r="E842" s="115">
        <v>827</v>
      </c>
      <c r="F842" s="115">
        <v>806.65</v>
      </c>
      <c r="G842">
        <v>68</v>
      </c>
      <c r="H842" s="115"/>
      <c r="I842" s="115"/>
      <c r="L842" s="160">
        <v>43242</v>
      </c>
      <c r="M842" s="115">
        <v>570.29999999999995</v>
      </c>
      <c r="N842" s="115">
        <v>575</v>
      </c>
      <c r="O842" s="115">
        <v>555.04999999999995</v>
      </c>
      <c r="P842" s="115">
        <v>563.54999999999995</v>
      </c>
      <c r="Q842" s="115">
        <v>570.29999999999995</v>
      </c>
      <c r="R842">
        <v>13428</v>
      </c>
    </row>
    <row r="843" spans="1:18" x14ac:dyDescent="0.25">
      <c r="A843" s="160">
        <v>43265</v>
      </c>
      <c r="B843" s="115">
        <v>810</v>
      </c>
      <c r="C843" s="115">
        <v>806.05</v>
      </c>
      <c r="D843" s="115">
        <v>800</v>
      </c>
      <c r="E843" s="115">
        <v>803.7</v>
      </c>
      <c r="F843" s="115">
        <v>806.05</v>
      </c>
      <c r="G843">
        <v>238</v>
      </c>
      <c r="H843" s="115"/>
      <c r="I843" s="115"/>
      <c r="L843" s="160">
        <v>43243</v>
      </c>
      <c r="M843" s="115">
        <v>584</v>
      </c>
      <c r="N843" s="115">
        <v>590</v>
      </c>
      <c r="O843" s="115">
        <v>563.04999999999995</v>
      </c>
      <c r="P843" s="115">
        <v>580</v>
      </c>
      <c r="Q843" s="115">
        <v>584</v>
      </c>
      <c r="R843">
        <v>20875</v>
      </c>
    </row>
    <row r="844" spans="1:18" x14ac:dyDescent="0.25">
      <c r="A844" s="160">
        <v>43266</v>
      </c>
      <c r="B844" s="115">
        <v>818.95</v>
      </c>
      <c r="C844" s="115">
        <v>818.95</v>
      </c>
      <c r="D844" s="115">
        <v>801</v>
      </c>
      <c r="E844" s="115">
        <v>801</v>
      </c>
      <c r="F844" s="115">
        <v>818.95</v>
      </c>
      <c r="G844">
        <v>485</v>
      </c>
      <c r="H844" s="115"/>
      <c r="I844" s="115"/>
      <c r="L844" s="160">
        <v>43244</v>
      </c>
      <c r="M844" s="115">
        <v>579.29999999999995</v>
      </c>
      <c r="N844" s="115">
        <v>594</v>
      </c>
      <c r="O844" s="115">
        <v>570</v>
      </c>
      <c r="P844" s="115">
        <v>594</v>
      </c>
      <c r="Q844" s="115">
        <v>579.29999999999995</v>
      </c>
      <c r="R844">
        <v>15846</v>
      </c>
    </row>
    <row r="845" spans="1:18" x14ac:dyDescent="0.25">
      <c r="A845" s="160">
        <v>43269</v>
      </c>
      <c r="B845" s="115">
        <v>841</v>
      </c>
      <c r="C845" s="115">
        <v>830.7</v>
      </c>
      <c r="D845" s="115">
        <v>761</v>
      </c>
      <c r="E845" s="115">
        <v>777</v>
      </c>
      <c r="F845" s="115">
        <v>830.7</v>
      </c>
      <c r="G845">
        <v>1260</v>
      </c>
      <c r="H845" s="115"/>
      <c r="I845" s="115"/>
      <c r="L845" s="160">
        <v>43245</v>
      </c>
      <c r="M845" s="115">
        <v>587.4</v>
      </c>
      <c r="N845" s="115">
        <v>590</v>
      </c>
      <c r="O845" s="115">
        <v>571.20000000000005</v>
      </c>
      <c r="P845" s="115">
        <v>581.20000000000005</v>
      </c>
      <c r="Q845" s="115">
        <v>587.4</v>
      </c>
      <c r="R845">
        <v>12213</v>
      </c>
    </row>
    <row r="846" spans="1:18" x14ac:dyDescent="0.25">
      <c r="A846" s="160">
        <v>43270</v>
      </c>
      <c r="B846" s="115">
        <v>823.95</v>
      </c>
      <c r="C846" s="115">
        <v>803.65</v>
      </c>
      <c r="D846" s="115">
        <v>802</v>
      </c>
      <c r="E846" s="115">
        <v>806</v>
      </c>
      <c r="F846" s="115">
        <v>803.65</v>
      </c>
      <c r="G846">
        <v>911</v>
      </c>
      <c r="H846" s="115"/>
      <c r="I846" s="115"/>
      <c r="L846" s="160">
        <v>43248</v>
      </c>
      <c r="M846" s="115">
        <v>588.5</v>
      </c>
      <c r="N846" s="115">
        <v>595.95000000000005</v>
      </c>
      <c r="O846" s="115">
        <v>580.15</v>
      </c>
      <c r="P846" s="115">
        <v>587.4</v>
      </c>
      <c r="Q846" s="115">
        <v>588.5</v>
      </c>
      <c r="R846">
        <v>11212</v>
      </c>
    </row>
    <row r="847" spans="1:18" x14ac:dyDescent="0.25">
      <c r="A847" s="160">
        <v>43271</v>
      </c>
      <c r="B847" s="115">
        <v>825</v>
      </c>
      <c r="C847" s="115">
        <v>825</v>
      </c>
      <c r="D847" s="115">
        <v>803.05</v>
      </c>
      <c r="E847" s="115">
        <v>819.65</v>
      </c>
      <c r="F847" s="115">
        <v>825</v>
      </c>
      <c r="G847">
        <v>602</v>
      </c>
      <c r="H847" s="115"/>
      <c r="I847" s="115"/>
      <c r="L847" s="160">
        <v>43249</v>
      </c>
      <c r="M847" s="115">
        <v>585.04999999999995</v>
      </c>
      <c r="N847" s="115">
        <v>595</v>
      </c>
      <c r="O847" s="115">
        <v>581.1</v>
      </c>
      <c r="P847" s="115">
        <v>595</v>
      </c>
      <c r="Q847" s="115">
        <v>585.04999999999995</v>
      </c>
      <c r="R847">
        <v>12877</v>
      </c>
    </row>
    <row r="848" spans="1:18" x14ac:dyDescent="0.25">
      <c r="A848" s="160">
        <v>43272</v>
      </c>
      <c r="B848" s="115">
        <v>820</v>
      </c>
      <c r="C848" s="115">
        <v>796.15</v>
      </c>
      <c r="D848" s="115">
        <v>795.25</v>
      </c>
      <c r="E848" s="115">
        <v>804.3</v>
      </c>
      <c r="F848" s="115">
        <v>796.15</v>
      </c>
      <c r="G848">
        <v>2034</v>
      </c>
      <c r="H848" s="115"/>
      <c r="I848" s="115"/>
      <c r="L848" s="160">
        <v>43250</v>
      </c>
      <c r="M848" s="115">
        <v>575.29999999999995</v>
      </c>
      <c r="N848" s="115">
        <v>592.85</v>
      </c>
      <c r="O848" s="115">
        <v>572</v>
      </c>
      <c r="P848" s="115">
        <v>589.95000000000005</v>
      </c>
      <c r="Q848" s="115">
        <v>575.29999999999995</v>
      </c>
      <c r="R848">
        <v>11494</v>
      </c>
    </row>
    <row r="849" spans="1:18" x14ac:dyDescent="0.25">
      <c r="A849" s="160">
        <v>43273</v>
      </c>
      <c r="B849" s="115">
        <v>834</v>
      </c>
      <c r="C849" s="115">
        <v>825</v>
      </c>
      <c r="D849" s="115">
        <v>808.1</v>
      </c>
      <c r="E849" s="115">
        <v>815.6</v>
      </c>
      <c r="F849" s="115">
        <v>825</v>
      </c>
      <c r="G849">
        <v>458</v>
      </c>
      <c r="H849" s="115"/>
      <c r="I849" s="115"/>
      <c r="L849" s="160">
        <v>43251</v>
      </c>
      <c r="M849" s="115">
        <v>573.65</v>
      </c>
      <c r="N849" s="115">
        <v>579.95000000000005</v>
      </c>
      <c r="O849" s="115">
        <v>565.04999999999995</v>
      </c>
      <c r="P849" s="115">
        <v>577</v>
      </c>
      <c r="Q849" s="115">
        <v>573.65</v>
      </c>
      <c r="R849">
        <v>10840</v>
      </c>
    </row>
    <row r="850" spans="1:18" x14ac:dyDescent="0.25">
      <c r="A850" s="160">
        <v>43276</v>
      </c>
      <c r="B850" s="115">
        <v>825</v>
      </c>
      <c r="C850" s="115">
        <v>781.4</v>
      </c>
      <c r="D850" s="115">
        <v>775</v>
      </c>
      <c r="E850" s="115">
        <v>825</v>
      </c>
      <c r="F850" s="115">
        <v>781.4</v>
      </c>
      <c r="G850">
        <v>1251</v>
      </c>
      <c r="H850" s="115"/>
      <c r="I850" s="115"/>
      <c r="L850" s="160">
        <v>43252</v>
      </c>
      <c r="M850" s="115">
        <v>566.04999999999995</v>
      </c>
      <c r="N850" s="115">
        <v>580</v>
      </c>
      <c r="O850" s="115">
        <v>560.04999999999995</v>
      </c>
      <c r="P850" s="115">
        <v>580</v>
      </c>
      <c r="Q850" s="115">
        <v>566.04999999999995</v>
      </c>
      <c r="R850">
        <v>6242</v>
      </c>
    </row>
    <row r="851" spans="1:18" x14ac:dyDescent="0.25">
      <c r="A851" s="160">
        <v>43277</v>
      </c>
      <c r="B851" s="115">
        <v>797.95</v>
      </c>
      <c r="C851" s="115">
        <v>770.5</v>
      </c>
      <c r="D851" s="115">
        <v>766</v>
      </c>
      <c r="E851" s="115">
        <v>797.95</v>
      </c>
      <c r="F851" s="115">
        <v>770.5</v>
      </c>
      <c r="G851">
        <v>1035</v>
      </c>
      <c r="H851" s="115"/>
      <c r="I851" s="115"/>
      <c r="L851" s="160">
        <v>43255</v>
      </c>
      <c r="M851" s="115">
        <v>556.95000000000005</v>
      </c>
      <c r="N851" s="115">
        <v>568.95000000000005</v>
      </c>
      <c r="O851" s="115">
        <v>555.04999999999995</v>
      </c>
      <c r="P851" s="115">
        <v>560.45000000000005</v>
      </c>
      <c r="Q851" s="115">
        <v>556.95000000000005</v>
      </c>
      <c r="R851">
        <v>9758</v>
      </c>
    </row>
    <row r="852" spans="1:18" x14ac:dyDescent="0.25">
      <c r="A852" s="160">
        <v>43278</v>
      </c>
      <c r="B852" s="115">
        <v>775</v>
      </c>
      <c r="C852" s="115">
        <v>758.3</v>
      </c>
      <c r="D852" s="115">
        <v>755.55</v>
      </c>
      <c r="E852" s="115">
        <v>770.5</v>
      </c>
      <c r="F852" s="115">
        <v>758.3</v>
      </c>
      <c r="G852">
        <v>766</v>
      </c>
      <c r="H852" s="115"/>
      <c r="I852" s="115"/>
      <c r="L852" s="160">
        <v>43256</v>
      </c>
      <c r="M852" s="115">
        <v>532.25</v>
      </c>
      <c r="N852" s="115">
        <v>555.75</v>
      </c>
      <c r="O852" s="115">
        <v>527.4</v>
      </c>
      <c r="P852" s="115">
        <v>555</v>
      </c>
      <c r="Q852" s="115">
        <v>532.25</v>
      </c>
      <c r="R852">
        <v>16979</v>
      </c>
    </row>
    <row r="853" spans="1:18" x14ac:dyDescent="0.25">
      <c r="A853" s="160">
        <v>43279</v>
      </c>
      <c r="B853" s="115">
        <v>754</v>
      </c>
      <c r="C853" s="115">
        <v>754</v>
      </c>
      <c r="D853" s="115">
        <v>752</v>
      </c>
      <c r="E853" s="115">
        <v>752.05</v>
      </c>
      <c r="F853" s="115">
        <v>754</v>
      </c>
      <c r="G853">
        <v>104</v>
      </c>
      <c r="H853" s="115"/>
      <c r="I853" s="115"/>
      <c r="L853" s="160">
        <v>43257</v>
      </c>
      <c r="M853" s="115">
        <v>545.1</v>
      </c>
      <c r="N853" s="115">
        <v>554.95000000000005</v>
      </c>
      <c r="O853" s="115">
        <v>531.95000000000005</v>
      </c>
      <c r="P853" s="115">
        <v>532</v>
      </c>
      <c r="Q853" s="115">
        <v>545.1</v>
      </c>
      <c r="R853">
        <v>29660</v>
      </c>
    </row>
    <row r="854" spans="1:18" x14ac:dyDescent="0.25">
      <c r="A854" s="160">
        <v>43280</v>
      </c>
      <c r="B854" s="115">
        <v>780</v>
      </c>
      <c r="C854" s="115">
        <v>777.15</v>
      </c>
      <c r="D854" s="115">
        <v>760.05</v>
      </c>
      <c r="E854" s="115">
        <v>779.95</v>
      </c>
      <c r="F854" s="115">
        <v>777.15</v>
      </c>
      <c r="G854">
        <v>362</v>
      </c>
      <c r="H854" s="115"/>
      <c r="I854" s="115"/>
      <c r="L854" s="160">
        <v>43258</v>
      </c>
      <c r="M854" s="115">
        <v>549.75</v>
      </c>
      <c r="N854" s="115">
        <v>557.65</v>
      </c>
      <c r="O854" s="115">
        <v>543.9</v>
      </c>
      <c r="P854" s="115">
        <v>549.95000000000005</v>
      </c>
      <c r="Q854" s="115">
        <v>549.75</v>
      </c>
      <c r="R854">
        <v>14369</v>
      </c>
    </row>
    <row r="855" spans="1:18" x14ac:dyDescent="0.25">
      <c r="A855" s="160">
        <v>43283</v>
      </c>
      <c r="B855" s="115">
        <v>779.7</v>
      </c>
      <c r="C855" s="115">
        <v>752.15</v>
      </c>
      <c r="D855" s="115">
        <v>746.05</v>
      </c>
      <c r="E855" s="115">
        <v>746.05</v>
      </c>
      <c r="F855" s="115">
        <v>752.15</v>
      </c>
      <c r="G855">
        <v>174</v>
      </c>
      <c r="H855" s="115"/>
      <c r="I855" s="115"/>
      <c r="L855" s="160">
        <v>43259</v>
      </c>
      <c r="M855" s="115">
        <v>560.95000000000005</v>
      </c>
      <c r="N855" s="115">
        <v>567.15</v>
      </c>
      <c r="O855" s="115">
        <v>545.6</v>
      </c>
      <c r="P855" s="115">
        <v>545.6</v>
      </c>
      <c r="Q855" s="115">
        <v>560.95000000000005</v>
      </c>
      <c r="R855">
        <v>11143</v>
      </c>
    </row>
    <row r="856" spans="1:18" x14ac:dyDescent="0.25">
      <c r="A856" s="160">
        <v>43284</v>
      </c>
      <c r="B856" s="115">
        <v>770</v>
      </c>
      <c r="C856" s="115">
        <v>770</v>
      </c>
      <c r="D856" s="115">
        <v>745.25</v>
      </c>
      <c r="E856" s="115">
        <v>745.25</v>
      </c>
      <c r="F856" s="115">
        <v>770</v>
      </c>
      <c r="G856">
        <v>11</v>
      </c>
      <c r="H856" s="115"/>
      <c r="I856" s="115"/>
      <c r="L856" s="160">
        <v>43262</v>
      </c>
      <c r="M856" s="115">
        <v>569.04999999999995</v>
      </c>
      <c r="N856" s="115">
        <v>582.95000000000005</v>
      </c>
      <c r="O856" s="115">
        <v>560</v>
      </c>
      <c r="P856" s="115">
        <v>570</v>
      </c>
      <c r="Q856" s="115">
        <v>569.04999999999995</v>
      </c>
      <c r="R856">
        <v>11800</v>
      </c>
    </row>
    <row r="857" spans="1:18" x14ac:dyDescent="0.25">
      <c r="A857" s="160">
        <v>43285</v>
      </c>
      <c r="B857" s="115">
        <v>798</v>
      </c>
      <c r="C857" s="115">
        <v>780.7</v>
      </c>
      <c r="D857" s="115">
        <v>760</v>
      </c>
      <c r="E857" s="115">
        <v>770</v>
      </c>
      <c r="F857" s="115">
        <v>780.7</v>
      </c>
      <c r="G857">
        <v>764</v>
      </c>
      <c r="H857" s="115"/>
      <c r="I857" s="115"/>
      <c r="L857" s="160">
        <v>43263</v>
      </c>
      <c r="M857" s="115">
        <v>568.70000000000005</v>
      </c>
      <c r="N857" s="115">
        <v>575.35</v>
      </c>
      <c r="O857" s="115">
        <v>562.15</v>
      </c>
      <c r="P857" s="115">
        <v>570</v>
      </c>
      <c r="Q857" s="115">
        <v>568.70000000000005</v>
      </c>
      <c r="R857">
        <v>6038</v>
      </c>
    </row>
    <row r="858" spans="1:18" x14ac:dyDescent="0.25">
      <c r="A858" s="160">
        <v>43286</v>
      </c>
      <c r="B858" s="115">
        <v>766.2</v>
      </c>
      <c r="C858" s="115">
        <v>761.35</v>
      </c>
      <c r="D858" s="115">
        <v>752</v>
      </c>
      <c r="E858" s="115">
        <v>763.5</v>
      </c>
      <c r="F858" s="115">
        <v>761.35</v>
      </c>
      <c r="G858">
        <v>756</v>
      </c>
      <c r="H858" s="115"/>
      <c r="I858" s="115"/>
      <c r="L858" s="160">
        <v>43264</v>
      </c>
      <c r="M858" s="115">
        <v>572.04999999999995</v>
      </c>
      <c r="N858" s="115">
        <v>573.25</v>
      </c>
      <c r="O858" s="115">
        <v>565</v>
      </c>
      <c r="P858" s="115">
        <v>568.70000000000005</v>
      </c>
      <c r="Q858" s="115">
        <v>572.04999999999995</v>
      </c>
      <c r="R858">
        <v>14542</v>
      </c>
    </row>
    <row r="859" spans="1:18" x14ac:dyDescent="0.25">
      <c r="A859" s="160">
        <v>43287</v>
      </c>
      <c r="B859" s="115">
        <v>770</v>
      </c>
      <c r="C859" s="115">
        <v>770</v>
      </c>
      <c r="D859" s="115">
        <v>770</v>
      </c>
      <c r="E859" s="115">
        <v>770</v>
      </c>
      <c r="F859" s="115">
        <v>770</v>
      </c>
      <c r="G859">
        <v>418</v>
      </c>
      <c r="H859" s="115"/>
      <c r="I859" s="115"/>
      <c r="L859" s="160">
        <v>43265</v>
      </c>
      <c r="M859" s="115">
        <v>579.95000000000005</v>
      </c>
      <c r="N859" s="115">
        <v>589.95000000000005</v>
      </c>
      <c r="O859" s="115">
        <v>570</v>
      </c>
      <c r="P859" s="115">
        <v>573.1</v>
      </c>
      <c r="Q859" s="115">
        <v>579.95000000000005</v>
      </c>
      <c r="R859">
        <v>7921</v>
      </c>
    </row>
    <row r="860" spans="1:18" x14ac:dyDescent="0.25">
      <c r="A860" s="160">
        <v>43290</v>
      </c>
      <c r="B860" s="115">
        <v>785</v>
      </c>
      <c r="C860" s="115">
        <v>764.25</v>
      </c>
      <c r="D860" s="115">
        <v>763.7</v>
      </c>
      <c r="E860" s="115">
        <v>779.95</v>
      </c>
      <c r="F860" s="115">
        <v>764.25</v>
      </c>
      <c r="G860">
        <v>359</v>
      </c>
      <c r="H860" s="115"/>
      <c r="I860" s="115"/>
      <c r="L860" s="160">
        <v>43266</v>
      </c>
      <c r="M860" s="115">
        <v>601.1</v>
      </c>
      <c r="N860" s="115">
        <v>615</v>
      </c>
      <c r="O860" s="115">
        <v>571.25</v>
      </c>
      <c r="P860" s="115">
        <v>582.6</v>
      </c>
      <c r="Q860" s="115">
        <v>601.1</v>
      </c>
      <c r="R860">
        <v>25961</v>
      </c>
    </row>
    <row r="861" spans="1:18" x14ac:dyDescent="0.25">
      <c r="A861" s="160">
        <v>43291</v>
      </c>
      <c r="B861" s="115">
        <v>798.9</v>
      </c>
      <c r="C861" s="115">
        <v>790</v>
      </c>
      <c r="D861" s="115">
        <v>770</v>
      </c>
      <c r="E861" s="115">
        <v>790.75</v>
      </c>
      <c r="F861" s="115">
        <v>790</v>
      </c>
      <c r="G861">
        <v>76</v>
      </c>
      <c r="H861" s="115"/>
      <c r="I861" s="115"/>
      <c r="L861" s="160">
        <v>43269</v>
      </c>
      <c r="M861" s="115">
        <v>585.15</v>
      </c>
      <c r="N861" s="115">
        <v>609.04999999999995</v>
      </c>
      <c r="O861" s="115">
        <v>580</v>
      </c>
      <c r="P861" s="115">
        <v>606.95000000000005</v>
      </c>
      <c r="Q861" s="115">
        <v>585.15</v>
      </c>
      <c r="R861">
        <v>9585</v>
      </c>
    </row>
    <row r="862" spans="1:18" x14ac:dyDescent="0.25">
      <c r="A862" s="160">
        <v>43292</v>
      </c>
      <c r="B862" s="115">
        <v>775</v>
      </c>
      <c r="C862" s="115">
        <v>775</v>
      </c>
      <c r="D862" s="115">
        <v>775</v>
      </c>
      <c r="E862" s="115">
        <v>775</v>
      </c>
      <c r="F862" s="115">
        <v>775</v>
      </c>
      <c r="G862">
        <v>3</v>
      </c>
      <c r="H862" s="115"/>
      <c r="I862" s="115"/>
      <c r="L862" s="160">
        <v>43270</v>
      </c>
      <c r="M862" s="115">
        <v>587.15</v>
      </c>
      <c r="N862" s="115">
        <v>594.9</v>
      </c>
      <c r="O862" s="115">
        <v>582.04999999999995</v>
      </c>
      <c r="P862" s="115">
        <v>586</v>
      </c>
      <c r="Q862" s="115">
        <v>587.15</v>
      </c>
      <c r="R862">
        <v>7799</v>
      </c>
    </row>
    <row r="863" spans="1:18" x14ac:dyDescent="0.25">
      <c r="A863" s="160">
        <v>43293</v>
      </c>
      <c r="B863" s="115">
        <v>790</v>
      </c>
      <c r="C863" s="115">
        <v>780.65</v>
      </c>
      <c r="D863" s="115">
        <v>774.15</v>
      </c>
      <c r="E863" s="115">
        <v>775</v>
      </c>
      <c r="F863" s="115">
        <v>780.65</v>
      </c>
      <c r="G863">
        <v>297</v>
      </c>
      <c r="H863" s="115"/>
      <c r="I863" s="115"/>
      <c r="L863" s="160">
        <v>43271</v>
      </c>
      <c r="M863" s="115">
        <v>580.54999999999995</v>
      </c>
      <c r="N863" s="115">
        <v>594.20000000000005</v>
      </c>
      <c r="O863" s="115">
        <v>579.75</v>
      </c>
      <c r="P863" s="115">
        <v>591.04999999999995</v>
      </c>
      <c r="Q863" s="115">
        <v>580.54999999999995</v>
      </c>
      <c r="R863">
        <v>6493</v>
      </c>
    </row>
    <row r="864" spans="1:18" x14ac:dyDescent="0.25">
      <c r="A864" s="160">
        <v>43294</v>
      </c>
      <c r="B864" s="115">
        <v>795</v>
      </c>
      <c r="C864" s="115">
        <v>787</v>
      </c>
      <c r="D864" s="115">
        <v>770</v>
      </c>
      <c r="E864" s="115">
        <v>772.5</v>
      </c>
      <c r="F864" s="115">
        <v>787</v>
      </c>
      <c r="G864">
        <v>502</v>
      </c>
      <c r="H864" s="115"/>
      <c r="I864" s="115"/>
      <c r="L864" s="160">
        <v>43272</v>
      </c>
      <c r="M864" s="115">
        <v>574.6</v>
      </c>
      <c r="N864" s="115">
        <v>586</v>
      </c>
      <c r="O864" s="115">
        <v>570</v>
      </c>
      <c r="P864" s="115">
        <v>581.04999999999995</v>
      </c>
      <c r="Q864" s="115">
        <v>574.6</v>
      </c>
      <c r="R864">
        <v>10866</v>
      </c>
    </row>
    <row r="865" spans="1:18" x14ac:dyDescent="0.25">
      <c r="A865" s="160">
        <v>43297</v>
      </c>
      <c r="B865" s="115">
        <v>799</v>
      </c>
      <c r="C865" s="115">
        <v>735.15</v>
      </c>
      <c r="D865" s="115">
        <v>730</v>
      </c>
      <c r="E865" s="115">
        <v>770.05</v>
      </c>
      <c r="F865" s="115">
        <v>735.15</v>
      </c>
      <c r="G865">
        <v>2891</v>
      </c>
      <c r="H865" s="115"/>
      <c r="I865" s="115"/>
      <c r="L865" s="160">
        <v>43273</v>
      </c>
      <c r="M865" s="115">
        <v>578.9</v>
      </c>
      <c r="N865" s="115">
        <v>583.95000000000005</v>
      </c>
      <c r="O865" s="115">
        <v>572</v>
      </c>
      <c r="P865" s="115">
        <v>575.6</v>
      </c>
      <c r="Q865" s="115">
        <v>578.9</v>
      </c>
      <c r="R865">
        <v>9175</v>
      </c>
    </row>
    <row r="866" spans="1:18" x14ac:dyDescent="0.25">
      <c r="A866" s="160">
        <v>43298</v>
      </c>
      <c r="B866" s="115">
        <v>758</v>
      </c>
      <c r="C866" s="115">
        <v>744</v>
      </c>
      <c r="D866" s="115">
        <v>726.4</v>
      </c>
      <c r="E866" s="115">
        <v>726.4</v>
      </c>
      <c r="F866" s="115">
        <v>744</v>
      </c>
      <c r="G866">
        <v>455</v>
      </c>
      <c r="H866" s="115"/>
      <c r="I866" s="115"/>
      <c r="L866" s="160">
        <v>43276</v>
      </c>
      <c r="M866" s="115">
        <v>570.29999999999995</v>
      </c>
      <c r="N866" s="115">
        <v>586.5</v>
      </c>
      <c r="O866" s="115">
        <v>568</v>
      </c>
      <c r="P866" s="115">
        <v>580.04999999999995</v>
      </c>
      <c r="Q866" s="115">
        <v>570.29999999999995</v>
      </c>
      <c r="R866">
        <v>4802</v>
      </c>
    </row>
    <row r="867" spans="1:18" x14ac:dyDescent="0.25">
      <c r="A867" s="160">
        <v>43299</v>
      </c>
      <c r="B867" s="115">
        <v>760</v>
      </c>
      <c r="C867" s="115">
        <v>758.85</v>
      </c>
      <c r="D867" s="115">
        <v>740</v>
      </c>
      <c r="E867" s="115">
        <v>740</v>
      </c>
      <c r="F867" s="115">
        <v>758.85</v>
      </c>
      <c r="G867">
        <v>719</v>
      </c>
      <c r="H867" s="115"/>
      <c r="I867" s="115"/>
      <c r="L867" s="160">
        <v>43277</v>
      </c>
      <c r="M867" s="115">
        <v>562.79999999999995</v>
      </c>
      <c r="N867" s="115">
        <v>572.85</v>
      </c>
      <c r="O867" s="115">
        <v>560</v>
      </c>
      <c r="P867" s="115">
        <v>571.45000000000005</v>
      </c>
      <c r="Q867" s="115">
        <v>562.79999999999995</v>
      </c>
      <c r="R867">
        <v>7191</v>
      </c>
    </row>
    <row r="868" spans="1:18" x14ac:dyDescent="0.25">
      <c r="A868" s="160">
        <v>43300</v>
      </c>
      <c r="B868" s="115">
        <v>738.05</v>
      </c>
      <c r="C868" s="115">
        <v>719.8</v>
      </c>
      <c r="D868" s="115">
        <v>716.05</v>
      </c>
      <c r="E868" s="115">
        <v>731.5</v>
      </c>
      <c r="F868" s="115">
        <v>719.8</v>
      </c>
      <c r="G868">
        <v>2547</v>
      </c>
      <c r="H868" s="115"/>
      <c r="I868" s="115"/>
      <c r="L868" s="160">
        <v>43278</v>
      </c>
      <c r="M868" s="115">
        <v>575.25</v>
      </c>
      <c r="N868" s="115">
        <v>580</v>
      </c>
      <c r="O868" s="115">
        <v>555.25</v>
      </c>
      <c r="P868" s="115">
        <v>563.6</v>
      </c>
      <c r="Q868" s="115">
        <v>575.25</v>
      </c>
      <c r="R868">
        <v>21338</v>
      </c>
    </row>
    <row r="869" spans="1:18" x14ac:dyDescent="0.25">
      <c r="A869" s="160">
        <v>43301</v>
      </c>
      <c r="B869" s="115">
        <v>729.5</v>
      </c>
      <c r="C869" s="115">
        <v>713.25</v>
      </c>
      <c r="D869" s="115">
        <v>697</v>
      </c>
      <c r="E869" s="115">
        <v>711</v>
      </c>
      <c r="F869" s="115">
        <v>713.25</v>
      </c>
      <c r="G869">
        <v>3183</v>
      </c>
      <c r="H869" s="115"/>
      <c r="I869" s="115"/>
      <c r="L869" s="160">
        <v>43279</v>
      </c>
      <c r="M869" s="115">
        <v>567.95000000000005</v>
      </c>
      <c r="N869" s="115">
        <v>576.20000000000005</v>
      </c>
      <c r="O869" s="115">
        <v>561.35</v>
      </c>
      <c r="P869" s="115">
        <v>576.20000000000005</v>
      </c>
      <c r="Q869" s="115">
        <v>567.95000000000005</v>
      </c>
      <c r="R869">
        <v>7361</v>
      </c>
    </row>
    <row r="870" spans="1:18" x14ac:dyDescent="0.25">
      <c r="A870" s="160">
        <v>43304</v>
      </c>
      <c r="B870" s="115">
        <v>775</v>
      </c>
      <c r="C870" s="115">
        <v>759.75</v>
      </c>
      <c r="D870" s="115">
        <v>723.9</v>
      </c>
      <c r="E870" s="115">
        <v>724.65</v>
      </c>
      <c r="F870" s="115">
        <v>759.75</v>
      </c>
      <c r="G870">
        <v>997</v>
      </c>
      <c r="H870" s="115"/>
      <c r="I870" s="115"/>
      <c r="L870" s="160">
        <v>43280</v>
      </c>
      <c r="M870" s="115">
        <v>555.79999999999995</v>
      </c>
      <c r="N870" s="115">
        <v>572.5</v>
      </c>
      <c r="O870" s="115">
        <v>552</v>
      </c>
      <c r="P870" s="115">
        <v>569.6</v>
      </c>
      <c r="Q870" s="115">
        <v>555.79999999999995</v>
      </c>
      <c r="R870">
        <v>18043</v>
      </c>
    </row>
    <row r="871" spans="1:18" x14ac:dyDescent="0.25">
      <c r="A871" s="160">
        <v>43305</v>
      </c>
      <c r="B871" s="115">
        <v>820</v>
      </c>
      <c r="C871" s="115">
        <v>807.45</v>
      </c>
      <c r="D871" s="115">
        <v>750</v>
      </c>
      <c r="E871" s="115">
        <v>750</v>
      </c>
      <c r="F871" s="115">
        <v>807.45</v>
      </c>
      <c r="G871">
        <v>492</v>
      </c>
      <c r="H871" s="115"/>
      <c r="I871" s="115"/>
      <c r="L871" s="160">
        <v>43283</v>
      </c>
      <c r="M871" s="115">
        <v>555.4</v>
      </c>
      <c r="N871" s="115">
        <v>563.9</v>
      </c>
      <c r="O871" s="115">
        <v>552</v>
      </c>
      <c r="P871" s="115">
        <v>555.45000000000005</v>
      </c>
      <c r="Q871" s="115">
        <v>555.4</v>
      </c>
      <c r="R871">
        <v>13032</v>
      </c>
    </row>
    <row r="872" spans="1:18" x14ac:dyDescent="0.25">
      <c r="A872" s="160">
        <v>43306</v>
      </c>
      <c r="B872" s="115">
        <v>827</v>
      </c>
      <c r="C872" s="115">
        <v>810</v>
      </c>
      <c r="D872" s="115">
        <v>800</v>
      </c>
      <c r="E872" s="115">
        <v>800</v>
      </c>
      <c r="F872" s="115">
        <v>810</v>
      </c>
      <c r="G872">
        <v>2556</v>
      </c>
      <c r="H872" s="115"/>
      <c r="I872" s="115"/>
      <c r="L872" s="160">
        <v>43284</v>
      </c>
      <c r="M872" s="115">
        <v>559.25</v>
      </c>
      <c r="N872" s="115">
        <v>561.1</v>
      </c>
      <c r="O872" s="115">
        <v>548.65</v>
      </c>
      <c r="P872" s="115">
        <v>550.1</v>
      </c>
      <c r="Q872" s="115">
        <v>559.25</v>
      </c>
      <c r="R872">
        <v>9560</v>
      </c>
    </row>
    <row r="873" spans="1:18" x14ac:dyDescent="0.25">
      <c r="A873" s="160">
        <v>43307</v>
      </c>
      <c r="B873" s="115">
        <v>832.95</v>
      </c>
      <c r="C873" s="115">
        <v>830.35</v>
      </c>
      <c r="D873" s="115">
        <v>812.7</v>
      </c>
      <c r="E873" s="115">
        <v>832.95</v>
      </c>
      <c r="F873" s="115">
        <v>830.35</v>
      </c>
      <c r="G873">
        <v>427</v>
      </c>
      <c r="H873" s="115"/>
      <c r="I873" s="115"/>
      <c r="L873" s="160">
        <v>43285</v>
      </c>
      <c r="M873" s="115">
        <v>546.65</v>
      </c>
      <c r="N873" s="115">
        <v>566</v>
      </c>
      <c r="O873" s="115">
        <v>542.1</v>
      </c>
      <c r="P873" s="115">
        <v>558.5</v>
      </c>
      <c r="Q873" s="115">
        <v>546.65</v>
      </c>
      <c r="R873">
        <v>12970</v>
      </c>
    </row>
    <row r="874" spans="1:18" x14ac:dyDescent="0.25">
      <c r="A874" s="160">
        <v>43308</v>
      </c>
      <c r="B874" s="115">
        <v>849</v>
      </c>
      <c r="C874" s="115">
        <v>826.95</v>
      </c>
      <c r="D874" s="115">
        <v>820.35</v>
      </c>
      <c r="E874" s="115">
        <v>832.75</v>
      </c>
      <c r="F874" s="115">
        <v>826.95</v>
      </c>
      <c r="G874">
        <v>647</v>
      </c>
      <c r="H874" s="115"/>
      <c r="I874" s="115"/>
      <c r="L874" s="160">
        <v>43286</v>
      </c>
      <c r="M874" s="115">
        <v>549.79999999999995</v>
      </c>
      <c r="N874" s="115">
        <v>552.95000000000005</v>
      </c>
      <c r="O874" s="115">
        <v>541.6</v>
      </c>
      <c r="P874" s="115">
        <v>541.6</v>
      </c>
      <c r="Q874" s="115">
        <v>549.79999999999995</v>
      </c>
      <c r="R874">
        <v>5100</v>
      </c>
    </row>
    <row r="875" spans="1:18" x14ac:dyDescent="0.25">
      <c r="A875" s="160">
        <v>43311</v>
      </c>
      <c r="B875" s="115">
        <v>825</v>
      </c>
      <c r="C875" s="115">
        <v>794.6</v>
      </c>
      <c r="D875" s="115">
        <v>790</v>
      </c>
      <c r="E875" s="115">
        <v>825</v>
      </c>
      <c r="F875" s="115">
        <v>794.6</v>
      </c>
      <c r="G875">
        <v>4511</v>
      </c>
      <c r="H875" s="115"/>
      <c r="I875" s="115"/>
      <c r="L875" s="160">
        <v>43287</v>
      </c>
      <c r="M875" s="115">
        <v>547.25</v>
      </c>
      <c r="N875" s="115">
        <v>554.4</v>
      </c>
      <c r="O875" s="115">
        <v>544.75</v>
      </c>
      <c r="P875" s="115">
        <v>549.04999999999995</v>
      </c>
      <c r="Q875" s="115">
        <v>547.25</v>
      </c>
      <c r="R875">
        <v>5655</v>
      </c>
    </row>
    <row r="876" spans="1:18" x14ac:dyDescent="0.25">
      <c r="A876" s="160">
        <v>43312</v>
      </c>
      <c r="B876" s="115">
        <v>800</v>
      </c>
      <c r="C876" s="115">
        <v>781.85</v>
      </c>
      <c r="D876" s="115">
        <v>770.05</v>
      </c>
      <c r="E876" s="115">
        <v>800</v>
      </c>
      <c r="F876" s="115">
        <v>781.85</v>
      </c>
      <c r="G876">
        <v>2269</v>
      </c>
      <c r="H876" s="115"/>
      <c r="I876" s="115"/>
      <c r="L876" s="160">
        <v>43290</v>
      </c>
      <c r="M876" s="115">
        <v>552.75</v>
      </c>
      <c r="N876" s="115">
        <v>557</v>
      </c>
      <c r="O876" s="115">
        <v>545.04999999999995</v>
      </c>
      <c r="P876" s="115">
        <v>555</v>
      </c>
      <c r="Q876" s="115">
        <v>552.75</v>
      </c>
      <c r="R876">
        <v>6976</v>
      </c>
    </row>
    <row r="877" spans="1:18" x14ac:dyDescent="0.25">
      <c r="A877" s="160">
        <v>43313</v>
      </c>
      <c r="B877" s="115">
        <v>780</v>
      </c>
      <c r="C877" s="115">
        <v>774.55</v>
      </c>
      <c r="D877" s="115">
        <v>765</v>
      </c>
      <c r="E877" s="115">
        <v>780</v>
      </c>
      <c r="F877" s="115">
        <v>774.55</v>
      </c>
      <c r="G877">
        <v>909</v>
      </c>
      <c r="H877" s="115"/>
      <c r="I877" s="115"/>
      <c r="L877" s="160">
        <v>43291</v>
      </c>
      <c r="M877" s="115">
        <v>555.5</v>
      </c>
      <c r="N877" s="115">
        <v>560</v>
      </c>
      <c r="O877" s="115">
        <v>546.95000000000005</v>
      </c>
      <c r="P877" s="115">
        <v>555.70000000000005</v>
      </c>
      <c r="Q877" s="115">
        <v>555.5</v>
      </c>
      <c r="R877">
        <v>7933</v>
      </c>
    </row>
    <row r="878" spans="1:18" x14ac:dyDescent="0.25">
      <c r="A878" s="160">
        <v>43314</v>
      </c>
      <c r="B878" s="115">
        <v>783.95</v>
      </c>
      <c r="C878" s="115">
        <v>760.05</v>
      </c>
      <c r="D878" s="115">
        <v>750</v>
      </c>
      <c r="E878" s="115">
        <v>783.95</v>
      </c>
      <c r="F878" s="115">
        <v>760.05</v>
      </c>
      <c r="G878">
        <v>686</v>
      </c>
      <c r="H878" s="115"/>
      <c r="I878" s="115"/>
      <c r="L878" s="160">
        <v>43292</v>
      </c>
      <c r="M878" s="115">
        <v>536.29999999999995</v>
      </c>
      <c r="N878" s="115">
        <v>562</v>
      </c>
      <c r="O878" s="115">
        <v>532</v>
      </c>
      <c r="P878" s="115">
        <v>554.9</v>
      </c>
      <c r="Q878" s="115">
        <v>536.29999999999995</v>
      </c>
      <c r="R878">
        <v>14314</v>
      </c>
    </row>
    <row r="879" spans="1:18" x14ac:dyDescent="0.25">
      <c r="A879" s="160">
        <v>43315</v>
      </c>
      <c r="B879" s="115">
        <v>765</v>
      </c>
      <c r="C879" s="115">
        <v>765</v>
      </c>
      <c r="D879" s="115">
        <v>741.1</v>
      </c>
      <c r="E879" s="115">
        <v>760.05</v>
      </c>
      <c r="F879" s="115">
        <v>765</v>
      </c>
      <c r="G879">
        <v>467</v>
      </c>
      <c r="H879" s="115"/>
      <c r="I879" s="115"/>
      <c r="L879" s="160">
        <v>43293</v>
      </c>
      <c r="M879" s="115">
        <v>543.95000000000005</v>
      </c>
      <c r="N879" s="115">
        <v>554.95000000000005</v>
      </c>
      <c r="O879" s="115">
        <v>529.5</v>
      </c>
      <c r="P879" s="115">
        <v>530.1</v>
      </c>
      <c r="Q879" s="115">
        <v>543.95000000000005</v>
      </c>
      <c r="R879">
        <v>16446</v>
      </c>
    </row>
    <row r="880" spans="1:18" x14ac:dyDescent="0.25">
      <c r="A880" s="160">
        <v>43318</v>
      </c>
      <c r="B880" s="115">
        <v>770</v>
      </c>
      <c r="C880" s="115">
        <v>765</v>
      </c>
      <c r="D880" s="115">
        <v>745</v>
      </c>
      <c r="E880" s="115">
        <v>745.05</v>
      </c>
      <c r="F880" s="115">
        <v>765</v>
      </c>
      <c r="G880">
        <v>684</v>
      </c>
      <c r="H880" s="115"/>
      <c r="I880" s="115"/>
      <c r="L880" s="160">
        <v>43294</v>
      </c>
      <c r="M880" s="115">
        <v>539.15</v>
      </c>
      <c r="N880" s="115">
        <v>545.95000000000005</v>
      </c>
      <c r="O880" s="115">
        <v>536</v>
      </c>
      <c r="P880" s="115">
        <v>541.75</v>
      </c>
      <c r="Q880" s="115">
        <v>539.15</v>
      </c>
      <c r="R880">
        <v>9802</v>
      </c>
    </row>
    <row r="881" spans="1:18" x14ac:dyDescent="0.25">
      <c r="A881" s="160">
        <v>43319</v>
      </c>
      <c r="B881" s="115">
        <v>764.5</v>
      </c>
      <c r="C881" s="115">
        <v>740.05</v>
      </c>
      <c r="D881" s="115">
        <v>740</v>
      </c>
      <c r="E881" s="115">
        <v>745.1</v>
      </c>
      <c r="F881" s="115">
        <v>740.05</v>
      </c>
      <c r="G881">
        <v>660</v>
      </c>
      <c r="H881" s="115"/>
      <c r="I881" s="115"/>
      <c r="L881" s="160">
        <v>43297</v>
      </c>
      <c r="M881" s="115">
        <v>515.75</v>
      </c>
      <c r="N881" s="115">
        <v>539.04999999999995</v>
      </c>
      <c r="O881" s="115">
        <v>508</v>
      </c>
      <c r="P881" s="115">
        <v>539</v>
      </c>
      <c r="Q881" s="115">
        <v>515.75</v>
      </c>
      <c r="R881">
        <v>12789</v>
      </c>
    </row>
    <row r="882" spans="1:18" x14ac:dyDescent="0.25">
      <c r="A882" s="160">
        <v>43320</v>
      </c>
      <c r="B882" s="115">
        <v>755</v>
      </c>
      <c r="C882" s="115">
        <v>741.7</v>
      </c>
      <c r="D882" s="115">
        <v>740</v>
      </c>
      <c r="E882" s="115">
        <v>740</v>
      </c>
      <c r="F882" s="115">
        <v>741.7</v>
      </c>
      <c r="G882">
        <v>1134</v>
      </c>
      <c r="H882" s="115"/>
      <c r="I882" s="115"/>
      <c r="L882" s="160">
        <v>43298</v>
      </c>
      <c r="M882" s="115">
        <v>520.15</v>
      </c>
      <c r="N882" s="115">
        <v>522.95000000000005</v>
      </c>
      <c r="O882" s="115">
        <v>510.95</v>
      </c>
      <c r="P882" s="115">
        <v>510.95</v>
      </c>
      <c r="Q882" s="115">
        <v>520.15</v>
      </c>
      <c r="R882">
        <v>11629</v>
      </c>
    </row>
    <row r="883" spans="1:18" x14ac:dyDescent="0.25">
      <c r="A883" s="160">
        <v>43321</v>
      </c>
      <c r="B883" s="115">
        <v>765</v>
      </c>
      <c r="C883" s="115">
        <v>742.8</v>
      </c>
      <c r="D883" s="115">
        <v>740</v>
      </c>
      <c r="E883" s="115">
        <v>760</v>
      </c>
      <c r="F883" s="115">
        <v>742.8</v>
      </c>
      <c r="G883">
        <v>520</v>
      </c>
      <c r="H883" s="115"/>
      <c r="I883" s="115"/>
      <c r="L883" s="160">
        <v>43299</v>
      </c>
      <c r="M883" s="115">
        <v>522.5</v>
      </c>
      <c r="N883" s="115">
        <v>528.9</v>
      </c>
      <c r="O883" s="115">
        <v>513</v>
      </c>
      <c r="P883" s="115">
        <v>517.04999999999995</v>
      </c>
      <c r="Q883" s="115">
        <v>522.5</v>
      </c>
      <c r="R883">
        <v>8819</v>
      </c>
    </row>
    <row r="884" spans="1:18" x14ac:dyDescent="0.25">
      <c r="A884" s="160">
        <v>43322</v>
      </c>
      <c r="B884" s="115">
        <v>769.95</v>
      </c>
      <c r="C884" s="115">
        <v>741.95</v>
      </c>
      <c r="D884" s="115">
        <v>740</v>
      </c>
      <c r="E884" s="115">
        <v>740</v>
      </c>
      <c r="F884" s="115">
        <v>741.95</v>
      </c>
      <c r="G884">
        <v>997</v>
      </c>
      <c r="H884" s="115"/>
      <c r="I884" s="115"/>
      <c r="L884" s="160">
        <v>43300</v>
      </c>
      <c r="M884" s="115">
        <v>515.45000000000005</v>
      </c>
      <c r="N884" s="115">
        <v>525.70000000000005</v>
      </c>
      <c r="O884" s="115">
        <v>512</v>
      </c>
      <c r="P884" s="115">
        <v>520.45000000000005</v>
      </c>
      <c r="Q884" s="115">
        <v>515.45000000000005</v>
      </c>
      <c r="R884">
        <v>6971</v>
      </c>
    </row>
    <row r="885" spans="1:18" x14ac:dyDescent="0.25">
      <c r="A885" s="160">
        <v>43325</v>
      </c>
      <c r="B885" s="115">
        <v>759.45</v>
      </c>
      <c r="C885" s="115">
        <v>740.5</v>
      </c>
      <c r="D885" s="115">
        <v>736</v>
      </c>
      <c r="E885" s="115">
        <v>736</v>
      </c>
      <c r="F885" s="115">
        <v>740.5</v>
      </c>
      <c r="G885">
        <v>372</v>
      </c>
      <c r="H885" s="115"/>
      <c r="I885" s="115"/>
      <c r="L885" s="160">
        <v>43301</v>
      </c>
      <c r="M885" s="115">
        <v>515.29999999999995</v>
      </c>
      <c r="N885" s="115">
        <v>534.79999999999995</v>
      </c>
      <c r="O885" s="115">
        <v>511</v>
      </c>
      <c r="P885" s="115">
        <v>516.54999999999995</v>
      </c>
      <c r="Q885" s="115">
        <v>515.29999999999995</v>
      </c>
      <c r="R885">
        <v>10996</v>
      </c>
    </row>
    <row r="886" spans="1:18" x14ac:dyDescent="0.25">
      <c r="A886" s="160">
        <v>43326</v>
      </c>
      <c r="B886" s="115">
        <v>757.95</v>
      </c>
      <c r="C886" s="115">
        <v>745</v>
      </c>
      <c r="D886" s="115">
        <v>740.05</v>
      </c>
      <c r="E886" s="115">
        <v>740.5</v>
      </c>
      <c r="F886" s="115">
        <v>745</v>
      </c>
      <c r="G886">
        <v>64</v>
      </c>
      <c r="H886" s="115"/>
      <c r="I886" s="115"/>
      <c r="L886" s="160">
        <v>43304</v>
      </c>
      <c r="M886" s="115">
        <v>519.6</v>
      </c>
      <c r="N886" s="115">
        <v>538.04999999999995</v>
      </c>
      <c r="O886" s="115">
        <v>513.04999999999995</v>
      </c>
      <c r="P886" s="115">
        <v>513.04999999999995</v>
      </c>
      <c r="Q886" s="115">
        <v>519.6</v>
      </c>
      <c r="R886">
        <v>20878</v>
      </c>
    </row>
    <row r="887" spans="1:18" x14ac:dyDescent="0.25">
      <c r="A887" s="160">
        <v>43328</v>
      </c>
      <c r="B887" s="115">
        <v>757.95</v>
      </c>
      <c r="C887" s="115">
        <v>743.15</v>
      </c>
      <c r="D887" s="115">
        <v>740</v>
      </c>
      <c r="E887" s="115">
        <v>750</v>
      </c>
      <c r="F887" s="115">
        <v>743.15</v>
      </c>
      <c r="G887">
        <v>1092</v>
      </c>
      <c r="H887" s="115"/>
      <c r="I887" s="115"/>
      <c r="L887" s="160">
        <v>43305</v>
      </c>
      <c r="M887" s="115">
        <v>527.85</v>
      </c>
      <c r="N887" s="115">
        <v>531.9</v>
      </c>
      <c r="O887" s="115">
        <v>516.1</v>
      </c>
      <c r="P887" s="115">
        <v>524</v>
      </c>
      <c r="Q887" s="115">
        <v>527.85</v>
      </c>
      <c r="R887">
        <v>9597</v>
      </c>
    </row>
    <row r="888" spans="1:18" x14ac:dyDescent="0.25">
      <c r="A888" s="160">
        <v>43329</v>
      </c>
      <c r="B888" s="115">
        <v>763.75</v>
      </c>
      <c r="C888" s="115">
        <v>763.75</v>
      </c>
      <c r="D888" s="115">
        <v>762</v>
      </c>
      <c r="E888" s="115">
        <v>763</v>
      </c>
      <c r="F888" s="115">
        <v>763.75</v>
      </c>
      <c r="G888">
        <v>141</v>
      </c>
      <c r="H888" s="115"/>
      <c r="I888" s="115"/>
      <c r="L888" s="160">
        <v>43306</v>
      </c>
      <c r="M888" s="115">
        <v>525.75</v>
      </c>
      <c r="N888" s="115">
        <v>530.29999999999995</v>
      </c>
      <c r="O888" s="115">
        <v>523</v>
      </c>
      <c r="P888" s="115">
        <v>523</v>
      </c>
      <c r="Q888" s="115">
        <v>525.75</v>
      </c>
      <c r="R888">
        <v>259015</v>
      </c>
    </row>
    <row r="889" spans="1:18" x14ac:dyDescent="0.25">
      <c r="A889" s="160">
        <v>43332</v>
      </c>
      <c r="B889" s="115">
        <v>779.95</v>
      </c>
      <c r="C889" s="115">
        <v>763.2</v>
      </c>
      <c r="D889" s="115">
        <v>760</v>
      </c>
      <c r="E889" s="115">
        <v>763</v>
      </c>
      <c r="F889" s="115">
        <v>763.2</v>
      </c>
      <c r="G889">
        <v>360</v>
      </c>
      <c r="H889" s="115"/>
      <c r="I889" s="115"/>
      <c r="L889" s="160">
        <v>43307</v>
      </c>
      <c r="M889" s="115">
        <v>533.45000000000005</v>
      </c>
      <c r="N889" s="115">
        <v>554.04999999999995</v>
      </c>
      <c r="O889" s="115">
        <v>529.75</v>
      </c>
      <c r="P889" s="115">
        <v>529.9</v>
      </c>
      <c r="Q889" s="115">
        <v>533.45000000000005</v>
      </c>
      <c r="R889">
        <v>24341</v>
      </c>
    </row>
    <row r="890" spans="1:18" x14ac:dyDescent="0.25">
      <c r="A890" s="160">
        <v>43333</v>
      </c>
      <c r="B890" s="115">
        <v>765</v>
      </c>
      <c r="C890" s="115">
        <v>751.25</v>
      </c>
      <c r="D890" s="115">
        <v>733.5</v>
      </c>
      <c r="E890" s="115">
        <v>759</v>
      </c>
      <c r="F890" s="115">
        <v>751.25</v>
      </c>
      <c r="G890">
        <v>535</v>
      </c>
      <c r="H890" s="115"/>
      <c r="I890" s="115"/>
      <c r="L890" s="160">
        <v>43308</v>
      </c>
      <c r="M890" s="115">
        <v>550.6</v>
      </c>
      <c r="N890" s="115">
        <v>558</v>
      </c>
      <c r="O890" s="115">
        <v>531.6</v>
      </c>
      <c r="P890" s="115">
        <v>538.70000000000005</v>
      </c>
      <c r="Q890" s="115">
        <v>550.6</v>
      </c>
      <c r="R890">
        <v>16720</v>
      </c>
    </row>
    <row r="891" spans="1:18" x14ac:dyDescent="0.25">
      <c r="A891" s="160">
        <v>43335</v>
      </c>
      <c r="B891" s="115">
        <v>777</v>
      </c>
      <c r="C891" s="115">
        <v>756</v>
      </c>
      <c r="D891" s="115">
        <v>740</v>
      </c>
      <c r="E891" s="115">
        <v>777</v>
      </c>
      <c r="F891" s="115">
        <v>756</v>
      </c>
      <c r="G891">
        <v>724</v>
      </c>
      <c r="H891" s="115"/>
      <c r="I891" s="115"/>
      <c r="L891" s="160">
        <v>43311</v>
      </c>
      <c r="M891" s="115">
        <v>548.20000000000005</v>
      </c>
      <c r="N891" s="115">
        <v>563.79999999999995</v>
      </c>
      <c r="O891" s="115">
        <v>541</v>
      </c>
      <c r="P891" s="115">
        <v>546.04999999999995</v>
      </c>
      <c r="Q891" s="115">
        <v>548.20000000000005</v>
      </c>
      <c r="R891">
        <v>8569</v>
      </c>
    </row>
    <row r="892" spans="1:18" x14ac:dyDescent="0.25">
      <c r="A892" s="160">
        <v>43336</v>
      </c>
      <c r="B892" s="115">
        <v>766.65</v>
      </c>
      <c r="C892" s="115">
        <v>745.1</v>
      </c>
      <c r="D892" s="115">
        <v>740.05</v>
      </c>
      <c r="E892" s="115">
        <v>756</v>
      </c>
      <c r="F892" s="115">
        <v>745.1</v>
      </c>
      <c r="G892">
        <v>1875</v>
      </c>
      <c r="H892" s="115"/>
      <c r="I892" s="115"/>
      <c r="L892" s="160">
        <v>43312</v>
      </c>
      <c r="M892" s="115">
        <v>554.70000000000005</v>
      </c>
      <c r="N892" s="115">
        <v>559.15</v>
      </c>
      <c r="O892" s="115">
        <v>550.20000000000005</v>
      </c>
      <c r="P892" s="115">
        <v>557</v>
      </c>
      <c r="Q892" s="115">
        <v>554.70000000000005</v>
      </c>
      <c r="R892">
        <v>6837</v>
      </c>
    </row>
    <row r="893" spans="1:18" x14ac:dyDescent="0.25">
      <c r="A893" s="160">
        <v>43339</v>
      </c>
      <c r="B893" s="115">
        <v>768</v>
      </c>
      <c r="C893" s="115">
        <v>764.95</v>
      </c>
      <c r="D893" s="115">
        <v>745</v>
      </c>
      <c r="E893" s="115">
        <v>758</v>
      </c>
      <c r="F893" s="115">
        <v>764.95</v>
      </c>
      <c r="G893">
        <v>693</v>
      </c>
      <c r="H893" s="115"/>
      <c r="I893" s="115"/>
      <c r="L893" s="160">
        <v>43313</v>
      </c>
      <c r="M893" s="115">
        <v>556.45000000000005</v>
      </c>
      <c r="N893" s="115">
        <v>559.95000000000005</v>
      </c>
      <c r="O893" s="115">
        <v>555</v>
      </c>
      <c r="P893" s="115">
        <v>558.20000000000005</v>
      </c>
      <c r="Q893" s="115">
        <v>556.45000000000005</v>
      </c>
      <c r="R893">
        <v>5131</v>
      </c>
    </row>
    <row r="894" spans="1:18" x14ac:dyDescent="0.25">
      <c r="A894" s="160">
        <v>43340</v>
      </c>
      <c r="B894" s="115">
        <v>772.5</v>
      </c>
      <c r="C894" s="115">
        <v>735.7</v>
      </c>
      <c r="D894" s="115">
        <v>715</v>
      </c>
      <c r="E894" s="115">
        <v>715</v>
      </c>
      <c r="F894" s="115">
        <v>735.7</v>
      </c>
      <c r="G894">
        <v>718</v>
      </c>
      <c r="H894" s="115"/>
      <c r="I894" s="115"/>
      <c r="L894" s="160">
        <v>43314</v>
      </c>
      <c r="M894" s="115">
        <v>540.04999999999995</v>
      </c>
      <c r="N894" s="115">
        <v>558</v>
      </c>
      <c r="O894" s="115">
        <v>533.4</v>
      </c>
      <c r="P894" s="115">
        <v>555.85</v>
      </c>
      <c r="Q894" s="115">
        <v>540.04999999999995</v>
      </c>
      <c r="R894">
        <v>11525</v>
      </c>
    </row>
    <row r="895" spans="1:18" x14ac:dyDescent="0.25">
      <c r="A895" s="160">
        <v>43341</v>
      </c>
      <c r="B895" s="115">
        <v>759.45</v>
      </c>
      <c r="C895" s="115">
        <v>741</v>
      </c>
      <c r="D895" s="115">
        <v>741</v>
      </c>
      <c r="E895" s="115">
        <v>748</v>
      </c>
      <c r="F895" s="115">
        <v>741</v>
      </c>
      <c r="G895">
        <v>558</v>
      </c>
      <c r="H895" s="115"/>
      <c r="I895" s="115"/>
      <c r="L895" s="160">
        <v>43315</v>
      </c>
      <c r="M895" s="115">
        <v>561.1</v>
      </c>
      <c r="N895" s="115">
        <v>565</v>
      </c>
      <c r="O895" s="115">
        <v>541.04999999999995</v>
      </c>
      <c r="P895" s="115">
        <v>541.04999999999995</v>
      </c>
      <c r="Q895" s="115">
        <v>561.1</v>
      </c>
      <c r="R895">
        <v>7478</v>
      </c>
    </row>
    <row r="896" spans="1:18" x14ac:dyDescent="0.25">
      <c r="A896" s="160">
        <v>43342</v>
      </c>
      <c r="B896" s="115">
        <v>770.8</v>
      </c>
      <c r="C896" s="115">
        <v>761.65</v>
      </c>
      <c r="D896" s="115">
        <v>745</v>
      </c>
      <c r="E896" s="115">
        <v>770.8</v>
      </c>
      <c r="F896" s="115">
        <v>761.65</v>
      </c>
      <c r="G896">
        <v>326</v>
      </c>
      <c r="H896" s="115"/>
      <c r="I896" s="115"/>
      <c r="L896" s="160">
        <v>43318</v>
      </c>
      <c r="M896" s="115">
        <v>605</v>
      </c>
      <c r="N896" s="115">
        <v>610</v>
      </c>
      <c r="O896" s="115">
        <v>555</v>
      </c>
      <c r="P896" s="115">
        <v>555</v>
      </c>
      <c r="Q896" s="115">
        <v>605</v>
      </c>
      <c r="R896">
        <v>33188</v>
      </c>
    </row>
    <row r="897" spans="1:18" x14ac:dyDescent="0.25">
      <c r="A897" s="160">
        <v>43343</v>
      </c>
      <c r="B897" s="115">
        <v>781</v>
      </c>
      <c r="C897" s="115">
        <v>770</v>
      </c>
      <c r="D897" s="115">
        <v>755.05</v>
      </c>
      <c r="E897" s="115">
        <v>775</v>
      </c>
      <c r="F897" s="115">
        <v>770</v>
      </c>
      <c r="G897">
        <v>432</v>
      </c>
      <c r="H897" s="115"/>
      <c r="I897" s="115"/>
      <c r="L897" s="160">
        <v>43319</v>
      </c>
      <c r="M897" s="115">
        <v>611.5</v>
      </c>
      <c r="N897" s="115">
        <v>615.1</v>
      </c>
      <c r="O897" s="115">
        <v>591.1</v>
      </c>
      <c r="P897" s="115">
        <v>612.95000000000005</v>
      </c>
      <c r="Q897" s="115">
        <v>611.5</v>
      </c>
      <c r="R897">
        <v>18983</v>
      </c>
    </row>
    <row r="898" spans="1:18" x14ac:dyDescent="0.25">
      <c r="A898" s="160">
        <v>43346</v>
      </c>
      <c r="B898" s="115">
        <v>770</v>
      </c>
      <c r="C898" s="115">
        <v>753.05</v>
      </c>
      <c r="D898" s="115">
        <v>750</v>
      </c>
      <c r="E898" s="115">
        <v>770</v>
      </c>
      <c r="F898" s="115">
        <v>753.05</v>
      </c>
      <c r="G898">
        <v>810</v>
      </c>
      <c r="H898" s="115"/>
      <c r="I898" s="115"/>
      <c r="L898" s="160">
        <v>43320</v>
      </c>
      <c r="M898" s="115">
        <v>612.79999999999995</v>
      </c>
      <c r="N898" s="115">
        <v>620</v>
      </c>
      <c r="O898" s="115">
        <v>598.9</v>
      </c>
      <c r="P898" s="115">
        <v>607.5</v>
      </c>
      <c r="Q898" s="115">
        <v>612.79999999999995</v>
      </c>
      <c r="R898">
        <v>7875</v>
      </c>
    </row>
    <row r="899" spans="1:18" x14ac:dyDescent="0.25">
      <c r="A899" s="160">
        <v>43347</v>
      </c>
      <c r="B899" s="115">
        <v>746</v>
      </c>
      <c r="C899" s="115">
        <v>730.05</v>
      </c>
      <c r="D899" s="115">
        <v>730.05</v>
      </c>
      <c r="E899" s="115">
        <v>745.05</v>
      </c>
      <c r="F899" s="115">
        <v>730.05</v>
      </c>
      <c r="G899">
        <v>205</v>
      </c>
      <c r="H899" s="115"/>
      <c r="I899" s="115"/>
      <c r="L899" s="160">
        <v>43321</v>
      </c>
      <c r="M899" s="115">
        <v>589.4</v>
      </c>
      <c r="N899" s="115">
        <v>613.9</v>
      </c>
      <c r="O899" s="115">
        <v>582.5</v>
      </c>
      <c r="P899" s="115">
        <v>613.9</v>
      </c>
      <c r="Q899" s="115">
        <v>589.4</v>
      </c>
      <c r="R899">
        <v>15446</v>
      </c>
    </row>
    <row r="900" spans="1:18" x14ac:dyDescent="0.25">
      <c r="A900" s="160">
        <v>43348</v>
      </c>
      <c r="B900" s="115">
        <v>757.8</v>
      </c>
      <c r="C900" s="115">
        <v>753.5</v>
      </c>
      <c r="D900" s="115">
        <v>730</v>
      </c>
      <c r="E900" s="115">
        <v>730.2</v>
      </c>
      <c r="F900" s="115">
        <v>753.5</v>
      </c>
      <c r="G900">
        <v>1417</v>
      </c>
      <c r="H900" s="115"/>
      <c r="I900" s="115"/>
      <c r="L900" s="160">
        <v>43322</v>
      </c>
      <c r="M900" s="115">
        <v>554.54999999999995</v>
      </c>
      <c r="N900" s="115">
        <v>602.65</v>
      </c>
      <c r="O900" s="115">
        <v>550</v>
      </c>
      <c r="P900" s="115">
        <v>589</v>
      </c>
      <c r="Q900" s="115">
        <v>554.54999999999995</v>
      </c>
      <c r="R900">
        <v>22216</v>
      </c>
    </row>
    <row r="901" spans="1:18" x14ac:dyDescent="0.25">
      <c r="A901" s="160">
        <v>43349</v>
      </c>
      <c r="B901" s="115">
        <v>735.05</v>
      </c>
      <c r="C901" s="115">
        <v>732.55</v>
      </c>
      <c r="D901" s="115">
        <v>732.55</v>
      </c>
      <c r="E901" s="115">
        <v>735.05</v>
      </c>
      <c r="F901" s="115">
        <v>732.55</v>
      </c>
      <c r="G901">
        <v>2</v>
      </c>
      <c r="H901" s="115"/>
      <c r="I901" s="115"/>
      <c r="L901" s="160">
        <v>43325</v>
      </c>
      <c r="M901" s="115">
        <v>562.45000000000005</v>
      </c>
      <c r="N901" s="115">
        <v>567.6</v>
      </c>
      <c r="O901" s="115">
        <v>533.54999999999995</v>
      </c>
      <c r="P901" s="115">
        <v>554</v>
      </c>
      <c r="Q901" s="115">
        <v>562.45000000000005</v>
      </c>
      <c r="R901">
        <v>10556</v>
      </c>
    </row>
    <row r="902" spans="1:18" x14ac:dyDescent="0.25">
      <c r="A902" s="160">
        <v>43350</v>
      </c>
      <c r="B902" s="115">
        <v>768.95</v>
      </c>
      <c r="C902" s="115">
        <v>760</v>
      </c>
      <c r="D902" s="115">
        <v>731</v>
      </c>
      <c r="E902" s="115">
        <v>731</v>
      </c>
      <c r="F902" s="115">
        <v>760</v>
      </c>
      <c r="G902">
        <v>308</v>
      </c>
      <c r="H902" s="115"/>
      <c r="I902" s="115"/>
      <c r="L902" s="160">
        <v>43326</v>
      </c>
      <c r="M902" s="115">
        <v>544.95000000000005</v>
      </c>
      <c r="N902" s="115">
        <v>561.35</v>
      </c>
      <c r="O902" s="115">
        <v>540</v>
      </c>
      <c r="P902" s="115">
        <v>560.04999999999995</v>
      </c>
      <c r="Q902" s="115">
        <v>544.95000000000005</v>
      </c>
      <c r="R902">
        <v>17190</v>
      </c>
    </row>
    <row r="903" spans="1:18" x14ac:dyDescent="0.25">
      <c r="A903" s="160">
        <v>43353</v>
      </c>
      <c r="B903" s="115">
        <v>760.6</v>
      </c>
      <c r="C903" s="115">
        <v>755.85</v>
      </c>
      <c r="D903" s="115">
        <v>750</v>
      </c>
      <c r="E903" s="115">
        <v>760.6</v>
      </c>
      <c r="F903" s="115">
        <v>755.85</v>
      </c>
      <c r="G903">
        <v>529</v>
      </c>
      <c r="H903" s="115"/>
      <c r="I903" s="115"/>
      <c r="L903" s="160">
        <v>43328</v>
      </c>
      <c r="M903" s="115">
        <v>546.95000000000005</v>
      </c>
      <c r="N903" s="115">
        <v>551.75</v>
      </c>
      <c r="O903" s="115">
        <v>543.29999999999995</v>
      </c>
      <c r="P903" s="115">
        <v>549</v>
      </c>
      <c r="Q903" s="115">
        <v>546.95000000000005</v>
      </c>
      <c r="R903">
        <v>5404</v>
      </c>
    </row>
    <row r="904" spans="1:18" x14ac:dyDescent="0.25">
      <c r="A904" s="160">
        <v>43354</v>
      </c>
      <c r="B904" s="115">
        <v>760</v>
      </c>
      <c r="C904" s="115">
        <v>758</v>
      </c>
      <c r="D904" s="115">
        <v>740.1</v>
      </c>
      <c r="E904" s="115">
        <v>755</v>
      </c>
      <c r="F904" s="115">
        <v>758</v>
      </c>
      <c r="G904">
        <v>881</v>
      </c>
      <c r="H904" s="115"/>
      <c r="I904" s="115"/>
      <c r="L904" s="160">
        <v>43329</v>
      </c>
      <c r="M904" s="115">
        <v>541</v>
      </c>
      <c r="N904" s="115">
        <v>550.85</v>
      </c>
      <c r="O904" s="115">
        <v>537</v>
      </c>
      <c r="P904" s="115">
        <v>549.75</v>
      </c>
      <c r="Q904" s="115">
        <v>541</v>
      </c>
      <c r="R904">
        <v>6738</v>
      </c>
    </row>
    <row r="905" spans="1:18" x14ac:dyDescent="0.25">
      <c r="A905" s="160">
        <v>43355</v>
      </c>
      <c r="B905" s="115">
        <v>759.95</v>
      </c>
      <c r="C905" s="115">
        <v>750.55</v>
      </c>
      <c r="D905" s="115">
        <v>740.25</v>
      </c>
      <c r="E905" s="115">
        <v>745.1</v>
      </c>
      <c r="F905" s="115">
        <v>750.55</v>
      </c>
      <c r="G905">
        <v>239</v>
      </c>
      <c r="H905" s="115"/>
      <c r="I905" s="115"/>
      <c r="L905" s="160">
        <v>43332</v>
      </c>
      <c r="M905" s="115">
        <v>552.65</v>
      </c>
      <c r="N905" s="115">
        <v>558.70000000000005</v>
      </c>
      <c r="O905" s="115">
        <v>543.75</v>
      </c>
      <c r="P905" s="115">
        <v>547.1</v>
      </c>
      <c r="Q905" s="115">
        <v>552.65</v>
      </c>
      <c r="R905">
        <v>12367</v>
      </c>
    </row>
    <row r="906" spans="1:18" x14ac:dyDescent="0.25">
      <c r="A906" s="160">
        <v>43357</v>
      </c>
      <c r="B906" s="115">
        <v>814.4</v>
      </c>
      <c r="C906" s="115">
        <v>760</v>
      </c>
      <c r="D906" s="115">
        <v>760</v>
      </c>
      <c r="E906" s="115">
        <v>814.4</v>
      </c>
      <c r="F906" s="115">
        <v>760</v>
      </c>
      <c r="G906">
        <v>172</v>
      </c>
      <c r="H906" s="115"/>
      <c r="I906" s="115"/>
      <c r="L906" s="160">
        <v>43333</v>
      </c>
      <c r="M906" s="115">
        <v>557.45000000000005</v>
      </c>
      <c r="N906" s="115">
        <v>568.4</v>
      </c>
      <c r="O906" s="115">
        <v>545.29999999999995</v>
      </c>
      <c r="P906" s="115">
        <v>550.04999999999995</v>
      </c>
      <c r="Q906" s="115">
        <v>557.45000000000005</v>
      </c>
      <c r="R906">
        <v>7157</v>
      </c>
    </row>
    <row r="907" spans="1:18" x14ac:dyDescent="0.25">
      <c r="A907" s="160">
        <v>43360</v>
      </c>
      <c r="B907" s="115">
        <v>768</v>
      </c>
      <c r="C907" s="115">
        <v>768</v>
      </c>
      <c r="D907" s="115">
        <v>730.25</v>
      </c>
      <c r="E907" s="115">
        <v>730.25</v>
      </c>
      <c r="F907" s="115">
        <v>768</v>
      </c>
      <c r="G907">
        <v>72</v>
      </c>
      <c r="H907" s="115"/>
      <c r="I907" s="115"/>
      <c r="L907" s="160">
        <v>43335</v>
      </c>
      <c r="M907" s="115">
        <v>555.5</v>
      </c>
      <c r="N907" s="115">
        <v>560.54999999999995</v>
      </c>
      <c r="O907" s="115">
        <v>544.20000000000005</v>
      </c>
      <c r="P907" s="115">
        <v>555</v>
      </c>
      <c r="Q907" s="115">
        <v>555.5</v>
      </c>
      <c r="R907">
        <v>7781</v>
      </c>
    </row>
    <row r="908" spans="1:18" x14ac:dyDescent="0.25">
      <c r="A908" s="160">
        <v>43361</v>
      </c>
      <c r="B908" s="115">
        <v>779.4</v>
      </c>
      <c r="C908" s="115">
        <v>740.05</v>
      </c>
      <c r="D908" s="115">
        <v>740.05</v>
      </c>
      <c r="E908" s="115">
        <v>775</v>
      </c>
      <c r="F908" s="115">
        <v>740.05</v>
      </c>
      <c r="G908">
        <v>343</v>
      </c>
      <c r="H908" s="115"/>
      <c r="I908" s="115"/>
      <c r="L908" s="160">
        <v>43336</v>
      </c>
      <c r="M908" s="115">
        <v>561.04999999999995</v>
      </c>
      <c r="N908" s="115">
        <v>564.95000000000005</v>
      </c>
      <c r="O908" s="115">
        <v>546.79999999999995</v>
      </c>
      <c r="P908" s="115">
        <v>552.04999999999995</v>
      </c>
      <c r="Q908" s="115">
        <v>561.04999999999995</v>
      </c>
      <c r="R908">
        <v>6044</v>
      </c>
    </row>
    <row r="909" spans="1:18" x14ac:dyDescent="0.25">
      <c r="A909" s="160">
        <v>43362</v>
      </c>
      <c r="B909" s="115">
        <v>745</v>
      </c>
      <c r="C909" s="115">
        <v>735</v>
      </c>
      <c r="D909" s="115">
        <v>730</v>
      </c>
      <c r="E909" s="115">
        <v>731.25</v>
      </c>
      <c r="F909" s="115">
        <v>735</v>
      </c>
      <c r="G909">
        <v>138</v>
      </c>
      <c r="H909" s="115"/>
      <c r="I909" s="115"/>
      <c r="L909" s="160">
        <v>43339</v>
      </c>
      <c r="M909" s="115">
        <v>548.9</v>
      </c>
      <c r="N909" s="115">
        <v>567.70000000000005</v>
      </c>
      <c r="O909" s="115">
        <v>545</v>
      </c>
      <c r="P909" s="115">
        <v>565</v>
      </c>
      <c r="Q909" s="115">
        <v>548.9</v>
      </c>
      <c r="R909">
        <v>8493</v>
      </c>
    </row>
    <row r="910" spans="1:18" x14ac:dyDescent="0.25">
      <c r="A910" s="160">
        <v>43364</v>
      </c>
      <c r="B910" s="115">
        <v>735.05</v>
      </c>
      <c r="C910" s="115">
        <v>714.75</v>
      </c>
      <c r="D910" s="115">
        <v>711.1</v>
      </c>
      <c r="E910" s="115">
        <v>735</v>
      </c>
      <c r="F910" s="115">
        <v>714.75</v>
      </c>
      <c r="G910">
        <v>388</v>
      </c>
      <c r="H910" s="115"/>
      <c r="I910" s="115"/>
      <c r="L910" s="160">
        <v>43340</v>
      </c>
      <c r="M910" s="115">
        <v>539.70000000000005</v>
      </c>
      <c r="N910" s="115">
        <v>554.95000000000005</v>
      </c>
      <c r="O910" s="115">
        <v>534.04999999999995</v>
      </c>
      <c r="P910" s="115">
        <v>550.9</v>
      </c>
      <c r="Q910" s="115">
        <v>539.70000000000005</v>
      </c>
      <c r="R910">
        <v>16089</v>
      </c>
    </row>
    <row r="911" spans="1:18" x14ac:dyDescent="0.25">
      <c r="A911" s="160">
        <v>43367</v>
      </c>
      <c r="B911" s="115">
        <v>715</v>
      </c>
      <c r="C911" s="115">
        <v>680</v>
      </c>
      <c r="D911" s="115">
        <v>680</v>
      </c>
      <c r="E911" s="115">
        <v>715</v>
      </c>
      <c r="F911" s="115">
        <v>680</v>
      </c>
      <c r="G911">
        <v>267</v>
      </c>
      <c r="H911" s="115"/>
      <c r="I911" s="115"/>
      <c r="L911" s="160">
        <v>43341</v>
      </c>
      <c r="M911" s="115">
        <v>540.85</v>
      </c>
      <c r="N911" s="115">
        <v>548</v>
      </c>
      <c r="O911" s="115">
        <v>527.54999999999995</v>
      </c>
      <c r="P911" s="115">
        <v>544</v>
      </c>
      <c r="Q911" s="115">
        <v>540.85</v>
      </c>
      <c r="R911">
        <v>24395</v>
      </c>
    </row>
    <row r="912" spans="1:18" x14ac:dyDescent="0.25">
      <c r="A912" s="160">
        <v>43368</v>
      </c>
      <c r="B912" s="115">
        <v>699</v>
      </c>
      <c r="C912" s="115">
        <v>667.8</v>
      </c>
      <c r="D912" s="115">
        <v>657</v>
      </c>
      <c r="E912" s="115">
        <v>680</v>
      </c>
      <c r="F912" s="115">
        <v>667.8</v>
      </c>
      <c r="G912">
        <v>309</v>
      </c>
      <c r="H912" s="115"/>
      <c r="I912" s="115"/>
      <c r="L912" s="160">
        <v>43342</v>
      </c>
      <c r="M912" s="115">
        <v>545.65</v>
      </c>
      <c r="N912" s="115">
        <v>554.45000000000005</v>
      </c>
      <c r="O912" s="115">
        <v>534.5</v>
      </c>
      <c r="P912" s="115">
        <v>540.04999999999995</v>
      </c>
      <c r="Q912" s="115">
        <v>545.65</v>
      </c>
      <c r="R912">
        <v>19364</v>
      </c>
    </row>
    <row r="913" spans="1:18" x14ac:dyDescent="0.25">
      <c r="A913" s="160">
        <v>43369</v>
      </c>
      <c r="B913" s="115">
        <v>719.9</v>
      </c>
      <c r="C913" s="115">
        <v>698.95</v>
      </c>
      <c r="D913" s="115">
        <v>694</v>
      </c>
      <c r="E913" s="115">
        <v>694</v>
      </c>
      <c r="F913" s="115">
        <v>698.95</v>
      </c>
      <c r="G913">
        <v>145</v>
      </c>
      <c r="H913" s="115"/>
      <c r="I913" s="115"/>
      <c r="L913" s="160">
        <v>43343</v>
      </c>
      <c r="M913" s="115">
        <v>551.45000000000005</v>
      </c>
      <c r="N913" s="115">
        <v>555</v>
      </c>
      <c r="O913" s="115">
        <v>545.29999999999995</v>
      </c>
      <c r="P913" s="115">
        <v>546.1</v>
      </c>
      <c r="Q913" s="115">
        <v>551.45000000000005</v>
      </c>
      <c r="R913">
        <v>4415</v>
      </c>
    </row>
    <row r="914" spans="1:18" x14ac:dyDescent="0.25">
      <c r="A914" s="160">
        <v>43370</v>
      </c>
      <c r="B914" s="115">
        <v>718.4</v>
      </c>
      <c r="C914" s="115">
        <v>702</v>
      </c>
      <c r="D914" s="115">
        <v>680</v>
      </c>
      <c r="E914" s="115">
        <v>700</v>
      </c>
      <c r="F914" s="115">
        <v>702</v>
      </c>
      <c r="G914">
        <v>38</v>
      </c>
      <c r="H914" s="115"/>
      <c r="I914" s="115"/>
      <c r="L914" s="160">
        <v>43346</v>
      </c>
      <c r="M914" s="115">
        <v>543.5</v>
      </c>
      <c r="N914" s="115">
        <v>555</v>
      </c>
      <c r="O914" s="115">
        <v>540</v>
      </c>
      <c r="P914" s="115">
        <v>555</v>
      </c>
      <c r="Q914" s="115">
        <v>543.5</v>
      </c>
      <c r="R914">
        <v>10001</v>
      </c>
    </row>
    <row r="915" spans="1:18" x14ac:dyDescent="0.25">
      <c r="A915" s="160">
        <v>43371</v>
      </c>
      <c r="B915" s="115">
        <v>698.95</v>
      </c>
      <c r="C915" s="115">
        <v>670</v>
      </c>
      <c r="D915" s="115">
        <v>650</v>
      </c>
      <c r="E915" s="115">
        <v>660</v>
      </c>
      <c r="F915" s="115">
        <v>670</v>
      </c>
      <c r="G915">
        <v>452</v>
      </c>
      <c r="H915" s="115"/>
      <c r="I915" s="115"/>
      <c r="L915" s="160">
        <v>43347</v>
      </c>
      <c r="M915" s="115">
        <v>544.15</v>
      </c>
      <c r="N915" s="115">
        <v>547.04999999999995</v>
      </c>
      <c r="O915" s="115">
        <v>537.75</v>
      </c>
      <c r="P915" s="115">
        <v>545.04999999999995</v>
      </c>
      <c r="Q915" s="115">
        <v>544.15</v>
      </c>
      <c r="R915">
        <v>15836</v>
      </c>
    </row>
    <row r="916" spans="1:18" x14ac:dyDescent="0.25">
      <c r="A916" s="160">
        <v>43374</v>
      </c>
      <c r="B916" s="115">
        <v>687.65</v>
      </c>
      <c r="C916" s="115">
        <v>687.65</v>
      </c>
      <c r="D916" s="115">
        <v>641</v>
      </c>
      <c r="E916" s="115">
        <v>670</v>
      </c>
      <c r="F916" s="115">
        <v>687.65</v>
      </c>
      <c r="G916">
        <v>80</v>
      </c>
      <c r="H916" s="115"/>
      <c r="I916" s="115"/>
      <c r="L916" s="160">
        <v>43348</v>
      </c>
      <c r="M916" s="115">
        <v>544.75</v>
      </c>
      <c r="N916" s="115">
        <v>552.70000000000005</v>
      </c>
      <c r="O916" s="115">
        <v>540</v>
      </c>
      <c r="P916" s="115">
        <v>540</v>
      </c>
      <c r="Q916" s="115">
        <v>544.75</v>
      </c>
      <c r="R916">
        <v>15541</v>
      </c>
    </row>
    <row r="917" spans="1:18" x14ac:dyDescent="0.25">
      <c r="A917" s="160">
        <v>43376</v>
      </c>
      <c r="B917" s="115">
        <v>700</v>
      </c>
      <c r="C917" s="115">
        <v>684.3</v>
      </c>
      <c r="D917" s="115">
        <v>653.4</v>
      </c>
      <c r="E917" s="115">
        <v>700</v>
      </c>
      <c r="F917" s="115">
        <v>684.3</v>
      </c>
      <c r="G917">
        <v>441</v>
      </c>
      <c r="H917" s="115"/>
      <c r="I917" s="115"/>
      <c r="L917" s="160">
        <v>43349</v>
      </c>
      <c r="M917" s="115">
        <v>550.4</v>
      </c>
      <c r="N917" s="115">
        <v>554.1</v>
      </c>
      <c r="O917" s="115">
        <v>543</v>
      </c>
      <c r="P917" s="115">
        <v>543</v>
      </c>
      <c r="Q917" s="115">
        <v>550.4</v>
      </c>
      <c r="R917">
        <v>11396</v>
      </c>
    </row>
    <row r="918" spans="1:18" x14ac:dyDescent="0.25">
      <c r="A918" s="160">
        <v>43377</v>
      </c>
      <c r="B918" s="115">
        <v>685</v>
      </c>
      <c r="C918" s="115">
        <v>642.35</v>
      </c>
      <c r="D918" s="115">
        <v>627.1</v>
      </c>
      <c r="E918" s="115">
        <v>650</v>
      </c>
      <c r="F918" s="115">
        <v>642.35</v>
      </c>
      <c r="G918">
        <v>365</v>
      </c>
      <c r="H918" s="115"/>
      <c r="I918" s="115"/>
      <c r="L918" s="160">
        <v>43350</v>
      </c>
      <c r="M918" s="115">
        <v>548.20000000000005</v>
      </c>
      <c r="N918" s="115">
        <v>555.04999999999995</v>
      </c>
      <c r="O918" s="115">
        <v>541.04999999999995</v>
      </c>
      <c r="P918" s="115">
        <v>553.20000000000005</v>
      </c>
      <c r="Q918" s="115">
        <v>548.20000000000005</v>
      </c>
      <c r="R918">
        <v>4602</v>
      </c>
    </row>
    <row r="919" spans="1:18" x14ac:dyDescent="0.25">
      <c r="A919" s="160">
        <v>43378</v>
      </c>
      <c r="B919" s="115">
        <v>645</v>
      </c>
      <c r="C919" s="115">
        <v>638</v>
      </c>
      <c r="D919" s="115">
        <v>630.04999999999995</v>
      </c>
      <c r="E919" s="115">
        <v>636</v>
      </c>
      <c r="F919" s="115">
        <v>638</v>
      </c>
      <c r="G919">
        <v>20</v>
      </c>
      <c r="H919" s="115"/>
      <c r="I919" s="115"/>
      <c r="L919" s="160">
        <v>43353</v>
      </c>
      <c r="M919" s="115">
        <v>539.85</v>
      </c>
      <c r="N919" s="115">
        <v>550.45000000000005</v>
      </c>
      <c r="O919" s="115">
        <v>536.1</v>
      </c>
      <c r="P919" s="115">
        <v>545.70000000000005</v>
      </c>
      <c r="Q919" s="115">
        <v>539.85</v>
      </c>
      <c r="R919">
        <v>11258</v>
      </c>
    </row>
    <row r="920" spans="1:18" x14ac:dyDescent="0.25">
      <c r="A920" s="160">
        <v>43381</v>
      </c>
      <c r="B920" s="115">
        <v>675</v>
      </c>
      <c r="C920" s="115">
        <v>649</v>
      </c>
      <c r="D920" s="115">
        <v>630</v>
      </c>
      <c r="E920" s="115">
        <v>630</v>
      </c>
      <c r="F920" s="115">
        <v>649</v>
      </c>
      <c r="G920">
        <v>1632</v>
      </c>
      <c r="H920" s="115"/>
      <c r="I920" s="115"/>
      <c r="L920" s="160">
        <v>43354</v>
      </c>
      <c r="M920" s="115">
        <v>541.75</v>
      </c>
      <c r="N920" s="115">
        <v>550.15</v>
      </c>
      <c r="O920" s="115">
        <v>537</v>
      </c>
      <c r="P920" s="115">
        <v>540.4</v>
      </c>
      <c r="Q920" s="115">
        <v>541.75</v>
      </c>
      <c r="R920">
        <v>29048</v>
      </c>
    </row>
    <row r="921" spans="1:18" x14ac:dyDescent="0.25">
      <c r="A921" s="160">
        <v>43382</v>
      </c>
      <c r="B921" s="115">
        <v>650</v>
      </c>
      <c r="C921" s="115">
        <v>650</v>
      </c>
      <c r="D921" s="115">
        <v>632</v>
      </c>
      <c r="E921" s="115">
        <v>650</v>
      </c>
      <c r="F921" s="115">
        <v>650</v>
      </c>
      <c r="G921">
        <v>57</v>
      </c>
      <c r="H921" s="115"/>
      <c r="I921" s="115"/>
      <c r="L921" s="160">
        <v>43355</v>
      </c>
      <c r="M921" s="115">
        <v>540.04999999999995</v>
      </c>
      <c r="N921" s="115">
        <v>544.79999999999995</v>
      </c>
      <c r="O921" s="115">
        <v>536</v>
      </c>
      <c r="P921" s="115">
        <v>540.04999999999995</v>
      </c>
      <c r="Q921" s="115">
        <v>540.04999999999995</v>
      </c>
      <c r="R921">
        <v>6696</v>
      </c>
    </row>
    <row r="922" spans="1:18" x14ac:dyDescent="0.25">
      <c r="A922" s="160">
        <v>43383</v>
      </c>
      <c r="B922" s="115">
        <v>665</v>
      </c>
      <c r="C922" s="115">
        <v>665</v>
      </c>
      <c r="D922" s="115">
        <v>651</v>
      </c>
      <c r="E922" s="115">
        <v>651.04999999999995</v>
      </c>
      <c r="F922" s="115">
        <v>665</v>
      </c>
      <c r="G922">
        <v>126</v>
      </c>
      <c r="H922" s="115"/>
      <c r="I922" s="115"/>
      <c r="L922" s="160">
        <v>43357</v>
      </c>
      <c r="M922" s="115">
        <v>544</v>
      </c>
      <c r="N922" s="115">
        <v>545.9</v>
      </c>
      <c r="O922" s="115">
        <v>538.04999999999995</v>
      </c>
      <c r="P922" s="115">
        <v>540.04999999999995</v>
      </c>
      <c r="Q922" s="115">
        <v>544</v>
      </c>
      <c r="R922">
        <v>5224</v>
      </c>
    </row>
    <row r="923" spans="1:18" x14ac:dyDescent="0.25">
      <c r="A923" s="160">
        <v>43384</v>
      </c>
      <c r="B923" s="115">
        <v>678</v>
      </c>
      <c r="C923" s="115">
        <v>660</v>
      </c>
      <c r="D923" s="115">
        <v>645.04999999999995</v>
      </c>
      <c r="E923" s="115">
        <v>645.04999999999995</v>
      </c>
      <c r="F923" s="115">
        <v>660</v>
      </c>
      <c r="G923">
        <v>90</v>
      </c>
      <c r="H923" s="115"/>
      <c r="I923" s="115"/>
      <c r="L923" s="160">
        <v>43360</v>
      </c>
      <c r="M923" s="115">
        <v>530.70000000000005</v>
      </c>
      <c r="N923" s="115">
        <v>544</v>
      </c>
      <c r="O923" s="115">
        <v>528</v>
      </c>
      <c r="P923" s="115">
        <v>544</v>
      </c>
      <c r="Q923" s="115">
        <v>530.70000000000005</v>
      </c>
      <c r="R923">
        <v>12857</v>
      </c>
    </row>
    <row r="924" spans="1:18" x14ac:dyDescent="0.25">
      <c r="A924" s="160">
        <v>43385</v>
      </c>
      <c r="B924" s="115">
        <v>690</v>
      </c>
      <c r="C924" s="115">
        <v>653.25</v>
      </c>
      <c r="D924" s="115">
        <v>652.6</v>
      </c>
      <c r="E924" s="115">
        <v>655</v>
      </c>
      <c r="F924" s="115">
        <v>653.25</v>
      </c>
      <c r="G924">
        <v>131</v>
      </c>
      <c r="H924" s="115"/>
      <c r="I924" s="115"/>
      <c r="L924" s="160">
        <v>43361</v>
      </c>
      <c r="M924" s="115">
        <v>530.70000000000005</v>
      </c>
      <c r="N924" s="115">
        <v>535.95000000000005</v>
      </c>
      <c r="O924" s="115">
        <v>518.5</v>
      </c>
      <c r="P924" s="115">
        <v>531.5</v>
      </c>
      <c r="Q924" s="115">
        <v>530.70000000000005</v>
      </c>
      <c r="R924">
        <v>17200</v>
      </c>
    </row>
    <row r="925" spans="1:18" x14ac:dyDescent="0.25">
      <c r="A925" s="160">
        <v>43388</v>
      </c>
      <c r="B925" s="115">
        <v>670</v>
      </c>
      <c r="C925" s="115">
        <v>669</v>
      </c>
      <c r="D925" s="115">
        <v>651.29999999999995</v>
      </c>
      <c r="E925" s="115">
        <v>652.6</v>
      </c>
      <c r="F925" s="115">
        <v>669</v>
      </c>
      <c r="G925">
        <v>3331</v>
      </c>
      <c r="H925" s="115"/>
      <c r="I925" s="115"/>
      <c r="L925" s="160">
        <v>43362</v>
      </c>
      <c r="M925" s="115">
        <v>530.35</v>
      </c>
      <c r="N925" s="115">
        <v>533.29999999999995</v>
      </c>
      <c r="O925" s="115">
        <v>518</v>
      </c>
      <c r="P925" s="115">
        <v>525.04999999999995</v>
      </c>
      <c r="Q925" s="115">
        <v>530.35</v>
      </c>
      <c r="R925">
        <v>10667</v>
      </c>
    </row>
    <row r="926" spans="1:18" x14ac:dyDescent="0.25">
      <c r="A926" s="160">
        <v>43389</v>
      </c>
      <c r="B926" s="115">
        <v>666</v>
      </c>
      <c r="C926" s="115">
        <v>666</v>
      </c>
      <c r="D926" s="115">
        <v>666</v>
      </c>
      <c r="E926" s="115">
        <v>666</v>
      </c>
      <c r="F926" s="115">
        <v>666</v>
      </c>
      <c r="G926">
        <v>5</v>
      </c>
      <c r="H926" s="115"/>
      <c r="I926" s="115"/>
      <c r="L926" s="160">
        <v>43364</v>
      </c>
      <c r="M926" s="115">
        <v>470.85</v>
      </c>
      <c r="N926" s="115">
        <v>531.65</v>
      </c>
      <c r="O926" s="115">
        <v>459.95</v>
      </c>
      <c r="P926" s="115">
        <v>531.65</v>
      </c>
      <c r="Q926" s="115">
        <v>470.85</v>
      </c>
      <c r="R926">
        <v>81789</v>
      </c>
    </row>
    <row r="927" spans="1:18" x14ac:dyDescent="0.25">
      <c r="A927" s="160">
        <v>43390</v>
      </c>
      <c r="B927" s="115">
        <v>725</v>
      </c>
      <c r="C927" s="115">
        <v>668.15</v>
      </c>
      <c r="D927" s="115">
        <v>668.05</v>
      </c>
      <c r="E927" s="115">
        <v>725</v>
      </c>
      <c r="F927" s="115">
        <v>668.15</v>
      </c>
      <c r="G927">
        <v>646</v>
      </c>
      <c r="H927" s="115"/>
      <c r="I927" s="115"/>
      <c r="L927" s="160">
        <v>43367</v>
      </c>
      <c r="M927" s="115">
        <v>446.55</v>
      </c>
      <c r="N927" s="115">
        <v>490.5</v>
      </c>
      <c r="O927" s="115">
        <v>441.6</v>
      </c>
      <c r="P927" s="115">
        <v>478</v>
      </c>
      <c r="Q927" s="115">
        <v>446.55</v>
      </c>
      <c r="R927">
        <v>26938</v>
      </c>
    </row>
    <row r="928" spans="1:18" x14ac:dyDescent="0.25">
      <c r="A928" s="160">
        <v>43392</v>
      </c>
      <c r="B928" s="115">
        <v>679.5</v>
      </c>
      <c r="C928" s="115">
        <v>656.6</v>
      </c>
      <c r="D928" s="115">
        <v>650</v>
      </c>
      <c r="E928" s="115">
        <v>670</v>
      </c>
      <c r="F928" s="115">
        <v>656.6</v>
      </c>
      <c r="G928">
        <v>215</v>
      </c>
      <c r="H928" s="115"/>
      <c r="I928" s="115"/>
      <c r="L928" s="160">
        <v>43368</v>
      </c>
      <c r="M928" s="115">
        <v>450.35</v>
      </c>
      <c r="N928" s="115">
        <v>463.5</v>
      </c>
      <c r="O928" s="115">
        <v>430.1</v>
      </c>
      <c r="P928" s="115">
        <v>455.45</v>
      </c>
      <c r="Q928" s="115">
        <v>450.35</v>
      </c>
      <c r="R928">
        <v>20724</v>
      </c>
    </row>
    <row r="929" spans="1:18" x14ac:dyDescent="0.25">
      <c r="A929" s="160">
        <v>43395</v>
      </c>
      <c r="B929" s="115">
        <v>689</v>
      </c>
      <c r="C929" s="115">
        <v>660</v>
      </c>
      <c r="D929" s="115">
        <v>656</v>
      </c>
      <c r="E929" s="115">
        <v>656</v>
      </c>
      <c r="F929" s="115">
        <v>660</v>
      </c>
      <c r="G929">
        <v>125</v>
      </c>
      <c r="H929" s="115"/>
      <c r="I929" s="115"/>
      <c r="L929" s="160">
        <v>43369</v>
      </c>
      <c r="M929" s="115">
        <v>433.35</v>
      </c>
      <c r="N929" s="115">
        <v>458.75</v>
      </c>
      <c r="O929" s="115">
        <v>427</v>
      </c>
      <c r="P929" s="115">
        <v>452</v>
      </c>
      <c r="Q929" s="115">
        <v>433.35</v>
      </c>
      <c r="R929">
        <v>18011</v>
      </c>
    </row>
    <row r="930" spans="1:18" x14ac:dyDescent="0.25">
      <c r="A930" s="160">
        <v>43396</v>
      </c>
      <c r="B930" s="115">
        <v>679.9</v>
      </c>
      <c r="C930" s="115">
        <v>679.55</v>
      </c>
      <c r="D930" s="115">
        <v>641</v>
      </c>
      <c r="E930" s="115">
        <v>666</v>
      </c>
      <c r="F930" s="115">
        <v>679.55</v>
      </c>
      <c r="G930">
        <v>137</v>
      </c>
      <c r="H930" s="115"/>
      <c r="I930" s="115"/>
      <c r="L930" s="160">
        <v>43370</v>
      </c>
      <c r="M930" s="115">
        <v>418.4</v>
      </c>
      <c r="N930" s="115">
        <v>438</v>
      </c>
      <c r="O930" s="115">
        <v>405</v>
      </c>
      <c r="P930" s="115">
        <v>426.85</v>
      </c>
      <c r="Q930" s="115">
        <v>418.4</v>
      </c>
      <c r="R930">
        <v>22076</v>
      </c>
    </row>
    <row r="931" spans="1:18" x14ac:dyDescent="0.25">
      <c r="A931" s="160">
        <v>43397</v>
      </c>
      <c r="B931" s="115">
        <v>700</v>
      </c>
      <c r="C931" s="115">
        <v>698</v>
      </c>
      <c r="D931" s="115">
        <v>670</v>
      </c>
      <c r="E931" s="115">
        <v>675</v>
      </c>
      <c r="F931" s="115">
        <v>698</v>
      </c>
      <c r="G931">
        <v>49</v>
      </c>
      <c r="H931" s="115"/>
      <c r="I931" s="115"/>
      <c r="L931" s="160">
        <v>43371</v>
      </c>
      <c r="M931" s="115">
        <v>406.15</v>
      </c>
      <c r="N931" s="115">
        <v>430</v>
      </c>
      <c r="O931" s="115">
        <v>390</v>
      </c>
      <c r="P931" s="115">
        <v>423.9</v>
      </c>
      <c r="Q931" s="115">
        <v>406.15</v>
      </c>
      <c r="R931">
        <v>24344</v>
      </c>
    </row>
    <row r="932" spans="1:18" x14ac:dyDescent="0.25">
      <c r="A932" s="160">
        <v>43398</v>
      </c>
      <c r="B932" s="115">
        <v>744</v>
      </c>
      <c r="C932" s="115">
        <v>706.3</v>
      </c>
      <c r="D932" s="115">
        <v>671.05</v>
      </c>
      <c r="E932" s="115">
        <v>744</v>
      </c>
      <c r="F932" s="115">
        <v>706.3</v>
      </c>
      <c r="G932">
        <v>93</v>
      </c>
      <c r="H932" s="115"/>
      <c r="I932" s="115"/>
      <c r="L932" s="160">
        <v>43374</v>
      </c>
      <c r="M932" s="115">
        <v>393.35</v>
      </c>
      <c r="N932" s="115">
        <v>399.9</v>
      </c>
      <c r="O932" s="115">
        <v>377.05</v>
      </c>
      <c r="P932" s="115">
        <v>399.9</v>
      </c>
      <c r="Q932" s="115">
        <v>393.35</v>
      </c>
      <c r="R932">
        <v>28223</v>
      </c>
    </row>
    <row r="933" spans="1:18" x14ac:dyDescent="0.25">
      <c r="A933" s="160">
        <v>43399</v>
      </c>
      <c r="B933" s="115">
        <v>687.8</v>
      </c>
      <c r="C933" s="115">
        <v>662.4</v>
      </c>
      <c r="D933" s="115">
        <v>650.04999999999995</v>
      </c>
      <c r="E933" s="115">
        <v>670.05</v>
      </c>
      <c r="F933" s="115">
        <v>662.4</v>
      </c>
      <c r="G933">
        <v>417</v>
      </c>
      <c r="H933" s="115"/>
      <c r="I933" s="115"/>
      <c r="L933" s="160">
        <v>43376</v>
      </c>
      <c r="M933" s="115">
        <v>416.2</v>
      </c>
      <c r="N933" s="115">
        <v>418.95</v>
      </c>
      <c r="O933" s="115">
        <v>390.05</v>
      </c>
      <c r="P933" s="115">
        <v>400</v>
      </c>
      <c r="Q933" s="115">
        <v>416.2</v>
      </c>
      <c r="R933">
        <v>15292</v>
      </c>
    </row>
    <row r="934" spans="1:18" x14ac:dyDescent="0.25">
      <c r="A934" s="160">
        <v>43402</v>
      </c>
      <c r="B934" s="115">
        <v>666</v>
      </c>
      <c r="C934" s="115">
        <v>666</v>
      </c>
      <c r="D934" s="115">
        <v>653.25</v>
      </c>
      <c r="E934" s="115">
        <v>666</v>
      </c>
      <c r="F934" s="115">
        <v>666</v>
      </c>
      <c r="G934">
        <v>37</v>
      </c>
      <c r="H934" s="115"/>
      <c r="I934" s="115"/>
      <c r="L934" s="160">
        <v>43377</v>
      </c>
      <c r="M934" s="115">
        <v>404.9</v>
      </c>
      <c r="N934" s="115">
        <v>416.65</v>
      </c>
      <c r="O934" s="115">
        <v>389.9</v>
      </c>
      <c r="P934" s="115">
        <v>410</v>
      </c>
      <c r="Q934" s="115">
        <v>404.9</v>
      </c>
      <c r="R934">
        <v>21409</v>
      </c>
    </row>
    <row r="935" spans="1:18" x14ac:dyDescent="0.25">
      <c r="A935" s="160">
        <v>43403</v>
      </c>
      <c r="B935" s="115">
        <v>671</v>
      </c>
      <c r="C935" s="115">
        <v>665.55</v>
      </c>
      <c r="D935" s="115">
        <v>662.1</v>
      </c>
      <c r="E935" s="115">
        <v>671</v>
      </c>
      <c r="F935" s="115">
        <v>665.55</v>
      </c>
      <c r="G935">
        <v>303</v>
      </c>
      <c r="H935" s="115"/>
      <c r="I935" s="115"/>
      <c r="L935" s="160">
        <v>43378</v>
      </c>
      <c r="M935" s="115">
        <v>407.25</v>
      </c>
      <c r="N935" s="115">
        <v>412</v>
      </c>
      <c r="O935" s="115">
        <v>401</v>
      </c>
      <c r="P935" s="115">
        <v>404.9</v>
      </c>
      <c r="Q935" s="115">
        <v>407.25</v>
      </c>
      <c r="R935">
        <v>7158</v>
      </c>
    </row>
    <row r="936" spans="1:18" x14ac:dyDescent="0.25">
      <c r="A936" s="160">
        <v>43404</v>
      </c>
      <c r="B936" s="115">
        <v>798.65</v>
      </c>
      <c r="C936" s="115">
        <v>798.65</v>
      </c>
      <c r="D936" s="115">
        <v>769</v>
      </c>
      <c r="E936" s="115">
        <v>769</v>
      </c>
      <c r="F936" s="115">
        <v>798.65</v>
      </c>
      <c r="G936">
        <v>4471</v>
      </c>
      <c r="H936" s="115"/>
      <c r="I936" s="115"/>
      <c r="L936" s="160">
        <v>43381</v>
      </c>
      <c r="M936" s="115">
        <v>402.85</v>
      </c>
      <c r="N936" s="115">
        <v>410</v>
      </c>
      <c r="O936" s="115">
        <v>400</v>
      </c>
      <c r="P936" s="115">
        <v>402.4</v>
      </c>
      <c r="Q936" s="115">
        <v>402.85</v>
      </c>
      <c r="R936">
        <v>4648</v>
      </c>
    </row>
    <row r="937" spans="1:18" x14ac:dyDescent="0.25">
      <c r="A937" s="160">
        <v>43405</v>
      </c>
      <c r="B937" s="115">
        <v>880</v>
      </c>
      <c r="C937" s="115">
        <v>829.7</v>
      </c>
      <c r="D937" s="115">
        <v>801.5</v>
      </c>
      <c r="E937" s="115">
        <v>849</v>
      </c>
      <c r="F937" s="115">
        <v>829.7</v>
      </c>
      <c r="G937">
        <v>7334</v>
      </c>
      <c r="H937" s="115"/>
      <c r="I937" s="115"/>
      <c r="L937" s="160">
        <v>43382</v>
      </c>
      <c r="M937" s="115">
        <v>391.05</v>
      </c>
      <c r="N937" s="115">
        <v>404.4</v>
      </c>
      <c r="O937" s="115">
        <v>390.2</v>
      </c>
      <c r="P937" s="115">
        <v>401.3</v>
      </c>
      <c r="Q937" s="115">
        <v>391.05</v>
      </c>
      <c r="R937">
        <v>7589</v>
      </c>
    </row>
    <row r="938" spans="1:18" x14ac:dyDescent="0.25">
      <c r="A938" s="160">
        <v>43406</v>
      </c>
      <c r="B938" s="115">
        <v>860</v>
      </c>
      <c r="C938" s="115">
        <v>844.75</v>
      </c>
      <c r="D938" s="115">
        <v>835</v>
      </c>
      <c r="E938" s="115">
        <v>835</v>
      </c>
      <c r="F938" s="115">
        <v>844.75</v>
      </c>
      <c r="G938">
        <v>3563</v>
      </c>
      <c r="H938" s="115"/>
      <c r="I938" s="115"/>
      <c r="L938" s="160">
        <v>43383</v>
      </c>
      <c r="M938" s="115">
        <v>410.7</v>
      </c>
      <c r="N938" s="115">
        <v>416.75</v>
      </c>
      <c r="O938" s="115">
        <v>388.55</v>
      </c>
      <c r="P938" s="115">
        <v>397</v>
      </c>
      <c r="Q938" s="115">
        <v>410.7</v>
      </c>
      <c r="R938">
        <v>45278</v>
      </c>
    </row>
    <row r="939" spans="1:18" x14ac:dyDescent="0.25">
      <c r="A939" s="160">
        <v>43409</v>
      </c>
      <c r="B939" s="115">
        <v>884</v>
      </c>
      <c r="C939" s="115">
        <v>842.4</v>
      </c>
      <c r="D939" s="115">
        <v>830.05</v>
      </c>
      <c r="E939" s="115">
        <v>875</v>
      </c>
      <c r="F939" s="115">
        <v>842.4</v>
      </c>
      <c r="G939">
        <v>2798</v>
      </c>
      <c r="H939" s="115"/>
      <c r="I939" s="115"/>
      <c r="L939" s="160">
        <v>43384</v>
      </c>
      <c r="M939" s="115">
        <v>415.2</v>
      </c>
      <c r="N939" s="115">
        <v>421</v>
      </c>
      <c r="O939" s="115">
        <v>393.6</v>
      </c>
      <c r="P939" s="115">
        <v>394</v>
      </c>
      <c r="Q939" s="115">
        <v>415.2</v>
      </c>
      <c r="R939">
        <v>11444</v>
      </c>
    </row>
    <row r="940" spans="1:18" x14ac:dyDescent="0.25">
      <c r="A940" s="160">
        <v>43410</v>
      </c>
      <c r="B940" s="115">
        <v>850</v>
      </c>
      <c r="C940" s="115">
        <v>830</v>
      </c>
      <c r="D940" s="115">
        <v>805.05</v>
      </c>
      <c r="E940" s="115">
        <v>850</v>
      </c>
      <c r="F940" s="115">
        <v>830</v>
      </c>
      <c r="G940">
        <v>786</v>
      </c>
      <c r="H940" s="115"/>
      <c r="I940" s="115"/>
      <c r="L940" s="160">
        <v>43385</v>
      </c>
      <c r="M940" s="115">
        <v>409.9</v>
      </c>
      <c r="N940" s="115">
        <v>426.75</v>
      </c>
      <c r="O940" s="115">
        <v>401.1</v>
      </c>
      <c r="P940" s="115">
        <v>413.95</v>
      </c>
      <c r="Q940" s="115">
        <v>409.9</v>
      </c>
      <c r="R940">
        <v>23579</v>
      </c>
    </row>
    <row r="941" spans="1:18" x14ac:dyDescent="0.25">
      <c r="A941" s="160">
        <v>43411</v>
      </c>
      <c r="B941" s="115">
        <v>839.95</v>
      </c>
      <c r="C941" s="115">
        <v>837</v>
      </c>
      <c r="D941" s="115">
        <v>820</v>
      </c>
      <c r="E941" s="115">
        <v>833</v>
      </c>
      <c r="F941" s="115">
        <v>837</v>
      </c>
      <c r="G941">
        <v>697</v>
      </c>
      <c r="H941" s="115"/>
      <c r="I941" s="115"/>
      <c r="L941" s="160">
        <v>43388</v>
      </c>
      <c r="M941" s="115">
        <v>408.75</v>
      </c>
      <c r="N941" s="115">
        <v>418.05</v>
      </c>
      <c r="O941" s="115">
        <v>395.6</v>
      </c>
      <c r="P941" s="115">
        <v>409.85</v>
      </c>
      <c r="Q941" s="115">
        <v>408.75</v>
      </c>
      <c r="R941">
        <v>15487</v>
      </c>
    </row>
    <row r="942" spans="1:18" x14ac:dyDescent="0.25">
      <c r="A942" s="160">
        <v>43413</v>
      </c>
      <c r="B942" s="115">
        <v>838.1</v>
      </c>
      <c r="C942" s="115">
        <v>832</v>
      </c>
      <c r="D942" s="115">
        <v>825</v>
      </c>
      <c r="E942" s="115">
        <v>825.05</v>
      </c>
      <c r="F942" s="115">
        <v>832</v>
      </c>
      <c r="G942">
        <v>262</v>
      </c>
      <c r="H942" s="115"/>
      <c r="I942" s="115"/>
      <c r="L942" s="160">
        <v>43389</v>
      </c>
      <c r="M942" s="115">
        <v>406.45</v>
      </c>
      <c r="N942" s="115">
        <v>415.9</v>
      </c>
      <c r="O942" s="115">
        <v>404.1</v>
      </c>
      <c r="P942" s="115">
        <v>413.95</v>
      </c>
      <c r="Q942" s="115">
        <v>406.45</v>
      </c>
      <c r="R942">
        <v>16068</v>
      </c>
    </row>
    <row r="943" spans="1:18" x14ac:dyDescent="0.25">
      <c r="A943" s="160">
        <v>43416</v>
      </c>
      <c r="B943" s="115">
        <v>827</v>
      </c>
      <c r="C943" s="115">
        <v>810.65</v>
      </c>
      <c r="D943" s="115">
        <v>810.5</v>
      </c>
      <c r="E943" s="115">
        <v>819.05</v>
      </c>
      <c r="F943" s="115">
        <v>810.65</v>
      </c>
      <c r="G943">
        <v>352</v>
      </c>
      <c r="H943" s="115"/>
      <c r="I943" s="115"/>
      <c r="L943" s="160">
        <v>43390</v>
      </c>
      <c r="M943" s="115">
        <v>404.75</v>
      </c>
      <c r="N943" s="115">
        <v>414.95</v>
      </c>
      <c r="O943" s="115">
        <v>402.25</v>
      </c>
      <c r="P943" s="115">
        <v>409.65</v>
      </c>
      <c r="Q943" s="115">
        <v>404.75</v>
      </c>
      <c r="R943">
        <v>9293</v>
      </c>
    </row>
    <row r="944" spans="1:18" x14ac:dyDescent="0.25">
      <c r="A944" s="160">
        <v>43417</v>
      </c>
      <c r="B944" s="115">
        <v>900</v>
      </c>
      <c r="C944" s="115">
        <v>865.05</v>
      </c>
      <c r="D944" s="115">
        <v>832.5</v>
      </c>
      <c r="E944" s="115">
        <v>839.4</v>
      </c>
      <c r="F944" s="115">
        <v>865.05</v>
      </c>
      <c r="G944">
        <v>3630</v>
      </c>
      <c r="H944" s="115"/>
      <c r="I944" s="115"/>
      <c r="L944" s="160">
        <v>43392</v>
      </c>
      <c r="M944" s="115">
        <v>405</v>
      </c>
      <c r="N944" s="115">
        <v>408</v>
      </c>
      <c r="O944" s="115">
        <v>399.1</v>
      </c>
      <c r="P944" s="115">
        <v>407</v>
      </c>
      <c r="Q944" s="115">
        <v>405</v>
      </c>
      <c r="R944">
        <v>27631</v>
      </c>
    </row>
    <row r="945" spans="1:18" x14ac:dyDescent="0.25">
      <c r="A945" s="160">
        <v>43418</v>
      </c>
      <c r="B945" s="115">
        <v>881</v>
      </c>
      <c r="C945" s="115">
        <v>874.55</v>
      </c>
      <c r="D945" s="115">
        <v>860</v>
      </c>
      <c r="E945" s="115">
        <v>865</v>
      </c>
      <c r="F945" s="115">
        <v>874.55</v>
      </c>
      <c r="G945">
        <v>1732</v>
      </c>
      <c r="H945" s="115"/>
      <c r="I945" s="115"/>
      <c r="L945" s="160">
        <v>43395</v>
      </c>
      <c r="M945" s="115">
        <v>385.1</v>
      </c>
      <c r="N945" s="115">
        <v>407.1</v>
      </c>
      <c r="O945" s="115">
        <v>373.25</v>
      </c>
      <c r="P945" s="115">
        <v>404.75</v>
      </c>
      <c r="Q945" s="115">
        <v>385.1</v>
      </c>
      <c r="R945">
        <v>22508</v>
      </c>
    </row>
    <row r="946" spans="1:18" x14ac:dyDescent="0.25">
      <c r="A946" s="160">
        <v>43419</v>
      </c>
      <c r="B946" s="115">
        <v>881</v>
      </c>
      <c r="C946" s="115">
        <v>866.85</v>
      </c>
      <c r="D946" s="115">
        <v>860</v>
      </c>
      <c r="E946" s="115">
        <v>870</v>
      </c>
      <c r="F946" s="115">
        <v>866.85</v>
      </c>
      <c r="G946">
        <v>651</v>
      </c>
      <c r="H946" s="115"/>
      <c r="I946" s="115"/>
      <c r="L946" s="160">
        <v>43396</v>
      </c>
      <c r="M946" s="115">
        <v>379.9</v>
      </c>
      <c r="N946" s="115">
        <v>387.95</v>
      </c>
      <c r="O946" s="115">
        <v>374.6</v>
      </c>
      <c r="P946" s="115">
        <v>385</v>
      </c>
      <c r="Q946" s="115">
        <v>379.9</v>
      </c>
      <c r="R946">
        <v>10049</v>
      </c>
    </row>
    <row r="947" spans="1:18" x14ac:dyDescent="0.25">
      <c r="A947" s="160">
        <v>43420</v>
      </c>
      <c r="B947" s="115">
        <v>898</v>
      </c>
      <c r="C947" s="115">
        <v>884.75</v>
      </c>
      <c r="D947" s="115">
        <v>860</v>
      </c>
      <c r="E947" s="115">
        <v>860.05</v>
      </c>
      <c r="F947" s="115">
        <v>884.75</v>
      </c>
      <c r="G947">
        <v>1829</v>
      </c>
      <c r="H947" s="115"/>
      <c r="I947" s="115"/>
      <c r="L947" s="160">
        <v>43397</v>
      </c>
      <c r="M947" s="115">
        <v>378.85</v>
      </c>
      <c r="N947" s="115">
        <v>395</v>
      </c>
      <c r="O947" s="115">
        <v>375.25</v>
      </c>
      <c r="P947" s="115">
        <v>387</v>
      </c>
      <c r="Q947" s="115">
        <v>378.85</v>
      </c>
      <c r="R947">
        <v>17392</v>
      </c>
    </row>
    <row r="948" spans="1:18" x14ac:dyDescent="0.25">
      <c r="A948" s="160">
        <v>43423</v>
      </c>
      <c r="B948" s="115">
        <v>969.95</v>
      </c>
      <c r="C948" s="115">
        <v>915.85</v>
      </c>
      <c r="D948" s="115">
        <v>865</v>
      </c>
      <c r="E948" s="115">
        <v>865.55</v>
      </c>
      <c r="F948" s="115">
        <v>915.85</v>
      </c>
      <c r="G948">
        <v>4306</v>
      </c>
      <c r="H948" s="115"/>
      <c r="I948" s="115"/>
      <c r="L948" s="160">
        <v>43398</v>
      </c>
      <c r="M948" s="115">
        <v>371.8</v>
      </c>
      <c r="N948" s="115">
        <v>378</v>
      </c>
      <c r="O948" s="115">
        <v>371.25</v>
      </c>
      <c r="P948" s="115">
        <v>374</v>
      </c>
      <c r="Q948" s="115">
        <v>371.8</v>
      </c>
      <c r="R948">
        <v>7214</v>
      </c>
    </row>
    <row r="949" spans="1:18" x14ac:dyDescent="0.25">
      <c r="A949" s="160">
        <v>43424</v>
      </c>
      <c r="B949" s="115">
        <v>978</v>
      </c>
      <c r="C949" s="115">
        <v>953.6</v>
      </c>
      <c r="D949" s="115">
        <v>916</v>
      </c>
      <c r="E949" s="115">
        <v>961.6</v>
      </c>
      <c r="F949" s="115">
        <v>953.6</v>
      </c>
      <c r="G949">
        <v>5146</v>
      </c>
      <c r="H949" s="115"/>
      <c r="I949" s="115"/>
      <c r="L949" s="160">
        <v>43399</v>
      </c>
      <c r="M949" s="115">
        <v>371</v>
      </c>
      <c r="N949" s="115">
        <v>385.95</v>
      </c>
      <c r="O949" s="115">
        <v>358.2</v>
      </c>
      <c r="P949" s="115">
        <v>371.25</v>
      </c>
      <c r="Q949" s="115">
        <v>371</v>
      </c>
      <c r="R949">
        <v>43531</v>
      </c>
    </row>
    <row r="950" spans="1:18" x14ac:dyDescent="0.25">
      <c r="A950" s="160">
        <v>43425</v>
      </c>
      <c r="B950" s="115">
        <v>985.95</v>
      </c>
      <c r="C950" s="115">
        <v>968.8</v>
      </c>
      <c r="D950" s="115">
        <v>931</v>
      </c>
      <c r="E950" s="115">
        <v>931</v>
      </c>
      <c r="F950" s="115">
        <v>968.8</v>
      </c>
      <c r="G950">
        <v>2168</v>
      </c>
      <c r="H950" s="115"/>
      <c r="I950" s="115"/>
      <c r="L950" s="160">
        <v>43402</v>
      </c>
      <c r="M950" s="115">
        <v>366.45</v>
      </c>
      <c r="N950" s="115">
        <v>375</v>
      </c>
      <c r="O950" s="115">
        <v>360</v>
      </c>
      <c r="P950" s="115">
        <v>371.8</v>
      </c>
      <c r="Q950" s="115">
        <v>366.45</v>
      </c>
      <c r="R950">
        <v>6131</v>
      </c>
    </row>
    <row r="951" spans="1:18" x14ac:dyDescent="0.25">
      <c r="A951" s="160">
        <v>43426</v>
      </c>
      <c r="B951" s="115">
        <v>980</v>
      </c>
      <c r="C951" s="115">
        <v>979.75</v>
      </c>
      <c r="D951" s="115">
        <v>952</v>
      </c>
      <c r="E951" s="115">
        <v>952</v>
      </c>
      <c r="F951" s="115">
        <v>979.75</v>
      </c>
      <c r="G951">
        <v>948</v>
      </c>
      <c r="H951" s="115"/>
      <c r="I951" s="115"/>
      <c r="L951" s="160">
        <v>43403</v>
      </c>
      <c r="M951" s="115">
        <v>367.75</v>
      </c>
      <c r="N951" s="115">
        <v>382.65</v>
      </c>
      <c r="O951" s="115">
        <v>365.6</v>
      </c>
      <c r="P951" s="115">
        <v>369.45</v>
      </c>
      <c r="Q951" s="115">
        <v>367.75</v>
      </c>
      <c r="R951">
        <v>5382</v>
      </c>
    </row>
    <row r="952" spans="1:18" x14ac:dyDescent="0.25">
      <c r="A952" s="160">
        <v>43430</v>
      </c>
      <c r="B952" s="115">
        <v>980</v>
      </c>
      <c r="C952" s="115">
        <v>933.85</v>
      </c>
      <c r="D952" s="115">
        <v>925</v>
      </c>
      <c r="E952" s="115">
        <v>980</v>
      </c>
      <c r="F952" s="115">
        <v>933.85</v>
      </c>
      <c r="G952">
        <v>872</v>
      </c>
      <c r="H952" s="115"/>
      <c r="I952" s="115"/>
      <c r="L952" s="160">
        <v>43404</v>
      </c>
      <c r="M952" s="115">
        <v>359.6</v>
      </c>
      <c r="N952" s="115">
        <v>367</v>
      </c>
      <c r="O952" s="115">
        <v>356.55</v>
      </c>
      <c r="P952" s="115">
        <v>366.9</v>
      </c>
      <c r="Q952" s="115">
        <v>359.6</v>
      </c>
      <c r="R952">
        <v>18765</v>
      </c>
    </row>
    <row r="953" spans="1:18" x14ac:dyDescent="0.25">
      <c r="A953" s="160">
        <v>43431</v>
      </c>
      <c r="B953" s="115">
        <v>947.6</v>
      </c>
      <c r="C953" s="115">
        <v>911.65</v>
      </c>
      <c r="D953" s="115">
        <v>900</v>
      </c>
      <c r="E953" s="115">
        <v>947.6</v>
      </c>
      <c r="F953" s="115">
        <v>911.65</v>
      </c>
      <c r="G953">
        <v>272</v>
      </c>
      <c r="H953" s="115"/>
      <c r="I953" s="115"/>
      <c r="L953" s="160">
        <v>43405</v>
      </c>
      <c r="M953" s="115">
        <v>363</v>
      </c>
      <c r="N953" s="115">
        <v>374</v>
      </c>
      <c r="O953" s="115">
        <v>360.2</v>
      </c>
      <c r="P953" s="115">
        <v>360.2</v>
      </c>
      <c r="Q953" s="115">
        <v>363</v>
      </c>
      <c r="R953">
        <v>17320</v>
      </c>
    </row>
    <row r="954" spans="1:18" x14ac:dyDescent="0.25">
      <c r="A954" s="160">
        <v>43432</v>
      </c>
      <c r="B954" s="115">
        <v>920</v>
      </c>
      <c r="C954" s="115">
        <v>889.2</v>
      </c>
      <c r="D954" s="115">
        <v>880</v>
      </c>
      <c r="E954" s="115">
        <v>911</v>
      </c>
      <c r="F954" s="115">
        <v>889.2</v>
      </c>
      <c r="G954">
        <v>1016</v>
      </c>
      <c r="H954" s="115"/>
      <c r="I954" s="115"/>
      <c r="L954" s="160">
        <v>43406</v>
      </c>
      <c r="M954" s="115">
        <v>384.35</v>
      </c>
      <c r="N954" s="115">
        <v>395.7</v>
      </c>
      <c r="O954" s="115">
        <v>367.5</v>
      </c>
      <c r="P954" s="115">
        <v>369.95</v>
      </c>
      <c r="Q954" s="115">
        <v>384.35</v>
      </c>
      <c r="R954">
        <v>83520</v>
      </c>
    </row>
    <row r="955" spans="1:18" x14ac:dyDescent="0.25">
      <c r="A955" s="160">
        <v>43433</v>
      </c>
      <c r="B955" s="115">
        <v>938</v>
      </c>
      <c r="C955" s="115">
        <v>922.2</v>
      </c>
      <c r="D955" s="115">
        <v>900</v>
      </c>
      <c r="E955" s="115">
        <v>900</v>
      </c>
      <c r="F955" s="115">
        <v>922.2</v>
      </c>
      <c r="G955">
        <v>1525</v>
      </c>
      <c r="H955" s="115"/>
      <c r="I955" s="115"/>
      <c r="L955" s="160">
        <v>43409</v>
      </c>
      <c r="M955" s="115">
        <v>391.2</v>
      </c>
      <c r="N955" s="115">
        <v>397.95</v>
      </c>
      <c r="O955" s="115">
        <v>387.05</v>
      </c>
      <c r="P955" s="115">
        <v>391.95</v>
      </c>
      <c r="Q955" s="115">
        <v>391.2</v>
      </c>
      <c r="R955">
        <v>16602</v>
      </c>
    </row>
    <row r="956" spans="1:18" x14ac:dyDescent="0.25">
      <c r="A956" s="160">
        <v>43434</v>
      </c>
      <c r="B956" s="115">
        <v>944.8</v>
      </c>
      <c r="C956" s="115">
        <v>926</v>
      </c>
      <c r="D956" s="115">
        <v>926</v>
      </c>
      <c r="E956" s="115">
        <v>944.8</v>
      </c>
      <c r="F956" s="115">
        <v>926</v>
      </c>
      <c r="G956">
        <v>215</v>
      </c>
      <c r="H956" s="115"/>
      <c r="I956" s="115"/>
      <c r="L956" s="160">
        <v>43410</v>
      </c>
      <c r="M956" s="115">
        <v>396.05</v>
      </c>
      <c r="N956" s="115">
        <v>399.9</v>
      </c>
      <c r="O956" s="115">
        <v>392.5</v>
      </c>
      <c r="P956" s="115">
        <v>392.5</v>
      </c>
      <c r="Q956" s="115">
        <v>396.05</v>
      </c>
      <c r="R956">
        <v>4960</v>
      </c>
    </row>
    <row r="957" spans="1:18" x14ac:dyDescent="0.25">
      <c r="A957" s="160">
        <v>43437</v>
      </c>
      <c r="B957" s="115">
        <v>947.95</v>
      </c>
      <c r="C957" s="115">
        <v>931.1</v>
      </c>
      <c r="D957" s="115">
        <v>931</v>
      </c>
      <c r="E957" s="115">
        <v>935</v>
      </c>
      <c r="F957" s="115">
        <v>931.1</v>
      </c>
      <c r="G957">
        <v>587</v>
      </c>
      <c r="H957" s="115"/>
      <c r="I957" s="115"/>
      <c r="L957" s="160">
        <v>43411</v>
      </c>
      <c r="M957" s="115">
        <v>400.75</v>
      </c>
      <c r="N957" s="115">
        <v>411</v>
      </c>
      <c r="O957" s="115">
        <v>389.15</v>
      </c>
      <c r="P957" s="115">
        <v>403</v>
      </c>
      <c r="Q957" s="115">
        <v>400.75</v>
      </c>
      <c r="R957">
        <v>4685</v>
      </c>
    </row>
    <row r="958" spans="1:18" x14ac:dyDescent="0.25">
      <c r="A958" s="160">
        <v>43438</v>
      </c>
      <c r="B958" s="115">
        <v>915.7</v>
      </c>
      <c r="C958" s="115">
        <v>915.7</v>
      </c>
      <c r="D958" s="115">
        <v>912.05</v>
      </c>
      <c r="E958" s="115">
        <v>912.05</v>
      </c>
      <c r="F958" s="115">
        <v>915.7</v>
      </c>
      <c r="G958">
        <v>482</v>
      </c>
      <c r="H958" s="115"/>
      <c r="I958" s="115"/>
      <c r="L958" s="160">
        <v>43413</v>
      </c>
      <c r="M958" s="115">
        <v>401.05</v>
      </c>
      <c r="N958" s="115">
        <v>410</v>
      </c>
      <c r="O958" s="115">
        <v>399.05</v>
      </c>
      <c r="P958" s="115">
        <v>410</v>
      </c>
      <c r="Q958" s="115">
        <v>401.05</v>
      </c>
      <c r="R958">
        <v>6293</v>
      </c>
    </row>
    <row r="959" spans="1:18" x14ac:dyDescent="0.25">
      <c r="A959" s="160">
        <v>43439</v>
      </c>
      <c r="B959" s="115">
        <v>935</v>
      </c>
      <c r="C959" s="115">
        <v>920.9</v>
      </c>
      <c r="D959" s="115">
        <v>901.05</v>
      </c>
      <c r="E959" s="115">
        <v>935</v>
      </c>
      <c r="F959" s="115">
        <v>920.9</v>
      </c>
      <c r="G959">
        <v>164</v>
      </c>
      <c r="H959" s="115"/>
      <c r="I959" s="115"/>
      <c r="L959" s="160">
        <v>43416</v>
      </c>
      <c r="M959" s="115">
        <v>405.3</v>
      </c>
      <c r="N959" s="115">
        <v>409.75</v>
      </c>
      <c r="O959" s="115">
        <v>401.85</v>
      </c>
      <c r="P959" s="115">
        <v>404.9</v>
      </c>
      <c r="Q959" s="115">
        <v>405.3</v>
      </c>
      <c r="R959">
        <v>7468</v>
      </c>
    </row>
    <row r="960" spans="1:18" x14ac:dyDescent="0.25">
      <c r="A960" s="160">
        <v>43440</v>
      </c>
      <c r="B960" s="115">
        <v>903</v>
      </c>
      <c r="C960" s="115">
        <v>874.5</v>
      </c>
      <c r="D960" s="115">
        <v>862</v>
      </c>
      <c r="E960" s="115">
        <v>890</v>
      </c>
      <c r="F960" s="115">
        <v>874.5</v>
      </c>
      <c r="G960">
        <v>436</v>
      </c>
      <c r="H960" s="115"/>
      <c r="I960" s="115"/>
      <c r="L960" s="160">
        <v>43417</v>
      </c>
      <c r="M960" s="115">
        <v>416.7</v>
      </c>
      <c r="N960" s="115">
        <v>419.4</v>
      </c>
      <c r="O960" s="115">
        <v>402.5</v>
      </c>
      <c r="P960" s="115">
        <v>403.55</v>
      </c>
      <c r="Q960" s="115">
        <v>416.7</v>
      </c>
      <c r="R960">
        <v>15142</v>
      </c>
    </row>
    <row r="961" spans="1:18" x14ac:dyDescent="0.25">
      <c r="A961" s="160">
        <v>43441</v>
      </c>
      <c r="B961" s="115">
        <v>892</v>
      </c>
      <c r="C961" s="115">
        <v>864.5</v>
      </c>
      <c r="D961" s="115">
        <v>863.05</v>
      </c>
      <c r="E961" s="115">
        <v>880</v>
      </c>
      <c r="F961" s="115">
        <v>864.5</v>
      </c>
      <c r="G961">
        <v>280</v>
      </c>
      <c r="H961" s="115"/>
      <c r="I961" s="115"/>
      <c r="L961" s="160">
        <v>43418</v>
      </c>
      <c r="M961" s="115">
        <v>409.8</v>
      </c>
      <c r="N961" s="115">
        <v>434.05</v>
      </c>
      <c r="O961" s="115">
        <v>401.05</v>
      </c>
      <c r="P961" s="115">
        <v>420</v>
      </c>
      <c r="Q961" s="115">
        <v>409.8</v>
      </c>
      <c r="R961">
        <v>46114</v>
      </c>
    </row>
    <row r="962" spans="1:18" x14ac:dyDescent="0.25">
      <c r="A962" s="160">
        <v>43444</v>
      </c>
      <c r="B962" s="115">
        <v>860</v>
      </c>
      <c r="C962" s="115">
        <v>836</v>
      </c>
      <c r="D962" s="115">
        <v>824</v>
      </c>
      <c r="E962" s="115">
        <v>824</v>
      </c>
      <c r="F962" s="115">
        <v>836</v>
      </c>
      <c r="G962">
        <v>373</v>
      </c>
      <c r="H962" s="115"/>
      <c r="I962" s="115"/>
      <c r="L962" s="160">
        <v>43419</v>
      </c>
      <c r="M962" s="115">
        <v>420.45</v>
      </c>
      <c r="N962" s="115">
        <v>443.95</v>
      </c>
      <c r="O962" s="115">
        <v>415.1</v>
      </c>
      <c r="P962" s="115">
        <v>432</v>
      </c>
      <c r="Q962" s="115">
        <v>420.45</v>
      </c>
      <c r="R962">
        <v>95022</v>
      </c>
    </row>
    <row r="963" spans="1:18" x14ac:dyDescent="0.25">
      <c r="A963" s="160">
        <v>43445</v>
      </c>
      <c r="B963" s="115">
        <v>886.9</v>
      </c>
      <c r="C963" s="115">
        <v>886.9</v>
      </c>
      <c r="D963" s="115">
        <v>857</v>
      </c>
      <c r="E963" s="115">
        <v>857</v>
      </c>
      <c r="F963" s="115">
        <v>886.9</v>
      </c>
      <c r="G963">
        <v>378</v>
      </c>
      <c r="H963" s="115"/>
      <c r="I963" s="115"/>
      <c r="L963" s="160">
        <v>43420</v>
      </c>
      <c r="M963" s="115">
        <v>440.15</v>
      </c>
      <c r="N963" s="115">
        <v>445</v>
      </c>
      <c r="O963" s="115">
        <v>422</v>
      </c>
      <c r="P963" s="115">
        <v>422</v>
      </c>
      <c r="Q963" s="115">
        <v>440.15</v>
      </c>
      <c r="R963">
        <v>83560</v>
      </c>
    </row>
    <row r="964" spans="1:18" x14ac:dyDescent="0.25">
      <c r="A964" s="160">
        <v>43446</v>
      </c>
      <c r="B964" s="115">
        <v>927.95</v>
      </c>
      <c r="C964" s="115">
        <v>895</v>
      </c>
      <c r="D964" s="115">
        <v>891.05</v>
      </c>
      <c r="E964" s="115">
        <v>927.95</v>
      </c>
      <c r="F964" s="115">
        <v>895</v>
      </c>
      <c r="G964">
        <v>100</v>
      </c>
      <c r="H964" s="115"/>
      <c r="I964" s="115"/>
      <c r="L964" s="160">
        <v>43423</v>
      </c>
      <c r="M964" s="115">
        <v>451</v>
      </c>
      <c r="N964" s="115">
        <v>455.15</v>
      </c>
      <c r="O964" s="115">
        <v>444.9</v>
      </c>
      <c r="P964" s="115">
        <v>444.9</v>
      </c>
      <c r="Q964" s="115">
        <v>451</v>
      </c>
      <c r="R964">
        <v>21377</v>
      </c>
    </row>
    <row r="965" spans="1:18" x14ac:dyDescent="0.25">
      <c r="A965" s="160">
        <v>43447</v>
      </c>
      <c r="B965" s="115">
        <v>920</v>
      </c>
      <c r="C965" s="115">
        <v>887.55</v>
      </c>
      <c r="D965" s="115">
        <v>879</v>
      </c>
      <c r="E965" s="115">
        <v>895</v>
      </c>
      <c r="F965" s="115">
        <v>887.55</v>
      </c>
      <c r="G965">
        <v>409</v>
      </c>
      <c r="H965" s="115"/>
      <c r="I965" s="115"/>
      <c r="L965" s="160">
        <v>43424</v>
      </c>
      <c r="M965" s="115">
        <v>440.6</v>
      </c>
      <c r="N965" s="115">
        <v>457.75</v>
      </c>
      <c r="O965" s="115">
        <v>440</v>
      </c>
      <c r="P965" s="115">
        <v>454.9</v>
      </c>
      <c r="Q965" s="115">
        <v>440.6</v>
      </c>
      <c r="R965">
        <v>22759</v>
      </c>
    </row>
    <row r="966" spans="1:18" x14ac:dyDescent="0.25">
      <c r="A966" s="160">
        <v>43448</v>
      </c>
      <c r="B966" s="115">
        <v>910</v>
      </c>
      <c r="C966" s="115">
        <v>885.5</v>
      </c>
      <c r="D966" s="115">
        <v>880.7</v>
      </c>
      <c r="E966" s="115">
        <v>899</v>
      </c>
      <c r="F966" s="115">
        <v>885.5</v>
      </c>
      <c r="G966">
        <v>547</v>
      </c>
      <c r="H966" s="115"/>
      <c r="I966" s="115"/>
      <c r="L966" s="160">
        <v>43425</v>
      </c>
      <c r="M966" s="115">
        <v>443.45</v>
      </c>
      <c r="N966" s="115">
        <v>446.1</v>
      </c>
      <c r="O966" s="115">
        <v>429.1</v>
      </c>
      <c r="P966" s="115">
        <v>440.1</v>
      </c>
      <c r="Q966" s="115">
        <v>443.45</v>
      </c>
      <c r="R966">
        <v>38140</v>
      </c>
    </row>
    <row r="967" spans="1:18" x14ac:dyDescent="0.25">
      <c r="A967" s="160">
        <v>43451</v>
      </c>
      <c r="B967" s="115">
        <v>919</v>
      </c>
      <c r="C967" s="115">
        <v>900.55</v>
      </c>
      <c r="D967" s="115">
        <v>900</v>
      </c>
      <c r="E967" s="115">
        <v>905</v>
      </c>
      <c r="F967" s="115">
        <v>900.55</v>
      </c>
      <c r="G967">
        <v>554</v>
      </c>
      <c r="H967" s="115"/>
      <c r="I967" s="115"/>
      <c r="L967" s="160">
        <v>43426</v>
      </c>
      <c r="M967" s="115">
        <v>446.5</v>
      </c>
      <c r="N967" s="115">
        <v>449.35</v>
      </c>
      <c r="O967" s="115">
        <v>437.3</v>
      </c>
      <c r="P967" s="115">
        <v>437.35</v>
      </c>
      <c r="Q967" s="115">
        <v>446.5</v>
      </c>
      <c r="R967">
        <v>36359</v>
      </c>
    </row>
    <row r="968" spans="1:18" x14ac:dyDescent="0.25">
      <c r="A968" s="160">
        <v>43452</v>
      </c>
      <c r="B968" s="115">
        <v>900</v>
      </c>
      <c r="C968" s="115">
        <v>899.65</v>
      </c>
      <c r="D968" s="115">
        <v>870</v>
      </c>
      <c r="E968" s="115">
        <v>875.75</v>
      </c>
      <c r="F968" s="115">
        <v>899.65</v>
      </c>
      <c r="G968">
        <v>543</v>
      </c>
      <c r="H968" s="115"/>
      <c r="I968" s="115"/>
      <c r="L968" s="160">
        <v>43430</v>
      </c>
      <c r="M968" s="115">
        <v>438.15</v>
      </c>
      <c r="N968" s="115">
        <v>449.85</v>
      </c>
      <c r="O968" s="115">
        <v>437</v>
      </c>
      <c r="P968" s="115">
        <v>449.3</v>
      </c>
      <c r="Q968" s="115">
        <v>438.15</v>
      </c>
      <c r="R968">
        <v>8329</v>
      </c>
    </row>
    <row r="969" spans="1:18" x14ac:dyDescent="0.25">
      <c r="A969" s="160">
        <v>43453</v>
      </c>
      <c r="B969" s="115">
        <v>924.9</v>
      </c>
      <c r="C969" s="115">
        <v>916.5</v>
      </c>
      <c r="D969" s="115">
        <v>880</v>
      </c>
      <c r="E969" s="115">
        <v>880</v>
      </c>
      <c r="F969" s="115">
        <v>916.5</v>
      </c>
      <c r="G969">
        <v>1170</v>
      </c>
      <c r="H969" s="115"/>
      <c r="I969" s="115"/>
      <c r="L969" s="160">
        <v>43431</v>
      </c>
      <c r="M969" s="115">
        <v>436.65</v>
      </c>
      <c r="N969" s="115">
        <v>446</v>
      </c>
      <c r="O969" s="115">
        <v>435</v>
      </c>
      <c r="P969" s="115">
        <v>446</v>
      </c>
      <c r="Q969" s="115">
        <v>436.65</v>
      </c>
      <c r="R969">
        <v>7021</v>
      </c>
    </row>
    <row r="970" spans="1:18" x14ac:dyDescent="0.25">
      <c r="A970" s="160">
        <v>43454</v>
      </c>
      <c r="B970" s="115">
        <v>914</v>
      </c>
      <c r="C970" s="115">
        <v>901.1</v>
      </c>
      <c r="D970" s="115">
        <v>892.8</v>
      </c>
      <c r="E970" s="115">
        <v>892.8</v>
      </c>
      <c r="F970" s="115">
        <v>901.1</v>
      </c>
      <c r="G970">
        <v>927</v>
      </c>
      <c r="H970" s="115"/>
      <c r="I970" s="115"/>
      <c r="L970" s="160">
        <v>43432</v>
      </c>
      <c r="M970" s="115">
        <v>429.85</v>
      </c>
      <c r="N970" s="115">
        <v>440.75</v>
      </c>
      <c r="O970" s="115">
        <v>426.5</v>
      </c>
      <c r="P970" s="115">
        <v>435.05</v>
      </c>
      <c r="Q970" s="115">
        <v>429.85</v>
      </c>
      <c r="R970">
        <v>13378</v>
      </c>
    </row>
    <row r="971" spans="1:18" x14ac:dyDescent="0.25">
      <c r="A971" s="160">
        <v>43455</v>
      </c>
      <c r="B971" s="115">
        <v>882.5</v>
      </c>
      <c r="C971" s="115">
        <v>882.05</v>
      </c>
      <c r="D971" s="115">
        <v>882.05</v>
      </c>
      <c r="E971" s="115">
        <v>882.5</v>
      </c>
      <c r="F971" s="115">
        <v>882.05</v>
      </c>
      <c r="G971">
        <v>35</v>
      </c>
      <c r="H971" s="115"/>
      <c r="I971" s="115"/>
      <c r="L971" s="160">
        <v>43433</v>
      </c>
      <c r="M971" s="115">
        <v>424.85</v>
      </c>
      <c r="N971" s="115">
        <v>433.9</v>
      </c>
      <c r="O971" s="115">
        <v>422.2</v>
      </c>
      <c r="P971" s="115">
        <v>430.8</v>
      </c>
      <c r="Q971" s="115">
        <v>424.85</v>
      </c>
      <c r="R971">
        <v>8777</v>
      </c>
    </row>
    <row r="972" spans="1:18" x14ac:dyDescent="0.25">
      <c r="A972" s="160">
        <v>43458</v>
      </c>
      <c r="B972" s="115">
        <v>911.95</v>
      </c>
      <c r="C972" s="115">
        <v>879.65</v>
      </c>
      <c r="D972" s="115">
        <v>878</v>
      </c>
      <c r="E972" s="115">
        <v>911.95</v>
      </c>
      <c r="F972" s="115">
        <v>879.65</v>
      </c>
      <c r="G972">
        <v>881</v>
      </c>
      <c r="H972" s="115"/>
      <c r="I972" s="115"/>
      <c r="L972" s="160">
        <v>43434</v>
      </c>
      <c r="M972" s="115">
        <v>423.95</v>
      </c>
      <c r="N972" s="115">
        <v>428.85</v>
      </c>
      <c r="O972" s="115">
        <v>412.1</v>
      </c>
      <c r="P972" s="115">
        <v>425.6</v>
      </c>
      <c r="Q972" s="115">
        <v>423.95</v>
      </c>
      <c r="R972">
        <v>65270</v>
      </c>
    </row>
    <row r="973" spans="1:18" x14ac:dyDescent="0.25">
      <c r="A973" s="160">
        <v>43460</v>
      </c>
      <c r="B973" s="115">
        <v>907</v>
      </c>
      <c r="C973" s="115">
        <v>903.85</v>
      </c>
      <c r="D973" s="115">
        <v>865.35</v>
      </c>
      <c r="E973" s="115">
        <v>865.35</v>
      </c>
      <c r="F973" s="115">
        <v>903.85</v>
      </c>
      <c r="G973">
        <v>122</v>
      </c>
      <c r="H973" s="115"/>
      <c r="I973" s="115"/>
      <c r="L973" s="160">
        <v>43437</v>
      </c>
      <c r="M973" s="115">
        <v>433.35</v>
      </c>
      <c r="N973" s="115">
        <v>437</v>
      </c>
      <c r="O973" s="115">
        <v>424</v>
      </c>
      <c r="P973" s="115">
        <v>427.05</v>
      </c>
      <c r="Q973" s="115">
        <v>433.35</v>
      </c>
      <c r="R973">
        <v>17187</v>
      </c>
    </row>
    <row r="974" spans="1:18" x14ac:dyDescent="0.25">
      <c r="A974" s="160">
        <v>43461</v>
      </c>
      <c r="B974" s="115">
        <v>893.05</v>
      </c>
      <c r="C974" s="115">
        <v>893.05</v>
      </c>
      <c r="D974" s="115">
        <v>886.9</v>
      </c>
      <c r="E974" s="115">
        <v>886.9</v>
      </c>
      <c r="F974" s="115">
        <v>893.05</v>
      </c>
      <c r="G974">
        <v>22</v>
      </c>
      <c r="H974" s="115"/>
      <c r="I974" s="115"/>
      <c r="L974" s="160">
        <v>43438</v>
      </c>
      <c r="M974" s="115">
        <v>437.1</v>
      </c>
      <c r="N974" s="115">
        <v>441.6</v>
      </c>
      <c r="O974" s="115">
        <v>434.45</v>
      </c>
      <c r="P974" s="115">
        <v>436.95</v>
      </c>
      <c r="Q974" s="115">
        <v>437.1</v>
      </c>
      <c r="R974">
        <v>8783</v>
      </c>
    </row>
    <row r="975" spans="1:18" x14ac:dyDescent="0.25">
      <c r="A975" s="160">
        <v>43462</v>
      </c>
      <c r="B975" s="115">
        <v>908</v>
      </c>
      <c r="C975" s="115">
        <v>901.2</v>
      </c>
      <c r="D975" s="115">
        <v>901.2</v>
      </c>
      <c r="E975" s="115">
        <v>908</v>
      </c>
      <c r="F975" s="115">
        <v>901.2</v>
      </c>
      <c r="G975">
        <v>17</v>
      </c>
      <c r="H975" s="115"/>
      <c r="I975" s="115"/>
      <c r="L975" s="160">
        <v>43439</v>
      </c>
      <c r="M975" s="115">
        <v>429.3</v>
      </c>
      <c r="N975" s="115">
        <v>437.15</v>
      </c>
      <c r="O975" s="115">
        <v>425.1</v>
      </c>
      <c r="P975" s="115">
        <v>436.45</v>
      </c>
      <c r="Q975" s="115">
        <v>429.3</v>
      </c>
      <c r="R975">
        <v>5092</v>
      </c>
    </row>
    <row r="976" spans="1:18" x14ac:dyDescent="0.25">
      <c r="A976" s="160">
        <v>43465</v>
      </c>
      <c r="B976" s="115">
        <v>1035</v>
      </c>
      <c r="C976" s="115">
        <v>987.65</v>
      </c>
      <c r="D976" s="115">
        <v>967.5</v>
      </c>
      <c r="E976" s="115">
        <v>1035</v>
      </c>
      <c r="F976" s="115">
        <v>987.65</v>
      </c>
      <c r="G976">
        <v>2490</v>
      </c>
      <c r="H976" s="115"/>
      <c r="I976" s="115"/>
      <c r="L976" s="160">
        <v>43440</v>
      </c>
      <c r="M976" s="115">
        <v>438.05</v>
      </c>
      <c r="N976" s="115">
        <v>448.9</v>
      </c>
      <c r="O976" s="115">
        <v>421.65</v>
      </c>
      <c r="P976" s="115">
        <v>429.6</v>
      </c>
      <c r="Q976" s="115">
        <v>438.05</v>
      </c>
      <c r="R976">
        <v>44706</v>
      </c>
    </row>
    <row r="977" spans="1:18" x14ac:dyDescent="0.25">
      <c r="A977" s="160">
        <v>43466</v>
      </c>
      <c r="B977" s="115">
        <v>1023.9</v>
      </c>
      <c r="C977" s="115">
        <v>995</v>
      </c>
      <c r="D977" s="115">
        <v>978</v>
      </c>
      <c r="E977" s="115">
        <v>987</v>
      </c>
      <c r="F977" s="115">
        <v>995</v>
      </c>
      <c r="G977">
        <v>377</v>
      </c>
      <c r="H977" s="115"/>
      <c r="I977" s="115"/>
      <c r="L977" s="160">
        <v>43441</v>
      </c>
      <c r="M977" s="115">
        <v>429.95</v>
      </c>
      <c r="N977" s="115">
        <v>441</v>
      </c>
      <c r="O977" s="115">
        <v>427</v>
      </c>
      <c r="P977" s="115">
        <v>441</v>
      </c>
      <c r="Q977" s="115">
        <v>429.95</v>
      </c>
      <c r="R977">
        <v>9368</v>
      </c>
    </row>
    <row r="978" spans="1:18" x14ac:dyDescent="0.25">
      <c r="A978" s="160">
        <v>43467</v>
      </c>
      <c r="B978" s="115">
        <v>1005</v>
      </c>
      <c r="C978" s="115">
        <v>999.4</v>
      </c>
      <c r="D978" s="115">
        <v>980</v>
      </c>
      <c r="E978" s="115">
        <v>1000</v>
      </c>
      <c r="F978" s="115">
        <v>999.4</v>
      </c>
      <c r="G978">
        <v>430</v>
      </c>
      <c r="H978" s="115"/>
      <c r="I978" s="115"/>
      <c r="L978" s="160">
        <v>43444</v>
      </c>
      <c r="M978" s="115">
        <v>425.35</v>
      </c>
      <c r="N978" s="115">
        <v>428.65</v>
      </c>
      <c r="O978" s="115">
        <v>423</v>
      </c>
      <c r="P978" s="115">
        <v>428.65</v>
      </c>
      <c r="Q978" s="115">
        <v>425.35</v>
      </c>
      <c r="R978">
        <v>9469</v>
      </c>
    </row>
    <row r="979" spans="1:18" x14ac:dyDescent="0.25">
      <c r="A979" s="160">
        <v>43468</v>
      </c>
      <c r="B979" s="115">
        <v>1018</v>
      </c>
      <c r="C979" s="115">
        <v>1010.7</v>
      </c>
      <c r="D979" s="115">
        <v>985</v>
      </c>
      <c r="E979" s="115">
        <v>990</v>
      </c>
      <c r="F979" s="115">
        <v>1010.7</v>
      </c>
      <c r="G979">
        <v>2018</v>
      </c>
      <c r="H979" s="115"/>
      <c r="I979" s="115"/>
      <c r="L979" s="160">
        <v>43445</v>
      </c>
      <c r="M979" s="115">
        <v>426.15</v>
      </c>
      <c r="N979" s="115">
        <v>428</v>
      </c>
      <c r="O979" s="115">
        <v>421.1</v>
      </c>
      <c r="P979" s="115">
        <v>421.1</v>
      </c>
      <c r="Q979" s="115">
        <v>426.15</v>
      </c>
      <c r="R979">
        <v>3734</v>
      </c>
    </row>
    <row r="980" spans="1:18" x14ac:dyDescent="0.25">
      <c r="A980" s="160">
        <v>43469</v>
      </c>
      <c r="B980" s="115">
        <v>1054.95</v>
      </c>
      <c r="C980" s="115">
        <v>1048.2</v>
      </c>
      <c r="D980" s="115">
        <v>1001.25</v>
      </c>
      <c r="E980" s="115">
        <v>1011</v>
      </c>
      <c r="F980" s="115">
        <v>1048.2</v>
      </c>
      <c r="G980">
        <v>2429</v>
      </c>
      <c r="H980" s="115"/>
      <c r="I980" s="115"/>
      <c r="L980" s="160">
        <v>43446</v>
      </c>
      <c r="M980" s="115">
        <v>427.8</v>
      </c>
      <c r="N980" s="115">
        <v>433.15</v>
      </c>
      <c r="O980" s="115">
        <v>426.1</v>
      </c>
      <c r="P980" s="115">
        <v>426.1</v>
      </c>
      <c r="Q980" s="115">
        <v>427.8</v>
      </c>
      <c r="R980">
        <v>8783</v>
      </c>
    </row>
    <row r="981" spans="1:18" x14ac:dyDescent="0.25">
      <c r="A981" s="160">
        <v>43472</v>
      </c>
      <c r="B981" s="115">
        <v>1050</v>
      </c>
      <c r="C981" s="115">
        <v>1049</v>
      </c>
      <c r="D981" s="115">
        <v>1011</v>
      </c>
      <c r="E981" s="115">
        <v>1048</v>
      </c>
      <c r="F981" s="115">
        <v>1049</v>
      </c>
      <c r="G981">
        <v>479</v>
      </c>
      <c r="H981" s="115"/>
      <c r="I981" s="115"/>
      <c r="L981" s="160">
        <v>43447</v>
      </c>
      <c r="M981" s="115">
        <v>431.9</v>
      </c>
      <c r="N981" s="115">
        <v>434.9</v>
      </c>
      <c r="O981" s="115">
        <v>424</v>
      </c>
      <c r="P981" s="115">
        <v>427.85</v>
      </c>
      <c r="Q981" s="115">
        <v>431.9</v>
      </c>
      <c r="R981">
        <v>15914</v>
      </c>
    </row>
    <row r="982" spans="1:18" x14ac:dyDescent="0.25">
      <c r="A982" s="160">
        <v>43473</v>
      </c>
      <c r="B982" s="115">
        <v>1050</v>
      </c>
      <c r="C982" s="115">
        <v>1010.1</v>
      </c>
      <c r="D982" s="115">
        <v>982.5</v>
      </c>
      <c r="E982" s="115">
        <v>1042.05</v>
      </c>
      <c r="F982" s="115">
        <v>1010.1</v>
      </c>
      <c r="G982">
        <v>923</v>
      </c>
      <c r="H982" s="115"/>
      <c r="I982" s="115"/>
      <c r="L982" s="160">
        <v>43448</v>
      </c>
      <c r="M982" s="115">
        <v>444.8</v>
      </c>
      <c r="N982" s="115">
        <v>447.55</v>
      </c>
      <c r="O982" s="115">
        <v>437.5</v>
      </c>
      <c r="P982" s="115">
        <v>440.45</v>
      </c>
      <c r="Q982" s="115">
        <v>444.8</v>
      </c>
      <c r="R982">
        <v>44438</v>
      </c>
    </row>
    <row r="983" spans="1:18" x14ac:dyDescent="0.25">
      <c r="A983" s="160">
        <v>43474</v>
      </c>
      <c r="B983" s="115">
        <v>1074.5</v>
      </c>
      <c r="C983" s="115">
        <v>1050.7</v>
      </c>
      <c r="D983" s="115">
        <v>1020</v>
      </c>
      <c r="E983" s="115">
        <v>1029.9000000000001</v>
      </c>
      <c r="F983" s="115">
        <v>1050.7</v>
      </c>
      <c r="G983">
        <v>2436</v>
      </c>
      <c r="H983" s="115"/>
      <c r="I983" s="115"/>
      <c r="L983" s="160">
        <v>43451</v>
      </c>
      <c r="M983" s="115">
        <v>449</v>
      </c>
      <c r="N983" s="115">
        <v>451.5</v>
      </c>
      <c r="O983" s="115">
        <v>440.6</v>
      </c>
      <c r="P983" s="115">
        <v>445.2</v>
      </c>
      <c r="Q983" s="115">
        <v>449</v>
      </c>
      <c r="R983">
        <v>21362</v>
      </c>
    </row>
    <row r="984" spans="1:18" x14ac:dyDescent="0.25">
      <c r="A984" s="160">
        <v>43475</v>
      </c>
      <c r="B984" s="115">
        <v>1060</v>
      </c>
      <c r="C984" s="115">
        <v>1053.4000000000001</v>
      </c>
      <c r="D984" s="115">
        <v>1034</v>
      </c>
      <c r="E984" s="115">
        <v>1034</v>
      </c>
      <c r="F984" s="115">
        <v>1053.4000000000001</v>
      </c>
      <c r="G984">
        <v>991</v>
      </c>
      <c r="H984" s="115"/>
      <c r="I984" s="115"/>
      <c r="L984" s="160">
        <v>43452</v>
      </c>
      <c r="M984" s="115">
        <v>445</v>
      </c>
      <c r="N984" s="115">
        <v>449.55</v>
      </c>
      <c r="O984" s="115">
        <v>441.7</v>
      </c>
      <c r="P984" s="115">
        <v>446.65</v>
      </c>
      <c r="Q984" s="115">
        <v>445</v>
      </c>
      <c r="R984">
        <v>9797</v>
      </c>
    </row>
    <row r="985" spans="1:18" x14ac:dyDescent="0.25">
      <c r="A985" s="160">
        <v>43476</v>
      </c>
      <c r="B985" s="115">
        <v>1050</v>
      </c>
      <c r="C985" s="115">
        <v>1025</v>
      </c>
      <c r="D985" s="115">
        <v>1021</v>
      </c>
      <c r="E985" s="115">
        <v>1050</v>
      </c>
      <c r="F985" s="115">
        <v>1025</v>
      </c>
      <c r="G985">
        <v>386</v>
      </c>
      <c r="H985" s="115"/>
      <c r="I985" s="115"/>
      <c r="L985" s="160">
        <v>43453</v>
      </c>
      <c r="M985" s="115">
        <v>447.1</v>
      </c>
      <c r="N985" s="115">
        <v>449.85</v>
      </c>
      <c r="O985" s="115">
        <v>442.55</v>
      </c>
      <c r="P985" s="115">
        <v>446.15</v>
      </c>
      <c r="Q985" s="115">
        <v>447.1</v>
      </c>
      <c r="R985">
        <v>38072</v>
      </c>
    </row>
    <row r="986" spans="1:18" x14ac:dyDescent="0.25">
      <c r="A986" s="160">
        <v>43479</v>
      </c>
      <c r="B986" s="115">
        <v>1025</v>
      </c>
      <c r="C986" s="115">
        <v>1015.15</v>
      </c>
      <c r="D986" s="115">
        <v>991</v>
      </c>
      <c r="E986" s="115">
        <v>1011</v>
      </c>
      <c r="F986" s="115">
        <v>1015.15</v>
      </c>
      <c r="G986">
        <v>3102</v>
      </c>
      <c r="H986" s="115"/>
      <c r="I986" s="115"/>
      <c r="L986" s="160">
        <v>43454</v>
      </c>
      <c r="M986" s="115">
        <v>451.5</v>
      </c>
      <c r="N986" s="115">
        <v>455</v>
      </c>
      <c r="O986" s="115">
        <v>445.05</v>
      </c>
      <c r="P986" s="115">
        <v>454.9</v>
      </c>
      <c r="Q986" s="115">
        <v>451.5</v>
      </c>
      <c r="R986">
        <v>22075</v>
      </c>
    </row>
    <row r="987" spans="1:18" x14ac:dyDescent="0.25">
      <c r="A987" s="160">
        <v>43480</v>
      </c>
      <c r="B987" s="115">
        <v>1029</v>
      </c>
      <c r="C987" s="115">
        <v>1001</v>
      </c>
      <c r="D987" s="115">
        <v>1000</v>
      </c>
      <c r="E987" s="115">
        <v>1012</v>
      </c>
      <c r="F987" s="115">
        <v>1001</v>
      </c>
      <c r="G987">
        <v>1066</v>
      </c>
      <c r="H987" s="115"/>
      <c r="I987" s="115"/>
      <c r="L987" s="160">
        <v>43455</v>
      </c>
      <c r="M987" s="115">
        <v>459.8</v>
      </c>
      <c r="N987" s="115">
        <v>484</v>
      </c>
      <c r="O987" s="115">
        <v>457.45</v>
      </c>
      <c r="P987" s="115">
        <v>465.1</v>
      </c>
      <c r="Q987" s="115">
        <v>459.8</v>
      </c>
      <c r="R987">
        <v>256742</v>
      </c>
    </row>
    <row r="988" spans="1:18" x14ac:dyDescent="0.25">
      <c r="A988" s="160">
        <v>43481</v>
      </c>
      <c r="B988" s="115">
        <v>1018.45</v>
      </c>
      <c r="C988" s="115">
        <v>974.15</v>
      </c>
      <c r="D988" s="115">
        <v>970</v>
      </c>
      <c r="E988" s="115">
        <v>985.05</v>
      </c>
      <c r="F988" s="115">
        <v>974.15</v>
      </c>
      <c r="G988">
        <v>1423</v>
      </c>
      <c r="H988" s="115"/>
      <c r="I988" s="115"/>
      <c r="L988" s="160">
        <v>43458</v>
      </c>
      <c r="M988" s="115">
        <v>465.8</v>
      </c>
      <c r="N988" s="115">
        <v>470</v>
      </c>
      <c r="O988" s="115">
        <v>461.15</v>
      </c>
      <c r="P988" s="115">
        <v>464.9</v>
      </c>
      <c r="Q988" s="115">
        <v>465.8</v>
      </c>
      <c r="R988">
        <v>41247</v>
      </c>
    </row>
    <row r="989" spans="1:18" x14ac:dyDescent="0.25">
      <c r="A989" s="160">
        <v>43482</v>
      </c>
      <c r="B989" s="115">
        <v>1000.95</v>
      </c>
      <c r="C989" s="115">
        <v>999.95</v>
      </c>
      <c r="D989" s="115">
        <v>974.4</v>
      </c>
      <c r="E989" s="115">
        <v>974.4</v>
      </c>
      <c r="F989" s="115">
        <v>999.95</v>
      </c>
      <c r="G989">
        <v>4</v>
      </c>
      <c r="H989" s="115"/>
      <c r="I989" s="115"/>
      <c r="L989" s="160">
        <v>43460</v>
      </c>
      <c r="M989" s="115">
        <v>468.7</v>
      </c>
      <c r="N989" s="115">
        <v>470.1</v>
      </c>
      <c r="O989" s="115">
        <v>460.05</v>
      </c>
      <c r="P989" s="115">
        <v>469</v>
      </c>
      <c r="Q989" s="115">
        <v>468.7</v>
      </c>
      <c r="R989">
        <v>23509</v>
      </c>
    </row>
    <row r="990" spans="1:18" x14ac:dyDescent="0.25">
      <c r="A990" s="160">
        <v>43483</v>
      </c>
      <c r="B990" s="115">
        <v>1010</v>
      </c>
      <c r="C990" s="115">
        <v>994.45</v>
      </c>
      <c r="D990" s="115">
        <v>970</v>
      </c>
      <c r="E990" s="115">
        <v>970</v>
      </c>
      <c r="F990" s="115">
        <v>994.45</v>
      </c>
      <c r="G990">
        <v>1314</v>
      </c>
      <c r="H990" s="115"/>
      <c r="I990" s="115"/>
      <c r="L990" s="160">
        <v>43461</v>
      </c>
      <c r="M990" s="115">
        <v>462.5</v>
      </c>
      <c r="N990" s="115">
        <v>476</v>
      </c>
      <c r="O990" s="115">
        <v>461.1</v>
      </c>
      <c r="P990" s="115">
        <v>476</v>
      </c>
      <c r="Q990" s="115">
        <v>462.5</v>
      </c>
      <c r="R990">
        <v>30274</v>
      </c>
    </row>
    <row r="991" spans="1:18" x14ac:dyDescent="0.25">
      <c r="A991" s="160">
        <v>43486</v>
      </c>
      <c r="B991" s="115">
        <v>1019.4</v>
      </c>
      <c r="C991" s="115">
        <v>1000</v>
      </c>
      <c r="D991" s="115">
        <v>989.05</v>
      </c>
      <c r="E991" s="115">
        <v>989.05</v>
      </c>
      <c r="F991" s="115">
        <v>1000</v>
      </c>
      <c r="G991">
        <v>1983</v>
      </c>
      <c r="H991" s="115"/>
      <c r="I991" s="115"/>
      <c r="L991" s="160">
        <v>43462</v>
      </c>
      <c r="M991" s="115">
        <v>462.2</v>
      </c>
      <c r="N991" s="115">
        <v>468</v>
      </c>
      <c r="O991" s="115">
        <v>460.15</v>
      </c>
      <c r="P991" s="115">
        <v>464.3</v>
      </c>
      <c r="Q991" s="115">
        <v>462.2</v>
      </c>
      <c r="R991">
        <v>48985</v>
      </c>
    </row>
    <row r="992" spans="1:18" x14ac:dyDescent="0.25">
      <c r="A992" s="160">
        <v>43487</v>
      </c>
      <c r="B992" s="115">
        <v>1000</v>
      </c>
      <c r="C992" s="115">
        <v>999.3</v>
      </c>
      <c r="D992" s="115">
        <v>985.05</v>
      </c>
      <c r="E992" s="115">
        <v>985.05</v>
      </c>
      <c r="F992" s="115">
        <v>999.3</v>
      </c>
      <c r="G992">
        <v>396</v>
      </c>
      <c r="H992" s="115"/>
      <c r="I992" s="115"/>
      <c r="L992" s="160">
        <v>43465</v>
      </c>
      <c r="M992" s="115">
        <v>464.75</v>
      </c>
      <c r="N992" s="115">
        <v>467</v>
      </c>
      <c r="O992" s="115">
        <v>460.5</v>
      </c>
      <c r="P992" s="115">
        <v>464.85</v>
      </c>
      <c r="Q992" s="115">
        <v>464.75</v>
      </c>
      <c r="R992">
        <v>36898</v>
      </c>
    </row>
    <row r="993" spans="1:18" x14ac:dyDescent="0.25">
      <c r="A993" s="160">
        <v>43488</v>
      </c>
      <c r="B993" s="115">
        <v>1000</v>
      </c>
      <c r="C993" s="115">
        <v>999.95</v>
      </c>
      <c r="D993" s="115">
        <v>985.75</v>
      </c>
      <c r="E993" s="115">
        <v>985.75</v>
      </c>
      <c r="F993" s="115">
        <v>999.95</v>
      </c>
      <c r="G993">
        <v>592</v>
      </c>
      <c r="H993" s="115"/>
      <c r="I993" s="115"/>
      <c r="L993" s="160">
        <v>43466</v>
      </c>
      <c r="M993" s="115">
        <v>445.1</v>
      </c>
      <c r="N993" s="115">
        <v>459.9</v>
      </c>
      <c r="O993" s="115">
        <v>444</v>
      </c>
      <c r="P993" s="115">
        <v>455.15</v>
      </c>
      <c r="Q993" s="115">
        <v>445.1</v>
      </c>
      <c r="R993">
        <v>52200</v>
      </c>
    </row>
    <row r="994" spans="1:18" x14ac:dyDescent="0.25">
      <c r="A994" s="160">
        <v>43489</v>
      </c>
      <c r="B994" s="115">
        <v>1014.95</v>
      </c>
      <c r="C994" s="115">
        <v>1011.25</v>
      </c>
      <c r="D994" s="115">
        <v>989.05</v>
      </c>
      <c r="E994" s="115">
        <v>989.05</v>
      </c>
      <c r="F994" s="115">
        <v>1011.25</v>
      </c>
      <c r="G994">
        <v>2475</v>
      </c>
      <c r="H994" s="115"/>
      <c r="I994" s="115"/>
      <c r="L994" s="160">
        <v>43467</v>
      </c>
      <c r="M994" s="115">
        <v>442.15</v>
      </c>
      <c r="N994" s="115">
        <v>446.95</v>
      </c>
      <c r="O994" s="115">
        <v>436.25</v>
      </c>
      <c r="P994" s="115">
        <v>446.95</v>
      </c>
      <c r="Q994" s="115">
        <v>442.15</v>
      </c>
      <c r="R994">
        <v>14883</v>
      </c>
    </row>
    <row r="995" spans="1:18" x14ac:dyDescent="0.25">
      <c r="A995" s="160">
        <v>43490</v>
      </c>
      <c r="B995" s="115">
        <v>1041</v>
      </c>
      <c r="C995" s="115">
        <v>1018.95</v>
      </c>
      <c r="D995" s="115">
        <v>999.5</v>
      </c>
      <c r="E995" s="115">
        <v>1014.95</v>
      </c>
      <c r="F995" s="115">
        <v>1018.95</v>
      </c>
      <c r="G995">
        <v>1571</v>
      </c>
      <c r="H995" s="115"/>
      <c r="I995" s="115"/>
      <c r="L995" s="160">
        <v>43468</v>
      </c>
      <c r="M995" s="115">
        <v>433.3</v>
      </c>
      <c r="N995" s="115">
        <v>443</v>
      </c>
      <c r="O995" s="115">
        <v>430.8</v>
      </c>
      <c r="P995" s="115">
        <v>442</v>
      </c>
      <c r="Q995" s="115">
        <v>433.3</v>
      </c>
      <c r="R995">
        <v>13050</v>
      </c>
    </row>
    <row r="996" spans="1:18" x14ac:dyDescent="0.25">
      <c r="A996" s="160">
        <v>43493</v>
      </c>
      <c r="B996" s="115">
        <v>1010.3</v>
      </c>
      <c r="C996" s="115">
        <v>993</v>
      </c>
      <c r="D996" s="115">
        <v>986</v>
      </c>
      <c r="E996" s="115">
        <v>1009</v>
      </c>
      <c r="F996" s="115">
        <v>993</v>
      </c>
      <c r="G996">
        <v>647</v>
      </c>
      <c r="H996" s="115"/>
      <c r="I996" s="115"/>
      <c r="L996" s="160">
        <v>43469</v>
      </c>
      <c r="M996" s="115">
        <v>428.6</v>
      </c>
      <c r="N996" s="115">
        <v>434.95</v>
      </c>
      <c r="O996" s="115">
        <v>422.3</v>
      </c>
      <c r="P996" s="115">
        <v>434.95</v>
      </c>
      <c r="Q996" s="115">
        <v>428.6</v>
      </c>
      <c r="R996">
        <v>26247</v>
      </c>
    </row>
    <row r="997" spans="1:18" x14ac:dyDescent="0.25">
      <c r="A997" s="160">
        <v>43494</v>
      </c>
      <c r="B997" s="115">
        <v>1009</v>
      </c>
      <c r="C997" s="115">
        <v>985.8</v>
      </c>
      <c r="D997" s="115">
        <v>983.05</v>
      </c>
      <c r="E997" s="115">
        <v>983.05</v>
      </c>
      <c r="F997" s="115">
        <v>985.8</v>
      </c>
      <c r="G997">
        <v>221</v>
      </c>
      <c r="H997" s="115"/>
      <c r="I997" s="115"/>
      <c r="L997" s="160">
        <v>43472</v>
      </c>
      <c r="M997" s="115">
        <v>418</v>
      </c>
      <c r="N997" s="115">
        <v>430</v>
      </c>
      <c r="O997" s="115">
        <v>414.5</v>
      </c>
      <c r="P997" s="115">
        <v>430</v>
      </c>
      <c r="Q997" s="115">
        <v>418</v>
      </c>
      <c r="R997">
        <v>19894</v>
      </c>
    </row>
    <row r="998" spans="1:18" x14ac:dyDescent="0.25">
      <c r="A998" s="160">
        <v>43495</v>
      </c>
      <c r="B998" s="115">
        <v>1005</v>
      </c>
      <c r="C998" s="115">
        <v>983.4</v>
      </c>
      <c r="D998" s="115">
        <v>980.05</v>
      </c>
      <c r="E998" s="115">
        <v>1003.95</v>
      </c>
      <c r="F998" s="115">
        <v>983.4</v>
      </c>
      <c r="G998">
        <v>182</v>
      </c>
      <c r="H998" s="115"/>
      <c r="I998" s="115"/>
      <c r="L998" s="160">
        <v>43473</v>
      </c>
      <c r="M998" s="115">
        <v>410.7</v>
      </c>
      <c r="N998" s="115">
        <v>421.05</v>
      </c>
      <c r="O998" s="115">
        <v>408</v>
      </c>
      <c r="P998" s="115">
        <v>420</v>
      </c>
      <c r="Q998" s="115">
        <v>410.7</v>
      </c>
      <c r="R998">
        <v>15442</v>
      </c>
    </row>
    <row r="999" spans="1:18" x14ac:dyDescent="0.25">
      <c r="A999" s="160">
        <v>43496</v>
      </c>
      <c r="B999" s="115">
        <v>1003.9</v>
      </c>
      <c r="C999" s="115">
        <v>982.25</v>
      </c>
      <c r="D999" s="115">
        <v>976.05</v>
      </c>
      <c r="E999" s="115">
        <v>990</v>
      </c>
      <c r="F999" s="115">
        <v>982.25</v>
      </c>
      <c r="G999">
        <v>715</v>
      </c>
      <c r="H999" s="115"/>
      <c r="I999" s="115"/>
      <c r="L999" s="160">
        <v>43474</v>
      </c>
      <c r="M999" s="115">
        <v>416.45</v>
      </c>
      <c r="N999" s="115">
        <v>421</v>
      </c>
      <c r="O999" s="115">
        <v>401.1</v>
      </c>
      <c r="P999" s="115">
        <v>411.55</v>
      </c>
      <c r="Q999" s="115">
        <v>416.45</v>
      </c>
      <c r="R999">
        <v>24744</v>
      </c>
    </row>
    <row r="1000" spans="1:18" x14ac:dyDescent="0.25">
      <c r="A1000" s="160">
        <v>43497</v>
      </c>
      <c r="B1000" s="115">
        <v>1000</v>
      </c>
      <c r="C1000" s="115">
        <v>1000</v>
      </c>
      <c r="D1000" s="115">
        <v>980.25</v>
      </c>
      <c r="E1000" s="115">
        <v>1000</v>
      </c>
      <c r="F1000" s="115">
        <v>1000</v>
      </c>
      <c r="G1000">
        <v>260</v>
      </c>
      <c r="H1000" s="115"/>
      <c r="I1000" s="115"/>
      <c r="L1000" s="160">
        <v>43475</v>
      </c>
      <c r="M1000" s="115">
        <v>423.85</v>
      </c>
      <c r="N1000" s="115">
        <v>425.9</v>
      </c>
      <c r="O1000" s="115">
        <v>414.25</v>
      </c>
      <c r="P1000" s="115">
        <v>414.35</v>
      </c>
      <c r="Q1000" s="115">
        <v>423.85</v>
      </c>
      <c r="R1000">
        <v>10500</v>
      </c>
    </row>
    <row r="1001" spans="1:18" x14ac:dyDescent="0.25">
      <c r="A1001" s="160">
        <v>43500</v>
      </c>
      <c r="B1001" s="115">
        <v>1050</v>
      </c>
      <c r="C1001" s="115">
        <v>1032.3</v>
      </c>
      <c r="D1001" s="115">
        <v>996.95</v>
      </c>
      <c r="E1001" s="115">
        <v>1001</v>
      </c>
      <c r="F1001" s="115">
        <v>1032.3</v>
      </c>
      <c r="G1001">
        <v>2602</v>
      </c>
      <c r="H1001" s="115"/>
      <c r="I1001" s="115"/>
      <c r="L1001" s="160">
        <v>43476</v>
      </c>
      <c r="M1001" s="115">
        <v>431.35</v>
      </c>
      <c r="N1001" s="115">
        <v>433.55</v>
      </c>
      <c r="O1001" s="115">
        <v>424.7</v>
      </c>
      <c r="P1001" s="115">
        <v>424.7</v>
      </c>
      <c r="Q1001" s="115">
        <v>431.35</v>
      </c>
      <c r="R1001">
        <v>8772</v>
      </c>
    </row>
    <row r="1002" spans="1:18" x14ac:dyDescent="0.25">
      <c r="A1002" s="160">
        <v>43501</v>
      </c>
      <c r="B1002" s="115">
        <v>1050</v>
      </c>
      <c r="C1002" s="115">
        <v>1047.55</v>
      </c>
      <c r="D1002" s="115">
        <v>1002</v>
      </c>
      <c r="E1002" s="115">
        <v>1032.3</v>
      </c>
      <c r="F1002" s="115">
        <v>1047.55</v>
      </c>
      <c r="G1002">
        <v>2838</v>
      </c>
      <c r="H1002" s="115"/>
      <c r="I1002" s="115"/>
      <c r="L1002" s="160">
        <v>43479</v>
      </c>
      <c r="M1002" s="115">
        <v>424.8</v>
      </c>
      <c r="N1002" s="115">
        <v>434.75</v>
      </c>
      <c r="O1002" s="115">
        <v>423.5</v>
      </c>
      <c r="P1002" s="115">
        <v>434.75</v>
      </c>
      <c r="Q1002" s="115">
        <v>424.8</v>
      </c>
      <c r="R1002">
        <v>5832</v>
      </c>
    </row>
    <row r="1003" spans="1:18" x14ac:dyDescent="0.25">
      <c r="A1003" s="160">
        <v>43502</v>
      </c>
      <c r="B1003" s="115">
        <v>1071</v>
      </c>
      <c r="C1003" s="115">
        <v>1038.95</v>
      </c>
      <c r="D1003" s="115">
        <v>1019.05</v>
      </c>
      <c r="E1003" s="115">
        <v>1033.7</v>
      </c>
      <c r="F1003" s="115">
        <v>1038.95</v>
      </c>
      <c r="G1003">
        <v>3300</v>
      </c>
      <c r="H1003" s="115"/>
      <c r="I1003" s="115"/>
      <c r="L1003" s="160">
        <v>43480</v>
      </c>
      <c r="M1003" s="115">
        <v>423.8</v>
      </c>
      <c r="N1003" s="115">
        <v>427</v>
      </c>
      <c r="O1003" s="115">
        <v>421.1</v>
      </c>
      <c r="P1003" s="115">
        <v>423.2</v>
      </c>
      <c r="Q1003" s="115">
        <v>423.8</v>
      </c>
      <c r="R1003">
        <v>3052</v>
      </c>
    </row>
    <row r="1004" spans="1:18" x14ac:dyDescent="0.25">
      <c r="A1004" s="160">
        <v>43503</v>
      </c>
      <c r="B1004" s="115">
        <v>1246.7</v>
      </c>
      <c r="C1004" s="115">
        <v>1226.05</v>
      </c>
      <c r="D1004" s="115">
        <v>1126.05</v>
      </c>
      <c r="E1004" s="115">
        <v>1174.5999999999999</v>
      </c>
      <c r="F1004" s="115">
        <v>1226.05</v>
      </c>
      <c r="G1004">
        <v>35899</v>
      </c>
      <c r="H1004" s="115"/>
      <c r="I1004" s="115"/>
      <c r="L1004" s="160">
        <v>43481</v>
      </c>
      <c r="M1004" s="115">
        <v>422.65</v>
      </c>
      <c r="N1004" s="115">
        <v>426</v>
      </c>
      <c r="O1004" s="115">
        <v>420</v>
      </c>
      <c r="P1004" s="115">
        <v>422.25</v>
      </c>
      <c r="Q1004" s="115">
        <v>422.65</v>
      </c>
      <c r="R1004">
        <v>5683</v>
      </c>
    </row>
    <row r="1005" spans="1:18" x14ac:dyDescent="0.25">
      <c r="A1005" s="160">
        <v>43504</v>
      </c>
      <c r="B1005" s="115">
        <v>1197</v>
      </c>
      <c r="C1005" s="115">
        <v>1144.0999999999999</v>
      </c>
      <c r="D1005" s="115">
        <v>1110</v>
      </c>
      <c r="E1005" s="115">
        <v>1150.05</v>
      </c>
      <c r="F1005" s="115">
        <v>1144.0999999999999</v>
      </c>
      <c r="G1005">
        <v>4761</v>
      </c>
      <c r="H1005" s="115"/>
      <c r="I1005" s="115"/>
      <c r="L1005" s="160">
        <v>43482</v>
      </c>
      <c r="M1005" s="115">
        <v>417.2</v>
      </c>
      <c r="N1005" s="115">
        <v>424.45</v>
      </c>
      <c r="O1005" s="115">
        <v>416</v>
      </c>
      <c r="P1005" s="115">
        <v>422.65</v>
      </c>
      <c r="Q1005" s="115">
        <v>417.2</v>
      </c>
      <c r="R1005">
        <v>4579</v>
      </c>
    </row>
    <row r="1006" spans="1:18" x14ac:dyDescent="0.25">
      <c r="A1006" s="160">
        <v>43507</v>
      </c>
      <c r="B1006" s="115">
        <v>1154.5</v>
      </c>
      <c r="C1006" s="115">
        <v>1143.7</v>
      </c>
      <c r="D1006" s="115">
        <v>1103.05</v>
      </c>
      <c r="E1006" s="115">
        <v>1140</v>
      </c>
      <c r="F1006" s="115">
        <v>1143.7</v>
      </c>
      <c r="G1006">
        <v>3650</v>
      </c>
      <c r="H1006" s="115"/>
      <c r="I1006" s="115"/>
      <c r="L1006" s="160">
        <v>43483</v>
      </c>
      <c r="M1006" s="115">
        <v>415.1</v>
      </c>
      <c r="N1006" s="115">
        <v>418.9</v>
      </c>
      <c r="O1006" s="115">
        <v>413.9</v>
      </c>
      <c r="P1006" s="115">
        <v>418.85</v>
      </c>
      <c r="Q1006" s="115">
        <v>415.1</v>
      </c>
      <c r="R1006">
        <v>5344</v>
      </c>
    </row>
    <row r="1007" spans="1:18" x14ac:dyDescent="0.25">
      <c r="A1007" s="160">
        <v>43508</v>
      </c>
      <c r="B1007" s="115">
        <v>1148.5</v>
      </c>
      <c r="C1007" s="115">
        <v>1135.3499999999999</v>
      </c>
      <c r="D1007" s="115">
        <v>1115</v>
      </c>
      <c r="E1007" s="115">
        <v>1140.0999999999999</v>
      </c>
      <c r="F1007" s="115">
        <v>1135.3499999999999</v>
      </c>
      <c r="G1007">
        <v>1154</v>
      </c>
      <c r="H1007" s="115"/>
      <c r="I1007" s="115"/>
      <c r="L1007" s="160">
        <v>43486</v>
      </c>
      <c r="M1007" s="115">
        <v>415.45</v>
      </c>
      <c r="N1007" s="115">
        <v>419.95</v>
      </c>
      <c r="O1007" s="115">
        <v>411.1</v>
      </c>
      <c r="P1007" s="115">
        <v>416.15</v>
      </c>
      <c r="Q1007" s="115">
        <v>415.45</v>
      </c>
      <c r="R1007">
        <v>9138</v>
      </c>
    </row>
    <row r="1008" spans="1:18" x14ac:dyDescent="0.25">
      <c r="A1008" s="160">
        <v>43509</v>
      </c>
      <c r="B1008" s="115">
        <v>1140</v>
      </c>
      <c r="C1008" s="115">
        <v>1092.8499999999999</v>
      </c>
      <c r="D1008" s="115">
        <v>1075</v>
      </c>
      <c r="E1008" s="115">
        <v>1135</v>
      </c>
      <c r="F1008" s="115">
        <v>1092.8499999999999</v>
      </c>
      <c r="G1008">
        <v>1691</v>
      </c>
      <c r="H1008" s="115"/>
      <c r="I1008" s="115"/>
      <c r="L1008" s="160">
        <v>43487</v>
      </c>
      <c r="M1008" s="115">
        <v>408.95</v>
      </c>
      <c r="N1008" s="115">
        <v>413.85</v>
      </c>
      <c r="O1008" s="115">
        <v>408.25</v>
      </c>
      <c r="P1008" s="115">
        <v>412</v>
      </c>
      <c r="Q1008" s="115">
        <v>408.95</v>
      </c>
      <c r="R1008">
        <v>10302</v>
      </c>
    </row>
    <row r="1009" spans="1:18" x14ac:dyDescent="0.25">
      <c r="A1009" s="160">
        <v>43510</v>
      </c>
      <c r="B1009" s="115">
        <v>1125</v>
      </c>
      <c r="C1009" s="115">
        <v>1114.3499999999999</v>
      </c>
      <c r="D1009" s="115">
        <v>1095</v>
      </c>
      <c r="E1009" s="115">
        <v>1100</v>
      </c>
      <c r="F1009" s="115">
        <v>1114.3499999999999</v>
      </c>
      <c r="G1009">
        <v>1112</v>
      </c>
      <c r="H1009" s="115"/>
      <c r="I1009" s="115"/>
      <c r="L1009" s="160">
        <v>43488</v>
      </c>
      <c r="M1009" s="115">
        <v>410.35</v>
      </c>
      <c r="N1009" s="115">
        <v>413.15</v>
      </c>
      <c r="O1009" s="115">
        <v>407.95</v>
      </c>
      <c r="P1009" s="115">
        <v>409.95</v>
      </c>
      <c r="Q1009" s="115">
        <v>410.35</v>
      </c>
      <c r="R1009">
        <v>8547</v>
      </c>
    </row>
    <row r="1010" spans="1:18" x14ac:dyDescent="0.25">
      <c r="A1010" s="160">
        <v>43511</v>
      </c>
      <c r="B1010" s="115">
        <v>1112.2</v>
      </c>
      <c r="C1010" s="115">
        <v>1078.25</v>
      </c>
      <c r="D1010" s="115">
        <v>1075.1500000000001</v>
      </c>
      <c r="E1010" s="115">
        <v>1100</v>
      </c>
      <c r="F1010" s="115">
        <v>1078.25</v>
      </c>
      <c r="G1010">
        <v>1227</v>
      </c>
      <c r="H1010" s="115"/>
      <c r="I1010" s="115"/>
      <c r="L1010" s="160">
        <v>43489</v>
      </c>
      <c r="M1010" s="115">
        <v>403.55</v>
      </c>
      <c r="N1010" s="115">
        <v>412.45</v>
      </c>
      <c r="O1010" s="115">
        <v>394.8</v>
      </c>
      <c r="P1010" s="115">
        <v>411.35</v>
      </c>
      <c r="Q1010" s="115">
        <v>403.55</v>
      </c>
      <c r="R1010">
        <v>10571</v>
      </c>
    </row>
    <row r="1011" spans="1:18" x14ac:dyDescent="0.25">
      <c r="A1011" s="160">
        <v>43514</v>
      </c>
      <c r="B1011" s="115">
        <v>1096</v>
      </c>
      <c r="C1011" s="115">
        <v>1075.05</v>
      </c>
      <c r="D1011" s="115">
        <v>1054.5</v>
      </c>
      <c r="E1011" s="115">
        <v>1072.05</v>
      </c>
      <c r="F1011" s="115">
        <v>1075.05</v>
      </c>
      <c r="G1011">
        <v>229</v>
      </c>
      <c r="H1011" s="115"/>
      <c r="I1011" s="115"/>
      <c r="L1011" s="160">
        <v>43490</v>
      </c>
      <c r="M1011" s="115">
        <v>415.05</v>
      </c>
      <c r="N1011" s="115">
        <v>419.5</v>
      </c>
      <c r="O1011" s="115">
        <v>407.15</v>
      </c>
      <c r="P1011" s="115">
        <v>407.15</v>
      </c>
      <c r="Q1011" s="115">
        <v>415.05</v>
      </c>
      <c r="R1011">
        <v>10332</v>
      </c>
    </row>
    <row r="1012" spans="1:18" x14ac:dyDescent="0.25">
      <c r="A1012" s="160">
        <v>43515</v>
      </c>
      <c r="B1012" s="115">
        <v>1135</v>
      </c>
      <c r="C1012" s="115">
        <v>1120.5</v>
      </c>
      <c r="D1012" s="115">
        <v>1070.05</v>
      </c>
      <c r="E1012" s="115">
        <v>1134</v>
      </c>
      <c r="F1012" s="115">
        <v>1120.5</v>
      </c>
      <c r="G1012">
        <v>1812</v>
      </c>
      <c r="H1012" s="115"/>
      <c r="I1012" s="115"/>
      <c r="L1012" s="160">
        <v>43493</v>
      </c>
      <c r="M1012" s="115">
        <v>405.9</v>
      </c>
      <c r="N1012" s="115">
        <v>415.2</v>
      </c>
      <c r="O1012" s="115">
        <v>396</v>
      </c>
      <c r="P1012" s="115">
        <v>415.15</v>
      </c>
      <c r="Q1012" s="115">
        <v>405.9</v>
      </c>
      <c r="R1012">
        <v>6852</v>
      </c>
    </row>
    <row r="1013" spans="1:18" x14ac:dyDescent="0.25">
      <c r="A1013" s="160">
        <v>43516</v>
      </c>
      <c r="B1013" s="115">
        <v>1145</v>
      </c>
      <c r="C1013" s="115">
        <v>1127.0999999999999</v>
      </c>
      <c r="D1013" s="115">
        <v>1100.7</v>
      </c>
      <c r="E1013" s="115">
        <v>1138.95</v>
      </c>
      <c r="F1013" s="115">
        <v>1127.0999999999999</v>
      </c>
      <c r="G1013">
        <v>657</v>
      </c>
      <c r="H1013" s="115"/>
      <c r="I1013" s="115"/>
      <c r="L1013" s="160">
        <v>43494</v>
      </c>
      <c r="M1013" s="115">
        <v>406.2</v>
      </c>
      <c r="N1013" s="115">
        <v>411.9</v>
      </c>
      <c r="O1013" s="115">
        <v>399.85</v>
      </c>
      <c r="P1013" s="115">
        <v>405.3</v>
      </c>
      <c r="Q1013" s="115">
        <v>406.2</v>
      </c>
      <c r="R1013">
        <v>6740</v>
      </c>
    </row>
    <row r="1014" spans="1:18" x14ac:dyDescent="0.25">
      <c r="A1014" s="160">
        <v>43517</v>
      </c>
      <c r="B1014" s="115">
        <v>1158</v>
      </c>
      <c r="C1014" s="115">
        <v>1149.25</v>
      </c>
      <c r="D1014" s="115">
        <v>1105.25</v>
      </c>
      <c r="E1014" s="115">
        <v>1139.95</v>
      </c>
      <c r="F1014" s="115">
        <v>1149.25</v>
      </c>
      <c r="G1014">
        <v>1666</v>
      </c>
      <c r="H1014" s="115"/>
      <c r="I1014" s="115"/>
      <c r="L1014" s="160">
        <v>43495</v>
      </c>
      <c r="M1014" s="115">
        <v>417.75</v>
      </c>
      <c r="N1014" s="115">
        <v>419.4</v>
      </c>
      <c r="O1014" s="115">
        <v>403.2</v>
      </c>
      <c r="P1014" s="115">
        <v>404.9</v>
      </c>
      <c r="Q1014" s="115">
        <v>417.75</v>
      </c>
      <c r="R1014">
        <v>9426</v>
      </c>
    </row>
    <row r="1015" spans="1:18" x14ac:dyDescent="0.25">
      <c r="A1015" s="160">
        <v>43518</v>
      </c>
      <c r="B1015" s="115">
        <v>1198.95</v>
      </c>
      <c r="C1015" s="115">
        <v>1155.3499999999999</v>
      </c>
      <c r="D1015" s="115">
        <v>1149.0999999999999</v>
      </c>
      <c r="E1015" s="115">
        <v>1198.95</v>
      </c>
      <c r="F1015" s="115">
        <v>1155.3499999999999</v>
      </c>
      <c r="G1015">
        <v>507</v>
      </c>
      <c r="H1015" s="115"/>
      <c r="I1015" s="115"/>
      <c r="L1015" s="160">
        <v>43496</v>
      </c>
      <c r="M1015" s="115">
        <v>420.95</v>
      </c>
      <c r="N1015" s="115">
        <v>422.75</v>
      </c>
      <c r="O1015" s="115">
        <v>413.6</v>
      </c>
      <c r="P1015" s="115">
        <v>418.95</v>
      </c>
      <c r="Q1015" s="115">
        <v>420.95</v>
      </c>
      <c r="R1015">
        <v>9231</v>
      </c>
    </row>
    <row r="1016" spans="1:18" x14ac:dyDescent="0.25">
      <c r="A1016" s="160">
        <v>43521</v>
      </c>
      <c r="B1016" s="115">
        <v>1174.9000000000001</v>
      </c>
      <c r="C1016" s="115">
        <v>1172.7</v>
      </c>
      <c r="D1016" s="115">
        <v>1155</v>
      </c>
      <c r="E1016" s="115">
        <v>1155</v>
      </c>
      <c r="F1016" s="115">
        <v>1172.7</v>
      </c>
      <c r="G1016">
        <v>213</v>
      </c>
      <c r="H1016" s="115"/>
      <c r="I1016" s="115"/>
      <c r="L1016" s="160">
        <v>43497</v>
      </c>
      <c r="M1016" s="115">
        <v>437.95</v>
      </c>
      <c r="N1016" s="115">
        <v>442.45</v>
      </c>
      <c r="O1016" s="115">
        <v>423</v>
      </c>
      <c r="P1016" s="115">
        <v>423</v>
      </c>
      <c r="Q1016" s="115">
        <v>437.95</v>
      </c>
      <c r="R1016">
        <v>29800</v>
      </c>
    </row>
    <row r="1017" spans="1:18" x14ac:dyDescent="0.25">
      <c r="A1017" s="160">
        <v>43522</v>
      </c>
      <c r="B1017" s="115">
        <v>1222</v>
      </c>
      <c r="C1017" s="115">
        <v>1194.6500000000001</v>
      </c>
      <c r="D1017" s="115">
        <v>1127.5</v>
      </c>
      <c r="E1017" s="115">
        <v>1156.05</v>
      </c>
      <c r="F1017" s="115">
        <v>1194.6500000000001</v>
      </c>
      <c r="G1017">
        <v>2001</v>
      </c>
      <c r="H1017" s="115"/>
      <c r="I1017" s="115"/>
      <c r="L1017" s="160">
        <v>43500</v>
      </c>
      <c r="M1017" s="115">
        <v>434</v>
      </c>
      <c r="N1017" s="115">
        <v>443</v>
      </c>
      <c r="O1017" s="115">
        <v>423.55</v>
      </c>
      <c r="P1017" s="115">
        <v>443</v>
      </c>
      <c r="Q1017" s="115">
        <v>434</v>
      </c>
      <c r="R1017">
        <v>11904</v>
      </c>
    </row>
    <row r="1018" spans="1:18" x14ac:dyDescent="0.25">
      <c r="A1018" s="160">
        <v>43523</v>
      </c>
      <c r="B1018" s="115">
        <v>1249</v>
      </c>
      <c r="C1018" s="115">
        <v>1222.8499999999999</v>
      </c>
      <c r="D1018" s="115">
        <v>1170.05</v>
      </c>
      <c r="E1018" s="115">
        <v>1212</v>
      </c>
      <c r="F1018" s="115">
        <v>1222.8499999999999</v>
      </c>
      <c r="G1018">
        <v>29357</v>
      </c>
      <c r="H1018" s="115"/>
      <c r="I1018" s="115"/>
      <c r="L1018" s="160">
        <v>43501</v>
      </c>
      <c r="M1018" s="115">
        <v>414.8</v>
      </c>
      <c r="N1018" s="115">
        <v>431.5</v>
      </c>
      <c r="O1018" s="115">
        <v>410.1</v>
      </c>
      <c r="P1018" s="115">
        <v>431.05</v>
      </c>
      <c r="Q1018" s="115">
        <v>414.8</v>
      </c>
      <c r="R1018">
        <v>23536</v>
      </c>
    </row>
    <row r="1019" spans="1:18" x14ac:dyDescent="0.25">
      <c r="A1019" s="160">
        <v>43524</v>
      </c>
      <c r="B1019" s="115">
        <v>1421.95</v>
      </c>
      <c r="C1019" s="115">
        <v>1356.7</v>
      </c>
      <c r="D1019" s="115">
        <v>1155.2</v>
      </c>
      <c r="E1019" s="115">
        <v>1222.8499999999999</v>
      </c>
      <c r="F1019" s="115">
        <v>1356.7</v>
      </c>
      <c r="G1019">
        <v>15884</v>
      </c>
      <c r="H1019" s="115"/>
      <c r="I1019" s="115"/>
      <c r="L1019" s="160">
        <v>43502</v>
      </c>
      <c r="M1019" s="115">
        <v>409.2</v>
      </c>
      <c r="N1019" s="115">
        <v>420.8</v>
      </c>
      <c r="O1019" s="115">
        <v>407.85</v>
      </c>
      <c r="P1019" s="115">
        <v>420.8</v>
      </c>
      <c r="Q1019" s="115">
        <v>409.2</v>
      </c>
      <c r="R1019">
        <v>6777</v>
      </c>
    </row>
    <row r="1020" spans="1:18" x14ac:dyDescent="0.25">
      <c r="A1020" s="160">
        <v>43525</v>
      </c>
      <c r="B1020" s="115">
        <v>1409.9</v>
      </c>
      <c r="C1020" s="115">
        <v>1389.7</v>
      </c>
      <c r="D1020" s="115">
        <v>1334.1</v>
      </c>
      <c r="E1020" s="115">
        <v>1356.7</v>
      </c>
      <c r="F1020" s="115">
        <v>1389.7</v>
      </c>
      <c r="G1020">
        <v>4603</v>
      </c>
      <c r="H1020" s="115"/>
      <c r="I1020" s="115"/>
      <c r="L1020" s="160">
        <v>43503</v>
      </c>
      <c r="M1020" s="115">
        <v>406.65</v>
      </c>
      <c r="N1020" s="115">
        <v>414.95</v>
      </c>
      <c r="O1020" s="115">
        <v>405.2</v>
      </c>
      <c r="P1020" s="115">
        <v>414.95</v>
      </c>
      <c r="Q1020" s="115">
        <v>406.65</v>
      </c>
      <c r="R1020">
        <v>5042</v>
      </c>
    </row>
    <row r="1021" spans="1:18" x14ac:dyDescent="0.25">
      <c r="A1021" s="160">
        <v>43529</v>
      </c>
      <c r="B1021" s="115">
        <v>1439.75</v>
      </c>
      <c r="C1021" s="115">
        <v>1407.4</v>
      </c>
      <c r="D1021" s="115">
        <v>1377</v>
      </c>
      <c r="E1021" s="115">
        <v>1395.05</v>
      </c>
      <c r="F1021" s="115">
        <v>1407.4</v>
      </c>
      <c r="G1021">
        <v>3509</v>
      </c>
      <c r="H1021" s="115"/>
      <c r="I1021" s="115"/>
      <c r="L1021" s="160">
        <v>43504</v>
      </c>
      <c r="M1021" s="115">
        <v>397.65</v>
      </c>
      <c r="N1021" s="115">
        <v>410</v>
      </c>
      <c r="O1021" s="115">
        <v>386</v>
      </c>
      <c r="P1021" s="115">
        <v>405.4</v>
      </c>
      <c r="Q1021" s="115">
        <v>397.65</v>
      </c>
      <c r="R1021">
        <v>10684</v>
      </c>
    </row>
    <row r="1022" spans="1:18" x14ac:dyDescent="0.25">
      <c r="A1022" s="160">
        <v>43530</v>
      </c>
      <c r="B1022" s="115">
        <v>1407</v>
      </c>
      <c r="C1022" s="115">
        <v>1315.15</v>
      </c>
      <c r="D1022" s="115">
        <v>1185</v>
      </c>
      <c r="E1022" s="115">
        <v>1401</v>
      </c>
      <c r="F1022" s="115">
        <v>1315.15</v>
      </c>
      <c r="G1022">
        <v>4511</v>
      </c>
      <c r="H1022" s="115"/>
      <c r="I1022" s="115"/>
      <c r="L1022" s="160">
        <v>43507</v>
      </c>
      <c r="M1022" s="115">
        <v>394.65</v>
      </c>
      <c r="N1022" s="115">
        <v>400</v>
      </c>
      <c r="O1022" s="115">
        <v>392</v>
      </c>
      <c r="P1022" s="115">
        <v>398.8</v>
      </c>
      <c r="Q1022" s="115">
        <v>394.65</v>
      </c>
      <c r="R1022">
        <v>2935</v>
      </c>
    </row>
    <row r="1023" spans="1:18" x14ac:dyDescent="0.25">
      <c r="A1023" s="160">
        <v>43531</v>
      </c>
      <c r="B1023" s="115">
        <v>1377</v>
      </c>
      <c r="C1023" s="115">
        <v>1338.25</v>
      </c>
      <c r="D1023" s="115">
        <v>1302</v>
      </c>
      <c r="E1023" s="115">
        <v>1302</v>
      </c>
      <c r="F1023" s="115">
        <v>1338.25</v>
      </c>
      <c r="G1023">
        <v>1256</v>
      </c>
      <c r="H1023" s="115"/>
      <c r="I1023" s="115"/>
      <c r="L1023" s="160">
        <v>43508</v>
      </c>
      <c r="M1023" s="115">
        <v>377.4</v>
      </c>
      <c r="N1023" s="115">
        <v>400</v>
      </c>
      <c r="O1023" s="115">
        <v>372</v>
      </c>
      <c r="P1023" s="115">
        <v>393.45</v>
      </c>
      <c r="Q1023" s="115">
        <v>377.4</v>
      </c>
      <c r="R1023">
        <v>55646</v>
      </c>
    </row>
    <row r="1024" spans="1:18" x14ac:dyDescent="0.25">
      <c r="A1024" s="160">
        <v>43532</v>
      </c>
      <c r="B1024" s="115">
        <v>1359.95</v>
      </c>
      <c r="C1024" s="115">
        <v>1349.25</v>
      </c>
      <c r="D1024" s="115">
        <v>1325</v>
      </c>
      <c r="E1024" s="115">
        <v>1325</v>
      </c>
      <c r="F1024" s="115">
        <v>1349.25</v>
      </c>
      <c r="G1024">
        <v>184</v>
      </c>
      <c r="H1024" s="115"/>
      <c r="I1024" s="115"/>
      <c r="L1024" s="160">
        <v>43509</v>
      </c>
      <c r="M1024" s="115">
        <v>376</v>
      </c>
      <c r="N1024" s="115">
        <v>379.85</v>
      </c>
      <c r="O1024" s="115">
        <v>367.6</v>
      </c>
      <c r="P1024" s="115">
        <v>373.05</v>
      </c>
      <c r="Q1024" s="115">
        <v>376</v>
      </c>
      <c r="R1024">
        <v>23437</v>
      </c>
    </row>
    <row r="1025" spans="1:18" x14ac:dyDescent="0.25">
      <c r="A1025" s="160">
        <v>43535</v>
      </c>
      <c r="B1025" s="115">
        <v>1379.95</v>
      </c>
      <c r="C1025" s="115">
        <v>1355.9</v>
      </c>
      <c r="D1025" s="115">
        <v>1316.05</v>
      </c>
      <c r="E1025" s="115">
        <v>1316.05</v>
      </c>
      <c r="F1025" s="115">
        <v>1355.9</v>
      </c>
      <c r="G1025">
        <v>584</v>
      </c>
      <c r="H1025" s="115"/>
      <c r="I1025" s="115"/>
      <c r="L1025" s="160">
        <v>43510</v>
      </c>
      <c r="M1025" s="115">
        <v>401.4</v>
      </c>
      <c r="N1025" s="115">
        <v>428.85</v>
      </c>
      <c r="O1025" s="115">
        <v>373</v>
      </c>
      <c r="P1025" s="115">
        <v>377</v>
      </c>
      <c r="Q1025" s="115">
        <v>401.4</v>
      </c>
      <c r="R1025">
        <v>45355</v>
      </c>
    </row>
    <row r="1026" spans="1:18" x14ac:dyDescent="0.25">
      <c r="A1026" s="160">
        <v>43536</v>
      </c>
      <c r="B1026" s="115">
        <v>1381</v>
      </c>
      <c r="C1026" s="115">
        <v>1330</v>
      </c>
      <c r="D1026" s="115">
        <v>1326.1</v>
      </c>
      <c r="E1026" s="115">
        <v>1359</v>
      </c>
      <c r="F1026" s="115">
        <v>1330</v>
      </c>
      <c r="G1026">
        <v>2216</v>
      </c>
      <c r="H1026" s="115"/>
      <c r="I1026" s="115"/>
      <c r="L1026" s="160">
        <v>43511</v>
      </c>
      <c r="M1026" s="115">
        <v>397.9</v>
      </c>
      <c r="N1026" s="115">
        <v>409</v>
      </c>
      <c r="O1026" s="115">
        <v>392</v>
      </c>
      <c r="P1026" s="115">
        <v>409</v>
      </c>
      <c r="Q1026" s="115">
        <v>397.9</v>
      </c>
      <c r="R1026">
        <v>15373</v>
      </c>
    </row>
    <row r="1027" spans="1:18" x14ac:dyDescent="0.25">
      <c r="A1027" s="160">
        <v>43537</v>
      </c>
      <c r="B1027" s="115">
        <v>1358</v>
      </c>
      <c r="C1027" s="115">
        <v>1325.6</v>
      </c>
      <c r="D1027" s="115">
        <v>1317</v>
      </c>
      <c r="E1027" s="115">
        <v>1357.8</v>
      </c>
      <c r="F1027" s="115">
        <v>1325.6</v>
      </c>
      <c r="G1027">
        <v>491</v>
      </c>
      <c r="H1027" s="115"/>
      <c r="I1027" s="115"/>
      <c r="L1027" s="160">
        <v>43514</v>
      </c>
      <c r="M1027" s="115">
        <v>387.1</v>
      </c>
      <c r="N1027" s="115">
        <v>403.5</v>
      </c>
      <c r="O1027" s="115">
        <v>385</v>
      </c>
      <c r="P1027" s="115">
        <v>395</v>
      </c>
      <c r="Q1027" s="115">
        <v>387.1</v>
      </c>
      <c r="R1027">
        <v>10458</v>
      </c>
    </row>
    <row r="1028" spans="1:18" x14ac:dyDescent="0.25">
      <c r="A1028" s="160">
        <v>43538</v>
      </c>
      <c r="B1028" s="115">
        <v>1349</v>
      </c>
      <c r="C1028" s="115">
        <v>1330.1</v>
      </c>
      <c r="D1028" s="115">
        <v>1280.0999999999999</v>
      </c>
      <c r="E1028" s="115">
        <v>1290.05</v>
      </c>
      <c r="F1028" s="115">
        <v>1330.1</v>
      </c>
      <c r="G1028">
        <v>1438</v>
      </c>
      <c r="H1028" s="115"/>
      <c r="I1028" s="115"/>
      <c r="L1028" s="160">
        <v>43515</v>
      </c>
      <c r="M1028" s="115">
        <v>381.65</v>
      </c>
      <c r="N1028" s="115">
        <v>391.95</v>
      </c>
      <c r="O1028" s="115">
        <v>380.3</v>
      </c>
      <c r="P1028" s="115">
        <v>382.4</v>
      </c>
      <c r="Q1028" s="115">
        <v>381.65</v>
      </c>
      <c r="R1028">
        <v>4467</v>
      </c>
    </row>
    <row r="1029" spans="1:18" x14ac:dyDescent="0.25">
      <c r="A1029" s="160">
        <v>43539</v>
      </c>
      <c r="B1029" s="115">
        <v>1359</v>
      </c>
      <c r="C1029" s="115">
        <v>1340</v>
      </c>
      <c r="D1029" s="115">
        <v>1317</v>
      </c>
      <c r="E1029" s="115">
        <v>1317</v>
      </c>
      <c r="F1029" s="115">
        <v>1340</v>
      </c>
      <c r="G1029">
        <v>1427</v>
      </c>
      <c r="H1029" s="115"/>
      <c r="I1029" s="115"/>
      <c r="L1029" s="160">
        <v>43516</v>
      </c>
      <c r="M1029" s="115">
        <v>390.15</v>
      </c>
      <c r="N1029" s="115">
        <v>392.4</v>
      </c>
      <c r="O1029" s="115">
        <v>381.65</v>
      </c>
      <c r="P1029" s="115">
        <v>384.9</v>
      </c>
      <c r="Q1029" s="115">
        <v>390.15</v>
      </c>
      <c r="R1029">
        <v>16522</v>
      </c>
    </row>
    <row r="1030" spans="1:18" x14ac:dyDescent="0.25">
      <c r="A1030" s="160">
        <v>43542</v>
      </c>
      <c r="B1030" s="115">
        <v>1365</v>
      </c>
      <c r="C1030" s="115">
        <v>1348.25</v>
      </c>
      <c r="D1030" s="115">
        <v>1322</v>
      </c>
      <c r="E1030" s="115">
        <v>1365</v>
      </c>
      <c r="F1030" s="115">
        <v>1348.25</v>
      </c>
      <c r="G1030">
        <v>1611</v>
      </c>
      <c r="H1030" s="115"/>
      <c r="I1030" s="115"/>
      <c r="L1030" s="160">
        <v>43517</v>
      </c>
      <c r="M1030" s="115">
        <v>398.55</v>
      </c>
      <c r="N1030" s="115">
        <v>399</v>
      </c>
      <c r="O1030" s="115">
        <v>391.8</v>
      </c>
      <c r="P1030" s="115">
        <v>391.9</v>
      </c>
      <c r="Q1030" s="115">
        <v>398.55</v>
      </c>
      <c r="R1030">
        <v>8361</v>
      </c>
    </row>
    <row r="1031" spans="1:18" x14ac:dyDescent="0.25">
      <c r="A1031" s="160">
        <v>43543</v>
      </c>
      <c r="B1031" s="115">
        <v>1349.95</v>
      </c>
      <c r="C1031" s="115">
        <v>1334.65</v>
      </c>
      <c r="D1031" s="115">
        <v>1315.5</v>
      </c>
      <c r="E1031" s="115">
        <v>1335</v>
      </c>
      <c r="F1031" s="115">
        <v>1334.65</v>
      </c>
      <c r="G1031">
        <v>569</v>
      </c>
      <c r="H1031" s="115"/>
      <c r="I1031" s="115"/>
      <c r="L1031" s="160">
        <v>43518</v>
      </c>
      <c r="M1031" s="115">
        <v>409.8</v>
      </c>
      <c r="N1031" s="115">
        <v>411.4</v>
      </c>
      <c r="O1031" s="115">
        <v>397</v>
      </c>
      <c r="P1031" s="115">
        <v>399.7</v>
      </c>
      <c r="Q1031" s="115">
        <v>409.8</v>
      </c>
      <c r="R1031">
        <v>7291</v>
      </c>
    </row>
    <row r="1032" spans="1:18" x14ac:dyDescent="0.25">
      <c r="A1032" s="160">
        <v>43544</v>
      </c>
      <c r="B1032" s="115">
        <v>1344.95</v>
      </c>
      <c r="C1032" s="115">
        <v>1321.6</v>
      </c>
      <c r="D1032" s="115">
        <v>1311.05</v>
      </c>
      <c r="E1032" s="115">
        <v>1311.05</v>
      </c>
      <c r="F1032" s="115">
        <v>1321.6</v>
      </c>
      <c r="G1032">
        <v>192</v>
      </c>
      <c r="H1032" s="115"/>
      <c r="I1032" s="115"/>
      <c r="L1032" s="160">
        <v>43521</v>
      </c>
      <c r="M1032" s="115">
        <v>410.95</v>
      </c>
      <c r="N1032" s="115">
        <v>414.5</v>
      </c>
      <c r="O1032" s="115">
        <v>406.75</v>
      </c>
      <c r="P1032" s="115">
        <v>414.5</v>
      </c>
      <c r="Q1032" s="115">
        <v>410.95</v>
      </c>
      <c r="R1032">
        <v>6411</v>
      </c>
    </row>
    <row r="1033" spans="1:18" x14ac:dyDescent="0.25">
      <c r="A1033" s="160">
        <v>43546</v>
      </c>
      <c r="B1033" s="115">
        <v>1330.3</v>
      </c>
      <c r="C1033" s="115">
        <v>1311</v>
      </c>
      <c r="D1033" s="115">
        <v>1308.05</v>
      </c>
      <c r="E1033" s="115">
        <v>1320</v>
      </c>
      <c r="F1033" s="115">
        <v>1311</v>
      </c>
      <c r="G1033">
        <v>285</v>
      </c>
      <c r="H1033" s="115"/>
      <c r="I1033" s="115"/>
      <c r="L1033" s="160">
        <v>43522</v>
      </c>
      <c r="M1033" s="115">
        <v>399.9</v>
      </c>
      <c r="N1033" s="115">
        <v>410</v>
      </c>
      <c r="O1033" s="115">
        <v>393.1</v>
      </c>
      <c r="P1033" s="115">
        <v>410</v>
      </c>
      <c r="Q1033" s="115">
        <v>399.9</v>
      </c>
      <c r="R1033">
        <v>7094</v>
      </c>
    </row>
    <row r="1034" spans="1:18" x14ac:dyDescent="0.25">
      <c r="A1034" s="160">
        <v>43549</v>
      </c>
      <c r="B1034" s="115">
        <v>1327</v>
      </c>
      <c r="C1034" s="115">
        <v>1296.1500000000001</v>
      </c>
      <c r="D1034" s="115">
        <v>1280</v>
      </c>
      <c r="E1034" s="115">
        <v>1310</v>
      </c>
      <c r="F1034" s="115">
        <v>1296.1500000000001</v>
      </c>
      <c r="G1034">
        <v>1497</v>
      </c>
      <c r="H1034" s="115"/>
      <c r="I1034" s="115"/>
      <c r="L1034" s="160">
        <v>43523</v>
      </c>
      <c r="M1034" s="115">
        <v>403.65</v>
      </c>
      <c r="N1034" s="115">
        <v>413</v>
      </c>
      <c r="O1034" s="115">
        <v>399.05</v>
      </c>
      <c r="P1034" s="115">
        <v>399.9</v>
      </c>
      <c r="Q1034" s="115">
        <v>403.65</v>
      </c>
      <c r="R1034">
        <v>7805</v>
      </c>
    </row>
    <row r="1035" spans="1:18" x14ac:dyDescent="0.25">
      <c r="A1035" s="160">
        <v>43550</v>
      </c>
      <c r="B1035" s="115">
        <v>1319.95</v>
      </c>
      <c r="C1035" s="115">
        <v>1301.95</v>
      </c>
      <c r="D1035" s="115">
        <v>1253.0999999999999</v>
      </c>
      <c r="E1035" s="115">
        <v>1295.0999999999999</v>
      </c>
      <c r="F1035" s="115">
        <v>1301.95</v>
      </c>
      <c r="G1035">
        <v>2569</v>
      </c>
      <c r="H1035" s="115"/>
      <c r="I1035" s="115"/>
      <c r="L1035" s="160">
        <v>43524</v>
      </c>
      <c r="M1035" s="115">
        <v>403.6</v>
      </c>
      <c r="N1035" s="115">
        <v>409.9</v>
      </c>
      <c r="O1035" s="115">
        <v>400.5</v>
      </c>
      <c r="P1035" s="115">
        <v>405.85</v>
      </c>
      <c r="Q1035" s="115">
        <v>403.6</v>
      </c>
      <c r="R1035">
        <v>4824</v>
      </c>
    </row>
    <row r="1036" spans="1:18" x14ac:dyDescent="0.25">
      <c r="A1036" s="160">
        <v>43551</v>
      </c>
      <c r="B1036" s="115">
        <v>1320</v>
      </c>
      <c r="C1036" s="115">
        <v>1313.65</v>
      </c>
      <c r="D1036" s="115">
        <v>1289</v>
      </c>
      <c r="E1036" s="115">
        <v>1289</v>
      </c>
      <c r="F1036" s="115">
        <v>1313.65</v>
      </c>
      <c r="G1036">
        <v>1109</v>
      </c>
      <c r="H1036" s="115"/>
      <c r="I1036" s="115"/>
      <c r="L1036" s="160">
        <v>43525</v>
      </c>
      <c r="M1036" s="115">
        <v>416</v>
      </c>
      <c r="N1036" s="115">
        <v>422</v>
      </c>
      <c r="O1036" s="115">
        <v>400.1</v>
      </c>
      <c r="P1036" s="115">
        <v>407.6</v>
      </c>
      <c r="Q1036" s="115">
        <v>416</v>
      </c>
      <c r="R1036">
        <v>12968</v>
      </c>
    </row>
    <row r="1037" spans="1:18" x14ac:dyDescent="0.25">
      <c r="A1037" s="160">
        <v>43552</v>
      </c>
      <c r="B1037" s="115">
        <v>1325</v>
      </c>
      <c r="C1037" s="115">
        <v>1311.3</v>
      </c>
      <c r="D1037" s="115">
        <v>1295</v>
      </c>
      <c r="E1037" s="115">
        <v>1301</v>
      </c>
      <c r="F1037" s="115">
        <v>1311.3</v>
      </c>
      <c r="G1037">
        <v>387</v>
      </c>
      <c r="H1037" s="115"/>
      <c r="I1037" s="115"/>
      <c r="L1037" s="160">
        <v>43529</v>
      </c>
      <c r="M1037" s="115">
        <v>417.35</v>
      </c>
      <c r="N1037" s="115">
        <v>424.25</v>
      </c>
      <c r="O1037" s="115">
        <v>409.8</v>
      </c>
      <c r="P1037" s="115">
        <v>411.15</v>
      </c>
      <c r="Q1037" s="115">
        <v>417.35</v>
      </c>
      <c r="R1037">
        <v>14309</v>
      </c>
    </row>
    <row r="1038" spans="1:18" x14ac:dyDescent="0.25">
      <c r="A1038" s="160">
        <v>43553</v>
      </c>
      <c r="B1038" s="115">
        <v>1350</v>
      </c>
      <c r="C1038" s="115">
        <v>1338.8</v>
      </c>
      <c r="D1038" s="115">
        <v>1312.55</v>
      </c>
      <c r="E1038" s="115">
        <v>1330</v>
      </c>
      <c r="F1038" s="115">
        <v>1338.8</v>
      </c>
      <c r="G1038">
        <v>1359</v>
      </c>
      <c r="H1038" s="115"/>
      <c r="I1038" s="115"/>
      <c r="L1038" s="160">
        <v>43530</v>
      </c>
      <c r="M1038" s="115">
        <v>438.65</v>
      </c>
      <c r="N1038" s="115">
        <v>444</v>
      </c>
      <c r="O1038" s="115">
        <v>413.25</v>
      </c>
      <c r="P1038" s="115">
        <v>417</v>
      </c>
      <c r="Q1038" s="115">
        <v>438.65</v>
      </c>
      <c r="R1038">
        <v>33145</v>
      </c>
    </row>
    <row r="1039" spans="1:18" x14ac:dyDescent="0.25">
      <c r="A1039" s="160">
        <v>43556</v>
      </c>
      <c r="B1039" s="115">
        <v>1369.95</v>
      </c>
      <c r="C1039" s="115">
        <v>1341.9</v>
      </c>
      <c r="D1039" s="115">
        <v>1326.05</v>
      </c>
      <c r="E1039" s="115">
        <v>1369.95</v>
      </c>
      <c r="F1039" s="115">
        <v>1341.9</v>
      </c>
      <c r="G1039">
        <v>638</v>
      </c>
      <c r="H1039" s="115"/>
      <c r="I1039" s="115"/>
      <c r="L1039" s="160">
        <v>43531</v>
      </c>
      <c r="M1039" s="115">
        <v>438.75</v>
      </c>
      <c r="N1039" s="115">
        <v>449.8</v>
      </c>
      <c r="O1039" s="115">
        <v>432.1</v>
      </c>
      <c r="P1039" s="115">
        <v>441.9</v>
      </c>
      <c r="Q1039" s="115">
        <v>438.75</v>
      </c>
      <c r="R1039">
        <v>22676</v>
      </c>
    </row>
    <row r="1040" spans="1:18" x14ac:dyDescent="0.25">
      <c r="A1040" s="160">
        <v>43557</v>
      </c>
      <c r="B1040" s="115">
        <v>1327.95</v>
      </c>
      <c r="C1040" s="115">
        <v>1317.05</v>
      </c>
      <c r="D1040" s="115">
        <v>1315</v>
      </c>
      <c r="E1040" s="115">
        <v>1324.05</v>
      </c>
      <c r="F1040" s="115">
        <v>1317.05</v>
      </c>
      <c r="G1040">
        <v>129</v>
      </c>
      <c r="H1040" s="115"/>
      <c r="I1040" s="115"/>
      <c r="L1040" s="160">
        <v>43532</v>
      </c>
      <c r="M1040" s="115">
        <v>440</v>
      </c>
      <c r="N1040" s="115">
        <v>444.2</v>
      </c>
      <c r="O1040" s="115">
        <v>435.1</v>
      </c>
      <c r="P1040" s="115">
        <v>442.95</v>
      </c>
      <c r="Q1040" s="115">
        <v>440</v>
      </c>
      <c r="R1040">
        <v>8977</v>
      </c>
    </row>
    <row r="1041" spans="1:18" x14ac:dyDescent="0.25">
      <c r="A1041" s="160">
        <v>43558</v>
      </c>
      <c r="B1041" s="115">
        <v>1325.5</v>
      </c>
      <c r="C1041" s="115">
        <v>1316.75</v>
      </c>
      <c r="D1041" s="115">
        <v>1295.5</v>
      </c>
      <c r="E1041" s="115">
        <v>1306.05</v>
      </c>
      <c r="F1041" s="115">
        <v>1316.75</v>
      </c>
      <c r="G1041">
        <v>767</v>
      </c>
      <c r="H1041" s="115"/>
      <c r="I1041" s="115"/>
      <c r="L1041" s="160">
        <v>43535</v>
      </c>
      <c r="M1041" s="115">
        <v>444.2</v>
      </c>
      <c r="N1041" s="115">
        <v>448</v>
      </c>
      <c r="O1041" s="115">
        <v>433.6</v>
      </c>
      <c r="P1041" s="115">
        <v>433.6</v>
      </c>
      <c r="Q1041" s="115">
        <v>444.2</v>
      </c>
      <c r="R1041">
        <v>11091</v>
      </c>
    </row>
    <row r="1042" spans="1:18" x14ac:dyDescent="0.25">
      <c r="A1042" s="160">
        <v>43559</v>
      </c>
      <c r="B1042" s="115">
        <v>1325</v>
      </c>
      <c r="C1042" s="115">
        <v>1297.95</v>
      </c>
      <c r="D1042" s="115">
        <v>1295</v>
      </c>
      <c r="E1042" s="115">
        <v>1306.05</v>
      </c>
      <c r="F1042" s="115">
        <v>1297.95</v>
      </c>
      <c r="G1042">
        <v>911</v>
      </c>
      <c r="H1042" s="115"/>
      <c r="I1042" s="115"/>
      <c r="L1042" s="160">
        <v>43536</v>
      </c>
      <c r="M1042" s="115">
        <v>438.75</v>
      </c>
      <c r="N1042" s="115">
        <v>445</v>
      </c>
      <c r="O1042" s="115">
        <v>436.5</v>
      </c>
      <c r="P1042" s="115">
        <v>445</v>
      </c>
      <c r="Q1042" s="115">
        <v>438.75</v>
      </c>
      <c r="R1042">
        <v>15683</v>
      </c>
    </row>
    <row r="1043" spans="1:18" x14ac:dyDescent="0.25">
      <c r="A1043" s="160">
        <v>43560</v>
      </c>
      <c r="B1043" s="115">
        <v>1314.95</v>
      </c>
      <c r="C1043" s="115">
        <v>1296</v>
      </c>
      <c r="D1043" s="115">
        <v>1295.05</v>
      </c>
      <c r="E1043" s="115">
        <v>1295.05</v>
      </c>
      <c r="F1043" s="115">
        <v>1296</v>
      </c>
      <c r="G1043">
        <v>48</v>
      </c>
      <c r="H1043" s="115"/>
      <c r="I1043" s="115"/>
      <c r="L1043" s="160">
        <v>43537</v>
      </c>
      <c r="M1043" s="115">
        <v>426.8</v>
      </c>
      <c r="N1043" s="115">
        <v>439</v>
      </c>
      <c r="O1043" s="115">
        <v>418.1</v>
      </c>
      <c r="P1043" s="115">
        <v>438.95</v>
      </c>
      <c r="Q1043" s="115">
        <v>426.8</v>
      </c>
      <c r="R1043">
        <v>13910</v>
      </c>
    </row>
    <row r="1044" spans="1:18" x14ac:dyDescent="0.25">
      <c r="A1044" s="160">
        <v>43563</v>
      </c>
      <c r="B1044" s="115">
        <v>1300</v>
      </c>
      <c r="C1044" s="115">
        <v>1254</v>
      </c>
      <c r="D1044" s="115">
        <v>1252.25</v>
      </c>
      <c r="E1044" s="115">
        <v>1295.05</v>
      </c>
      <c r="F1044" s="115">
        <v>1254</v>
      </c>
      <c r="G1044">
        <v>1524</v>
      </c>
      <c r="H1044" s="115"/>
      <c r="I1044" s="115"/>
      <c r="L1044" s="160">
        <v>43538</v>
      </c>
      <c r="M1044" s="115">
        <v>433.3</v>
      </c>
      <c r="N1044" s="115">
        <v>435</v>
      </c>
      <c r="O1044" s="115">
        <v>424</v>
      </c>
      <c r="P1044" s="115">
        <v>428.8</v>
      </c>
      <c r="Q1044" s="115">
        <v>433.3</v>
      </c>
      <c r="R1044">
        <v>15079</v>
      </c>
    </row>
    <row r="1045" spans="1:18" x14ac:dyDescent="0.25">
      <c r="A1045" s="160">
        <v>43564</v>
      </c>
      <c r="B1045" s="115">
        <v>1300</v>
      </c>
      <c r="C1045" s="115">
        <v>1279</v>
      </c>
      <c r="D1045" s="115">
        <v>1265</v>
      </c>
      <c r="E1045" s="115">
        <v>1300</v>
      </c>
      <c r="F1045" s="115">
        <v>1279</v>
      </c>
      <c r="G1045">
        <v>103</v>
      </c>
      <c r="H1045" s="115"/>
      <c r="I1045" s="115"/>
      <c r="L1045" s="160">
        <v>43539</v>
      </c>
      <c r="M1045" s="115">
        <v>435.45</v>
      </c>
      <c r="N1045" s="115">
        <v>442</v>
      </c>
      <c r="O1045" s="115">
        <v>425.3</v>
      </c>
      <c r="P1045" s="115">
        <v>434</v>
      </c>
      <c r="Q1045" s="115">
        <v>435.45</v>
      </c>
      <c r="R1045">
        <v>19259</v>
      </c>
    </row>
    <row r="1046" spans="1:18" x14ac:dyDescent="0.25">
      <c r="A1046" s="160">
        <v>43565</v>
      </c>
      <c r="B1046" s="115">
        <v>1314.45</v>
      </c>
      <c r="C1046" s="115">
        <v>1290.75</v>
      </c>
      <c r="D1046" s="115">
        <v>1270.0999999999999</v>
      </c>
      <c r="E1046" s="115">
        <v>1270.0999999999999</v>
      </c>
      <c r="F1046" s="115">
        <v>1290.75</v>
      </c>
      <c r="G1046">
        <v>193</v>
      </c>
      <c r="H1046" s="115"/>
      <c r="I1046" s="115"/>
      <c r="L1046" s="160">
        <v>43542</v>
      </c>
      <c r="M1046" s="115">
        <v>428.7</v>
      </c>
      <c r="N1046" s="115">
        <v>432</v>
      </c>
      <c r="O1046" s="115">
        <v>426.05</v>
      </c>
      <c r="P1046" s="115">
        <v>432</v>
      </c>
      <c r="Q1046" s="115">
        <v>428.7</v>
      </c>
      <c r="R1046">
        <v>4164</v>
      </c>
    </row>
    <row r="1047" spans="1:18" x14ac:dyDescent="0.25">
      <c r="A1047" s="160">
        <v>43566</v>
      </c>
      <c r="B1047" s="115">
        <v>1300</v>
      </c>
      <c r="C1047" s="115">
        <v>1290.05</v>
      </c>
      <c r="D1047" s="115">
        <v>1281</v>
      </c>
      <c r="E1047" s="115">
        <v>1286.05</v>
      </c>
      <c r="F1047" s="115">
        <v>1290.05</v>
      </c>
      <c r="G1047">
        <v>65</v>
      </c>
      <c r="H1047" s="115"/>
      <c r="I1047" s="115"/>
      <c r="L1047" s="160">
        <v>43543</v>
      </c>
      <c r="M1047" s="115">
        <v>427.7</v>
      </c>
      <c r="N1047" s="115">
        <v>430</v>
      </c>
      <c r="O1047" s="115">
        <v>425</v>
      </c>
      <c r="P1047" s="115">
        <v>429.9</v>
      </c>
      <c r="Q1047" s="115">
        <v>427.7</v>
      </c>
      <c r="R1047">
        <v>4149</v>
      </c>
    </row>
    <row r="1048" spans="1:18" x14ac:dyDescent="0.25">
      <c r="A1048" s="160">
        <v>43567</v>
      </c>
      <c r="B1048" s="115">
        <v>1300</v>
      </c>
      <c r="C1048" s="115">
        <v>1290</v>
      </c>
      <c r="D1048" s="115">
        <v>1290</v>
      </c>
      <c r="E1048" s="115">
        <v>1299.95</v>
      </c>
      <c r="F1048" s="115">
        <v>1290</v>
      </c>
      <c r="G1048">
        <v>395</v>
      </c>
      <c r="H1048" s="115"/>
      <c r="I1048" s="115"/>
      <c r="L1048" s="160">
        <v>43544</v>
      </c>
      <c r="M1048" s="115">
        <v>420.55</v>
      </c>
      <c r="N1048" s="115">
        <v>427.95</v>
      </c>
      <c r="O1048" s="115">
        <v>419</v>
      </c>
      <c r="P1048" s="115">
        <v>425.35</v>
      </c>
      <c r="Q1048" s="115">
        <v>420.55</v>
      </c>
      <c r="R1048">
        <v>7789</v>
      </c>
    </row>
    <row r="1049" spans="1:18" x14ac:dyDescent="0.25">
      <c r="A1049" s="160">
        <v>43570</v>
      </c>
      <c r="B1049" s="115">
        <v>1290</v>
      </c>
      <c r="C1049" s="115">
        <v>1290</v>
      </c>
      <c r="D1049" s="115">
        <v>1290</v>
      </c>
      <c r="E1049" s="115">
        <v>1290</v>
      </c>
      <c r="F1049" s="115">
        <v>1290</v>
      </c>
      <c r="G1049">
        <v>9</v>
      </c>
      <c r="H1049" s="115"/>
      <c r="I1049" s="115"/>
      <c r="L1049" s="160">
        <v>43546</v>
      </c>
      <c r="M1049" s="115">
        <v>419.15</v>
      </c>
      <c r="N1049" s="115">
        <v>424.7</v>
      </c>
      <c r="O1049" s="115">
        <v>416.5</v>
      </c>
      <c r="P1049" s="115">
        <v>420</v>
      </c>
      <c r="Q1049" s="115">
        <v>419.15</v>
      </c>
      <c r="R1049">
        <v>4305</v>
      </c>
    </row>
    <row r="1050" spans="1:18" x14ac:dyDescent="0.25">
      <c r="A1050" s="160">
        <v>43571</v>
      </c>
      <c r="B1050" s="115">
        <v>1317</v>
      </c>
      <c r="C1050" s="115">
        <v>1288.45</v>
      </c>
      <c r="D1050" s="115">
        <v>1273.5</v>
      </c>
      <c r="E1050" s="115">
        <v>1290</v>
      </c>
      <c r="F1050" s="115">
        <v>1288.45</v>
      </c>
      <c r="G1050">
        <v>293</v>
      </c>
      <c r="H1050" s="115"/>
      <c r="I1050" s="115"/>
      <c r="L1050" s="160">
        <v>43549</v>
      </c>
      <c r="M1050" s="115">
        <v>415.8</v>
      </c>
      <c r="N1050" s="115">
        <v>424</v>
      </c>
      <c r="O1050" s="115">
        <v>410.15</v>
      </c>
      <c r="P1050" s="115">
        <v>424</v>
      </c>
      <c r="Q1050" s="115">
        <v>415.8</v>
      </c>
      <c r="R1050">
        <v>10671</v>
      </c>
    </row>
    <row r="1051" spans="1:18" x14ac:dyDescent="0.25">
      <c r="A1051" s="160">
        <v>43573</v>
      </c>
      <c r="B1051" s="115">
        <v>1349.8</v>
      </c>
      <c r="C1051" s="115">
        <v>1323.65</v>
      </c>
      <c r="D1051" s="115">
        <v>1250.1500000000001</v>
      </c>
      <c r="E1051" s="115">
        <v>1250.1500000000001</v>
      </c>
      <c r="F1051" s="115">
        <v>1323.65</v>
      </c>
      <c r="G1051">
        <v>687</v>
      </c>
      <c r="H1051" s="115"/>
      <c r="I1051" s="115"/>
      <c r="L1051" s="160">
        <v>43550</v>
      </c>
      <c r="M1051" s="115">
        <v>410.95</v>
      </c>
      <c r="N1051" s="115">
        <v>417.9</v>
      </c>
      <c r="O1051" s="115">
        <v>406.25</v>
      </c>
      <c r="P1051" s="115">
        <v>411</v>
      </c>
      <c r="Q1051" s="115">
        <v>410.95</v>
      </c>
      <c r="R1051">
        <v>12392</v>
      </c>
    </row>
    <row r="1052" spans="1:18" x14ac:dyDescent="0.25">
      <c r="A1052" s="160">
        <v>43577</v>
      </c>
      <c r="B1052" s="115">
        <v>1317.25</v>
      </c>
      <c r="C1052" s="115">
        <v>1283.25</v>
      </c>
      <c r="D1052" s="115">
        <v>1281</v>
      </c>
      <c r="E1052" s="115">
        <v>1316.15</v>
      </c>
      <c r="F1052" s="115">
        <v>1283.25</v>
      </c>
      <c r="G1052">
        <v>663</v>
      </c>
      <c r="H1052" s="115"/>
      <c r="I1052" s="115"/>
      <c r="L1052" s="160">
        <v>43551</v>
      </c>
      <c r="M1052" s="115">
        <v>404.1</v>
      </c>
      <c r="N1052" s="115">
        <v>414.95</v>
      </c>
      <c r="O1052" s="115">
        <v>398</v>
      </c>
      <c r="P1052" s="115">
        <v>410.75</v>
      </c>
      <c r="Q1052" s="115">
        <v>404.1</v>
      </c>
      <c r="R1052">
        <v>12531</v>
      </c>
    </row>
    <row r="1053" spans="1:18" x14ac:dyDescent="0.25">
      <c r="A1053" s="160">
        <v>43578</v>
      </c>
      <c r="B1053" s="115">
        <v>1318.95</v>
      </c>
      <c r="C1053" s="115">
        <v>1304.1500000000001</v>
      </c>
      <c r="D1053" s="115">
        <v>1279</v>
      </c>
      <c r="E1053" s="115">
        <v>1318.95</v>
      </c>
      <c r="F1053" s="115">
        <v>1304.1500000000001</v>
      </c>
      <c r="G1053">
        <v>355</v>
      </c>
      <c r="H1053" s="115"/>
      <c r="I1053" s="115"/>
      <c r="L1053" s="160">
        <v>43552</v>
      </c>
      <c r="M1053" s="115">
        <v>393.8</v>
      </c>
      <c r="N1053" s="115">
        <v>405.85</v>
      </c>
      <c r="O1053" s="115">
        <v>391.25</v>
      </c>
      <c r="P1053" s="115">
        <v>400.15</v>
      </c>
      <c r="Q1053" s="115">
        <v>393.8</v>
      </c>
      <c r="R1053">
        <v>23392</v>
      </c>
    </row>
    <row r="1054" spans="1:18" x14ac:dyDescent="0.25">
      <c r="A1054" s="160">
        <v>43579</v>
      </c>
      <c r="B1054" s="115">
        <v>1300.05</v>
      </c>
      <c r="C1054" s="115">
        <v>1285.05</v>
      </c>
      <c r="D1054" s="115">
        <v>1280.0999999999999</v>
      </c>
      <c r="E1054" s="115">
        <v>1280.5</v>
      </c>
      <c r="F1054" s="115">
        <v>1285.05</v>
      </c>
      <c r="G1054">
        <v>395</v>
      </c>
      <c r="H1054" s="115"/>
      <c r="I1054" s="115"/>
      <c r="L1054" s="160">
        <v>43553</v>
      </c>
      <c r="M1054" s="115">
        <v>389.9</v>
      </c>
      <c r="N1054" s="115">
        <v>408</v>
      </c>
      <c r="O1054" s="115">
        <v>387.25</v>
      </c>
      <c r="P1054" s="115">
        <v>393</v>
      </c>
      <c r="Q1054" s="115">
        <v>389.9</v>
      </c>
      <c r="R1054">
        <v>26677</v>
      </c>
    </row>
    <row r="1055" spans="1:18" x14ac:dyDescent="0.25">
      <c r="A1055" s="160">
        <v>43580</v>
      </c>
      <c r="B1055" s="115">
        <v>1315</v>
      </c>
      <c r="C1055" s="115">
        <v>1298.75</v>
      </c>
      <c r="D1055" s="115">
        <v>1290</v>
      </c>
      <c r="E1055" s="115">
        <v>1290</v>
      </c>
      <c r="F1055" s="115">
        <v>1298.75</v>
      </c>
      <c r="G1055">
        <v>278</v>
      </c>
      <c r="H1055" s="115"/>
      <c r="I1055" s="115"/>
      <c r="L1055" s="160">
        <v>43556</v>
      </c>
      <c r="M1055" s="115">
        <v>399.85</v>
      </c>
      <c r="N1055" s="115">
        <v>406</v>
      </c>
      <c r="O1055" s="115">
        <v>396.9</v>
      </c>
      <c r="P1055" s="115">
        <v>397.7</v>
      </c>
      <c r="Q1055" s="115">
        <v>399.85</v>
      </c>
      <c r="R1055">
        <v>16643</v>
      </c>
    </row>
    <row r="1056" spans="1:18" x14ac:dyDescent="0.25">
      <c r="A1056" s="160">
        <v>43581</v>
      </c>
      <c r="B1056" s="115">
        <v>1300</v>
      </c>
      <c r="C1056" s="115">
        <v>1271.6500000000001</v>
      </c>
      <c r="D1056" s="115">
        <v>1268.5999999999999</v>
      </c>
      <c r="E1056" s="115">
        <v>1281.5</v>
      </c>
      <c r="F1056" s="115">
        <v>1271.6500000000001</v>
      </c>
      <c r="G1056">
        <v>243</v>
      </c>
      <c r="H1056" s="115"/>
      <c r="I1056" s="115"/>
      <c r="L1056" s="160">
        <v>43557</v>
      </c>
      <c r="M1056" s="115">
        <v>398.05</v>
      </c>
      <c r="N1056" s="115">
        <v>401.95</v>
      </c>
      <c r="O1056" s="115">
        <v>395.15</v>
      </c>
      <c r="P1056" s="115">
        <v>401.9</v>
      </c>
      <c r="Q1056" s="115">
        <v>398.05</v>
      </c>
      <c r="R1056">
        <v>7830</v>
      </c>
    </row>
    <row r="1057" spans="1:18" x14ac:dyDescent="0.25">
      <c r="A1057" s="160">
        <v>43585</v>
      </c>
      <c r="B1057" s="115">
        <v>1297</v>
      </c>
      <c r="C1057" s="115">
        <v>1280</v>
      </c>
      <c r="D1057" s="115">
        <v>1259</v>
      </c>
      <c r="E1057" s="115">
        <v>1259</v>
      </c>
      <c r="F1057" s="115">
        <v>1280</v>
      </c>
      <c r="G1057">
        <v>191</v>
      </c>
      <c r="H1057" s="115"/>
      <c r="I1057" s="115"/>
      <c r="L1057" s="160">
        <v>43558</v>
      </c>
      <c r="M1057" s="115">
        <v>399.7</v>
      </c>
      <c r="N1057" s="115">
        <v>403.95</v>
      </c>
      <c r="O1057" s="115">
        <v>393.5</v>
      </c>
      <c r="P1057" s="115">
        <v>401.2</v>
      </c>
      <c r="Q1057" s="115">
        <v>399.7</v>
      </c>
      <c r="R1057">
        <v>9290</v>
      </c>
    </row>
    <row r="1058" spans="1:18" x14ac:dyDescent="0.25">
      <c r="A1058" s="160">
        <v>43587</v>
      </c>
      <c r="B1058" s="115">
        <v>1280</v>
      </c>
      <c r="C1058" s="115">
        <v>1241</v>
      </c>
      <c r="D1058" s="115">
        <v>1230</v>
      </c>
      <c r="E1058" s="115">
        <v>1263.05</v>
      </c>
      <c r="F1058" s="115">
        <v>1241</v>
      </c>
      <c r="G1058">
        <v>1175</v>
      </c>
      <c r="H1058" s="115"/>
      <c r="I1058" s="115"/>
      <c r="L1058" s="160">
        <v>43559</v>
      </c>
      <c r="M1058" s="115">
        <v>385.1</v>
      </c>
      <c r="N1058" s="115">
        <v>399.9</v>
      </c>
      <c r="O1058" s="115">
        <v>384</v>
      </c>
      <c r="P1058" s="115">
        <v>393.7</v>
      </c>
      <c r="Q1058" s="115">
        <v>385.1</v>
      </c>
      <c r="R1058">
        <v>31012</v>
      </c>
    </row>
    <row r="1059" spans="1:18" x14ac:dyDescent="0.25">
      <c r="A1059" s="160">
        <v>43588</v>
      </c>
      <c r="B1059" s="115">
        <v>1227</v>
      </c>
      <c r="C1059" s="115">
        <v>1175.05</v>
      </c>
      <c r="D1059" s="115">
        <v>1175</v>
      </c>
      <c r="E1059" s="115">
        <v>1227</v>
      </c>
      <c r="F1059" s="115">
        <v>1175.05</v>
      </c>
      <c r="G1059">
        <v>1356</v>
      </c>
      <c r="H1059" s="115"/>
      <c r="I1059" s="115"/>
      <c r="L1059" s="160">
        <v>43560</v>
      </c>
      <c r="M1059" s="115">
        <v>387.2</v>
      </c>
      <c r="N1059" s="115">
        <v>395.9</v>
      </c>
      <c r="O1059" s="115">
        <v>384.05</v>
      </c>
      <c r="P1059" s="115">
        <v>392.75</v>
      </c>
      <c r="Q1059" s="115">
        <v>387.2</v>
      </c>
      <c r="R1059">
        <v>22348</v>
      </c>
    </row>
    <row r="1060" spans="1:18" x14ac:dyDescent="0.25">
      <c r="A1060" s="160">
        <v>43591</v>
      </c>
      <c r="B1060" s="115">
        <v>1156</v>
      </c>
      <c r="C1060" s="115">
        <v>1113.3499999999999</v>
      </c>
      <c r="D1060" s="115">
        <v>1100</v>
      </c>
      <c r="E1060" s="115">
        <v>1121.3</v>
      </c>
      <c r="F1060" s="115">
        <v>1113.3499999999999</v>
      </c>
      <c r="G1060">
        <v>616</v>
      </c>
      <c r="H1060" s="115"/>
      <c r="I1060" s="115"/>
      <c r="L1060" s="160">
        <v>43563</v>
      </c>
      <c r="M1060" s="115">
        <v>394</v>
      </c>
      <c r="N1060" s="115">
        <v>398</v>
      </c>
      <c r="O1060" s="115">
        <v>388</v>
      </c>
      <c r="P1060" s="115">
        <v>394.9</v>
      </c>
      <c r="Q1060" s="115">
        <v>394</v>
      </c>
      <c r="R1060">
        <v>9764</v>
      </c>
    </row>
    <row r="1061" spans="1:18" x14ac:dyDescent="0.25">
      <c r="A1061" s="160">
        <v>43592</v>
      </c>
      <c r="B1061" s="115">
        <v>1138.9000000000001</v>
      </c>
      <c r="C1061" s="115">
        <v>1101.45</v>
      </c>
      <c r="D1061" s="115">
        <v>1100</v>
      </c>
      <c r="E1061" s="115">
        <v>1133.95</v>
      </c>
      <c r="F1061" s="115">
        <v>1101.45</v>
      </c>
      <c r="G1061">
        <v>377</v>
      </c>
      <c r="H1061" s="115"/>
      <c r="I1061" s="115"/>
      <c r="L1061" s="160">
        <v>43564</v>
      </c>
      <c r="M1061" s="115">
        <v>392.65</v>
      </c>
      <c r="N1061" s="115">
        <v>397.4</v>
      </c>
      <c r="O1061" s="115">
        <v>390</v>
      </c>
      <c r="P1061" s="115">
        <v>396.4</v>
      </c>
      <c r="Q1061" s="115">
        <v>392.65</v>
      </c>
      <c r="R1061">
        <v>7325</v>
      </c>
    </row>
    <row r="1062" spans="1:18" x14ac:dyDescent="0.25">
      <c r="A1062" s="160">
        <v>43593</v>
      </c>
      <c r="B1062" s="115">
        <v>1081</v>
      </c>
      <c r="C1062" s="115">
        <v>1046.5</v>
      </c>
      <c r="D1062" s="115">
        <v>1023.05</v>
      </c>
      <c r="E1062" s="115">
        <v>1070.1500000000001</v>
      </c>
      <c r="F1062" s="115">
        <v>1046.5</v>
      </c>
      <c r="G1062">
        <v>1242</v>
      </c>
      <c r="H1062" s="115"/>
      <c r="I1062" s="115"/>
      <c r="L1062" s="160">
        <v>43565</v>
      </c>
      <c r="M1062" s="115">
        <v>389.75</v>
      </c>
      <c r="N1062" s="115">
        <v>395.4</v>
      </c>
      <c r="O1062" s="115">
        <v>387</v>
      </c>
      <c r="P1062" s="115">
        <v>392.5</v>
      </c>
      <c r="Q1062" s="115">
        <v>389.75</v>
      </c>
      <c r="R1062">
        <v>6039</v>
      </c>
    </row>
    <row r="1063" spans="1:18" x14ac:dyDescent="0.25">
      <c r="A1063" s="160">
        <v>43594</v>
      </c>
      <c r="B1063" s="115">
        <v>1084.95</v>
      </c>
      <c r="C1063" s="115">
        <v>1080.75</v>
      </c>
      <c r="D1063" s="115">
        <v>1030.0999999999999</v>
      </c>
      <c r="E1063" s="115">
        <v>1030.0999999999999</v>
      </c>
      <c r="F1063" s="115">
        <v>1080.75</v>
      </c>
      <c r="G1063">
        <v>646</v>
      </c>
      <c r="H1063" s="115"/>
      <c r="I1063" s="115"/>
      <c r="L1063" s="160">
        <v>43566</v>
      </c>
      <c r="M1063" s="115">
        <v>388.65</v>
      </c>
      <c r="N1063" s="115">
        <v>392.95</v>
      </c>
      <c r="O1063" s="115">
        <v>387</v>
      </c>
      <c r="P1063" s="115">
        <v>387</v>
      </c>
      <c r="Q1063" s="115">
        <v>388.65</v>
      </c>
      <c r="R1063">
        <v>3537</v>
      </c>
    </row>
    <row r="1064" spans="1:18" x14ac:dyDescent="0.25">
      <c r="A1064" s="160">
        <v>43595</v>
      </c>
      <c r="B1064" s="115">
        <v>1094</v>
      </c>
      <c r="C1064" s="115">
        <v>1063.45</v>
      </c>
      <c r="D1064" s="115">
        <v>1052.05</v>
      </c>
      <c r="E1064" s="115">
        <v>1094</v>
      </c>
      <c r="F1064" s="115">
        <v>1063.45</v>
      </c>
      <c r="G1064">
        <v>392</v>
      </c>
      <c r="H1064" s="115"/>
      <c r="I1064" s="115"/>
      <c r="L1064" s="160">
        <v>43567</v>
      </c>
      <c r="M1064" s="115">
        <v>394</v>
      </c>
      <c r="N1064" s="115">
        <v>395.6</v>
      </c>
      <c r="O1064" s="115">
        <v>389</v>
      </c>
      <c r="P1064" s="115">
        <v>390.9</v>
      </c>
      <c r="Q1064" s="115">
        <v>394</v>
      </c>
      <c r="R1064">
        <v>5272</v>
      </c>
    </row>
    <row r="1065" spans="1:18" x14ac:dyDescent="0.25">
      <c r="A1065" s="160">
        <v>43598</v>
      </c>
      <c r="B1065" s="115">
        <v>1063.45</v>
      </c>
      <c r="C1065" s="115">
        <v>1010.65</v>
      </c>
      <c r="D1065" s="115">
        <v>1001.5</v>
      </c>
      <c r="E1065" s="115">
        <v>1063.45</v>
      </c>
      <c r="F1065" s="115">
        <v>1010.65</v>
      </c>
      <c r="G1065">
        <v>1291</v>
      </c>
      <c r="H1065" s="115"/>
      <c r="I1065" s="115"/>
      <c r="L1065" s="160">
        <v>43570</v>
      </c>
      <c r="M1065" s="115">
        <v>397.05</v>
      </c>
      <c r="N1065" s="115">
        <v>399.1</v>
      </c>
      <c r="O1065" s="115">
        <v>395.05</v>
      </c>
      <c r="P1065" s="115">
        <v>398.8</v>
      </c>
      <c r="Q1065" s="115">
        <v>397.05</v>
      </c>
      <c r="R1065">
        <v>6001</v>
      </c>
    </row>
    <row r="1066" spans="1:18" x14ac:dyDescent="0.25">
      <c r="A1066" s="160">
        <v>43599</v>
      </c>
      <c r="B1066" s="115">
        <v>1025</v>
      </c>
      <c r="C1066" s="115">
        <v>1004.75</v>
      </c>
      <c r="D1066" s="115">
        <v>1001.45</v>
      </c>
      <c r="E1066" s="115">
        <v>1010.65</v>
      </c>
      <c r="F1066" s="115">
        <v>1004.75</v>
      </c>
      <c r="G1066">
        <v>945</v>
      </c>
      <c r="H1066" s="115"/>
      <c r="I1066" s="115"/>
      <c r="L1066" s="160">
        <v>43571</v>
      </c>
      <c r="M1066" s="115">
        <v>398.95</v>
      </c>
      <c r="N1066" s="115">
        <v>402</v>
      </c>
      <c r="O1066" s="115">
        <v>397.75</v>
      </c>
      <c r="P1066" s="115">
        <v>398.85</v>
      </c>
      <c r="Q1066" s="115">
        <v>398.95</v>
      </c>
      <c r="R1066">
        <v>4363</v>
      </c>
    </row>
    <row r="1067" spans="1:18" x14ac:dyDescent="0.25">
      <c r="A1067" s="160">
        <v>43600</v>
      </c>
      <c r="B1067" s="115">
        <v>1033.9000000000001</v>
      </c>
      <c r="C1067" s="115">
        <v>1001.95</v>
      </c>
      <c r="D1067" s="115">
        <v>995</v>
      </c>
      <c r="E1067" s="115">
        <v>995</v>
      </c>
      <c r="F1067" s="115">
        <v>1001.95</v>
      </c>
      <c r="G1067">
        <v>1846</v>
      </c>
      <c r="H1067" s="115"/>
      <c r="I1067" s="115"/>
      <c r="L1067" s="160">
        <v>43573</v>
      </c>
      <c r="M1067" s="115">
        <v>399.6</v>
      </c>
      <c r="N1067" s="115">
        <v>401.95</v>
      </c>
      <c r="O1067" s="115">
        <v>390</v>
      </c>
      <c r="P1067" s="115">
        <v>401.95</v>
      </c>
      <c r="Q1067" s="115">
        <v>399.6</v>
      </c>
      <c r="R1067">
        <v>11071</v>
      </c>
    </row>
    <row r="1068" spans="1:18" x14ac:dyDescent="0.25">
      <c r="A1068" s="160">
        <v>43601</v>
      </c>
      <c r="B1068" s="115">
        <v>1025</v>
      </c>
      <c r="C1068" s="115">
        <v>996.05</v>
      </c>
      <c r="D1068" s="115">
        <v>995</v>
      </c>
      <c r="E1068" s="115">
        <v>1001.5</v>
      </c>
      <c r="F1068" s="115">
        <v>996.05</v>
      </c>
      <c r="G1068">
        <v>1055</v>
      </c>
      <c r="H1068" s="115"/>
      <c r="I1068" s="115"/>
      <c r="L1068" s="160">
        <v>43577</v>
      </c>
      <c r="M1068" s="115">
        <v>384.9</v>
      </c>
      <c r="N1068" s="115">
        <v>397</v>
      </c>
      <c r="O1068" s="115">
        <v>382.35</v>
      </c>
      <c r="P1068" s="115">
        <v>396</v>
      </c>
      <c r="Q1068" s="115">
        <v>384.9</v>
      </c>
      <c r="R1068">
        <v>13063</v>
      </c>
    </row>
    <row r="1069" spans="1:18" x14ac:dyDescent="0.25">
      <c r="A1069" s="160">
        <v>43602</v>
      </c>
      <c r="B1069" s="115">
        <v>1019</v>
      </c>
      <c r="C1069" s="115">
        <v>1005.65</v>
      </c>
      <c r="D1069" s="115">
        <v>992.05</v>
      </c>
      <c r="E1069" s="115">
        <v>1019</v>
      </c>
      <c r="F1069" s="115">
        <v>1005.65</v>
      </c>
      <c r="G1069">
        <v>447</v>
      </c>
      <c r="H1069" s="115"/>
      <c r="I1069" s="115"/>
      <c r="L1069" s="160">
        <v>43578</v>
      </c>
      <c r="M1069" s="115">
        <v>381.95</v>
      </c>
      <c r="N1069" s="115">
        <v>392.6</v>
      </c>
      <c r="O1069" s="115">
        <v>380.6</v>
      </c>
      <c r="P1069" s="115">
        <v>392.6</v>
      </c>
      <c r="Q1069" s="115">
        <v>381.95</v>
      </c>
      <c r="R1069">
        <v>6844</v>
      </c>
    </row>
    <row r="1070" spans="1:18" x14ac:dyDescent="0.25">
      <c r="A1070" s="160">
        <v>43605</v>
      </c>
      <c r="B1070" s="115">
        <v>1170</v>
      </c>
      <c r="C1070" s="115">
        <v>1136.4000000000001</v>
      </c>
      <c r="D1070" s="115">
        <v>1005.65</v>
      </c>
      <c r="E1070" s="115">
        <v>1006.25</v>
      </c>
      <c r="F1070" s="115">
        <v>1136.4000000000001</v>
      </c>
      <c r="G1070">
        <v>5816</v>
      </c>
      <c r="H1070" s="115"/>
      <c r="I1070" s="115"/>
      <c r="L1070" s="160">
        <v>43579</v>
      </c>
      <c r="M1070" s="115">
        <v>384.8</v>
      </c>
      <c r="N1070" s="115">
        <v>389.8</v>
      </c>
      <c r="O1070" s="115">
        <v>382</v>
      </c>
      <c r="P1070" s="115">
        <v>389.6</v>
      </c>
      <c r="Q1070" s="115">
        <v>384.8</v>
      </c>
      <c r="R1070">
        <v>11196</v>
      </c>
    </row>
    <row r="1071" spans="1:18" x14ac:dyDescent="0.25">
      <c r="A1071" s="160">
        <v>43606</v>
      </c>
      <c r="B1071" s="115">
        <v>1166</v>
      </c>
      <c r="C1071" s="115">
        <v>1062.9000000000001</v>
      </c>
      <c r="D1071" s="115">
        <v>1052</v>
      </c>
      <c r="E1071" s="115">
        <v>1140</v>
      </c>
      <c r="F1071" s="115">
        <v>1062.9000000000001</v>
      </c>
      <c r="G1071">
        <v>2348</v>
      </c>
      <c r="H1071" s="115"/>
      <c r="I1071" s="115"/>
      <c r="L1071" s="160">
        <v>43580</v>
      </c>
      <c r="M1071" s="115">
        <v>379.1</v>
      </c>
      <c r="N1071" s="115">
        <v>386.85</v>
      </c>
      <c r="O1071" s="115">
        <v>378.05</v>
      </c>
      <c r="P1071" s="115">
        <v>383.05</v>
      </c>
      <c r="Q1071" s="115">
        <v>379.1</v>
      </c>
      <c r="R1071">
        <v>9296</v>
      </c>
    </row>
    <row r="1072" spans="1:18" x14ac:dyDescent="0.25">
      <c r="A1072" s="160">
        <v>43607</v>
      </c>
      <c r="B1072" s="115">
        <v>1094.9000000000001</v>
      </c>
      <c r="C1072" s="115">
        <v>1051.55</v>
      </c>
      <c r="D1072" s="115">
        <v>1045</v>
      </c>
      <c r="E1072" s="115">
        <v>1057.5</v>
      </c>
      <c r="F1072" s="115">
        <v>1051.55</v>
      </c>
      <c r="G1072">
        <v>795</v>
      </c>
      <c r="H1072" s="115"/>
      <c r="I1072" s="115"/>
      <c r="L1072" s="160">
        <v>43581</v>
      </c>
      <c r="M1072" s="115">
        <v>376.8</v>
      </c>
      <c r="N1072" s="115">
        <v>383.4</v>
      </c>
      <c r="O1072" s="115">
        <v>374.95</v>
      </c>
      <c r="P1072" s="115">
        <v>377.05</v>
      </c>
      <c r="Q1072" s="115">
        <v>376.8</v>
      </c>
      <c r="R1072">
        <v>11993</v>
      </c>
    </row>
    <row r="1073" spans="1:18" x14ac:dyDescent="0.25">
      <c r="A1073" s="160">
        <v>43608</v>
      </c>
      <c r="B1073" s="115">
        <v>1079.95</v>
      </c>
      <c r="C1073" s="115">
        <v>1072.3499999999999</v>
      </c>
      <c r="D1073" s="115">
        <v>1045</v>
      </c>
      <c r="E1073" s="115">
        <v>1060</v>
      </c>
      <c r="F1073" s="115">
        <v>1072.3499999999999</v>
      </c>
      <c r="G1073">
        <v>907</v>
      </c>
      <c r="H1073" s="115"/>
      <c r="I1073" s="115"/>
      <c r="L1073" s="160">
        <v>43585</v>
      </c>
      <c r="M1073" s="115">
        <v>373.9</v>
      </c>
      <c r="N1073" s="115">
        <v>379</v>
      </c>
      <c r="O1073" s="115">
        <v>373</v>
      </c>
      <c r="P1073" s="115">
        <v>379</v>
      </c>
      <c r="Q1073" s="115">
        <v>373.9</v>
      </c>
      <c r="R1073">
        <v>4931</v>
      </c>
    </row>
    <row r="1074" spans="1:18" x14ac:dyDescent="0.25">
      <c r="A1074" s="160">
        <v>43609</v>
      </c>
      <c r="B1074" s="115">
        <v>1129</v>
      </c>
      <c r="C1074" s="115">
        <v>1123.6500000000001</v>
      </c>
      <c r="D1074" s="115">
        <v>1075.25</v>
      </c>
      <c r="E1074" s="115">
        <v>1084</v>
      </c>
      <c r="F1074" s="115">
        <v>1123.6500000000001</v>
      </c>
      <c r="G1074">
        <v>1078</v>
      </c>
      <c r="H1074" s="115"/>
      <c r="I1074" s="115"/>
      <c r="L1074" s="160">
        <v>43587</v>
      </c>
      <c r="M1074" s="115">
        <v>376.7</v>
      </c>
      <c r="N1074" s="115">
        <v>379.5</v>
      </c>
      <c r="O1074" s="115">
        <v>372.05</v>
      </c>
      <c r="P1074" s="115">
        <v>376</v>
      </c>
      <c r="Q1074" s="115">
        <v>376.7</v>
      </c>
      <c r="R1074">
        <v>54086</v>
      </c>
    </row>
    <row r="1075" spans="1:18" x14ac:dyDescent="0.25">
      <c r="A1075" s="160">
        <v>43612</v>
      </c>
      <c r="B1075" s="115">
        <v>1130</v>
      </c>
      <c r="C1075" s="115">
        <v>1115.3</v>
      </c>
      <c r="D1075" s="115">
        <v>1082</v>
      </c>
      <c r="E1075" s="115">
        <v>1130</v>
      </c>
      <c r="F1075" s="115">
        <v>1115.3</v>
      </c>
      <c r="G1075">
        <v>1283</v>
      </c>
      <c r="H1075" s="115"/>
      <c r="I1075" s="115"/>
      <c r="L1075" s="160">
        <v>43588</v>
      </c>
      <c r="M1075" s="115">
        <v>375.5</v>
      </c>
      <c r="N1075" s="115">
        <v>381.9</v>
      </c>
      <c r="O1075" s="115">
        <v>375</v>
      </c>
      <c r="P1075" s="115">
        <v>377.4</v>
      </c>
      <c r="Q1075" s="115">
        <v>375.5</v>
      </c>
      <c r="R1075">
        <v>71373</v>
      </c>
    </row>
    <row r="1076" spans="1:18" x14ac:dyDescent="0.25">
      <c r="A1076" s="160">
        <v>43613</v>
      </c>
      <c r="B1076" s="115">
        <v>1159</v>
      </c>
      <c r="C1076" s="115">
        <v>1149.3</v>
      </c>
      <c r="D1076" s="115">
        <v>1125</v>
      </c>
      <c r="E1076" s="115">
        <v>1125</v>
      </c>
      <c r="F1076" s="115">
        <v>1149.3</v>
      </c>
      <c r="G1076">
        <v>788</v>
      </c>
      <c r="H1076" s="115"/>
      <c r="I1076" s="115"/>
      <c r="L1076" s="160">
        <v>43591</v>
      </c>
      <c r="M1076" s="115">
        <v>391.3</v>
      </c>
      <c r="N1076" s="115">
        <v>395.45</v>
      </c>
      <c r="O1076" s="115">
        <v>370</v>
      </c>
      <c r="P1076" s="115">
        <v>379.9</v>
      </c>
      <c r="Q1076" s="115">
        <v>391.3</v>
      </c>
      <c r="R1076">
        <v>8089</v>
      </c>
    </row>
    <row r="1077" spans="1:18" x14ac:dyDescent="0.25">
      <c r="A1077" s="160">
        <v>43614</v>
      </c>
      <c r="B1077" s="115">
        <v>1225</v>
      </c>
      <c r="C1077" s="115">
        <v>1212.5</v>
      </c>
      <c r="D1077" s="115">
        <v>1125</v>
      </c>
      <c r="E1077" s="115">
        <v>1125</v>
      </c>
      <c r="F1077" s="115">
        <v>1212.5</v>
      </c>
      <c r="G1077">
        <v>1249</v>
      </c>
      <c r="H1077" s="115"/>
      <c r="I1077" s="115"/>
      <c r="L1077" s="160">
        <v>43592</v>
      </c>
      <c r="M1077" s="115">
        <v>383.2</v>
      </c>
      <c r="N1077" s="115">
        <v>396</v>
      </c>
      <c r="O1077" s="115">
        <v>378</v>
      </c>
      <c r="P1077" s="115">
        <v>394.9</v>
      </c>
      <c r="Q1077" s="115">
        <v>383.2</v>
      </c>
      <c r="R1077">
        <v>10670</v>
      </c>
    </row>
    <row r="1078" spans="1:18" x14ac:dyDescent="0.25">
      <c r="A1078" s="160">
        <v>43615</v>
      </c>
      <c r="B1078" s="115">
        <v>1270</v>
      </c>
      <c r="C1078" s="115">
        <v>1237.9000000000001</v>
      </c>
      <c r="D1078" s="115">
        <v>1207</v>
      </c>
      <c r="E1078" s="115">
        <v>1220</v>
      </c>
      <c r="F1078" s="115">
        <v>1237.9000000000001</v>
      </c>
      <c r="G1078">
        <v>1593</v>
      </c>
      <c r="H1078" s="115"/>
      <c r="I1078" s="115"/>
      <c r="L1078" s="160">
        <v>43593</v>
      </c>
      <c r="M1078" s="115">
        <v>374.35</v>
      </c>
      <c r="N1078" s="115">
        <v>382.05</v>
      </c>
      <c r="O1078" s="115">
        <v>371</v>
      </c>
      <c r="P1078" s="115">
        <v>382.05</v>
      </c>
      <c r="Q1078" s="115">
        <v>374.35</v>
      </c>
      <c r="R1078">
        <v>5344</v>
      </c>
    </row>
    <row r="1079" spans="1:18" x14ac:dyDescent="0.25">
      <c r="A1079" s="160">
        <v>43616</v>
      </c>
      <c r="B1079" s="115">
        <v>1240</v>
      </c>
      <c r="C1079" s="115">
        <v>1112.8499999999999</v>
      </c>
      <c r="D1079" s="115">
        <v>1101.1500000000001</v>
      </c>
      <c r="E1079" s="115">
        <v>1240</v>
      </c>
      <c r="F1079" s="115">
        <v>1112.8499999999999</v>
      </c>
      <c r="G1079">
        <v>4573</v>
      </c>
      <c r="H1079" s="115"/>
      <c r="I1079" s="115"/>
      <c r="L1079" s="160">
        <v>43594</v>
      </c>
      <c r="M1079" s="115">
        <v>362.75</v>
      </c>
      <c r="N1079" s="115">
        <v>378.8</v>
      </c>
      <c r="O1079" s="115">
        <v>356.65</v>
      </c>
      <c r="P1079" s="115">
        <v>370.05</v>
      </c>
      <c r="Q1079" s="115">
        <v>362.75</v>
      </c>
      <c r="R1079">
        <v>9203</v>
      </c>
    </row>
    <row r="1080" spans="1:18" x14ac:dyDescent="0.25">
      <c r="A1080" s="160">
        <v>43619</v>
      </c>
      <c r="B1080" s="115">
        <v>1209.5</v>
      </c>
      <c r="C1080" s="115">
        <v>1187.3499999999999</v>
      </c>
      <c r="D1080" s="115">
        <v>1085.05</v>
      </c>
      <c r="E1080" s="115">
        <v>1085.05</v>
      </c>
      <c r="F1080" s="115">
        <v>1187.3499999999999</v>
      </c>
      <c r="G1080">
        <v>3829</v>
      </c>
      <c r="H1080" s="115"/>
      <c r="I1080" s="115"/>
      <c r="L1080" s="160">
        <v>43595</v>
      </c>
      <c r="M1080" s="115">
        <v>371.95</v>
      </c>
      <c r="N1080" s="115">
        <v>376.75</v>
      </c>
      <c r="O1080" s="115">
        <v>360</v>
      </c>
      <c r="P1080" s="115">
        <v>360</v>
      </c>
      <c r="Q1080" s="115">
        <v>371.95</v>
      </c>
      <c r="R1080">
        <v>9613</v>
      </c>
    </row>
    <row r="1081" spans="1:18" x14ac:dyDescent="0.25">
      <c r="A1081" s="160">
        <v>43620</v>
      </c>
      <c r="B1081" s="115">
        <v>1214</v>
      </c>
      <c r="C1081" s="115">
        <v>1171.8</v>
      </c>
      <c r="D1081" s="115">
        <v>1170.05</v>
      </c>
      <c r="E1081" s="115">
        <v>1214</v>
      </c>
      <c r="F1081" s="115">
        <v>1171.8</v>
      </c>
      <c r="G1081">
        <v>1246</v>
      </c>
      <c r="H1081" s="115"/>
      <c r="I1081" s="115"/>
      <c r="L1081" s="160">
        <v>43598</v>
      </c>
      <c r="M1081" s="115">
        <v>362.5</v>
      </c>
      <c r="N1081" s="115">
        <v>371.95</v>
      </c>
      <c r="O1081" s="115">
        <v>358.25</v>
      </c>
      <c r="P1081" s="115">
        <v>366.4</v>
      </c>
      <c r="Q1081" s="115">
        <v>362.5</v>
      </c>
      <c r="R1081">
        <v>6312</v>
      </c>
    </row>
    <row r="1082" spans="1:18" x14ac:dyDescent="0.25">
      <c r="A1082" s="160">
        <v>43622</v>
      </c>
      <c r="B1082" s="115">
        <v>1195.8499999999999</v>
      </c>
      <c r="C1082" s="115">
        <v>1156</v>
      </c>
      <c r="D1082" s="115">
        <v>1155.05</v>
      </c>
      <c r="E1082" s="115">
        <v>1195.8499999999999</v>
      </c>
      <c r="F1082" s="115">
        <v>1156</v>
      </c>
      <c r="G1082">
        <v>184</v>
      </c>
      <c r="H1082" s="115"/>
      <c r="I1082" s="115"/>
      <c r="L1082" s="160">
        <v>43599</v>
      </c>
      <c r="M1082" s="115">
        <v>361</v>
      </c>
      <c r="N1082" s="115">
        <v>370.4</v>
      </c>
      <c r="O1082" s="115">
        <v>356.1</v>
      </c>
      <c r="P1082" s="115">
        <v>359.85</v>
      </c>
      <c r="Q1082" s="115">
        <v>361</v>
      </c>
      <c r="R1082">
        <v>7506</v>
      </c>
    </row>
    <row r="1083" spans="1:18" x14ac:dyDescent="0.25">
      <c r="A1083" s="160">
        <v>43623</v>
      </c>
      <c r="B1083" s="115">
        <v>1190</v>
      </c>
      <c r="C1083" s="115">
        <v>1185.3499999999999</v>
      </c>
      <c r="D1083" s="115">
        <v>1122.5</v>
      </c>
      <c r="E1083" s="115">
        <v>1157.5</v>
      </c>
      <c r="F1083" s="115">
        <v>1185.3499999999999</v>
      </c>
      <c r="G1083">
        <v>1301</v>
      </c>
      <c r="H1083" s="115"/>
      <c r="I1083" s="115"/>
      <c r="L1083" s="160">
        <v>43600</v>
      </c>
      <c r="M1083" s="115">
        <v>360.95</v>
      </c>
      <c r="N1083" s="115">
        <v>366.85</v>
      </c>
      <c r="O1083" s="115">
        <v>358.25</v>
      </c>
      <c r="P1083" s="115">
        <v>361.55</v>
      </c>
      <c r="Q1083" s="115">
        <v>360.95</v>
      </c>
      <c r="R1083">
        <v>6696</v>
      </c>
    </row>
    <row r="1084" spans="1:18" x14ac:dyDescent="0.25">
      <c r="A1084" s="160">
        <v>43626</v>
      </c>
      <c r="B1084" s="115">
        <v>1190</v>
      </c>
      <c r="C1084" s="115">
        <v>1153.8499999999999</v>
      </c>
      <c r="D1084" s="115">
        <v>1151.05</v>
      </c>
      <c r="E1084" s="115">
        <v>1190</v>
      </c>
      <c r="F1084" s="115">
        <v>1153.8499999999999</v>
      </c>
      <c r="G1084">
        <v>173</v>
      </c>
      <c r="H1084" s="115"/>
      <c r="I1084" s="115"/>
      <c r="L1084" s="160">
        <v>43601</v>
      </c>
      <c r="M1084" s="115">
        <v>362.45</v>
      </c>
      <c r="N1084" s="115">
        <v>367</v>
      </c>
      <c r="O1084" s="115">
        <v>358.05</v>
      </c>
      <c r="P1084" s="115">
        <v>361</v>
      </c>
      <c r="Q1084" s="115">
        <v>362.45</v>
      </c>
      <c r="R1084">
        <v>4584</v>
      </c>
    </row>
    <row r="1085" spans="1:18" x14ac:dyDescent="0.25">
      <c r="A1085" s="160">
        <v>43627</v>
      </c>
      <c r="B1085" s="115">
        <v>1149.95</v>
      </c>
      <c r="C1085" s="115">
        <v>1121.8</v>
      </c>
      <c r="D1085" s="115">
        <v>1106.05</v>
      </c>
      <c r="E1085" s="115">
        <v>1106.05</v>
      </c>
      <c r="F1085" s="115">
        <v>1121.8</v>
      </c>
      <c r="G1085">
        <v>60</v>
      </c>
      <c r="H1085" s="115"/>
      <c r="I1085" s="115"/>
      <c r="L1085" s="160">
        <v>43602</v>
      </c>
      <c r="M1085" s="115">
        <v>363.3</v>
      </c>
      <c r="N1085" s="115">
        <v>365.35</v>
      </c>
      <c r="O1085" s="115">
        <v>357.55</v>
      </c>
      <c r="P1085" s="115">
        <v>360.05</v>
      </c>
      <c r="Q1085" s="115">
        <v>363.3</v>
      </c>
      <c r="R1085">
        <v>4050</v>
      </c>
    </row>
    <row r="1086" spans="1:18" x14ac:dyDescent="0.25">
      <c r="A1086" s="160">
        <v>43628</v>
      </c>
      <c r="B1086" s="115">
        <v>1141</v>
      </c>
      <c r="C1086" s="115">
        <v>1111.55</v>
      </c>
      <c r="D1086" s="115">
        <v>1066.05</v>
      </c>
      <c r="E1086" s="115">
        <v>1066.05</v>
      </c>
      <c r="F1086" s="115">
        <v>1111.55</v>
      </c>
      <c r="G1086">
        <v>71</v>
      </c>
      <c r="H1086" s="115"/>
      <c r="I1086" s="115"/>
      <c r="L1086" s="160">
        <v>43605</v>
      </c>
      <c r="M1086" s="115">
        <v>372.9</v>
      </c>
      <c r="N1086" s="115">
        <v>428.7</v>
      </c>
      <c r="O1086" s="115">
        <v>366.6</v>
      </c>
      <c r="P1086" s="115">
        <v>368.05</v>
      </c>
      <c r="Q1086" s="115">
        <v>372.9</v>
      </c>
      <c r="R1086">
        <v>11636</v>
      </c>
    </row>
    <row r="1087" spans="1:18" x14ac:dyDescent="0.25">
      <c r="A1087" s="160">
        <v>43629</v>
      </c>
      <c r="B1087" s="115">
        <v>1113</v>
      </c>
      <c r="C1087" s="115">
        <v>1113</v>
      </c>
      <c r="D1087" s="115">
        <v>1060.05</v>
      </c>
      <c r="E1087" s="115">
        <v>1060.05</v>
      </c>
      <c r="F1087" s="115">
        <v>1113</v>
      </c>
      <c r="G1087">
        <v>103</v>
      </c>
      <c r="H1087" s="115"/>
      <c r="I1087" s="115"/>
      <c r="L1087" s="160">
        <v>43606</v>
      </c>
      <c r="M1087" s="115">
        <v>368.15</v>
      </c>
      <c r="N1087" s="115">
        <v>379.75</v>
      </c>
      <c r="O1087" s="115">
        <v>364.4</v>
      </c>
      <c r="P1087" s="115">
        <v>379.75</v>
      </c>
      <c r="Q1087" s="115">
        <v>368.15</v>
      </c>
      <c r="R1087">
        <v>30174</v>
      </c>
    </row>
    <row r="1088" spans="1:18" x14ac:dyDescent="0.25">
      <c r="A1088" s="160">
        <v>43630</v>
      </c>
      <c r="B1088" s="115">
        <v>1119.95</v>
      </c>
      <c r="C1088" s="115">
        <v>1090</v>
      </c>
      <c r="D1088" s="115">
        <v>1073</v>
      </c>
      <c r="E1088" s="115">
        <v>1111</v>
      </c>
      <c r="F1088" s="115">
        <v>1090</v>
      </c>
      <c r="G1088">
        <v>925</v>
      </c>
      <c r="H1088" s="115"/>
      <c r="I1088" s="115"/>
      <c r="L1088" s="160">
        <v>43607</v>
      </c>
      <c r="M1088" s="115">
        <v>358.8</v>
      </c>
      <c r="N1088" s="115">
        <v>375.5</v>
      </c>
      <c r="O1088" s="115">
        <v>351.25</v>
      </c>
      <c r="P1088" s="115">
        <v>374</v>
      </c>
      <c r="Q1088" s="115">
        <v>358.8</v>
      </c>
      <c r="R1088">
        <v>49985</v>
      </c>
    </row>
    <row r="1089" spans="1:18" x14ac:dyDescent="0.25">
      <c r="A1089" s="160">
        <v>43633</v>
      </c>
      <c r="B1089" s="115">
        <v>1100</v>
      </c>
      <c r="C1089" s="115">
        <v>1087.6500000000001</v>
      </c>
      <c r="D1089" s="115">
        <v>1066</v>
      </c>
      <c r="E1089" s="115">
        <v>1070.25</v>
      </c>
      <c r="F1089" s="115">
        <v>1087.6500000000001</v>
      </c>
      <c r="G1089">
        <v>270</v>
      </c>
      <c r="H1089" s="115"/>
      <c r="I1089" s="115"/>
      <c r="L1089" s="160">
        <v>43608</v>
      </c>
      <c r="M1089" s="115">
        <v>359.3</v>
      </c>
      <c r="N1089" s="115">
        <v>374.95</v>
      </c>
      <c r="O1089" s="115">
        <v>355</v>
      </c>
      <c r="P1089" s="115">
        <v>368.4</v>
      </c>
      <c r="Q1089" s="115">
        <v>359.3</v>
      </c>
      <c r="R1089">
        <v>33699</v>
      </c>
    </row>
    <row r="1090" spans="1:18" x14ac:dyDescent="0.25">
      <c r="A1090" s="160">
        <v>43634</v>
      </c>
      <c r="B1090" s="115">
        <v>1089</v>
      </c>
      <c r="C1090" s="115">
        <v>1070</v>
      </c>
      <c r="D1090" s="115">
        <v>1070</v>
      </c>
      <c r="E1090" s="115">
        <v>1087.6500000000001</v>
      </c>
      <c r="F1090" s="115">
        <v>1070</v>
      </c>
      <c r="G1090">
        <v>134</v>
      </c>
      <c r="H1090" s="115"/>
      <c r="I1090" s="115"/>
      <c r="L1090" s="160">
        <v>43609</v>
      </c>
      <c r="M1090" s="115">
        <v>364.15</v>
      </c>
      <c r="N1090" s="115">
        <v>368</v>
      </c>
      <c r="O1090" s="115">
        <v>360</v>
      </c>
      <c r="P1090" s="115">
        <v>365</v>
      </c>
      <c r="Q1090" s="115">
        <v>364.15</v>
      </c>
      <c r="R1090">
        <v>19441</v>
      </c>
    </row>
    <row r="1091" spans="1:18" x14ac:dyDescent="0.25">
      <c r="A1091" s="160">
        <v>43635</v>
      </c>
      <c r="B1091" s="115">
        <v>1090</v>
      </c>
      <c r="C1091" s="115">
        <v>1065</v>
      </c>
      <c r="D1091" s="115">
        <v>1060</v>
      </c>
      <c r="E1091" s="115">
        <v>1090</v>
      </c>
      <c r="F1091" s="115">
        <v>1065</v>
      </c>
      <c r="G1091">
        <v>456</v>
      </c>
      <c r="H1091" s="115"/>
      <c r="I1091" s="115"/>
      <c r="L1091" s="160">
        <v>43612</v>
      </c>
      <c r="M1091" s="115">
        <v>370.75</v>
      </c>
      <c r="N1091" s="115">
        <v>374</v>
      </c>
      <c r="O1091" s="115">
        <v>364</v>
      </c>
      <c r="P1091" s="115">
        <v>368</v>
      </c>
      <c r="Q1091" s="115">
        <v>370.75</v>
      </c>
      <c r="R1091">
        <v>25697</v>
      </c>
    </row>
    <row r="1092" spans="1:18" x14ac:dyDescent="0.25">
      <c r="A1092" s="160">
        <v>43636</v>
      </c>
      <c r="B1092" s="115">
        <v>1065</v>
      </c>
      <c r="C1092" s="115">
        <v>1048.1500000000001</v>
      </c>
      <c r="D1092" s="115">
        <v>1036</v>
      </c>
      <c r="E1092" s="115">
        <v>1060</v>
      </c>
      <c r="F1092" s="115">
        <v>1048.1500000000001</v>
      </c>
      <c r="G1092">
        <v>867</v>
      </c>
      <c r="H1092" s="115"/>
      <c r="I1092" s="115"/>
      <c r="L1092" s="160">
        <v>43613</v>
      </c>
      <c r="M1092" s="115">
        <v>379.45</v>
      </c>
      <c r="N1092" s="115">
        <v>390</v>
      </c>
      <c r="O1092" s="115">
        <v>374</v>
      </c>
      <c r="P1092" s="115">
        <v>374.55</v>
      </c>
      <c r="Q1092" s="115">
        <v>379.45</v>
      </c>
      <c r="R1092">
        <v>32492</v>
      </c>
    </row>
    <row r="1093" spans="1:18" x14ac:dyDescent="0.25">
      <c r="A1093" s="160">
        <v>43637</v>
      </c>
      <c r="B1093" s="115">
        <v>1100</v>
      </c>
      <c r="C1093" s="115">
        <v>1075</v>
      </c>
      <c r="D1093" s="115">
        <v>1050</v>
      </c>
      <c r="E1093" s="115">
        <v>1050</v>
      </c>
      <c r="F1093" s="115">
        <v>1075</v>
      </c>
      <c r="G1093">
        <v>221</v>
      </c>
      <c r="H1093" s="115"/>
      <c r="I1093" s="115"/>
      <c r="L1093" s="160">
        <v>43614</v>
      </c>
      <c r="M1093" s="115">
        <v>375.5</v>
      </c>
      <c r="N1093" s="115">
        <v>385.65</v>
      </c>
      <c r="O1093" s="115">
        <v>373.35</v>
      </c>
      <c r="P1093" s="115">
        <v>381.85</v>
      </c>
      <c r="Q1093" s="115">
        <v>375.5</v>
      </c>
      <c r="R1093">
        <v>9892</v>
      </c>
    </row>
    <row r="1094" spans="1:18" x14ac:dyDescent="0.25">
      <c r="A1094" s="160">
        <v>43640</v>
      </c>
      <c r="B1094" s="115">
        <v>1119.95</v>
      </c>
      <c r="C1094" s="115">
        <v>1055.25</v>
      </c>
      <c r="D1094" s="115">
        <v>1050</v>
      </c>
      <c r="E1094" s="115">
        <v>1119</v>
      </c>
      <c r="F1094" s="115">
        <v>1055.25</v>
      </c>
      <c r="G1094">
        <v>343</v>
      </c>
      <c r="H1094" s="115"/>
      <c r="I1094" s="115"/>
      <c r="L1094" s="160">
        <v>43615</v>
      </c>
      <c r="M1094" s="115">
        <v>377.15</v>
      </c>
      <c r="N1094" s="115">
        <v>385</v>
      </c>
      <c r="O1094" s="115">
        <v>371.05</v>
      </c>
      <c r="P1094" s="115">
        <v>375.5</v>
      </c>
      <c r="Q1094" s="115">
        <v>377.15</v>
      </c>
      <c r="R1094">
        <v>6393</v>
      </c>
    </row>
    <row r="1095" spans="1:18" x14ac:dyDescent="0.25">
      <c r="A1095" s="160">
        <v>43641</v>
      </c>
      <c r="B1095" s="115">
        <v>1050</v>
      </c>
      <c r="C1095" s="115">
        <v>1045</v>
      </c>
      <c r="D1095" s="115">
        <v>1036.5</v>
      </c>
      <c r="E1095" s="115">
        <v>1036.5</v>
      </c>
      <c r="F1095" s="115">
        <v>1045</v>
      </c>
      <c r="G1095">
        <v>235</v>
      </c>
      <c r="H1095" s="115"/>
      <c r="I1095" s="115"/>
      <c r="L1095" s="160">
        <v>43616</v>
      </c>
      <c r="M1095" s="115">
        <v>376.6</v>
      </c>
      <c r="N1095" s="115">
        <v>380.95</v>
      </c>
      <c r="O1095" s="115">
        <v>370.2</v>
      </c>
      <c r="P1095" s="115">
        <v>379.5</v>
      </c>
      <c r="Q1095" s="115">
        <v>376.6</v>
      </c>
      <c r="R1095">
        <v>7565</v>
      </c>
    </row>
    <row r="1096" spans="1:18" x14ac:dyDescent="0.25">
      <c r="A1096" s="160">
        <v>43642</v>
      </c>
      <c r="B1096" s="115">
        <v>1100</v>
      </c>
      <c r="C1096" s="115">
        <v>1074.25</v>
      </c>
      <c r="D1096" s="115">
        <v>1034.05</v>
      </c>
      <c r="E1096" s="115">
        <v>1090</v>
      </c>
      <c r="F1096" s="115">
        <v>1074.25</v>
      </c>
      <c r="G1096">
        <v>571</v>
      </c>
      <c r="H1096" s="115"/>
      <c r="I1096" s="115"/>
      <c r="L1096" s="160">
        <v>43619</v>
      </c>
      <c r="M1096" s="115">
        <v>379.7</v>
      </c>
      <c r="N1096" s="115">
        <v>382</v>
      </c>
      <c r="O1096" s="115">
        <v>375</v>
      </c>
      <c r="P1096" s="115">
        <v>381.9</v>
      </c>
      <c r="Q1096" s="115">
        <v>379.7</v>
      </c>
      <c r="R1096">
        <v>5958</v>
      </c>
    </row>
    <row r="1097" spans="1:18" x14ac:dyDescent="0.25">
      <c r="A1097" s="160">
        <v>43643</v>
      </c>
      <c r="B1097" s="115">
        <v>1080</v>
      </c>
      <c r="C1097" s="115">
        <v>1065.0999999999999</v>
      </c>
      <c r="D1097" s="115">
        <v>1062.0999999999999</v>
      </c>
      <c r="E1097" s="115">
        <v>1065</v>
      </c>
      <c r="F1097" s="115">
        <v>1065.0999999999999</v>
      </c>
      <c r="G1097">
        <v>593</v>
      </c>
      <c r="H1097" s="115"/>
      <c r="I1097" s="115"/>
      <c r="L1097" s="160">
        <v>43620</v>
      </c>
      <c r="M1097" s="115">
        <v>388.25</v>
      </c>
      <c r="N1097" s="115">
        <v>389.1</v>
      </c>
      <c r="O1097" s="115">
        <v>381</v>
      </c>
      <c r="P1097" s="115">
        <v>381</v>
      </c>
      <c r="Q1097" s="115">
        <v>388.25</v>
      </c>
      <c r="R1097">
        <v>28363</v>
      </c>
    </row>
    <row r="1098" spans="1:18" x14ac:dyDescent="0.25">
      <c r="A1098" s="160">
        <v>43644</v>
      </c>
      <c r="B1098" s="115">
        <v>1116</v>
      </c>
      <c r="C1098" s="115">
        <v>1099.6500000000001</v>
      </c>
      <c r="D1098" s="115">
        <v>1052.5</v>
      </c>
      <c r="E1098" s="115">
        <v>1065.05</v>
      </c>
      <c r="F1098" s="115">
        <v>1099.6500000000001</v>
      </c>
      <c r="G1098">
        <v>602</v>
      </c>
      <c r="H1098" s="115"/>
      <c r="I1098" s="115"/>
      <c r="L1098" s="160">
        <v>43622</v>
      </c>
      <c r="M1098" s="115">
        <v>384.65</v>
      </c>
      <c r="N1098" s="115">
        <v>393.05</v>
      </c>
      <c r="O1098" s="115">
        <v>381.2</v>
      </c>
      <c r="P1098" s="115">
        <v>390</v>
      </c>
      <c r="Q1098" s="115">
        <v>384.65</v>
      </c>
      <c r="R1098">
        <v>12164</v>
      </c>
    </row>
    <row r="1099" spans="1:18" x14ac:dyDescent="0.25">
      <c r="A1099" s="160">
        <v>43647</v>
      </c>
      <c r="B1099" s="115">
        <v>1111</v>
      </c>
      <c r="C1099" s="115">
        <v>1094.8499999999999</v>
      </c>
      <c r="D1099" s="115">
        <v>1071</v>
      </c>
      <c r="E1099" s="115">
        <v>1111</v>
      </c>
      <c r="F1099" s="115">
        <v>1094.8499999999999</v>
      </c>
      <c r="G1099">
        <v>155</v>
      </c>
      <c r="H1099" s="115"/>
      <c r="I1099" s="115"/>
      <c r="L1099" s="160">
        <v>43623</v>
      </c>
      <c r="M1099" s="115">
        <v>384</v>
      </c>
      <c r="N1099" s="115">
        <v>387.5</v>
      </c>
      <c r="O1099" s="115">
        <v>378.15</v>
      </c>
      <c r="P1099" s="115">
        <v>387.5</v>
      </c>
      <c r="Q1099" s="115">
        <v>384</v>
      </c>
      <c r="R1099">
        <v>9202</v>
      </c>
    </row>
    <row r="1100" spans="1:18" x14ac:dyDescent="0.25">
      <c r="A1100" s="160">
        <v>43648</v>
      </c>
      <c r="B1100" s="115">
        <v>1111</v>
      </c>
      <c r="C1100" s="115">
        <v>1077.05</v>
      </c>
      <c r="D1100" s="115">
        <v>1077</v>
      </c>
      <c r="E1100" s="115">
        <v>1110</v>
      </c>
      <c r="F1100" s="115">
        <v>1077.05</v>
      </c>
      <c r="G1100">
        <v>146</v>
      </c>
      <c r="H1100" s="115"/>
      <c r="I1100" s="115"/>
      <c r="L1100" s="160">
        <v>43626</v>
      </c>
      <c r="M1100" s="115">
        <v>388.85</v>
      </c>
      <c r="N1100" s="115">
        <v>390.5</v>
      </c>
      <c r="O1100" s="115">
        <v>381.25</v>
      </c>
      <c r="P1100" s="115">
        <v>388.5</v>
      </c>
      <c r="Q1100" s="115">
        <v>388.85</v>
      </c>
      <c r="R1100">
        <v>31874</v>
      </c>
    </row>
    <row r="1101" spans="1:18" x14ac:dyDescent="0.25">
      <c r="A1101" s="160">
        <v>43649</v>
      </c>
      <c r="B1101" s="115">
        <v>1140</v>
      </c>
      <c r="C1101" s="115">
        <v>1136.2</v>
      </c>
      <c r="D1101" s="115">
        <v>1090</v>
      </c>
      <c r="E1101" s="115">
        <v>1091</v>
      </c>
      <c r="F1101" s="115">
        <v>1136.2</v>
      </c>
      <c r="G1101">
        <v>339</v>
      </c>
      <c r="H1101" s="115"/>
      <c r="I1101" s="115"/>
      <c r="L1101" s="160">
        <v>43627</v>
      </c>
      <c r="M1101" s="115">
        <v>390.05</v>
      </c>
      <c r="N1101" s="115">
        <v>392</v>
      </c>
      <c r="O1101" s="115">
        <v>383.85</v>
      </c>
      <c r="P1101" s="115">
        <v>388.85</v>
      </c>
      <c r="Q1101" s="115">
        <v>390.05</v>
      </c>
      <c r="R1101">
        <v>16269</v>
      </c>
    </row>
    <row r="1102" spans="1:18" x14ac:dyDescent="0.25">
      <c r="A1102" s="160">
        <v>43650</v>
      </c>
      <c r="B1102" s="115">
        <v>1158.95</v>
      </c>
      <c r="C1102" s="115">
        <v>1128.05</v>
      </c>
      <c r="D1102" s="115">
        <v>1101.05</v>
      </c>
      <c r="E1102" s="115">
        <v>1158.95</v>
      </c>
      <c r="F1102" s="115">
        <v>1128.05</v>
      </c>
      <c r="G1102">
        <v>16</v>
      </c>
      <c r="H1102" s="115"/>
      <c r="I1102" s="115"/>
      <c r="L1102" s="160">
        <v>43628</v>
      </c>
      <c r="M1102" s="115">
        <v>383.5</v>
      </c>
      <c r="N1102" s="115">
        <v>388.35</v>
      </c>
      <c r="O1102" s="115">
        <v>380.05</v>
      </c>
      <c r="P1102" s="115">
        <v>385.05</v>
      </c>
      <c r="Q1102" s="115">
        <v>383.5</v>
      </c>
      <c r="R1102">
        <v>7107</v>
      </c>
    </row>
    <row r="1103" spans="1:18" x14ac:dyDescent="0.25">
      <c r="A1103" s="160">
        <v>43651</v>
      </c>
      <c r="B1103" s="115">
        <v>1128.05</v>
      </c>
      <c r="C1103" s="115">
        <v>1085.55</v>
      </c>
      <c r="D1103" s="115">
        <v>1081</v>
      </c>
      <c r="E1103" s="115">
        <v>1128.05</v>
      </c>
      <c r="F1103" s="115">
        <v>1085.55</v>
      </c>
      <c r="G1103">
        <v>97</v>
      </c>
      <c r="H1103" s="115"/>
      <c r="I1103" s="115"/>
      <c r="L1103" s="160">
        <v>43629</v>
      </c>
      <c r="M1103" s="115">
        <v>376.5</v>
      </c>
      <c r="N1103" s="115">
        <v>389.85</v>
      </c>
      <c r="O1103" s="115">
        <v>375.1</v>
      </c>
      <c r="P1103" s="115">
        <v>380</v>
      </c>
      <c r="Q1103" s="115">
        <v>376.5</v>
      </c>
      <c r="R1103">
        <v>5258</v>
      </c>
    </row>
    <row r="1104" spans="1:18" x14ac:dyDescent="0.25">
      <c r="A1104" s="160">
        <v>43654</v>
      </c>
      <c r="B1104" s="115">
        <v>1110</v>
      </c>
      <c r="C1104" s="115">
        <v>1110</v>
      </c>
      <c r="D1104" s="115">
        <v>1035.05</v>
      </c>
      <c r="E1104" s="115">
        <v>1035.05</v>
      </c>
      <c r="F1104" s="115">
        <v>1110</v>
      </c>
      <c r="G1104">
        <v>26</v>
      </c>
      <c r="H1104" s="115"/>
      <c r="I1104" s="115"/>
      <c r="L1104" s="160">
        <v>43630</v>
      </c>
      <c r="M1104" s="115">
        <v>382.3</v>
      </c>
      <c r="N1104" s="115">
        <v>386.45</v>
      </c>
      <c r="O1104" s="115">
        <v>372.5</v>
      </c>
      <c r="P1104" s="115">
        <v>372.8</v>
      </c>
      <c r="Q1104" s="115">
        <v>382.3</v>
      </c>
      <c r="R1104">
        <v>13958</v>
      </c>
    </row>
    <row r="1105" spans="1:18" x14ac:dyDescent="0.25">
      <c r="A1105" s="160">
        <v>43655</v>
      </c>
      <c r="B1105" s="115">
        <v>1093</v>
      </c>
      <c r="C1105" s="115">
        <v>1051.75</v>
      </c>
      <c r="D1105" s="115">
        <v>1046</v>
      </c>
      <c r="E1105" s="115">
        <v>1093</v>
      </c>
      <c r="F1105" s="115">
        <v>1051.75</v>
      </c>
      <c r="G1105">
        <v>300</v>
      </c>
      <c r="H1105" s="115"/>
      <c r="I1105" s="115"/>
      <c r="L1105" s="160">
        <v>43633</v>
      </c>
      <c r="M1105" s="115">
        <v>380.2</v>
      </c>
      <c r="N1105" s="115">
        <v>385.95</v>
      </c>
      <c r="O1105" s="115">
        <v>375.6</v>
      </c>
      <c r="P1105" s="115">
        <v>385</v>
      </c>
      <c r="Q1105" s="115">
        <v>380.2</v>
      </c>
      <c r="R1105">
        <v>15433</v>
      </c>
    </row>
    <row r="1106" spans="1:18" x14ac:dyDescent="0.25">
      <c r="A1106" s="160">
        <v>43656</v>
      </c>
      <c r="B1106" s="115">
        <v>1050</v>
      </c>
      <c r="C1106" s="115">
        <v>1050</v>
      </c>
      <c r="D1106" s="115">
        <v>1050</v>
      </c>
      <c r="E1106" s="115">
        <v>1050</v>
      </c>
      <c r="F1106" s="115">
        <v>1050</v>
      </c>
      <c r="G1106">
        <v>17</v>
      </c>
      <c r="H1106" s="115"/>
      <c r="I1106" s="115"/>
      <c r="L1106" s="160">
        <v>43634</v>
      </c>
      <c r="M1106" s="115">
        <v>380.15</v>
      </c>
      <c r="N1106" s="115">
        <v>385.05</v>
      </c>
      <c r="O1106" s="115">
        <v>375.5</v>
      </c>
      <c r="P1106" s="115">
        <v>385</v>
      </c>
      <c r="Q1106" s="115">
        <v>380.15</v>
      </c>
      <c r="R1106">
        <v>18252</v>
      </c>
    </row>
    <row r="1107" spans="1:18" x14ac:dyDescent="0.25">
      <c r="A1107" s="160">
        <v>43657</v>
      </c>
      <c r="B1107" s="115">
        <v>1056.5</v>
      </c>
      <c r="C1107" s="115">
        <v>1043.5</v>
      </c>
      <c r="D1107" s="115">
        <v>1041.55</v>
      </c>
      <c r="E1107" s="115">
        <v>1042.05</v>
      </c>
      <c r="F1107" s="115">
        <v>1043.5</v>
      </c>
      <c r="G1107">
        <v>152</v>
      </c>
      <c r="H1107" s="115"/>
      <c r="I1107" s="115"/>
      <c r="L1107" s="160">
        <v>43635</v>
      </c>
      <c r="M1107" s="115">
        <v>387.45</v>
      </c>
      <c r="N1107" s="115">
        <v>395.4</v>
      </c>
      <c r="O1107" s="115">
        <v>382.8</v>
      </c>
      <c r="P1107" s="115">
        <v>382.8</v>
      </c>
      <c r="Q1107" s="115">
        <v>387.45</v>
      </c>
      <c r="R1107">
        <v>44849</v>
      </c>
    </row>
    <row r="1108" spans="1:18" x14ac:dyDescent="0.25">
      <c r="A1108" s="160">
        <v>43658</v>
      </c>
      <c r="B1108" s="115">
        <v>1094.95</v>
      </c>
      <c r="C1108" s="115">
        <v>1046.0999999999999</v>
      </c>
      <c r="D1108" s="115">
        <v>1046.0999999999999</v>
      </c>
      <c r="E1108" s="115">
        <v>1084.8</v>
      </c>
      <c r="F1108" s="115">
        <v>1046.0999999999999</v>
      </c>
      <c r="G1108">
        <v>210</v>
      </c>
      <c r="H1108" s="115"/>
      <c r="I1108" s="115"/>
      <c r="L1108" s="160">
        <v>43636</v>
      </c>
      <c r="M1108" s="115">
        <v>392.6</v>
      </c>
      <c r="N1108" s="115">
        <v>399</v>
      </c>
      <c r="O1108" s="115">
        <v>383</v>
      </c>
      <c r="P1108" s="115">
        <v>387.45</v>
      </c>
      <c r="Q1108" s="115">
        <v>392.6</v>
      </c>
      <c r="R1108">
        <v>13602</v>
      </c>
    </row>
    <row r="1109" spans="1:18" x14ac:dyDescent="0.25">
      <c r="A1109" s="160">
        <v>43661</v>
      </c>
      <c r="B1109" s="115">
        <v>1093</v>
      </c>
      <c r="C1109" s="115">
        <v>1085.3</v>
      </c>
      <c r="D1109" s="115">
        <v>1048</v>
      </c>
      <c r="E1109" s="115">
        <v>1048</v>
      </c>
      <c r="F1109" s="115">
        <v>1085.3</v>
      </c>
      <c r="G1109">
        <v>132</v>
      </c>
      <c r="H1109" s="115"/>
      <c r="I1109" s="115"/>
      <c r="L1109" s="160">
        <v>43637</v>
      </c>
      <c r="M1109" s="115">
        <v>385.25</v>
      </c>
      <c r="N1109" s="115">
        <v>392.65</v>
      </c>
      <c r="O1109" s="115">
        <v>384</v>
      </c>
      <c r="P1109" s="115">
        <v>392.6</v>
      </c>
      <c r="Q1109" s="115">
        <v>385.25</v>
      </c>
      <c r="R1109">
        <v>7250</v>
      </c>
    </row>
    <row r="1110" spans="1:18" x14ac:dyDescent="0.25">
      <c r="A1110" s="160">
        <v>43662</v>
      </c>
      <c r="B1110" s="115">
        <v>1080</v>
      </c>
      <c r="C1110" s="115">
        <v>1073.1500000000001</v>
      </c>
      <c r="D1110" s="115">
        <v>1025</v>
      </c>
      <c r="E1110" s="115">
        <v>1050.05</v>
      </c>
      <c r="F1110" s="115">
        <v>1073.1500000000001</v>
      </c>
      <c r="G1110">
        <v>469</v>
      </c>
      <c r="H1110" s="115"/>
      <c r="I1110" s="115"/>
      <c r="L1110" s="160">
        <v>43640</v>
      </c>
      <c r="M1110" s="115">
        <v>386.65</v>
      </c>
      <c r="N1110" s="115">
        <v>389</v>
      </c>
      <c r="O1110" s="115">
        <v>382</v>
      </c>
      <c r="P1110" s="115">
        <v>382</v>
      </c>
      <c r="Q1110" s="115">
        <v>386.65</v>
      </c>
      <c r="R1110">
        <v>4713</v>
      </c>
    </row>
    <row r="1111" spans="1:18" x14ac:dyDescent="0.25">
      <c r="A1111" s="160">
        <v>43663</v>
      </c>
      <c r="B1111" s="115">
        <v>1133</v>
      </c>
      <c r="C1111" s="115">
        <v>1092.55</v>
      </c>
      <c r="D1111" s="115">
        <v>1055.05</v>
      </c>
      <c r="E1111" s="115">
        <v>1055.05</v>
      </c>
      <c r="F1111" s="115">
        <v>1092.55</v>
      </c>
      <c r="G1111">
        <v>968</v>
      </c>
      <c r="H1111" s="115"/>
      <c r="I1111" s="115"/>
      <c r="L1111" s="160">
        <v>43641</v>
      </c>
      <c r="M1111" s="115">
        <v>382.35</v>
      </c>
      <c r="N1111" s="115">
        <v>389.95</v>
      </c>
      <c r="O1111" s="115">
        <v>381.25</v>
      </c>
      <c r="P1111" s="115">
        <v>384.65</v>
      </c>
      <c r="Q1111" s="115">
        <v>382.35</v>
      </c>
      <c r="R1111">
        <v>16598</v>
      </c>
    </row>
    <row r="1112" spans="1:18" x14ac:dyDescent="0.25">
      <c r="A1112" s="160">
        <v>43664</v>
      </c>
      <c r="B1112" s="115">
        <v>1127.95</v>
      </c>
      <c r="C1112" s="115">
        <v>1102.5</v>
      </c>
      <c r="D1112" s="115">
        <v>1070.05</v>
      </c>
      <c r="E1112" s="115">
        <v>1127.95</v>
      </c>
      <c r="F1112" s="115">
        <v>1102.5</v>
      </c>
      <c r="G1112">
        <v>238</v>
      </c>
      <c r="H1112" s="115"/>
      <c r="I1112" s="115"/>
      <c r="L1112" s="160">
        <v>43642</v>
      </c>
      <c r="M1112" s="115">
        <v>410.15</v>
      </c>
      <c r="N1112" s="115">
        <v>419.5</v>
      </c>
      <c r="O1112" s="115">
        <v>380</v>
      </c>
      <c r="P1112" s="115">
        <v>380</v>
      </c>
      <c r="Q1112" s="115">
        <v>410.15</v>
      </c>
      <c r="R1112">
        <v>381642</v>
      </c>
    </row>
    <row r="1113" spans="1:18" x14ac:dyDescent="0.25">
      <c r="A1113" s="160">
        <v>43665</v>
      </c>
      <c r="B1113" s="115">
        <v>1083</v>
      </c>
      <c r="C1113" s="115">
        <v>1024.7</v>
      </c>
      <c r="D1113" s="115">
        <v>1020</v>
      </c>
      <c r="E1113" s="115">
        <v>1081</v>
      </c>
      <c r="F1113" s="115">
        <v>1024.7</v>
      </c>
      <c r="G1113">
        <v>1041</v>
      </c>
      <c r="H1113" s="115"/>
      <c r="I1113" s="115"/>
      <c r="L1113" s="160">
        <v>43643</v>
      </c>
      <c r="M1113" s="115">
        <v>436.3</v>
      </c>
      <c r="N1113" s="115">
        <v>440</v>
      </c>
      <c r="O1113" s="115">
        <v>413.95</v>
      </c>
      <c r="P1113" s="115">
        <v>418.15</v>
      </c>
      <c r="Q1113" s="115">
        <v>436.3</v>
      </c>
      <c r="R1113">
        <v>105930</v>
      </c>
    </row>
    <row r="1114" spans="1:18" x14ac:dyDescent="0.25">
      <c r="A1114" s="160">
        <v>43668</v>
      </c>
      <c r="B1114" s="115">
        <v>1010</v>
      </c>
      <c r="C1114" s="115">
        <v>1010</v>
      </c>
      <c r="D1114" s="115">
        <v>981.1</v>
      </c>
      <c r="E1114" s="115">
        <v>1001.5</v>
      </c>
      <c r="F1114" s="115">
        <v>1010</v>
      </c>
      <c r="G1114">
        <v>451</v>
      </c>
      <c r="H1114" s="115"/>
      <c r="I1114" s="115"/>
      <c r="L1114" s="160">
        <v>43644</v>
      </c>
      <c r="M1114" s="115">
        <v>430.05</v>
      </c>
      <c r="N1114" s="115">
        <v>444</v>
      </c>
      <c r="O1114" s="115">
        <v>423</v>
      </c>
      <c r="P1114" s="115">
        <v>441</v>
      </c>
      <c r="Q1114" s="115">
        <v>430.05</v>
      </c>
      <c r="R1114">
        <v>48357</v>
      </c>
    </row>
    <row r="1115" spans="1:18" x14ac:dyDescent="0.25">
      <c r="A1115" s="160">
        <v>43669</v>
      </c>
      <c r="B1115" s="115">
        <v>990</v>
      </c>
      <c r="C1115" s="115">
        <v>956.3</v>
      </c>
      <c r="D1115" s="115">
        <v>950</v>
      </c>
      <c r="E1115" s="115">
        <v>984.05</v>
      </c>
      <c r="F1115" s="115">
        <v>956.3</v>
      </c>
      <c r="G1115">
        <v>744</v>
      </c>
      <c r="H1115" s="115"/>
      <c r="I1115" s="115"/>
      <c r="L1115" s="160">
        <v>43647</v>
      </c>
      <c r="M1115" s="115">
        <v>424.1</v>
      </c>
      <c r="N1115" s="115">
        <v>439</v>
      </c>
      <c r="O1115" s="115">
        <v>422</v>
      </c>
      <c r="P1115" s="115">
        <v>439</v>
      </c>
      <c r="Q1115" s="115">
        <v>424.1</v>
      </c>
      <c r="R1115">
        <v>14123</v>
      </c>
    </row>
    <row r="1116" spans="1:18" x14ac:dyDescent="0.25">
      <c r="A1116" s="160">
        <v>43670</v>
      </c>
      <c r="B1116" s="115">
        <v>974.9</v>
      </c>
      <c r="C1116" s="115">
        <v>940</v>
      </c>
      <c r="D1116" s="115">
        <v>930</v>
      </c>
      <c r="E1116" s="115">
        <v>974.9</v>
      </c>
      <c r="F1116" s="115">
        <v>940</v>
      </c>
      <c r="G1116">
        <v>200</v>
      </c>
      <c r="H1116" s="115"/>
      <c r="I1116" s="115"/>
      <c r="L1116" s="160">
        <v>43648</v>
      </c>
      <c r="M1116" s="115">
        <v>417.05</v>
      </c>
      <c r="N1116" s="115">
        <v>427</v>
      </c>
      <c r="O1116" s="115">
        <v>415.3</v>
      </c>
      <c r="P1116" s="115">
        <v>424.1</v>
      </c>
      <c r="Q1116" s="115">
        <v>417.05</v>
      </c>
      <c r="R1116">
        <v>7668</v>
      </c>
    </row>
    <row r="1117" spans="1:18" x14ac:dyDescent="0.25">
      <c r="A1117" s="160">
        <v>43671</v>
      </c>
      <c r="B1117" s="115">
        <v>940</v>
      </c>
      <c r="C1117" s="115">
        <v>930</v>
      </c>
      <c r="D1117" s="115">
        <v>926.55</v>
      </c>
      <c r="E1117" s="115">
        <v>940</v>
      </c>
      <c r="F1117" s="115">
        <v>930</v>
      </c>
      <c r="G1117">
        <v>64</v>
      </c>
      <c r="H1117" s="115"/>
      <c r="I1117" s="115"/>
      <c r="L1117" s="160">
        <v>43649</v>
      </c>
      <c r="M1117" s="115">
        <v>430.35</v>
      </c>
      <c r="N1117" s="115">
        <v>433.5</v>
      </c>
      <c r="O1117" s="115">
        <v>416</v>
      </c>
      <c r="P1117" s="115">
        <v>416</v>
      </c>
      <c r="Q1117" s="115">
        <v>430.35</v>
      </c>
      <c r="R1117">
        <v>13642</v>
      </c>
    </row>
    <row r="1118" spans="1:18" x14ac:dyDescent="0.25">
      <c r="A1118" s="160">
        <v>43672</v>
      </c>
      <c r="B1118" s="115">
        <v>950</v>
      </c>
      <c r="C1118" s="115">
        <v>942.85</v>
      </c>
      <c r="D1118" s="115">
        <v>920</v>
      </c>
      <c r="E1118" s="115">
        <v>920</v>
      </c>
      <c r="F1118" s="115">
        <v>942.85</v>
      </c>
      <c r="G1118">
        <v>222</v>
      </c>
      <c r="H1118" s="115"/>
      <c r="I1118" s="115"/>
      <c r="L1118" s="160">
        <v>43650</v>
      </c>
      <c r="M1118" s="115">
        <v>435.25</v>
      </c>
      <c r="N1118" s="115">
        <v>439</v>
      </c>
      <c r="O1118" s="115">
        <v>431</v>
      </c>
      <c r="P1118" s="115">
        <v>435</v>
      </c>
      <c r="Q1118" s="115">
        <v>435.25</v>
      </c>
      <c r="R1118">
        <v>24247</v>
      </c>
    </row>
    <row r="1119" spans="1:18" x14ac:dyDescent="0.25">
      <c r="A1119" s="160">
        <v>43675</v>
      </c>
      <c r="B1119" s="115">
        <v>964.95</v>
      </c>
      <c r="C1119" s="115">
        <v>940</v>
      </c>
      <c r="D1119" s="115">
        <v>930.05</v>
      </c>
      <c r="E1119" s="115">
        <v>940</v>
      </c>
      <c r="F1119" s="115">
        <v>940</v>
      </c>
      <c r="G1119">
        <v>727</v>
      </c>
      <c r="H1119" s="115"/>
      <c r="I1119" s="115"/>
      <c r="L1119" s="160">
        <v>43651</v>
      </c>
      <c r="M1119" s="115">
        <v>416.5</v>
      </c>
      <c r="N1119" s="115">
        <v>438</v>
      </c>
      <c r="O1119" s="115">
        <v>411.15</v>
      </c>
      <c r="P1119" s="115">
        <v>438</v>
      </c>
      <c r="Q1119" s="115">
        <v>416.5</v>
      </c>
      <c r="R1119">
        <v>19608</v>
      </c>
    </row>
    <row r="1120" spans="1:18" x14ac:dyDescent="0.25">
      <c r="A1120" s="160">
        <v>43676</v>
      </c>
      <c r="B1120" s="115">
        <v>940</v>
      </c>
      <c r="C1120" s="115">
        <v>921.55</v>
      </c>
      <c r="D1120" s="115">
        <v>920.5</v>
      </c>
      <c r="E1120" s="115">
        <v>920.5</v>
      </c>
      <c r="F1120" s="115">
        <v>921.55</v>
      </c>
      <c r="G1120">
        <v>397</v>
      </c>
      <c r="H1120" s="115"/>
      <c r="I1120" s="115"/>
      <c r="L1120" s="160">
        <v>43654</v>
      </c>
      <c r="M1120" s="115">
        <v>411.1</v>
      </c>
      <c r="N1120" s="115">
        <v>416.1</v>
      </c>
      <c r="O1120" s="115">
        <v>404.9</v>
      </c>
      <c r="P1120" s="115">
        <v>411.25</v>
      </c>
      <c r="Q1120" s="115">
        <v>411.1</v>
      </c>
      <c r="R1120">
        <v>11952</v>
      </c>
    </row>
    <row r="1121" spans="1:18" x14ac:dyDescent="0.25">
      <c r="A1121" s="160">
        <v>43677</v>
      </c>
      <c r="B1121" s="115">
        <v>950</v>
      </c>
      <c r="C1121" s="115">
        <v>938.15</v>
      </c>
      <c r="D1121" s="115">
        <v>878</v>
      </c>
      <c r="E1121" s="115">
        <v>901.25</v>
      </c>
      <c r="F1121" s="115">
        <v>938.15</v>
      </c>
      <c r="G1121">
        <v>1165</v>
      </c>
      <c r="H1121" s="115"/>
      <c r="I1121" s="115"/>
      <c r="L1121" s="160">
        <v>43655</v>
      </c>
      <c r="M1121" s="115">
        <v>409.65</v>
      </c>
      <c r="N1121" s="115">
        <v>418</v>
      </c>
      <c r="O1121" s="115">
        <v>406</v>
      </c>
      <c r="P1121" s="115">
        <v>406</v>
      </c>
      <c r="Q1121" s="115">
        <v>409.65</v>
      </c>
      <c r="R1121">
        <v>6940</v>
      </c>
    </row>
    <row r="1122" spans="1:18" x14ac:dyDescent="0.25">
      <c r="A1122" s="160">
        <v>43678</v>
      </c>
      <c r="B1122" s="115">
        <v>960</v>
      </c>
      <c r="C1122" s="115">
        <v>913.7</v>
      </c>
      <c r="D1122" s="115">
        <v>904.1</v>
      </c>
      <c r="E1122" s="115">
        <v>950</v>
      </c>
      <c r="F1122" s="115">
        <v>913.7</v>
      </c>
      <c r="G1122">
        <v>2054</v>
      </c>
      <c r="H1122" s="115"/>
      <c r="I1122" s="115"/>
      <c r="L1122" s="160">
        <v>43656</v>
      </c>
      <c r="M1122" s="115">
        <v>405.9</v>
      </c>
      <c r="N1122" s="115">
        <v>415</v>
      </c>
      <c r="O1122" s="115">
        <v>404.35</v>
      </c>
      <c r="P1122" s="115">
        <v>408.2</v>
      </c>
      <c r="Q1122" s="115">
        <v>405.9</v>
      </c>
      <c r="R1122">
        <v>5106</v>
      </c>
    </row>
    <row r="1123" spans="1:18" x14ac:dyDescent="0.25">
      <c r="A1123" s="160">
        <v>43679</v>
      </c>
      <c r="B1123" s="115">
        <v>904.5</v>
      </c>
      <c r="C1123" s="115">
        <v>851.85</v>
      </c>
      <c r="D1123" s="115">
        <v>776</v>
      </c>
      <c r="E1123" s="115">
        <v>904.5</v>
      </c>
      <c r="F1123" s="115">
        <v>851.85</v>
      </c>
      <c r="G1123">
        <v>2671</v>
      </c>
      <c r="H1123" s="115"/>
      <c r="I1123" s="115"/>
      <c r="L1123" s="160">
        <v>43657</v>
      </c>
      <c r="M1123" s="115">
        <v>404.15</v>
      </c>
      <c r="N1123" s="115">
        <v>413</v>
      </c>
      <c r="O1123" s="115">
        <v>403</v>
      </c>
      <c r="P1123" s="115">
        <v>409.9</v>
      </c>
      <c r="Q1123" s="115">
        <v>404.15</v>
      </c>
      <c r="R1123">
        <v>4960</v>
      </c>
    </row>
    <row r="1124" spans="1:18" x14ac:dyDescent="0.25">
      <c r="A1124" s="160">
        <v>43682</v>
      </c>
      <c r="B1124" s="115">
        <v>872</v>
      </c>
      <c r="C1124" s="115">
        <v>780.8</v>
      </c>
      <c r="D1124" s="115">
        <v>780</v>
      </c>
      <c r="E1124" s="115">
        <v>872</v>
      </c>
      <c r="F1124" s="115">
        <v>780.8</v>
      </c>
      <c r="G1124">
        <v>1212</v>
      </c>
      <c r="H1124" s="115"/>
      <c r="I1124" s="115"/>
      <c r="L1124" s="160">
        <v>43658</v>
      </c>
      <c r="M1124" s="115">
        <v>397.7</v>
      </c>
      <c r="N1124" s="115">
        <v>411.8</v>
      </c>
      <c r="O1124" s="115">
        <v>396</v>
      </c>
      <c r="P1124" s="115">
        <v>403</v>
      </c>
      <c r="Q1124" s="115">
        <v>397.7</v>
      </c>
      <c r="R1124">
        <v>18651</v>
      </c>
    </row>
    <row r="1125" spans="1:18" x14ac:dyDescent="0.25">
      <c r="A1125" s="160">
        <v>43683</v>
      </c>
      <c r="B1125" s="115">
        <v>838.95</v>
      </c>
      <c r="C1125" s="115">
        <v>828.15</v>
      </c>
      <c r="D1125" s="115">
        <v>767</v>
      </c>
      <c r="E1125" s="115">
        <v>777</v>
      </c>
      <c r="F1125" s="115">
        <v>828.15</v>
      </c>
      <c r="G1125">
        <v>1510</v>
      </c>
      <c r="H1125" s="115"/>
      <c r="I1125" s="115"/>
      <c r="L1125" s="160">
        <v>43661</v>
      </c>
      <c r="M1125" s="115">
        <v>397.15</v>
      </c>
      <c r="N1125" s="115">
        <v>405.2</v>
      </c>
      <c r="O1125" s="115">
        <v>396.1</v>
      </c>
      <c r="P1125" s="115">
        <v>396.65</v>
      </c>
      <c r="Q1125" s="115">
        <v>397.15</v>
      </c>
      <c r="R1125">
        <v>6973</v>
      </c>
    </row>
    <row r="1126" spans="1:18" x14ac:dyDescent="0.25">
      <c r="A1126" s="160">
        <v>43684</v>
      </c>
      <c r="B1126" s="115">
        <v>848</v>
      </c>
      <c r="C1126" s="115">
        <v>790.75</v>
      </c>
      <c r="D1126" s="115">
        <v>780</v>
      </c>
      <c r="E1126" s="115">
        <v>804.5</v>
      </c>
      <c r="F1126" s="115">
        <v>790.75</v>
      </c>
      <c r="G1126">
        <v>1820</v>
      </c>
      <c r="H1126" s="115"/>
      <c r="I1126" s="115"/>
      <c r="L1126" s="160">
        <v>43662</v>
      </c>
      <c r="M1126" s="115">
        <v>387.85</v>
      </c>
      <c r="N1126" s="115">
        <v>400.55</v>
      </c>
      <c r="O1126" s="115">
        <v>385.3</v>
      </c>
      <c r="P1126" s="115">
        <v>397.1</v>
      </c>
      <c r="Q1126" s="115">
        <v>387.85</v>
      </c>
      <c r="R1126">
        <v>16215</v>
      </c>
    </row>
    <row r="1127" spans="1:18" x14ac:dyDescent="0.25">
      <c r="A1127" s="160">
        <v>43685</v>
      </c>
      <c r="B1127" s="115">
        <v>784.9</v>
      </c>
      <c r="C1127" s="115">
        <v>783</v>
      </c>
      <c r="D1127" s="115">
        <v>741.25</v>
      </c>
      <c r="E1127" s="115">
        <v>777</v>
      </c>
      <c r="F1127" s="115">
        <v>783</v>
      </c>
      <c r="G1127">
        <v>760</v>
      </c>
      <c r="H1127" s="115"/>
      <c r="I1127" s="115"/>
      <c r="L1127" s="160">
        <v>43663</v>
      </c>
      <c r="M1127" s="115">
        <v>391.85</v>
      </c>
      <c r="N1127" s="115">
        <v>403.95</v>
      </c>
      <c r="O1127" s="115">
        <v>384</v>
      </c>
      <c r="P1127" s="115">
        <v>387</v>
      </c>
      <c r="Q1127" s="115">
        <v>391.85</v>
      </c>
      <c r="R1127">
        <v>17244</v>
      </c>
    </row>
    <row r="1128" spans="1:18" x14ac:dyDescent="0.25">
      <c r="A1128" s="160">
        <v>43686</v>
      </c>
      <c r="B1128" s="115">
        <v>796.25</v>
      </c>
      <c r="C1128" s="115">
        <v>788</v>
      </c>
      <c r="D1128" s="115">
        <v>764.5</v>
      </c>
      <c r="E1128" s="115">
        <v>780</v>
      </c>
      <c r="F1128" s="115">
        <v>788</v>
      </c>
      <c r="G1128">
        <v>499</v>
      </c>
      <c r="H1128" s="115"/>
      <c r="I1128" s="115"/>
      <c r="L1128" s="160">
        <v>43664</v>
      </c>
      <c r="M1128" s="115">
        <v>395.9</v>
      </c>
      <c r="N1128" s="115">
        <v>409.75</v>
      </c>
      <c r="O1128" s="115">
        <v>392</v>
      </c>
      <c r="P1128" s="115">
        <v>392</v>
      </c>
      <c r="Q1128" s="115">
        <v>395.9</v>
      </c>
      <c r="R1128">
        <v>18311</v>
      </c>
    </row>
    <row r="1129" spans="1:18" x14ac:dyDescent="0.25">
      <c r="A1129" s="160">
        <v>43690</v>
      </c>
      <c r="B1129" s="115">
        <v>790</v>
      </c>
      <c r="C1129" s="115">
        <v>770</v>
      </c>
      <c r="D1129" s="115">
        <v>760</v>
      </c>
      <c r="E1129" s="115">
        <v>787</v>
      </c>
      <c r="F1129" s="115">
        <v>770</v>
      </c>
      <c r="G1129">
        <v>537</v>
      </c>
      <c r="H1129" s="115"/>
      <c r="I1129" s="115"/>
      <c r="L1129" s="160">
        <v>43665</v>
      </c>
      <c r="M1129" s="115">
        <v>387.95</v>
      </c>
      <c r="N1129" s="115">
        <v>408.75</v>
      </c>
      <c r="O1129" s="115">
        <v>382</v>
      </c>
      <c r="P1129" s="115">
        <v>397</v>
      </c>
      <c r="Q1129" s="115">
        <v>387.95</v>
      </c>
      <c r="R1129">
        <v>47817</v>
      </c>
    </row>
    <row r="1130" spans="1:18" x14ac:dyDescent="0.25">
      <c r="A1130" s="160">
        <v>43691</v>
      </c>
      <c r="B1130" s="115">
        <v>820</v>
      </c>
      <c r="C1130" s="115">
        <v>770</v>
      </c>
      <c r="D1130" s="115">
        <v>740.05</v>
      </c>
      <c r="E1130" s="115">
        <v>740.05</v>
      </c>
      <c r="F1130" s="115">
        <v>770</v>
      </c>
      <c r="G1130">
        <v>16</v>
      </c>
      <c r="H1130" s="115"/>
      <c r="I1130" s="115"/>
      <c r="L1130" s="160">
        <v>43668</v>
      </c>
      <c r="M1130" s="115">
        <v>379.8</v>
      </c>
      <c r="N1130" s="115">
        <v>386.4</v>
      </c>
      <c r="O1130" s="115">
        <v>333.95</v>
      </c>
      <c r="P1130" s="115">
        <v>378</v>
      </c>
      <c r="Q1130" s="115">
        <v>379.8</v>
      </c>
      <c r="R1130">
        <v>32767</v>
      </c>
    </row>
    <row r="1131" spans="1:18" x14ac:dyDescent="0.25">
      <c r="A1131" s="160">
        <v>43693</v>
      </c>
      <c r="B1131" s="115">
        <v>769.95</v>
      </c>
      <c r="C1131" s="115">
        <v>765</v>
      </c>
      <c r="D1131" s="115">
        <v>740.25</v>
      </c>
      <c r="E1131" s="115">
        <v>750</v>
      </c>
      <c r="F1131" s="115">
        <v>765</v>
      </c>
      <c r="G1131">
        <v>353</v>
      </c>
      <c r="H1131" s="115"/>
      <c r="I1131" s="115"/>
      <c r="L1131" s="160">
        <v>43669</v>
      </c>
      <c r="M1131" s="115">
        <v>379.1</v>
      </c>
      <c r="N1131" s="115">
        <v>389.15</v>
      </c>
      <c r="O1131" s="115">
        <v>377</v>
      </c>
      <c r="P1131" s="115">
        <v>380</v>
      </c>
      <c r="Q1131" s="115">
        <v>379.1</v>
      </c>
      <c r="R1131">
        <v>8215</v>
      </c>
    </row>
    <row r="1132" spans="1:18" x14ac:dyDescent="0.25">
      <c r="A1132" s="160">
        <v>43696</v>
      </c>
      <c r="B1132" s="115">
        <v>790</v>
      </c>
      <c r="C1132" s="115">
        <v>770.05</v>
      </c>
      <c r="D1132" s="115">
        <v>755.05</v>
      </c>
      <c r="E1132" s="115">
        <v>775</v>
      </c>
      <c r="F1132" s="115">
        <v>770.05</v>
      </c>
      <c r="G1132">
        <v>436</v>
      </c>
      <c r="H1132" s="115"/>
      <c r="I1132" s="115"/>
      <c r="L1132" s="160">
        <v>43670</v>
      </c>
      <c r="M1132" s="115">
        <v>398.5</v>
      </c>
      <c r="N1132" s="115">
        <v>404.75</v>
      </c>
      <c r="O1132" s="115">
        <v>372</v>
      </c>
      <c r="P1132" s="115">
        <v>375.1</v>
      </c>
      <c r="Q1132" s="115">
        <v>398.5</v>
      </c>
      <c r="R1132">
        <v>60187</v>
      </c>
    </row>
    <row r="1133" spans="1:18" x14ac:dyDescent="0.25">
      <c r="A1133" s="160">
        <v>43697</v>
      </c>
      <c r="B1133" s="115">
        <v>785</v>
      </c>
      <c r="C1133" s="115">
        <v>772.6</v>
      </c>
      <c r="D1133" s="115">
        <v>772.6</v>
      </c>
      <c r="E1133" s="115">
        <v>785</v>
      </c>
      <c r="F1133" s="115">
        <v>772.6</v>
      </c>
      <c r="G1133">
        <v>11</v>
      </c>
      <c r="H1133" s="115"/>
      <c r="I1133" s="115"/>
      <c r="L1133" s="160">
        <v>43671</v>
      </c>
      <c r="M1133" s="115">
        <v>388.1</v>
      </c>
      <c r="N1133" s="115">
        <v>410.85</v>
      </c>
      <c r="O1133" s="115">
        <v>382.55</v>
      </c>
      <c r="P1133" s="115">
        <v>404</v>
      </c>
      <c r="Q1133" s="115">
        <v>388.1</v>
      </c>
      <c r="R1133">
        <v>62840</v>
      </c>
    </row>
    <row r="1134" spans="1:18" x14ac:dyDescent="0.25">
      <c r="A1134" s="160">
        <v>43698</v>
      </c>
      <c r="B1134" s="115">
        <v>791</v>
      </c>
      <c r="C1134" s="115">
        <v>771.45</v>
      </c>
      <c r="D1134" s="115">
        <v>770</v>
      </c>
      <c r="E1134" s="115">
        <v>780.6</v>
      </c>
      <c r="F1134" s="115">
        <v>771.45</v>
      </c>
      <c r="G1134">
        <v>490</v>
      </c>
      <c r="H1134" s="115"/>
      <c r="I1134" s="115"/>
      <c r="L1134" s="160">
        <v>43672</v>
      </c>
      <c r="M1134" s="115">
        <v>380.15</v>
      </c>
      <c r="N1134" s="115">
        <v>385</v>
      </c>
      <c r="O1134" s="115">
        <v>376.2</v>
      </c>
      <c r="P1134" s="115">
        <v>385</v>
      </c>
      <c r="Q1134" s="115">
        <v>380.15</v>
      </c>
      <c r="R1134">
        <v>11562</v>
      </c>
    </row>
    <row r="1135" spans="1:18" x14ac:dyDescent="0.25">
      <c r="A1135" s="160">
        <v>43699</v>
      </c>
      <c r="B1135" s="115">
        <v>777</v>
      </c>
      <c r="C1135" s="115">
        <v>757.05</v>
      </c>
      <c r="D1135" s="115">
        <v>757.05</v>
      </c>
      <c r="E1135" s="115">
        <v>757.1</v>
      </c>
      <c r="F1135" s="115">
        <v>757.05</v>
      </c>
      <c r="G1135">
        <v>459</v>
      </c>
      <c r="H1135" s="115"/>
      <c r="I1135" s="115"/>
      <c r="L1135" s="160">
        <v>43675</v>
      </c>
      <c r="M1135" s="115">
        <v>364.4</v>
      </c>
      <c r="N1135" s="115">
        <v>382.95</v>
      </c>
      <c r="O1135" s="115">
        <v>361.1</v>
      </c>
      <c r="P1135" s="115">
        <v>378</v>
      </c>
      <c r="Q1135" s="115">
        <v>364.4</v>
      </c>
      <c r="R1135">
        <v>8402</v>
      </c>
    </row>
    <row r="1136" spans="1:18" x14ac:dyDescent="0.25">
      <c r="A1136" s="160">
        <v>43700</v>
      </c>
      <c r="B1136" s="115">
        <v>772</v>
      </c>
      <c r="C1136" s="115">
        <v>769.6</v>
      </c>
      <c r="D1136" s="115">
        <v>750</v>
      </c>
      <c r="E1136" s="115">
        <v>750</v>
      </c>
      <c r="F1136" s="115">
        <v>769.6</v>
      </c>
      <c r="G1136">
        <v>1173</v>
      </c>
      <c r="H1136" s="115"/>
      <c r="I1136" s="115"/>
      <c r="L1136" s="160">
        <v>43676</v>
      </c>
      <c r="M1136" s="115">
        <v>357.9</v>
      </c>
      <c r="N1136" s="115">
        <v>368.95</v>
      </c>
      <c r="O1136" s="115">
        <v>356.25</v>
      </c>
      <c r="P1136" s="115">
        <v>362.25</v>
      </c>
      <c r="Q1136" s="115">
        <v>357.9</v>
      </c>
      <c r="R1136">
        <v>12526</v>
      </c>
    </row>
    <row r="1137" spans="1:18" x14ac:dyDescent="0.25">
      <c r="A1137" s="160">
        <v>43703</v>
      </c>
      <c r="B1137" s="115">
        <v>796</v>
      </c>
      <c r="C1137" s="115">
        <v>791.55</v>
      </c>
      <c r="D1137" s="115">
        <v>766.05</v>
      </c>
      <c r="E1137" s="115">
        <v>796</v>
      </c>
      <c r="F1137" s="115">
        <v>791.55</v>
      </c>
      <c r="G1137">
        <v>408</v>
      </c>
      <c r="H1137" s="115"/>
      <c r="I1137" s="115"/>
      <c r="L1137" s="160">
        <v>43677</v>
      </c>
      <c r="M1137" s="115">
        <v>362.35</v>
      </c>
      <c r="N1137" s="115">
        <v>364.8</v>
      </c>
      <c r="O1137" s="115">
        <v>349.65</v>
      </c>
      <c r="P1137" s="115">
        <v>355</v>
      </c>
      <c r="Q1137" s="115">
        <v>362.35</v>
      </c>
      <c r="R1137">
        <v>8951</v>
      </c>
    </row>
    <row r="1138" spans="1:18" x14ac:dyDescent="0.25">
      <c r="A1138" s="160">
        <v>43704</v>
      </c>
      <c r="B1138" s="115">
        <v>820</v>
      </c>
      <c r="C1138" s="115">
        <v>804.25</v>
      </c>
      <c r="D1138" s="115">
        <v>763.5</v>
      </c>
      <c r="E1138" s="115">
        <v>763.5</v>
      </c>
      <c r="F1138" s="115">
        <v>804.25</v>
      </c>
      <c r="G1138">
        <v>1276</v>
      </c>
      <c r="H1138" s="115"/>
      <c r="I1138" s="115"/>
      <c r="L1138" s="160">
        <v>43678</v>
      </c>
      <c r="M1138" s="115">
        <v>351.4</v>
      </c>
      <c r="N1138" s="115">
        <v>364</v>
      </c>
      <c r="O1138" s="115">
        <v>345</v>
      </c>
      <c r="P1138" s="115">
        <v>358.35</v>
      </c>
      <c r="Q1138" s="115">
        <v>351.4</v>
      </c>
      <c r="R1138">
        <v>29320</v>
      </c>
    </row>
    <row r="1139" spans="1:18" x14ac:dyDescent="0.25">
      <c r="A1139" s="160">
        <v>43705</v>
      </c>
      <c r="B1139" s="115">
        <v>844.7</v>
      </c>
      <c r="C1139" s="115">
        <v>810.1</v>
      </c>
      <c r="D1139" s="115">
        <v>788</v>
      </c>
      <c r="E1139" s="115">
        <v>844.7</v>
      </c>
      <c r="F1139" s="115">
        <v>810.1</v>
      </c>
      <c r="G1139">
        <v>875</v>
      </c>
      <c r="H1139" s="115"/>
      <c r="I1139" s="115"/>
      <c r="L1139" s="160">
        <v>43679</v>
      </c>
      <c r="M1139" s="115">
        <v>347.95</v>
      </c>
      <c r="N1139" s="115">
        <v>354.35</v>
      </c>
      <c r="O1139" s="115">
        <v>346.55</v>
      </c>
      <c r="P1139" s="115">
        <v>351</v>
      </c>
      <c r="Q1139" s="115">
        <v>347.95</v>
      </c>
      <c r="R1139">
        <v>6299</v>
      </c>
    </row>
    <row r="1140" spans="1:18" x14ac:dyDescent="0.25">
      <c r="A1140" s="160">
        <v>43706</v>
      </c>
      <c r="B1140" s="115">
        <v>802</v>
      </c>
      <c r="C1140" s="115">
        <v>788.05</v>
      </c>
      <c r="D1140" s="115">
        <v>767</v>
      </c>
      <c r="E1140" s="115">
        <v>802</v>
      </c>
      <c r="F1140" s="115">
        <v>788.05</v>
      </c>
      <c r="G1140">
        <v>1091</v>
      </c>
      <c r="H1140" s="115"/>
      <c r="I1140" s="115"/>
      <c r="L1140" s="160">
        <v>43682</v>
      </c>
      <c r="M1140" s="115">
        <v>339.15</v>
      </c>
      <c r="N1140" s="115">
        <v>350</v>
      </c>
      <c r="O1140" s="115">
        <v>338</v>
      </c>
      <c r="P1140" s="115">
        <v>350</v>
      </c>
      <c r="Q1140" s="115">
        <v>339.15</v>
      </c>
      <c r="R1140">
        <v>8927</v>
      </c>
    </row>
    <row r="1141" spans="1:18" x14ac:dyDescent="0.25">
      <c r="A1141" s="160">
        <v>43707</v>
      </c>
      <c r="B1141" s="115">
        <v>787.7</v>
      </c>
      <c r="C1141" s="115">
        <v>784.9</v>
      </c>
      <c r="D1141" s="115">
        <v>771.3</v>
      </c>
      <c r="E1141" s="115">
        <v>779.05</v>
      </c>
      <c r="F1141" s="115">
        <v>784.9</v>
      </c>
      <c r="G1141">
        <v>184</v>
      </c>
      <c r="H1141" s="115"/>
      <c r="I1141" s="115"/>
      <c r="L1141" s="160">
        <v>43683</v>
      </c>
      <c r="M1141" s="115">
        <v>340.35</v>
      </c>
      <c r="N1141" s="115">
        <v>349</v>
      </c>
      <c r="O1141" s="115">
        <v>335</v>
      </c>
      <c r="P1141" s="115">
        <v>335</v>
      </c>
      <c r="Q1141" s="115">
        <v>340.35</v>
      </c>
      <c r="R1141">
        <v>24939</v>
      </c>
    </row>
    <row r="1142" spans="1:18" x14ac:dyDescent="0.25">
      <c r="A1142" s="160">
        <v>43711</v>
      </c>
      <c r="B1142" s="115">
        <v>775</v>
      </c>
      <c r="C1142" s="115">
        <v>770.55</v>
      </c>
      <c r="D1142" s="115">
        <v>761.35</v>
      </c>
      <c r="E1142" s="115">
        <v>766.1</v>
      </c>
      <c r="F1142" s="115">
        <v>770.55</v>
      </c>
      <c r="G1142">
        <v>1057</v>
      </c>
      <c r="H1142" s="115"/>
      <c r="I1142" s="115"/>
      <c r="L1142" s="160">
        <v>43684</v>
      </c>
      <c r="M1142" s="115">
        <v>337.3</v>
      </c>
      <c r="N1142" s="115">
        <v>343.95</v>
      </c>
      <c r="O1142" s="115">
        <v>336.8</v>
      </c>
      <c r="P1142" s="115">
        <v>341.6</v>
      </c>
      <c r="Q1142" s="115">
        <v>337.3</v>
      </c>
      <c r="R1142">
        <v>4079</v>
      </c>
    </row>
    <row r="1143" spans="1:18" x14ac:dyDescent="0.25">
      <c r="A1143" s="160">
        <v>43712</v>
      </c>
      <c r="B1143" s="115">
        <v>798</v>
      </c>
      <c r="C1143" s="115">
        <v>796.85</v>
      </c>
      <c r="D1143" s="115">
        <v>774.9</v>
      </c>
      <c r="E1143" s="115">
        <v>774.9</v>
      </c>
      <c r="F1143" s="115">
        <v>796.85</v>
      </c>
      <c r="G1143">
        <v>490</v>
      </c>
      <c r="H1143" s="115"/>
      <c r="I1143" s="115"/>
      <c r="L1143" s="160">
        <v>43685</v>
      </c>
      <c r="M1143" s="115">
        <v>329.6</v>
      </c>
      <c r="N1143" s="115">
        <v>344.2</v>
      </c>
      <c r="O1143" s="115">
        <v>325</v>
      </c>
      <c r="P1143" s="115">
        <v>335.45</v>
      </c>
      <c r="Q1143" s="115">
        <v>329.6</v>
      </c>
      <c r="R1143">
        <v>13376</v>
      </c>
    </row>
    <row r="1144" spans="1:18" x14ac:dyDescent="0.25">
      <c r="A1144" s="160">
        <v>43713</v>
      </c>
      <c r="B1144" s="115">
        <v>798</v>
      </c>
      <c r="C1144" s="115">
        <v>775</v>
      </c>
      <c r="D1144" s="115">
        <v>772.05</v>
      </c>
      <c r="E1144" s="115">
        <v>772.05</v>
      </c>
      <c r="F1144" s="115">
        <v>775</v>
      </c>
      <c r="G1144">
        <v>96</v>
      </c>
      <c r="H1144" s="115"/>
      <c r="I1144" s="115"/>
      <c r="L1144" s="160">
        <v>43686</v>
      </c>
      <c r="M1144" s="115">
        <v>331.1</v>
      </c>
      <c r="N1144" s="115">
        <v>338.5</v>
      </c>
      <c r="O1144" s="115">
        <v>327.25</v>
      </c>
      <c r="P1144" s="115">
        <v>331.6</v>
      </c>
      <c r="Q1144" s="115">
        <v>331.1</v>
      </c>
      <c r="R1144">
        <v>27878</v>
      </c>
    </row>
    <row r="1145" spans="1:18" x14ac:dyDescent="0.25">
      <c r="A1145" s="160">
        <v>43714</v>
      </c>
      <c r="B1145" s="115">
        <v>798.85</v>
      </c>
      <c r="C1145" s="115">
        <v>784</v>
      </c>
      <c r="D1145" s="115">
        <v>771.05</v>
      </c>
      <c r="E1145" s="115">
        <v>785</v>
      </c>
      <c r="F1145" s="115">
        <v>784</v>
      </c>
      <c r="G1145">
        <v>94</v>
      </c>
      <c r="H1145" s="115"/>
      <c r="I1145" s="115"/>
      <c r="L1145" s="160">
        <v>43690</v>
      </c>
      <c r="M1145" s="115">
        <v>327.05</v>
      </c>
      <c r="N1145" s="115">
        <v>334.75</v>
      </c>
      <c r="O1145" s="115">
        <v>325</v>
      </c>
      <c r="P1145" s="115">
        <v>330.05</v>
      </c>
      <c r="Q1145" s="115">
        <v>327.05</v>
      </c>
      <c r="R1145">
        <v>7288</v>
      </c>
    </row>
    <row r="1146" spans="1:18" x14ac:dyDescent="0.25">
      <c r="A1146" s="160">
        <v>43717</v>
      </c>
      <c r="B1146" s="115">
        <v>797.7</v>
      </c>
      <c r="C1146" s="115">
        <v>776.15</v>
      </c>
      <c r="D1146" s="115">
        <v>776.1</v>
      </c>
      <c r="E1146" s="115">
        <v>797.7</v>
      </c>
      <c r="F1146" s="115">
        <v>776.15</v>
      </c>
      <c r="G1146">
        <v>167</v>
      </c>
      <c r="H1146" s="115"/>
      <c r="I1146" s="115"/>
      <c r="L1146" s="160">
        <v>43691</v>
      </c>
      <c r="M1146" s="115">
        <v>316.75</v>
      </c>
      <c r="N1146" s="115">
        <v>327.55</v>
      </c>
      <c r="O1146" s="115">
        <v>315.5</v>
      </c>
      <c r="P1146" s="115">
        <v>325.25</v>
      </c>
      <c r="Q1146" s="115">
        <v>316.75</v>
      </c>
      <c r="R1146">
        <v>7065</v>
      </c>
    </row>
    <row r="1147" spans="1:18" x14ac:dyDescent="0.25">
      <c r="A1147" s="160">
        <v>43719</v>
      </c>
      <c r="B1147" s="115">
        <v>837.9</v>
      </c>
      <c r="C1147" s="115">
        <v>837.9</v>
      </c>
      <c r="D1147" s="115">
        <v>773</v>
      </c>
      <c r="E1147" s="115">
        <v>773</v>
      </c>
      <c r="F1147" s="115">
        <v>837.9</v>
      </c>
      <c r="G1147">
        <v>388</v>
      </c>
      <c r="H1147" s="115"/>
      <c r="I1147" s="115"/>
      <c r="L1147" s="160">
        <v>43693</v>
      </c>
      <c r="M1147" s="115">
        <v>325.35000000000002</v>
      </c>
      <c r="N1147" s="115">
        <v>330.75</v>
      </c>
      <c r="O1147" s="115">
        <v>315</v>
      </c>
      <c r="P1147" s="115">
        <v>323.89999999999998</v>
      </c>
      <c r="Q1147" s="115">
        <v>325.35000000000002</v>
      </c>
      <c r="R1147">
        <v>5631</v>
      </c>
    </row>
    <row r="1148" spans="1:18" x14ac:dyDescent="0.25">
      <c r="A1148" s="160">
        <v>43720</v>
      </c>
      <c r="B1148" s="115">
        <v>850</v>
      </c>
      <c r="C1148" s="115">
        <v>830.1</v>
      </c>
      <c r="D1148" s="115">
        <v>781</v>
      </c>
      <c r="E1148" s="115">
        <v>781</v>
      </c>
      <c r="F1148" s="115">
        <v>830.1</v>
      </c>
      <c r="G1148">
        <v>355</v>
      </c>
      <c r="H1148" s="115"/>
      <c r="I1148" s="115"/>
      <c r="L1148" s="160">
        <v>43696</v>
      </c>
      <c r="M1148" s="115">
        <v>336.6</v>
      </c>
      <c r="N1148" s="115">
        <v>345</v>
      </c>
      <c r="O1148" s="115">
        <v>323.05</v>
      </c>
      <c r="P1148" s="115">
        <v>330</v>
      </c>
      <c r="Q1148" s="115">
        <v>336.6</v>
      </c>
      <c r="R1148">
        <v>11089</v>
      </c>
    </row>
    <row r="1149" spans="1:18" x14ac:dyDescent="0.25">
      <c r="A1149" s="160">
        <v>43721</v>
      </c>
      <c r="B1149" s="115">
        <v>849.95</v>
      </c>
      <c r="C1149" s="115">
        <v>824.75</v>
      </c>
      <c r="D1149" s="115">
        <v>821</v>
      </c>
      <c r="E1149" s="115">
        <v>830</v>
      </c>
      <c r="F1149" s="115">
        <v>824.75</v>
      </c>
      <c r="G1149">
        <v>379</v>
      </c>
      <c r="H1149" s="115"/>
      <c r="I1149" s="115"/>
      <c r="L1149" s="160">
        <v>43697</v>
      </c>
      <c r="M1149" s="115">
        <v>328.25</v>
      </c>
      <c r="N1149" s="115">
        <v>340</v>
      </c>
      <c r="O1149" s="115">
        <v>325</v>
      </c>
      <c r="P1149" s="115">
        <v>337</v>
      </c>
      <c r="Q1149" s="115">
        <v>328.25</v>
      </c>
      <c r="R1149">
        <v>8302</v>
      </c>
    </row>
    <row r="1150" spans="1:18" x14ac:dyDescent="0.25">
      <c r="A1150" s="160">
        <v>43724</v>
      </c>
      <c r="B1150" s="115">
        <v>849</v>
      </c>
      <c r="C1150" s="115">
        <v>840.85</v>
      </c>
      <c r="D1150" s="115">
        <v>824.3</v>
      </c>
      <c r="E1150" s="115">
        <v>849</v>
      </c>
      <c r="F1150" s="115">
        <v>840.85</v>
      </c>
      <c r="G1150">
        <v>33</v>
      </c>
      <c r="H1150" s="115"/>
      <c r="I1150" s="115"/>
      <c r="L1150" s="160">
        <v>43698</v>
      </c>
      <c r="M1150" s="115">
        <v>319.75</v>
      </c>
      <c r="N1150" s="115">
        <v>329.95</v>
      </c>
      <c r="O1150" s="115">
        <v>315</v>
      </c>
      <c r="P1150" s="115">
        <v>326</v>
      </c>
      <c r="Q1150" s="115">
        <v>319.75</v>
      </c>
      <c r="R1150">
        <v>5456</v>
      </c>
    </row>
    <row r="1151" spans="1:18" x14ac:dyDescent="0.25">
      <c r="A1151" s="160">
        <v>43725</v>
      </c>
      <c r="B1151" s="115">
        <v>833.55</v>
      </c>
      <c r="C1151" s="115">
        <v>824.95</v>
      </c>
      <c r="D1151" s="115">
        <v>815.05</v>
      </c>
      <c r="E1151" s="115">
        <v>828.5</v>
      </c>
      <c r="F1151" s="115">
        <v>824.95</v>
      </c>
      <c r="G1151">
        <v>301</v>
      </c>
      <c r="H1151" s="115"/>
      <c r="I1151" s="115"/>
      <c r="L1151" s="160">
        <v>43699</v>
      </c>
      <c r="M1151" s="115">
        <v>325.14999999999998</v>
      </c>
      <c r="N1151" s="115">
        <v>328.4</v>
      </c>
      <c r="O1151" s="115">
        <v>308.8</v>
      </c>
      <c r="P1151" s="115">
        <v>319.64999999999998</v>
      </c>
      <c r="Q1151" s="115">
        <v>325.14999999999998</v>
      </c>
      <c r="R1151">
        <v>34482</v>
      </c>
    </row>
    <row r="1152" spans="1:18" x14ac:dyDescent="0.25">
      <c r="A1152" s="160">
        <v>43726</v>
      </c>
      <c r="B1152" s="115">
        <v>864.95</v>
      </c>
      <c r="C1152" s="115">
        <v>825.05</v>
      </c>
      <c r="D1152" s="115">
        <v>825.05</v>
      </c>
      <c r="E1152" s="115">
        <v>864.95</v>
      </c>
      <c r="F1152" s="115">
        <v>825.05</v>
      </c>
      <c r="G1152">
        <v>143</v>
      </c>
      <c r="H1152" s="115"/>
      <c r="I1152" s="115"/>
      <c r="L1152" s="160">
        <v>43700</v>
      </c>
      <c r="M1152" s="115">
        <v>317.39999999999998</v>
      </c>
      <c r="N1152" s="115">
        <v>325.75</v>
      </c>
      <c r="O1152" s="115">
        <v>311</v>
      </c>
      <c r="P1152" s="115">
        <v>323.05</v>
      </c>
      <c r="Q1152" s="115">
        <v>317.39999999999998</v>
      </c>
      <c r="R1152">
        <v>5345</v>
      </c>
    </row>
    <row r="1153" spans="1:18" x14ac:dyDescent="0.25">
      <c r="A1153" s="160">
        <v>43727</v>
      </c>
      <c r="B1153" s="115">
        <v>835</v>
      </c>
      <c r="C1153" s="115">
        <v>831.25</v>
      </c>
      <c r="D1153" s="115">
        <v>812.5</v>
      </c>
      <c r="E1153" s="115">
        <v>815.05</v>
      </c>
      <c r="F1153" s="115">
        <v>831.25</v>
      </c>
      <c r="G1153">
        <v>296</v>
      </c>
      <c r="H1153" s="115"/>
      <c r="I1153" s="115"/>
      <c r="L1153" s="160">
        <v>43703</v>
      </c>
      <c r="M1153" s="115">
        <v>316.3</v>
      </c>
      <c r="N1153" s="115">
        <v>325</v>
      </c>
      <c r="O1153" s="115">
        <v>310.10000000000002</v>
      </c>
      <c r="P1153" s="115">
        <v>325</v>
      </c>
      <c r="Q1153" s="115">
        <v>316.3</v>
      </c>
      <c r="R1153">
        <v>7609</v>
      </c>
    </row>
    <row r="1154" spans="1:18" x14ac:dyDescent="0.25">
      <c r="A1154" s="160">
        <v>43728</v>
      </c>
      <c r="B1154" s="115">
        <v>914.35</v>
      </c>
      <c r="C1154" s="115">
        <v>889.7</v>
      </c>
      <c r="D1154" s="115">
        <v>825.05</v>
      </c>
      <c r="E1154" s="115">
        <v>840</v>
      </c>
      <c r="F1154" s="115">
        <v>889.7</v>
      </c>
      <c r="G1154">
        <v>1843</v>
      </c>
      <c r="H1154" s="115"/>
      <c r="I1154" s="115"/>
      <c r="L1154" s="160">
        <v>43704</v>
      </c>
      <c r="M1154" s="115">
        <v>312.85000000000002</v>
      </c>
      <c r="N1154" s="115">
        <v>325</v>
      </c>
      <c r="O1154" s="115">
        <v>310.95</v>
      </c>
      <c r="P1154" s="115">
        <v>318.7</v>
      </c>
      <c r="Q1154" s="115">
        <v>312.85000000000002</v>
      </c>
      <c r="R1154">
        <v>12328</v>
      </c>
    </row>
    <row r="1155" spans="1:18" x14ac:dyDescent="0.25">
      <c r="A1155" s="160">
        <v>43731</v>
      </c>
      <c r="B1155" s="115">
        <v>985</v>
      </c>
      <c r="C1155" s="115">
        <v>966.4</v>
      </c>
      <c r="D1155" s="115">
        <v>900</v>
      </c>
      <c r="E1155" s="115">
        <v>900</v>
      </c>
      <c r="F1155" s="115">
        <v>966.4</v>
      </c>
      <c r="G1155">
        <v>314</v>
      </c>
      <c r="H1155" s="115"/>
      <c r="I1155" s="115"/>
      <c r="L1155" s="160">
        <v>43705</v>
      </c>
      <c r="M1155" s="115">
        <v>315.64999999999998</v>
      </c>
      <c r="N1155" s="115">
        <v>323</v>
      </c>
      <c r="O1155" s="115">
        <v>311.45</v>
      </c>
      <c r="P1155" s="115">
        <v>314.64999999999998</v>
      </c>
      <c r="Q1155" s="115">
        <v>315.64999999999998</v>
      </c>
      <c r="R1155">
        <v>18281</v>
      </c>
    </row>
    <row r="1156" spans="1:18" x14ac:dyDescent="0.25">
      <c r="A1156" s="160">
        <v>43732</v>
      </c>
      <c r="B1156" s="115">
        <v>996</v>
      </c>
      <c r="C1156" s="115">
        <v>947.5</v>
      </c>
      <c r="D1156" s="115">
        <v>911.05</v>
      </c>
      <c r="E1156" s="115">
        <v>934.05</v>
      </c>
      <c r="F1156" s="115">
        <v>947.5</v>
      </c>
      <c r="G1156">
        <v>283</v>
      </c>
      <c r="H1156" s="115"/>
      <c r="I1156" s="115"/>
      <c r="L1156" s="160">
        <v>43706</v>
      </c>
      <c r="M1156" s="115">
        <v>313</v>
      </c>
      <c r="N1156" s="115">
        <v>319.45</v>
      </c>
      <c r="O1156" s="115">
        <v>312.25</v>
      </c>
      <c r="P1156" s="115">
        <v>318.95</v>
      </c>
      <c r="Q1156" s="115">
        <v>313</v>
      </c>
      <c r="R1156">
        <v>6098</v>
      </c>
    </row>
    <row r="1157" spans="1:18" x14ac:dyDescent="0.25">
      <c r="A1157" s="160">
        <v>43733</v>
      </c>
      <c r="B1157" s="115">
        <v>966</v>
      </c>
      <c r="C1157" s="115">
        <v>950.9</v>
      </c>
      <c r="D1157" s="115">
        <v>920</v>
      </c>
      <c r="E1157" s="115">
        <v>920.15</v>
      </c>
      <c r="F1157" s="115">
        <v>950.9</v>
      </c>
      <c r="G1157">
        <v>1032</v>
      </c>
      <c r="H1157" s="115"/>
      <c r="I1157" s="115"/>
      <c r="L1157" s="160">
        <v>43707</v>
      </c>
      <c r="M1157" s="115">
        <v>318</v>
      </c>
      <c r="N1157" s="115">
        <v>321.89999999999998</v>
      </c>
      <c r="O1157" s="115">
        <v>313</v>
      </c>
      <c r="P1157" s="115">
        <v>313.14999999999998</v>
      </c>
      <c r="Q1157" s="115">
        <v>318</v>
      </c>
      <c r="R1157">
        <v>6107</v>
      </c>
    </row>
    <row r="1158" spans="1:18" x14ac:dyDescent="0.25">
      <c r="A1158" s="160">
        <v>43734</v>
      </c>
      <c r="B1158" s="115">
        <v>977</v>
      </c>
      <c r="C1158" s="115">
        <v>932.85</v>
      </c>
      <c r="D1158" s="115">
        <v>905.7</v>
      </c>
      <c r="E1158" s="115">
        <v>967</v>
      </c>
      <c r="F1158" s="115">
        <v>932.85</v>
      </c>
      <c r="G1158">
        <v>1205</v>
      </c>
      <c r="H1158" s="115"/>
      <c r="I1158" s="115"/>
      <c r="L1158" s="160">
        <v>43711</v>
      </c>
      <c r="M1158" s="115">
        <v>311.10000000000002</v>
      </c>
      <c r="N1158" s="115">
        <v>317.89999999999998</v>
      </c>
      <c r="O1158" s="115">
        <v>309.45</v>
      </c>
      <c r="P1158" s="115">
        <v>315.89999999999998</v>
      </c>
      <c r="Q1158" s="115">
        <v>311.10000000000002</v>
      </c>
      <c r="R1158">
        <v>7375</v>
      </c>
    </row>
    <row r="1159" spans="1:18" x14ac:dyDescent="0.25">
      <c r="A1159" s="160">
        <v>43735</v>
      </c>
      <c r="B1159" s="115">
        <v>944</v>
      </c>
      <c r="C1159" s="115">
        <v>944</v>
      </c>
      <c r="D1159" s="115">
        <v>914.2</v>
      </c>
      <c r="E1159" s="115">
        <v>914.2</v>
      </c>
      <c r="F1159" s="115">
        <v>944</v>
      </c>
      <c r="G1159">
        <v>4</v>
      </c>
      <c r="H1159" s="115"/>
      <c r="I1159" s="115"/>
      <c r="L1159" s="160">
        <v>43712</v>
      </c>
      <c r="M1159" s="115">
        <v>310.89999999999998</v>
      </c>
      <c r="N1159" s="115">
        <v>317.8</v>
      </c>
      <c r="O1159" s="115">
        <v>305.35000000000002</v>
      </c>
      <c r="P1159" s="115">
        <v>310.95</v>
      </c>
      <c r="Q1159" s="115">
        <v>310.89999999999998</v>
      </c>
      <c r="R1159">
        <v>18106</v>
      </c>
    </row>
    <row r="1160" spans="1:18" x14ac:dyDescent="0.25">
      <c r="A1160" s="160">
        <v>43738</v>
      </c>
      <c r="B1160" s="115">
        <v>940</v>
      </c>
      <c r="C1160" s="115">
        <v>939.95</v>
      </c>
      <c r="D1160" s="115">
        <v>910.05</v>
      </c>
      <c r="E1160" s="115">
        <v>910.05</v>
      </c>
      <c r="F1160" s="115">
        <v>939.95</v>
      </c>
      <c r="G1160">
        <v>914</v>
      </c>
      <c r="H1160" s="115"/>
      <c r="I1160" s="115"/>
      <c r="L1160" s="160">
        <v>43713</v>
      </c>
      <c r="M1160" s="115">
        <v>317.10000000000002</v>
      </c>
      <c r="N1160" s="115">
        <v>318</v>
      </c>
      <c r="O1160" s="115">
        <v>312.75</v>
      </c>
      <c r="P1160" s="115">
        <v>314.85000000000002</v>
      </c>
      <c r="Q1160" s="115">
        <v>317.10000000000002</v>
      </c>
      <c r="R1160">
        <v>12103</v>
      </c>
    </row>
    <row r="1161" spans="1:18" x14ac:dyDescent="0.25">
      <c r="A1161" s="160">
        <v>43739</v>
      </c>
      <c r="B1161" s="115">
        <v>959</v>
      </c>
      <c r="C1161" s="115">
        <v>937.85</v>
      </c>
      <c r="D1161" s="115">
        <v>910.15</v>
      </c>
      <c r="E1161" s="115">
        <v>930</v>
      </c>
      <c r="F1161" s="115">
        <v>937.85</v>
      </c>
      <c r="G1161">
        <v>374</v>
      </c>
      <c r="H1161" s="115"/>
      <c r="I1161" s="115"/>
      <c r="L1161" s="160">
        <v>43714</v>
      </c>
      <c r="M1161" s="115">
        <v>317.8</v>
      </c>
      <c r="N1161" s="115">
        <v>320</v>
      </c>
      <c r="O1161" s="115">
        <v>305.2</v>
      </c>
      <c r="P1161" s="115">
        <v>318.10000000000002</v>
      </c>
      <c r="Q1161" s="115">
        <v>317.8</v>
      </c>
      <c r="R1161">
        <v>5424</v>
      </c>
    </row>
    <row r="1162" spans="1:18" x14ac:dyDescent="0.25">
      <c r="A1162" s="160">
        <v>43741</v>
      </c>
      <c r="B1162" s="115">
        <v>925</v>
      </c>
      <c r="C1162" s="115">
        <v>925</v>
      </c>
      <c r="D1162" s="115">
        <v>911.2</v>
      </c>
      <c r="E1162" s="115">
        <v>911.2</v>
      </c>
      <c r="F1162" s="115">
        <v>925</v>
      </c>
      <c r="G1162">
        <v>38</v>
      </c>
      <c r="H1162" s="115"/>
      <c r="I1162" s="115"/>
      <c r="L1162" s="160">
        <v>43717</v>
      </c>
      <c r="M1162" s="115">
        <v>314.60000000000002</v>
      </c>
      <c r="N1162" s="115">
        <v>320</v>
      </c>
      <c r="O1162" s="115">
        <v>309.8</v>
      </c>
      <c r="P1162" s="115">
        <v>318.05</v>
      </c>
      <c r="Q1162" s="115">
        <v>314.60000000000002</v>
      </c>
      <c r="R1162">
        <v>18789</v>
      </c>
    </row>
    <row r="1163" spans="1:18" x14ac:dyDescent="0.25">
      <c r="A1163" s="160">
        <v>43742</v>
      </c>
      <c r="B1163" s="115">
        <v>955</v>
      </c>
      <c r="C1163" s="115">
        <v>928.95</v>
      </c>
      <c r="D1163" s="115">
        <v>905</v>
      </c>
      <c r="E1163" s="115">
        <v>955</v>
      </c>
      <c r="F1163" s="115">
        <v>928.95</v>
      </c>
      <c r="G1163">
        <v>183</v>
      </c>
      <c r="H1163" s="115"/>
      <c r="I1163" s="115"/>
      <c r="L1163" s="160">
        <v>43719</v>
      </c>
      <c r="M1163" s="115">
        <v>332.75</v>
      </c>
      <c r="N1163" s="115">
        <v>338.9</v>
      </c>
      <c r="O1163" s="115">
        <v>315.45</v>
      </c>
      <c r="P1163" s="115">
        <v>317</v>
      </c>
      <c r="Q1163" s="115">
        <v>332.75</v>
      </c>
      <c r="R1163">
        <v>14455</v>
      </c>
    </row>
    <row r="1164" spans="1:18" x14ac:dyDescent="0.25">
      <c r="A1164" s="160">
        <v>43747</v>
      </c>
      <c r="B1164" s="115">
        <v>929.5</v>
      </c>
      <c r="C1164" s="115">
        <v>929</v>
      </c>
      <c r="D1164" s="115">
        <v>889</v>
      </c>
      <c r="E1164" s="115">
        <v>889</v>
      </c>
      <c r="F1164" s="115">
        <v>929</v>
      </c>
      <c r="G1164">
        <v>14</v>
      </c>
      <c r="H1164" s="115"/>
      <c r="I1164" s="115"/>
      <c r="L1164" s="160">
        <v>43720</v>
      </c>
      <c r="M1164" s="115">
        <v>336.15</v>
      </c>
      <c r="N1164" s="115">
        <v>342.45</v>
      </c>
      <c r="O1164" s="115">
        <v>334.15</v>
      </c>
      <c r="P1164" s="115">
        <v>335</v>
      </c>
      <c r="Q1164" s="115">
        <v>336.15</v>
      </c>
      <c r="R1164">
        <v>8110</v>
      </c>
    </row>
    <row r="1165" spans="1:18" x14ac:dyDescent="0.25">
      <c r="A1165" s="160">
        <v>43748</v>
      </c>
      <c r="B1165" s="115">
        <v>925</v>
      </c>
      <c r="C1165" s="115">
        <v>887.1</v>
      </c>
      <c r="D1165" s="115">
        <v>880</v>
      </c>
      <c r="E1165" s="115">
        <v>883.05</v>
      </c>
      <c r="F1165" s="115">
        <v>887.1</v>
      </c>
      <c r="G1165">
        <v>372</v>
      </c>
      <c r="H1165" s="115"/>
      <c r="I1165" s="115"/>
      <c r="L1165" s="160">
        <v>43721</v>
      </c>
      <c r="M1165" s="115">
        <v>339.1</v>
      </c>
      <c r="N1165" s="115">
        <v>342.45</v>
      </c>
      <c r="O1165" s="115">
        <v>334.5</v>
      </c>
      <c r="P1165" s="115">
        <v>339.95</v>
      </c>
      <c r="Q1165" s="115">
        <v>339.1</v>
      </c>
      <c r="R1165">
        <v>6822</v>
      </c>
    </row>
    <row r="1166" spans="1:18" x14ac:dyDescent="0.25">
      <c r="A1166" s="160">
        <v>43749</v>
      </c>
      <c r="B1166" s="115">
        <v>898</v>
      </c>
      <c r="C1166" s="115">
        <v>898</v>
      </c>
      <c r="D1166" s="115">
        <v>870.15</v>
      </c>
      <c r="E1166" s="115">
        <v>895</v>
      </c>
      <c r="F1166" s="115">
        <v>898</v>
      </c>
      <c r="G1166">
        <v>122</v>
      </c>
      <c r="H1166" s="115"/>
      <c r="I1166" s="115"/>
      <c r="L1166" s="160">
        <v>43724</v>
      </c>
      <c r="M1166" s="115">
        <v>331.2</v>
      </c>
      <c r="N1166" s="115">
        <v>339.1</v>
      </c>
      <c r="O1166" s="115">
        <v>331</v>
      </c>
      <c r="P1166" s="115">
        <v>339.1</v>
      </c>
      <c r="Q1166" s="115">
        <v>331.2</v>
      </c>
      <c r="R1166">
        <v>10473</v>
      </c>
    </row>
    <row r="1167" spans="1:18" x14ac:dyDescent="0.25">
      <c r="A1167" s="160">
        <v>43752</v>
      </c>
      <c r="B1167" s="115">
        <v>922</v>
      </c>
      <c r="C1167" s="115">
        <v>871.05</v>
      </c>
      <c r="D1167" s="115">
        <v>855.5</v>
      </c>
      <c r="E1167" s="115">
        <v>871.05</v>
      </c>
      <c r="F1167" s="115">
        <v>871.05</v>
      </c>
      <c r="G1167">
        <v>992</v>
      </c>
      <c r="H1167" s="115"/>
      <c r="I1167" s="115"/>
      <c r="L1167" s="160">
        <v>43725</v>
      </c>
      <c r="M1167" s="115">
        <v>326.8</v>
      </c>
      <c r="N1167" s="115">
        <v>340</v>
      </c>
      <c r="O1167" s="115">
        <v>321</v>
      </c>
      <c r="P1167" s="115">
        <v>333.1</v>
      </c>
      <c r="Q1167" s="115">
        <v>326.8</v>
      </c>
      <c r="R1167">
        <v>15099</v>
      </c>
    </row>
    <row r="1168" spans="1:18" x14ac:dyDescent="0.25">
      <c r="A1168" s="160">
        <v>43753</v>
      </c>
      <c r="B1168" s="115">
        <v>870</v>
      </c>
      <c r="C1168" s="115">
        <v>835.1</v>
      </c>
      <c r="D1168" s="115">
        <v>830</v>
      </c>
      <c r="E1168" s="115">
        <v>862.05</v>
      </c>
      <c r="F1168" s="115">
        <v>835.1</v>
      </c>
      <c r="G1168">
        <v>1223</v>
      </c>
      <c r="H1168" s="115"/>
      <c r="I1168" s="115"/>
      <c r="L1168" s="160">
        <v>43726</v>
      </c>
      <c r="M1168" s="115">
        <v>327</v>
      </c>
      <c r="N1168" s="115">
        <v>331</v>
      </c>
      <c r="O1168" s="115">
        <v>321</v>
      </c>
      <c r="P1168" s="115">
        <v>321</v>
      </c>
      <c r="Q1168" s="115">
        <v>327</v>
      </c>
      <c r="R1168">
        <v>18204</v>
      </c>
    </row>
    <row r="1169" spans="1:18" x14ac:dyDescent="0.25">
      <c r="A1169" s="160">
        <v>43754</v>
      </c>
      <c r="B1169" s="115">
        <v>858.5</v>
      </c>
      <c r="C1169" s="115">
        <v>798.7</v>
      </c>
      <c r="D1169" s="115">
        <v>794</v>
      </c>
      <c r="E1169" s="115">
        <v>858.5</v>
      </c>
      <c r="F1169" s="115">
        <v>798.7</v>
      </c>
      <c r="G1169">
        <v>1036</v>
      </c>
      <c r="H1169" s="115"/>
      <c r="I1169" s="115"/>
      <c r="L1169" s="160">
        <v>43727</v>
      </c>
      <c r="M1169" s="115">
        <v>319.75</v>
      </c>
      <c r="N1169" s="115">
        <v>327.2</v>
      </c>
      <c r="O1169" s="115">
        <v>317.10000000000002</v>
      </c>
      <c r="P1169" s="115">
        <v>327.2</v>
      </c>
      <c r="Q1169" s="115">
        <v>319.75</v>
      </c>
      <c r="R1169">
        <v>6059</v>
      </c>
    </row>
    <row r="1170" spans="1:18" x14ac:dyDescent="0.25">
      <c r="A1170" s="160">
        <v>43755</v>
      </c>
      <c r="B1170" s="115">
        <v>810</v>
      </c>
      <c r="C1170" s="115">
        <v>786.15</v>
      </c>
      <c r="D1170" s="115">
        <v>775</v>
      </c>
      <c r="E1170" s="115">
        <v>800</v>
      </c>
      <c r="F1170" s="115">
        <v>786.15</v>
      </c>
      <c r="G1170">
        <v>1442</v>
      </c>
      <c r="H1170" s="115"/>
      <c r="I1170" s="115"/>
      <c r="L1170" s="160">
        <v>43728</v>
      </c>
      <c r="M1170" s="115">
        <v>328.2</v>
      </c>
      <c r="N1170" s="115">
        <v>332.8</v>
      </c>
      <c r="O1170" s="115">
        <v>316.45</v>
      </c>
      <c r="P1170" s="115">
        <v>316.64999999999998</v>
      </c>
      <c r="Q1170" s="115">
        <v>328.2</v>
      </c>
      <c r="R1170">
        <v>10378</v>
      </c>
    </row>
    <row r="1171" spans="1:18" x14ac:dyDescent="0.25">
      <c r="A1171" s="160">
        <v>43756</v>
      </c>
      <c r="B1171" s="115">
        <v>884.8</v>
      </c>
      <c r="C1171" s="115">
        <v>853.25</v>
      </c>
      <c r="D1171" s="115">
        <v>786.15</v>
      </c>
      <c r="E1171" s="115">
        <v>786.15</v>
      </c>
      <c r="F1171" s="115">
        <v>853.25</v>
      </c>
      <c r="G1171">
        <v>3899</v>
      </c>
      <c r="H1171" s="115"/>
      <c r="I1171" s="115"/>
      <c r="L1171" s="160">
        <v>43731</v>
      </c>
      <c r="M1171" s="115">
        <v>329.85</v>
      </c>
      <c r="N1171" s="115">
        <v>353.95</v>
      </c>
      <c r="O1171" s="115">
        <v>323.10000000000002</v>
      </c>
      <c r="P1171" s="115">
        <v>330</v>
      </c>
      <c r="Q1171" s="115">
        <v>329.85</v>
      </c>
      <c r="R1171">
        <v>25720</v>
      </c>
    </row>
    <row r="1172" spans="1:18" x14ac:dyDescent="0.25">
      <c r="A1172" s="160">
        <v>43760</v>
      </c>
      <c r="B1172" s="115">
        <v>837</v>
      </c>
      <c r="C1172" s="115">
        <v>808.6</v>
      </c>
      <c r="D1172" s="115">
        <v>780</v>
      </c>
      <c r="E1172" s="115">
        <v>837</v>
      </c>
      <c r="F1172" s="115">
        <v>808.6</v>
      </c>
      <c r="G1172">
        <v>3149</v>
      </c>
      <c r="H1172" s="115"/>
      <c r="I1172" s="115"/>
      <c r="L1172" s="160">
        <v>43732</v>
      </c>
      <c r="M1172" s="115">
        <v>331.55</v>
      </c>
      <c r="N1172" s="115">
        <v>343.75</v>
      </c>
      <c r="O1172" s="115">
        <v>327</v>
      </c>
      <c r="P1172" s="115">
        <v>331</v>
      </c>
      <c r="Q1172" s="115">
        <v>331.55</v>
      </c>
      <c r="R1172">
        <v>20612</v>
      </c>
    </row>
    <row r="1173" spans="1:18" x14ac:dyDescent="0.25">
      <c r="A1173" s="160">
        <v>43761</v>
      </c>
      <c r="B1173" s="115">
        <v>825</v>
      </c>
      <c r="C1173" s="115">
        <v>773.9</v>
      </c>
      <c r="D1173" s="115">
        <v>773</v>
      </c>
      <c r="E1173" s="115">
        <v>800</v>
      </c>
      <c r="F1173" s="115">
        <v>773.9</v>
      </c>
      <c r="G1173">
        <v>1682</v>
      </c>
      <c r="H1173" s="115"/>
      <c r="I1173" s="115"/>
      <c r="L1173" s="160">
        <v>43733</v>
      </c>
      <c r="M1173" s="115">
        <v>320.35000000000002</v>
      </c>
      <c r="N1173" s="115">
        <v>335</v>
      </c>
      <c r="O1173" s="115">
        <v>318</v>
      </c>
      <c r="P1173" s="115">
        <v>335</v>
      </c>
      <c r="Q1173" s="115">
        <v>320.35000000000002</v>
      </c>
      <c r="R1173">
        <v>14351</v>
      </c>
    </row>
    <row r="1174" spans="1:18" x14ac:dyDescent="0.25">
      <c r="A1174" s="160">
        <v>43762</v>
      </c>
      <c r="B1174" s="115">
        <v>799</v>
      </c>
      <c r="C1174" s="115">
        <v>757.8</v>
      </c>
      <c r="D1174" s="115">
        <v>756.95</v>
      </c>
      <c r="E1174" s="115">
        <v>799</v>
      </c>
      <c r="F1174" s="115">
        <v>757.8</v>
      </c>
      <c r="G1174">
        <v>1296</v>
      </c>
      <c r="H1174" s="115"/>
      <c r="I1174" s="115"/>
      <c r="L1174" s="160">
        <v>43734</v>
      </c>
      <c r="M1174" s="115">
        <v>321.89999999999998</v>
      </c>
      <c r="N1174" s="115">
        <v>327.3</v>
      </c>
      <c r="O1174" s="115">
        <v>319.14999999999998</v>
      </c>
      <c r="P1174" s="115">
        <v>325</v>
      </c>
      <c r="Q1174" s="115">
        <v>321.89999999999998</v>
      </c>
      <c r="R1174">
        <v>51139</v>
      </c>
    </row>
    <row r="1175" spans="1:18" x14ac:dyDescent="0.25">
      <c r="A1175" s="160">
        <v>43763</v>
      </c>
      <c r="B1175" s="115">
        <v>778</v>
      </c>
      <c r="C1175" s="115">
        <v>772.9</v>
      </c>
      <c r="D1175" s="115">
        <v>741</v>
      </c>
      <c r="E1175" s="115">
        <v>750</v>
      </c>
      <c r="F1175" s="115">
        <v>772.9</v>
      </c>
      <c r="G1175">
        <v>1641</v>
      </c>
      <c r="H1175" s="115"/>
      <c r="I1175" s="115"/>
      <c r="L1175" s="160">
        <v>43735</v>
      </c>
      <c r="M1175" s="115">
        <v>323.2</v>
      </c>
      <c r="N1175" s="115">
        <v>328.9</v>
      </c>
      <c r="O1175" s="115">
        <v>320</v>
      </c>
      <c r="P1175" s="115">
        <v>324.89999999999998</v>
      </c>
      <c r="Q1175" s="115">
        <v>323.2</v>
      </c>
      <c r="R1175">
        <v>32145</v>
      </c>
    </row>
    <row r="1176" spans="1:18" x14ac:dyDescent="0.25">
      <c r="A1176" s="160">
        <v>43765</v>
      </c>
      <c r="B1176" s="115">
        <v>778</v>
      </c>
      <c r="C1176" s="115">
        <v>743</v>
      </c>
      <c r="D1176" s="115">
        <v>740</v>
      </c>
      <c r="E1176" s="115">
        <v>778</v>
      </c>
      <c r="F1176" s="115">
        <v>743</v>
      </c>
      <c r="G1176">
        <v>585</v>
      </c>
      <c r="H1176" s="115"/>
      <c r="I1176" s="115"/>
      <c r="L1176" s="160">
        <v>43738</v>
      </c>
      <c r="M1176" s="115">
        <v>319.2</v>
      </c>
      <c r="N1176" s="115">
        <v>327.95</v>
      </c>
      <c r="O1176" s="115">
        <v>317.55</v>
      </c>
      <c r="P1176" s="115">
        <v>323</v>
      </c>
      <c r="Q1176" s="115">
        <v>319.2</v>
      </c>
      <c r="R1176">
        <v>12352</v>
      </c>
    </row>
    <row r="1177" spans="1:18" x14ac:dyDescent="0.25">
      <c r="A1177" s="160">
        <v>43767</v>
      </c>
      <c r="B1177" s="115">
        <v>779.5</v>
      </c>
      <c r="C1177" s="115">
        <v>769.15</v>
      </c>
      <c r="D1177" s="115">
        <v>755</v>
      </c>
      <c r="E1177" s="115">
        <v>755</v>
      </c>
      <c r="F1177" s="115">
        <v>769.15</v>
      </c>
      <c r="G1177">
        <v>1242</v>
      </c>
      <c r="H1177" s="115"/>
      <c r="I1177" s="115"/>
      <c r="L1177" s="160">
        <v>43739</v>
      </c>
      <c r="M1177" s="115">
        <v>316.14999999999998</v>
      </c>
      <c r="N1177" s="115">
        <v>325.64999999999998</v>
      </c>
      <c r="O1177" s="115">
        <v>311</v>
      </c>
      <c r="P1177" s="115">
        <v>321.05</v>
      </c>
      <c r="Q1177" s="115">
        <v>316.14999999999998</v>
      </c>
      <c r="R1177">
        <v>20729</v>
      </c>
    </row>
    <row r="1178" spans="1:18" x14ac:dyDescent="0.25">
      <c r="A1178" s="160">
        <v>43768</v>
      </c>
      <c r="B1178" s="115">
        <v>809.7</v>
      </c>
      <c r="C1178" s="115">
        <v>791.4</v>
      </c>
      <c r="D1178" s="115">
        <v>762.15</v>
      </c>
      <c r="E1178" s="115">
        <v>779</v>
      </c>
      <c r="F1178" s="115">
        <v>791.4</v>
      </c>
      <c r="G1178">
        <v>784</v>
      </c>
      <c r="H1178" s="115"/>
      <c r="I1178" s="115"/>
      <c r="L1178" s="160">
        <v>43741</v>
      </c>
      <c r="M1178" s="115">
        <v>310.60000000000002</v>
      </c>
      <c r="N1178" s="115">
        <v>316.3</v>
      </c>
      <c r="O1178" s="115">
        <v>307.2</v>
      </c>
      <c r="P1178" s="115">
        <v>314</v>
      </c>
      <c r="Q1178" s="115">
        <v>310.60000000000002</v>
      </c>
      <c r="R1178">
        <v>25510</v>
      </c>
    </row>
    <row r="1179" spans="1:18" x14ac:dyDescent="0.25">
      <c r="A1179" s="160">
        <v>43769</v>
      </c>
      <c r="B1179" s="115">
        <v>944.8</v>
      </c>
      <c r="C1179" s="115">
        <v>893.75</v>
      </c>
      <c r="D1179" s="115">
        <v>786.5</v>
      </c>
      <c r="E1179" s="115">
        <v>786.5</v>
      </c>
      <c r="F1179" s="115">
        <v>893.75</v>
      </c>
      <c r="G1179">
        <v>5376</v>
      </c>
      <c r="H1179" s="115"/>
      <c r="I1179" s="115"/>
      <c r="L1179" s="160">
        <v>43742</v>
      </c>
      <c r="M1179" s="115">
        <v>315</v>
      </c>
      <c r="N1179" s="115">
        <v>319.85000000000002</v>
      </c>
      <c r="O1179" s="115">
        <v>306.3</v>
      </c>
      <c r="P1179" s="115">
        <v>317.95</v>
      </c>
      <c r="Q1179" s="115">
        <v>315</v>
      </c>
      <c r="R1179">
        <v>16495</v>
      </c>
    </row>
    <row r="1180" spans="1:18" x14ac:dyDescent="0.25">
      <c r="A1180" s="160">
        <v>43770</v>
      </c>
      <c r="B1180" s="115">
        <v>903</v>
      </c>
      <c r="C1180" s="115">
        <v>899.75</v>
      </c>
      <c r="D1180" s="115">
        <v>880</v>
      </c>
      <c r="E1180" s="115">
        <v>900</v>
      </c>
      <c r="F1180" s="115">
        <v>899.75</v>
      </c>
      <c r="G1180">
        <v>520</v>
      </c>
      <c r="H1180" s="115"/>
      <c r="I1180" s="115"/>
      <c r="L1180" s="160">
        <v>43745</v>
      </c>
      <c r="M1180" s="115">
        <v>309.05</v>
      </c>
      <c r="N1180" s="115">
        <v>311.64999999999998</v>
      </c>
      <c r="O1180" s="115">
        <v>299</v>
      </c>
      <c r="P1180" s="115">
        <v>310</v>
      </c>
      <c r="Q1180" s="115">
        <v>309.05</v>
      </c>
      <c r="R1180">
        <v>15827</v>
      </c>
    </row>
    <row r="1181" spans="1:18" x14ac:dyDescent="0.25">
      <c r="A1181" s="160">
        <v>43773</v>
      </c>
      <c r="B1181" s="115">
        <v>960</v>
      </c>
      <c r="C1181" s="115">
        <v>903.05</v>
      </c>
      <c r="D1181" s="115">
        <v>886.05</v>
      </c>
      <c r="E1181" s="115">
        <v>960</v>
      </c>
      <c r="F1181" s="115">
        <v>903.05</v>
      </c>
      <c r="G1181">
        <v>159</v>
      </c>
      <c r="H1181" s="115"/>
      <c r="I1181" s="115"/>
      <c r="L1181" s="160">
        <v>43747</v>
      </c>
      <c r="M1181" s="115">
        <v>311.2</v>
      </c>
      <c r="N1181" s="115">
        <v>314</v>
      </c>
      <c r="O1181" s="115">
        <v>301</v>
      </c>
      <c r="P1181" s="115">
        <v>307.75</v>
      </c>
      <c r="Q1181" s="115">
        <v>311.2</v>
      </c>
      <c r="R1181">
        <v>8274</v>
      </c>
    </row>
    <row r="1182" spans="1:18" x14ac:dyDescent="0.25">
      <c r="A1182" s="160">
        <v>43774</v>
      </c>
      <c r="B1182" s="115">
        <v>900</v>
      </c>
      <c r="C1182" s="115">
        <v>900</v>
      </c>
      <c r="D1182" s="115">
        <v>875</v>
      </c>
      <c r="E1182" s="115">
        <v>877.05</v>
      </c>
      <c r="F1182" s="115">
        <v>900</v>
      </c>
      <c r="G1182">
        <v>166</v>
      </c>
      <c r="H1182" s="115"/>
      <c r="I1182" s="115"/>
      <c r="L1182" s="160">
        <v>43748</v>
      </c>
      <c r="M1182" s="115">
        <v>305.5</v>
      </c>
      <c r="N1182" s="115">
        <v>315</v>
      </c>
      <c r="O1182" s="115">
        <v>302</v>
      </c>
      <c r="P1182" s="115">
        <v>310.05</v>
      </c>
      <c r="Q1182" s="115">
        <v>305.5</v>
      </c>
      <c r="R1182">
        <v>6718</v>
      </c>
    </row>
    <row r="1183" spans="1:18" x14ac:dyDescent="0.25">
      <c r="A1183" s="160">
        <v>43775</v>
      </c>
      <c r="B1183" s="115">
        <v>870</v>
      </c>
      <c r="C1183" s="115">
        <v>869.6</v>
      </c>
      <c r="D1183" s="115">
        <v>865.1</v>
      </c>
      <c r="E1183" s="115">
        <v>866</v>
      </c>
      <c r="F1183" s="115">
        <v>869.6</v>
      </c>
      <c r="G1183">
        <v>260</v>
      </c>
      <c r="H1183" s="115"/>
      <c r="I1183" s="115"/>
      <c r="L1183" s="160">
        <v>43749</v>
      </c>
      <c r="M1183" s="115">
        <v>303.2</v>
      </c>
      <c r="N1183" s="115">
        <v>313.55</v>
      </c>
      <c r="O1183" s="115">
        <v>298.10000000000002</v>
      </c>
      <c r="P1183" s="115">
        <v>302.60000000000002</v>
      </c>
      <c r="Q1183" s="115">
        <v>303.2</v>
      </c>
      <c r="R1183">
        <v>9337</v>
      </c>
    </row>
    <row r="1184" spans="1:18" x14ac:dyDescent="0.25">
      <c r="A1184" s="160">
        <v>43776</v>
      </c>
      <c r="B1184" s="115">
        <v>892.9</v>
      </c>
      <c r="C1184" s="115">
        <v>888.1</v>
      </c>
      <c r="D1184" s="115">
        <v>875</v>
      </c>
      <c r="E1184" s="115">
        <v>875</v>
      </c>
      <c r="F1184" s="115">
        <v>888.1</v>
      </c>
      <c r="G1184">
        <v>105</v>
      </c>
      <c r="H1184" s="115"/>
      <c r="I1184" s="115"/>
      <c r="L1184" s="160">
        <v>43752</v>
      </c>
      <c r="M1184" s="115">
        <v>302.10000000000002</v>
      </c>
      <c r="N1184" s="115">
        <v>307.95</v>
      </c>
      <c r="O1184" s="115">
        <v>301</v>
      </c>
      <c r="P1184" s="115">
        <v>302.95</v>
      </c>
      <c r="Q1184" s="115">
        <v>302.10000000000002</v>
      </c>
      <c r="R1184">
        <v>6856</v>
      </c>
    </row>
    <row r="1185" spans="1:18" x14ac:dyDescent="0.25">
      <c r="A1185" s="160">
        <v>43777</v>
      </c>
      <c r="B1185" s="115">
        <v>914</v>
      </c>
      <c r="C1185" s="115">
        <v>850.85</v>
      </c>
      <c r="D1185" s="115">
        <v>838</v>
      </c>
      <c r="E1185" s="115">
        <v>844</v>
      </c>
      <c r="F1185" s="115">
        <v>850.85</v>
      </c>
      <c r="G1185">
        <v>1495</v>
      </c>
      <c r="H1185" s="115"/>
      <c r="I1185" s="115"/>
      <c r="L1185" s="160">
        <v>43753</v>
      </c>
      <c r="M1185" s="115">
        <v>300.14999999999998</v>
      </c>
      <c r="N1185" s="115">
        <v>306.95</v>
      </c>
      <c r="O1185" s="115">
        <v>298.05</v>
      </c>
      <c r="P1185" s="115">
        <v>304.95</v>
      </c>
      <c r="Q1185" s="115">
        <v>300.14999999999998</v>
      </c>
      <c r="R1185">
        <v>10087</v>
      </c>
    </row>
    <row r="1186" spans="1:18" x14ac:dyDescent="0.25">
      <c r="A1186" s="160">
        <v>43780</v>
      </c>
      <c r="B1186" s="115">
        <v>870</v>
      </c>
      <c r="C1186" s="115">
        <v>811.85</v>
      </c>
      <c r="D1186" s="115">
        <v>803.25</v>
      </c>
      <c r="E1186" s="115">
        <v>810</v>
      </c>
      <c r="F1186" s="115">
        <v>811.85</v>
      </c>
      <c r="G1186">
        <v>1182</v>
      </c>
      <c r="H1186" s="115"/>
      <c r="I1186" s="115"/>
      <c r="L1186" s="160">
        <v>43754</v>
      </c>
      <c r="M1186" s="115">
        <v>295.45</v>
      </c>
      <c r="N1186" s="115">
        <v>302.10000000000002</v>
      </c>
      <c r="O1186" s="115">
        <v>295</v>
      </c>
      <c r="P1186" s="115">
        <v>298.05</v>
      </c>
      <c r="Q1186" s="115">
        <v>295.45</v>
      </c>
      <c r="R1186">
        <v>19603</v>
      </c>
    </row>
    <row r="1187" spans="1:18" x14ac:dyDescent="0.25">
      <c r="A1187" s="160">
        <v>43782</v>
      </c>
      <c r="B1187" s="115">
        <v>820</v>
      </c>
      <c r="C1187" s="115">
        <v>792.25</v>
      </c>
      <c r="D1187" s="115">
        <v>785.15</v>
      </c>
      <c r="E1187" s="115">
        <v>801.2</v>
      </c>
      <c r="F1187" s="115">
        <v>792.25</v>
      </c>
      <c r="G1187">
        <v>285</v>
      </c>
      <c r="H1187" s="115"/>
      <c r="I1187" s="115"/>
      <c r="L1187" s="160">
        <v>43755</v>
      </c>
      <c r="M1187" s="115">
        <v>294.75</v>
      </c>
      <c r="N1187" s="115">
        <v>301.14999999999998</v>
      </c>
      <c r="O1187" s="115">
        <v>291.5</v>
      </c>
      <c r="P1187" s="115">
        <v>296.25</v>
      </c>
      <c r="Q1187" s="115">
        <v>294.75</v>
      </c>
      <c r="R1187">
        <v>11590</v>
      </c>
    </row>
    <row r="1188" spans="1:18" x14ac:dyDescent="0.25">
      <c r="A1188" s="160">
        <v>43783</v>
      </c>
      <c r="B1188" s="115">
        <v>838.95</v>
      </c>
      <c r="C1188" s="115">
        <v>804.5</v>
      </c>
      <c r="D1188" s="115">
        <v>800</v>
      </c>
      <c r="E1188" s="115">
        <v>838.95</v>
      </c>
      <c r="F1188" s="115">
        <v>804.5</v>
      </c>
      <c r="G1188">
        <v>280</v>
      </c>
      <c r="H1188" s="115"/>
      <c r="I1188" s="115"/>
      <c r="L1188" s="160">
        <v>43756</v>
      </c>
      <c r="M1188" s="115">
        <v>291</v>
      </c>
      <c r="N1188" s="115">
        <v>304</v>
      </c>
      <c r="O1188" s="115">
        <v>287.5</v>
      </c>
      <c r="P1188" s="115">
        <v>295.10000000000002</v>
      </c>
      <c r="Q1188" s="115">
        <v>291</v>
      </c>
      <c r="R1188">
        <v>37643</v>
      </c>
    </row>
    <row r="1189" spans="1:18" x14ac:dyDescent="0.25">
      <c r="A1189" s="160">
        <v>43784</v>
      </c>
      <c r="B1189" s="115">
        <v>810</v>
      </c>
      <c r="C1189" s="115">
        <v>798.95</v>
      </c>
      <c r="D1189" s="115">
        <v>790</v>
      </c>
      <c r="E1189" s="115">
        <v>794</v>
      </c>
      <c r="F1189" s="115">
        <v>798.95</v>
      </c>
      <c r="G1189">
        <v>683</v>
      </c>
      <c r="H1189" s="115"/>
      <c r="I1189" s="115"/>
      <c r="L1189" s="160">
        <v>43760</v>
      </c>
      <c r="M1189" s="115">
        <v>291.3</v>
      </c>
      <c r="N1189" s="115">
        <v>298</v>
      </c>
      <c r="O1189" s="115">
        <v>287.10000000000002</v>
      </c>
      <c r="P1189" s="115">
        <v>293.89999999999998</v>
      </c>
      <c r="Q1189" s="115">
        <v>291.3</v>
      </c>
      <c r="R1189">
        <v>44458</v>
      </c>
    </row>
    <row r="1190" spans="1:18" x14ac:dyDescent="0.25">
      <c r="A1190" s="160">
        <v>43787</v>
      </c>
      <c r="B1190" s="115">
        <v>835</v>
      </c>
      <c r="C1190" s="115">
        <v>796.05</v>
      </c>
      <c r="D1190" s="115">
        <v>793.5</v>
      </c>
      <c r="E1190" s="115">
        <v>800</v>
      </c>
      <c r="F1190" s="115">
        <v>796.05</v>
      </c>
      <c r="G1190">
        <v>164</v>
      </c>
      <c r="H1190" s="115"/>
      <c r="I1190" s="115"/>
      <c r="L1190" s="160">
        <v>43761</v>
      </c>
      <c r="M1190" s="115">
        <v>291.5</v>
      </c>
      <c r="N1190" s="115">
        <v>296</v>
      </c>
      <c r="O1190" s="115">
        <v>288.25</v>
      </c>
      <c r="P1190" s="115">
        <v>289.35000000000002</v>
      </c>
      <c r="Q1190" s="115">
        <v>291.5</v>
      </c>
      <c r="R1190">
        <v>15759</v>
      </c>
    </row>
    <row r="1191" spans="1:18" x14ac:dyDescent="0.25">
      <c r="A1191" s="160">
        <v>43788</v>
      </c>
      <c r="B1191" s="115">
        <v>810</v>
      </c>
      <c r="C1191" s="115">
        <v>796</v>
      </c>
      <c r="D1191" s="115">
        <v>786</v>
      </c>
      <c r="E1191" s="115">
        <v>796</v>
      </c>
      <c r="F1191" s="115">
        <v>796</v>
      </c>
      <c r="G1191">
        <v>1044</v>
      </c>
      <c r="H1191" s="115"/>
      <c r="I1191" s="115"/>
      <c r="L1191" s="160">
        <v>43762</v>
      </c>
      <c r="M1191" s="115">
        <v>291.64999999999998</v>
      </c>
      <c r="N1191" s="115">
        <v>295.5</v>
      </c>
      <c r="O1191" s="115">
        <v>289.25</v>
      </c>
      <c r="P1191" s="115">
        <v>290.25</v>
      </c>
      <c r="Q1191" s="115">
        <v>291.64999999999998</v>
      </c>
      <c r="R1191">
        <v>14000</v>
      </c>
    </row>
    <row r="1192" spans="1:18" x14ac:dyDescent="0.25">
      <c r="A1192" s="160">
        <v>43789</v>
      </c>
      <c r="B1192" s="115">
        <v>800</v>
      </c>
      <c r="C1192" s="115">
        <v>790</v>
      </c>
      <c r="D1192" s="115">
        <v>790</v>
      </c>
      <c r="E1192" s="115">
        <v>791.05</v>
      </c>
      <c r="F1192" s="115">
        <v>790</v>
      </c>
      <c r="G1192">
        <v>307</v>
      </c>
      <c r="H1192" s="115"/>
      <c r="I1192" s="115"/>
      <c r="L1192" s="160">
        <v>43763</v>
      </c>
      <c r="M1192" s="115">
        <v>294.45</v>
      </c>
      <c r="N1192" s="115">
        <v>295</v>
      </c>
      <c r="O1192" s="115">
        <v>288.75</v>
      </c>
      <c r="P1192" s="115">
        <v>292.05</v>
      </c>
      <c r="Q1192" s="115">
        <v>294.45</v>
      </c>
      <c r="R1192">
        <v>8222</v>
      </c>
    </row>
    <row r="1193" spans="1:18" x14ac:dyDescent="0.25">
      <c r="A1193" s="160">
        <v>43790</v>
      </c>
      <c r="B1193" s="115">
        <v>799.7</v>
      </c>
      <c r="C1193" s="115">
        <v>774.8</v>
      </c>
      <c r="D1193" s="115">
        <v>772</v>
      </c>
      <c r="E1193" s="115">
        <v>799.65</v>
      </c>
      <c r="F1193" s="115">
        <v>774.8</v>
      </c>
      <c r="G1193">
        <v>923</v>
      </c>
      <c r="H1193" s="115"/>
      <c r="I1193" s="115"/>
      <c r="L1193" s="160">
        <v>43765</v>
      </c>
      <c r="M1193" s="115">
        <v>291.3</v>
      </c>
      <c r="N1193" s="115">
        <v>297.5</v>
      </c>
      <c r="O1193" s="115">
        <v>288</v>
      </c>
      <c r="P1193" s="115">
        <v>292.45</v>
      </c>
      <c r="Q1193" s="115">
        <v>291.3</v>
      </c>
      <c r="R1193">
        <v>5143</v>
      </c>
    </row>
    <row r="1194" spans="1:18" x14ac:dyDescent="0.25">
      <c r="A1194" s="160">
        <v>43791</v>
      </c>
      <c r="B1194" s="115">
        <v>800</v>
      </c>
      <c r="C1194" s="115">
        <v>782.7</v>
      </c>
      <c r="D1194" s="115">
        <v>782.55</v>
      </c>
      <c r="E1194" s="115">
        <v>793.95</v>
      </c>
      <c r="F1194" s="115">
        <v>782.7</v>
      </c>
      <c r="G1194">
        <v>483</v>
      </c>
      <c r="H1194" s="115"/>
      <c r="I1194" s="115"/>
      <c r="L1194" s="160">
        <v>43767</v>
      </c>
      <c r="M1194" s="115">
        <v>294.35000000000002</v>
      </c>
      <c r="N1194" s="115">
        <v>295.7</v>
      </c>
      <c r="O1194" s="115">
        <v>287.7</v>
      </c>
      <c r="P1194" s="115">
        <v>295</v>
      </c>
      <c r="Q1194" s="115">
        <v>294.35000000000002</v>
      </c>
      <c r="R1194">
        <v>10619</v>
      </c>
    </row>
    <row r="1195" spans="1:18" x14ac:dyDescent="0.25">
      <c r="A1195" s="160">
        <v>43794</v>
      </c>
      <c r="B1195" s="115">
        <v>805</v>
      </c>
      <c r="C1195" s="115">
        <v>799.6</v>
      </c>
      <c r="D1195" s="115">
        <v>790</v>
      </c>
      <c r="E1195" s="115">
        <v>790</v>
      </c>
      <c r="F1195" s="115">
        <v>799.6</v>
      </c>
      <c r="G1195">
        <v>204</v>
      </c>
      <c r="H1195" s="115"/>
      <c r="I1195" s="115"/>
      <c r="L1195" s="160">
        <v>43768</v>
      </c>
      <c r="M1195" s="115">
        <v>292.60000000000002</v>
      </c>
      <c r="N1195" s="115">
        <v>295.89999999999998</v>
      </c>
      <c r="O1195" s="115">
        <v>289.3</v>
      </c>
      <c r="P1195" s="115">
        <v>295</v>
      </c>
      <c r="Q1195" s="115">
        <v>292.60000000000002</v>
      </c>
      <c r="R1195">
        <v>17910</v>
      </c>
    </row>
    <row r="1196" spans="1:18" x14ac:dyDescent="0.25">
      <c r="A1196" s="160">
        <v>43795</v>
      </c>
      <c r="B1196" s="115">
        <v>805</v>
      </c>
      <c r="C1196" s="115">
        <v>787.8</v>
      </c>
      <c r="D1196" s="115">
        <v>767.05</v>
      </c>
      <c r="E1196" s="115">
        <v>805</v>
      </c>
      <c r="F1196" s="115">
        <v>787.8</v>
      </c>
      <c r="G1196">
        <v>171</v>
      </c>
      <c r="H1196" s="115"/>
      <c r="I1196" s="115"/>
      <c r="L1196" s="160">
        <v>43769</v>
      </c>
      <c r="M1196" s="115">
        <v>301.7</v>
      </c>
      <c r="N1196" s="115">
        <v>305.75</v>
      </c>
      <c r="O1196" s="115">
        <v>290.5</v>
      </c>
      <c r="P1196" s="115">
        <v>292.8</v>
      </c>
      <c r="Q1196" s="115">
        <v>301.7</v>
      </c>
      <c r="R1196">
        <v>26154</v>
      </c>
    </row>
    <row r="1197" spans="1:18" x14ac:dyDescent="0.25">
      <c r="A1197" s="160">
        <v>43796</v>
      </c>
      <c r="B1197" s="115">
        <v>804.95</v>
      </c>
      <c r="C1197" s="115">
        <v>798.25</v>
      </c>
      <c r="D1197" s="115">
        <v>781</v>
      </c>
      <c r="E1197" s="115">
        <v>785</v>
      </c>
      <c r="F1197" s="115">
        <v>798.25</v>
      </c>
      <c r="G1197">
        <v>314</v>
      </c>
      <c r="H1197" s="115"/>
      <c r="I1197" s="115"/>
      <c r="L1197" s="160">
        <v>43770</v>
      </c>
      <c r="M1197" s="115">
        <v>299.10000000000002</v>
      </c>
      <c r="N1197" s="115">
        <v>314.5</v>
      </c>
      <c r="O1197" s="115">
        <v>297.05</v>
      </c>
      <c r="P1197" s="115">
        <v>303</v>
      </c>
      <c r="Q1197" s="115">
        <v>299.10000000000002</v>
      </c>
      <c r="R1197">
        <v>24781</v>
      </c>
    </row>
    <row r="1198" spans="1:18" x14ac:dyDescent="0.25">
      <c r="A1198" s="160">
        <v>43797</v>
      </c>
      <c r="B1198" s="115">
        <v>805</v>
      </c>
      <c r="C1198" s="115">
        <v>790.15</v>
      </c>
      <c r="D1198" s="115">
        <v>775</v>
      </c>
      <c r="E1198" s="115">
        <v>775</v>
      </c>
      <c r="F1198" s="115">
        <v>790.15</v>
      </c>
      <c r="G1198">
        <v>230</v>
      </c>
      <c r="H1198" s="115"/>
      <c r="I1198" s="115"/>
      <c r="L1198" s="160">
        <v>43773</v>
      </c>
      <c r="M1198" s="115">
        <v>301.85000000000002</v>
      </c>
      <c r="N1198" s="115">
        <v>305</v>
      </c>
      <c r="O1198" s="115">
        <v>295.95</v>
      </c>
      <c r="P1198" s="115">
        <v>301.10000000000002</v>
      </c>
      <c r="Q1198" s="115">
        <v>301.85000000000002</v>
      </c>
      <c r="R1198">
        <v>28070</v>
      </c>
    </row>
    <row r="1199" spans="1:18" x14ac:dyDescent="0.25">
      <c r="A1199" s="160">
        <v>43798</v>
      </c>
      <c r="B1199" s="115">
        <v>827</v>
      </c>
      <c r="C1199" s="115">
        <v>790.25</v>
      </c>
      <c r="D1199" s="115">
        <v>777.1</v>
      </c>
      <c r="E1199" s="115">
        <v>827</v>
      </c>
      <c r="F1199" s="115">
        <v>790.25</v>
      </c>
      <c r="G1199">
        <v>1951</v>
      </c>
      <c r="H1199" s="115"/>
      <c r="I1199" s="115"/>
      <c r="L1199" s="160">
        <v>43774</v>
      </c>
      <c r="M1199" s="115">
        <v>307.55</v>
      </c>
      <c r="N1199" s="115">
        <v>310</v>
      </c>
      <c r="O1199" s="115">
        <v>298.10000000000002</v>
      </c>
      <c r="P1199" s="115">
        <v>302.85000000000002</v>
      </c>
      <c r="Q1199" s="115">
        <v>307.55</v>
      </c>
      <c r="R1199">
        <v>15398</v>
      </c>
    </row>
    <row r="1200" spans="1:18" x14ac:dyDescent="0.25">
      <c r="A1200" s="160">
        <v>43801</v>
      </c>
      <c r="B1200" s="115">
        <v>800</v>
      </c>
      <c r="C1200" s="115">
        <v>782.9</v>
      </c>
      <c r="D1200" s="115">
        <v>776.05</v>
      </c>
      <c r="E1200" s="115">
        <v>776.05</v>
      </c>
      <c r="F1200" s="115">
        <v>782.9</v>
      </c>
      <c r="G1200">
        <v>659</v>
      </c>
      <c r="H1200" s="115"/>
      <c r="I1200" s="115"/>
      <c r="L1200" s="160">
        <v>43775</v>
      </c>
      <c r="M1200" s="115">
        <v>307.89999999999998</v>
      </c>
      <c r="N1200" s="115">
        <v>313.89999999999998</v>
      </c>
      <c r="O1200" s="115">
        <v>305</v>
      </c>
      <c r="P1200" s="115">
        <v>308.05</v>
      </c>
      <c r="Q1200" s="115">
        <v>307.89999999999998</v>
      </c>
      <c r="R1200">
        <v>9564</v>
      </c>
    </row>
    <row r="1201" spans="1:18" x14ac:dyDescent="0.25">
      <c r="A1201" s="160">
        <v>43802</v>
      </c>
      <c r="B1201" s="115">
        <v>785</v>
      </c>
      <c r="C1201" s="115">
        <v>780</v>
      </c>
      <c r="D1201" s="115">
        <v>780</v>
      </c>
      <c r="E1201" s="115">
        <v>783</v>
      </c>
      <c r="F1201" s="115">
        <v>780</v>
      </c>
      <c r="G1201">
        <v>120</v>
      </c>
      <c r="H1201" s="115"/>
      <c r="I1201" s="115"/>
      <c r="L1201" s="160">
        <v>43776</v>
      </c>
      <c r="M1201" s="115">
        <v>301.7</v>
      </c>
      <c r="N1201" s="115">
        <v>312.2</v>
      </c>
      <c r="O1201" s="115">
        <v>300.3</v>
      </c>
      <c r="P1201" s="115">
        <v>308</v>
      </c>
      <c r="Q1201" s="115">
        <v>301.7</v>
      </c>
      <c r="R1201">
        <v>9083</v>
      </c>
    </row>
    <row r="1202" spans="1:18" x14ac:dyDescent="0.25">
      <c r="A1202" s="160">
        <v>43803</v>
      </c>
      <c r="B1202" s="115">
        <v>810</v>
      </c>
      <c r="C1202" s="115">
        <v>807.55</v>
      </c>
      <c r="D1202" s="115">
        <v>790</v>
      </c>
      <c r="E1202" s="115">
        <v>799</v>
      </c>
      <c r="F1202" s="115">
        <v>807.55</v>
      </c>
      <c r="G1202">
        <v>304</v>
      </c>
      <c r="H1202" s="115"/>
      <c r="I1202" s="115"/>
      <c r="L1202" s="160">
        <v>43777</v>
      </c>
      <c r="M1202" s="115">
        <v>300.95</v>
      </c>
      <c r="N1202" s="115">
        <v>309</v>
      </c>
      <c r="O1202" s="115">
        <v>292.5</v>
      </c>
      <c r="P1202" s="115">
        <v>303.89999999999998</v>
      </c>
      <c r="Q1202" s="115">
        <v>300.95</v>
      </c>
      <c r="R1202">
        <v>25420</v>
      </c>
    </row>
    <row r="1203" spans="1:18" x14ac:dyDescent="0.25">
      <c r="A1203" s="160">
        <v>43804</v>
      </c>
      <c r="B1203" s="115">
        <v>830</v>
      </c>
      <c r="C1203" s="115">
        <v>803.2</v>
      </c>
      <c r="D1203" s="115">
        <v>801.55</v>
      </c>
      <c r="E1203" s="115">
        <v>807.5</v>
      </c>
      <c r="F1203" s="115">
        <v>803.2</v>
      </c>
      <c r="G1203">
        <v>835</v>
      </c>
      <c r="H1203" s="115"/>
      <c r="I1203" s="115"/>
      <c r="L1203" s="160">
        <v>43780</v>
      </c>
      <c r="M1203" s="115">
        <v>309.85000000000002</v>
      </c>
      <c r="N1203" s="115">
        <v>315.39999999999998</v>
      </c>
      <c r="O1203" s="115">
        <v>301</v>
      </c>
      <c r="P1203" s="115">
        <v>301</v>
      </c>
      <c r="Q1203" s="115">
        <v>309.85000000000002</v>
      </c>
      <c r="R1203">
        <v>31957</v>
      </c>
    </row>
    <row r="1204" spans="1:18" x14ac:dyDescent="0.25">
      <c r="A1204" s="160">
        <v>43805</v>
      </c>
      <c r="B1204" s="115">
        <v>816.95</v>
      </c>
      <c r="C1204" s="115">
        <v>793.05</v>
      </c>
      <c r="D1204" s="115">
        <v>780.05</v>
      </c>
      <c r="E1204" s="115">
        <v>781</v>
      </c>
      <c r="F1204" s="115">
        <v>793.05</v>
      </c>
      <c r="G1204">
        <v>130</v>
      </c>
      <c r="H1204" s="115"/>
      <c r="I1204" s="115"/>
      <c r="L1204" s="160">
        <v>43782</v>
      </c>
      <c r="M1204" s="115">
        <v>298.14999999999998</v>
      </c>
      <c r="N1204" s="115">
        <v>318.5</v>
      </c>
      <c r="O1204" s="115">
        <v>295.55</v>
      </c>
      <c r="P1204" s="115">
        <v>309.85000000000002</v>
      </c>
      <c r="Q1204" s="115">
        <v>298.14999999999998</v>
      </c>
      <c r="R1204">
        <v>36599</v>
      </c>
    </row>
    <row r="1205" spans="1:18" x14ac:dyDescent="0.25">
      <c r="A1205" s="160">
        <v>43808</v>
      </c>
      <c r="B1205" s="115">
        <v>785.2</v>
      </c>
      <c r="C1205" s="115">
        <v>785.05</v>
      </c>
      <c r="D1205" s="115">
        <v>785.05</v>
      </c>
      <c r="E1205" s="115">
        <v>785.2</v>
      </c>
      <c r="F1205" s="115">
        <v>785.05</v>
      </c>
      <c r="G1205">
        <v>504</v>
      </c>
      <c r="H1205" s="115"/>
      <c r="I1205" s="115"/>
      <c r="L1205" s="160">
        <v>43783</v>
      </c>
      <c r="M1205" s="115">
        <v>315.60000000000002</v>
      </c>
      <c r="N1205" s="115">
        <v>322.75</v>
      </c>
      <c r="O1205" s="115">
        <v>294</v>
      </c>
      <c r="P1205" s="115">
        <v>304.95</v>
      </c>
      <c r="Q1205" s="115">
        <v>315.60000000000002</v>
      </c>
      <c r="R1205">
        <v>92251</v>
      </c>
    </row>
    <row r="1206" spans="1:18" x14ac:dyDescent="0.25">
      <c r="A1206" s="160">
        <v>43809</v>
      </c>
      <c r="B1206" s="115">
        <v>822</v>
      </c>
      <c r="C1206" s="115">
        <v>780.05</v>
      </c>
      <c r="D1206" s="115">
        <v>775.05</v>
      </c>
      <c r="E1206" s="115">
        <v>790</v>
      </c>
      <c r="F1206" s="115">
        <v>780.05</v>
      </c>
      <c r="G1206">
        <v>841</v>
      </c>
      <c r="H1206" s="115"/>
      <c r="I1206" s="115"/>
      <c r="L1206" s="160">
        <v>43784</v>
      </c>
      <c r="M1206" s="115">
        <v>327.3</v>
      </c>
      <c r="N1206" s="115">
        <v>332</v>
      </c>
      <c r="O1206" s="115">
        <v>317.7</v>
      </c>
      <c r="P1206" s="115">
        <v>320</v>
      </c>
      <c r="Q1206" s="115">
        <v>327.3</v>
      </c>
      <c r="R1206">
        <v>67146</v>
      </c>
    </row>
    <row r="1207" spans="1:18" x14ac:dyDescent="0.25">
      <c r="A1207" s="160">
        <v>43810</v>
      </c>
      <c r="B1207" s="115">
        <v>784.95</v>
      </c>
      <c r="C1207" s="115">
        <v>778.05</v>
      </c>
      <c r="D1207" s="115">
        <v>765.05</v>
      </c>
      <c r="E1207" s="115">
        <v>781</v>
      </c>
      <c r="F1207" s="115">
        <v>778.05</v>
      </c>
      <c r="G1207">
        <v>214</v>
      </c>
      <c r="H1207" s="115"/>
      <c r="I1207" s="115"/>
      <c r="L1207" s="160">
        <v>43787</v>
      </c>
      <c r="M1207" s="115">
        <v>328.2</v>
      </c>
      <c r="N1207" s="115">
        <v>334.8</v>
      </c>
      <c r="O1207" s="115">
        <v>323</v>
      </c>
      <c r="P1207" s="115">
        <v>329.75</v>
      </c>
      <c r="Q1207" s="115">
        <v>328.2</v>
      </c>
      <c r="R1207">
        <v>27710</v>
      </c>
    </row>
    <row r="1208" spans="1:18" x14ac:dyDescent="0.25">
      <c r="A1208" s="160">
        <v>43811</v>
      </c>
      <c r="B1208" s="115">
        <v>790</v>
      </c>
      <c r="C1208" s="115">
        <v>790</v>
      </c>
      <c r="D1208" s="115">
        <v>790</v>
      </c>
      <c r="E1208" s="115">
        <v>790</v>
      </c>
      <c r="F1208" s="115">
        <v>790</v>
      </c>
      <c r="G1208">
        <v>1</v>
      </c>
      <c r="H1208" s="115"/>
      <c r="I1208" s="115"/>
      <c r="L1208" s="160">
        <v>43788</v>
      </c>
      <c r="M1208" s="115">
        <v>324.10000000000002</v>
      </c>
      <c r="N1208" s="115">
        <v>331.15</v>
      </c>
      <c r="O1208" s="115">
        <v>320.05</v>
      </c>
      <c r="P1208" s="115">
        <v>330.2</v>
      </c>
      <c r="Q1208" s="115">
        <v>324.10000000000002</v>
      </c>
      <c r="R1208">
        <v>19995</v>
      </c>
    </row>
    <row r="1209" spans="1:18" x14ac:dyDescent="0.25">
      <c r="A1209" s="160">
        <v>43812</v>
      </c>
      <c r="B1209" s="115">
        <v>800</v>
      </c>
      <c r="C1209" s="115">
        <v>777</v>
      </c>
      <c r="D1209" s="115">
        <v>776</v>
      </c>
      <c r="E1209" s="115">
        <v>800</v>
      </c>
      <c r="F1209" s="115">
        <v>777</v>
      </c>
      <c r="G1209">
        <v>41</v>
      </c>
      <c r="H1209" s="115"/>
      <c r="I1209" s="115"/>
      <c r="L1209" s="160">
        <v>43789</v>
      </c>
      <c r="M1209" s="115">
        <v>315.7</v>
      </c>
      <c r="N1209" s="115">
        <v>324.64999999999998</v>
      </c>
      <c r="O1209" s="115">
        <v>315</v>
      </c>
      <c r="P1209" s="115">
        <v>323.10000000000002</v>
      </c>
      <c r="Q1209" s="115">
        <v>315.7</v>
      </c>
      <c r="R1209">
        <v>18316</v>
      </c>
    </row>
    <row r="1210" spans="1:18" x14ac:dyDescent="0.25">
      <c r="A1210" s="160">
        <v>43815</v>
      </c>
      <c r="B1210" s="115">
        <v>793.8</v>
      </c>
      <c r="C1210" s="115">
        <v>789.55</v>
      </c>
      <c r="D1210" s="115">
        <v>767</v>
      </c>
      <c r="E1210" s="115">
        <v>778</v>
      </c>
      <c r="F1210" s="115">
        <v>789.55</v>
      </c>
      <c r="G1210">
        <v>283</v>
      </c>
      <c r="H1210" s="115"/>
      <c r="I1210" s="115"/>
      <c r="L1210" s="160">
        <v>43790</v>
      </c>
      <c r="M1210" s="115">
        <v>304.75</v>
      </c>
      <c r="N1210" s="115">
        <v>319</v>
      </c>
      <c r="O1210" s="115">
        <v>302.25</v>
      </c>
      <c r="P1210" s="115">
        <v>319</v>
      </c>
      <c r="Q1210" s="115">
        <v>304.75</v>
      </c>
      <c r="R1210">
        <v>24355</v>
      </c>
    </row>
    <row r="1211" spans="1:18" x14ac:dyDescent="0.25">
      <c r="A1211" s="160">
        <v>43816</v>
      </c>
      <c r="B1211" s="115">
        <v>799</v>
      </c>
      <c r="C1211" s="115">
        <v>779.7</v>
      </c>
      <c r="D1211" s="115">
        <v>765.05</v>
      </c>
      <c r="E1211" s="115">
        <v>799</v>
      </c>
      <c r="F1211" s="115">
        <v>779.7</v>
      </c>
      <c r="G1211">
        <v>305</v>
      </c>
      <c r="H1211" s="115"/>
      <c r="I1211" s="115"/>
      <c r="L1211" s="160">
        <v>43791</v>
      </c>
      <c r="M1211" s="115">
        <v>306.2</v>
      </c>
      <c r="N1211" s="115">
        <v>307.85000000000002</v>
      </c>
      <c r="O1211" s="115">
        <v>301.3</v>
      </c>
      <c r="P1211" s="115">
        <v>305</v>
      </c>
      <c r="Q1211" s="115">
        <v>306.2</v>
      </c>
      <c r="R1211">
        <v>13304</v>
      </c>
    </row>
    <row r="1212" spans="1:18" x14ac:dyDescent="0.25">
      <c r="A1212" s="160">
        <v>43817</v>
      </c>
      <c r="B1212" s="115">
        <v>779.95</v>
      </c>
      <c r="C1212" s="115">
        <v>773.85</v>
      </c>
      <c r="D1212" s="115">
        <v>769</v>
      </c>
      <c r="E1212" s="115">
        <v>769.05</v>
      </c>
      <c r="F1212" s="115">
        <v>773.85</v>
      </c>
      <c r="G1212">
        <v>366</v>
      </c>
      <c r="H1212" s="115"/>
      <c r="I1212" s="115"/>
      <c r="L1212" s="160">
        <v>43794</v>
      </c>
      <c r="M1212" s="115">
        <v>309.60000000000002</v>
      </c>
      <c r="N1212" s="115">
        <v>312.5</v>
      </c>
      <c r="O1212" s="115">
        <v>305</v>
      </c>
      <c r="P1212" s="115">
        <v>307.95</v>
      </c>
      <c r="Q1212" s="115">
        <v>309.60000000000002</v>
      </c>
      <c r="R1212">
        <v>8890</v>
      </c>
    </row>
    <row r="1213" spans="1:18" x14ac:dyDescent="0.25">
      <c r="A1213" s="160">
        <v>43818</v>
      </c>
      <c r="B1213" s="115">
        <v>780</v>
      </c>
      <c r="C1213" s="115">
        <v>774.65</v>
      </c>
      <c r="D1213" s="115">
        <v>765.05</v>
      </c>
      <c r="E1213" s="115">
        <v>770.1</v>
      </c>
      <c r="F1213" s="115">
        <v>774.65</v>
      </c>
      <c r="G1213">
        <v>265</v>
      </c>
      <c r="H1213" s="115"/>
      <c r="I1213" s="115"/>
      <c r="L1213" s="160">
        <v>43795</v>
      </c>
      <c r="M1213" s="115">
        <v>298.85000000000002</v>
      </c>
      <c r="N1213" s="115">
        <v>312.45</v>
      </c>
      <c r="O1213" s="115">
        <v>298</v>
      </c>
      <c r="P1213" s="115">
        <v>306.95</v>
      </c>
      <c r="Q1213" s="115">
        <v>298.85000000000002</v>
      </c>
      <c r="R1213">
        <v>23712</v>
      </c>
    </row>
    <row r="1214" spans="1:18" x14ac:dyDescent="0.25">
      <c r="A1214" s="160">
        <v>43819</v>
      </c>
      <c r="B1214" s="115">
        <v>769</v>
      </c>
      <c r="C1214" s="115">
        <v>767.8</v>
      </c>
      <c r="D1214" s="115">
        <v>758</v>
      </c>
      <c r="E1214" s="115">
        <v>765.8</v>
      </c>
      <c r="F1214" s="115">
        <v>767.8</v>
      </c>
      <c r="G1214">
        <v>725</v>
      </c>
      <c r="H1214" s="115"/>
      <c r="I1214" s="115"/>
      <c r="L1214" s="160">
        <v>43796</v>
      </c>
      <c r="M1214" s="115">
        <v>297.60000000000002</v>
      </c>
      <c r="N1214" s="115">
        <v>303.25</v>
      </c>
      <c r="O1214" s="115">
        <v>295.14999999999998</v>
      </c>
      <c r="P1214" s="115">
        <v>301.64999999999998</v>
      </c>
      <c r="Q1214" s="115">
        <v>297.60000000000002</v>
      </c>
      <c r="R1214">
        <v>16177</v>
      </c>
    </row>
    <row r="1215" spans="1:18" x14ac:dyDescent="0.25">
      <c r="A1215" s="160">
        <v>43822</v>
      </c>
      <c r="B1215" s="115">
        <v>788.95</v>
      </c>
      <c r="C1215" s="115">
        <v>762.05</v>
      </c>
      <c r="D1215" s="115">
        <v>757.05</v>
      </c>
      <c r="E1215" s="115">
        <v>757.05</v>
      </c>
      <c r="F1215" s="115">
        <v>762.05</v>
      </c>
      <c r="G1215">
        <v>148</v>
      </c>
      <c r="H1215" s="115"/>
      <c r="I1215" s="115"/>
      <c r="L1215" s="160">
        <v>43797</v>
      </c>
      <c r="M1215" s="115">
        <v>299.89999999999998</v>
      </c>
      <c r="N1215" s="115">
        <v>305.3</v>
      </c>
      <c r="O1215" s="115">
        <v>293</v>
      </c>
      <c r="P1215" s="115">
        <v>297.95</v>
      </c>
      <c r="Q1215" s="115">
        <v>299.89999999999998</v>
      </c>
      <c r="R1215">
        <v>38819</v>
      </c>
    </row>
    <row r="1216" spans="1:18" x14ac:dyDescent="0.25">
      <c r="A1216" s="160">
        <v>43823</v>
      </c>
      <c r="B1216" s="115">
        <v>779</v>
      </c>
      <c r="C1216" s="115">
        <v>766.55</v>
      </c>
      <c r="D1216" s="115">
        <v>765.1</v>
      </c>
      <c r="E1216" s="115">
        <v>779</v>
      </c>
      <c r="F1216" s="115">
        <v>766.55</v>
      </c>
      <c r="G1216">
        <v>240</v>
      </c>
      <c r="H1216" s="115"/>
      <c r="I1216" s="115"/>
      <c r="L1216" s="160">
        <v>43798</v>
      </c>
      <c r="M1216" s="115">
        <v>297.39999999999998</v>
      </c>
      <c r="N1216" s="115">
        <v>305.45</v>
      </c>
      <c r="O1216" s="115">
        <v>295.3</v>
      </c>
      <c r="P1216" s="115">
        <v>300.25</v>
      </c>
      <c r="Q1216" s="115">
        <v>297.39999999999998</v>
      </c>
      <c r="R1216">
        <v>27627</v>
      </c>
    </row>
    <row r="1217" spans="1:18" x14ac:dyDescent="0.25">
      <c r="A1217" s="160">
        <v>43825</v>
      </c>
      <c r="B1217" s="115">
        <v>805</v>
      </c>
      <c r="C1217" s="115">
        <v>802.2</v>
      </c>
      <c r="D1217" s="115">
        <v>757.05</v>
      </c>
      <c r="E1217" s="115">
        <v>757.05</v>
      </c>
      <c r="F1217" s="115">
        <v>802.2</v>
      </c>
      <c r="G1217">
        <v>1730</v>
      </c>
      <c r="H1217" s="115"/>
      <c r="I1217" s="115"/>
      <c r="L1217" s="160">
        <v>43801</v>
      </c>
      <c r="M1217" s="115">
        <v>292.05</v>
      </c>
      <c r="N1217" s="115">
        <v>299.35000000000002</v>
      </c>
      <c r="O1217" s="115">
        <v>290.5</v>
      </c>
      <c r="P1217" s="115">
        <v>299.35000000000002</v>
      </c>
      <c r="Q1217" s="115">
        <v>292.05</v>
      </c>
      <c r="R1217">
        <v>24412</v>
      </c>
    </row>
    <row r="1218" spans="1:18" x14ac:dyDescent="0.25">
      <c r="A1218" s="160">
        <v>43826</v>
      </c>
      <c r="B1218" s="115">
        <v>873</v>
      </c>
      <c r="C1218" s="115">
        <v>830.1</v>
      </c>
      <c r="D1218" s="115">
        <v>787.05</v>
      </c>
      <c r="E1218" s="115">
        <v>787.05</v>
      </c>
      <c r="F1218" s="115">
        <v>830.1</v>
      </c>
      <c r="G1218">
        <v>1252</v>
      </c>
      <c r="H1218" s="115"/>
      <c r="I1218" s="115"/>
      <c r="L1218" s="160">
        <v>43802</v>
      </c>
      <c r="M1218" s="115">
        <v>290.7</v>
      </c>
      <c r="N1218" s="115">
        <v>297</v>
      </c>
      <c r="O1218" s="115">
        <v>290</v>
      </c>
      <c r="P1218" s="115">
        <v>293.2</v>
      </c>
      <c r="Q1218" s="115">
        <v>290.7</v>
      </c>
      <c r="R1218">
        <v>15716</v>
      </c>
    </row>
    <row r="1219" spans="1:18" x14ac:dyDescent="0.25">
      <c r="A1219" s="160">
        <v>43829</v>
      </c>
      <c r="B1219" s="115">
        <v>845</v>
      </c>
      <c r="C1219" s="115">
        <v>834.15</v>
      </c>
      <c r="D1219" s="115">
        <v>816</v>
      </c>
      <c r="E1219" s="115">
        <v>830</v>
      </c>
      <c r="F1219" s="115">
        <v>834.15</v>
      </c>
      <c r="G1219">
        <v>296</v>
      </c>
      <c r="H1219" s="115"/>
      <c r="I1219" s="115"/>
      <c r="L1219" s="160">
        <v>43803</v>
      </c>
      <c r="M1219" s="115">
        <v>292.89999999999998</v>
      </c>
      <c r="N1219" s="115">
        <v>295</v>
      </c>
      <c r="O1219" s="115">
        <v>288.10000000000002</v>
      </c>
      <c r="P1219" s="115">
        <v>291</v>
      </c>
      <c r="Q1219" s="115">
        <v>292.89999999999998</v>
      </c>
      <c r="R1219">
        <v>16364</v>
      </c>
    </row>
    <row r="1220" spans="1:18" x14ac:dyDescent="0.25">
      <c r="A1220" s="160">
        <v>43830</v>
      </c>
      <c r="B1220" s="115">
        <v>995</v>
      </c>
      <c r="C1220" s="115">
        <v>938.35</v>
      </c>
      <c r="D1220" s="115">
        <v>824.5</v>
      </c>
      <c r="E1220" s="115">
        <v>824.5</v>
      </c>
      <c r="F1220" s="115">
        <v>938.35</v>
      </c>
      <c r="G1220">
        <v>3407</v>
      </c>
      <c r="H1220" s="115"/>
      <c r="I1220" s="115"/>
      <c r="L1220" s="160">
        <v>43804</v>
      </c>
      <c r="M1220" s="115">
        <v>307.14999999999998</v>
      </c>
      <c r="N1220" s="115">
        <v>310.55</v>
      </c>
      <c r="O1220" s="115">
        <v>292.5</v>
      </c>
      <c r="P1220" s="115">
        <v>293.5</v>
      </c>
      <c r="Q1220" s="115">
        <v>307.14999999999998</v>
      </c>
      <c r="R1220">
        <v>151073</v>
      </c>
    </row>
    <row r="1221" spans="1:18" x14ac:dyDescent="0.25">
      <c r="A1221" s="160">
        <v>43831</v>
      </c>
      <c r="B1221" s="115">
        <v>964.95</v>
      </c>
      <c r="C1221" s="115">
        <v>930.65</v>
      </c>
      <c r="D1221" s="115">
        <v>911.05</v>
      </c>
      <c r="E1221" s="115">
        <v>964.95</v>
      </c>
      <c r="F1221" s="115">
        <v>930.65</v>
      </c>
      <c r="G1221">
        <v>199</v>
      </c>
      <c r="H1221" s="115"/>
      <c r="I1221" s="115"/>
      <c r="L1221" s="160">
        <v>43805</v>
      </c>
      <c r="M1221" s="115">
        <v>314.60000000000002</v>
      </c>
      <c r="N1221" s="115">
        <v>327.75</v>
      </c>
      <c r="O1221" s="115">
        <v>309.75</v>
      </c>
      <c r="P1221" s="115">
        <v>313</v>
      </c>
      <c r="Q1221" s="115">
        <v>314.60000000000002</v>
      </c>
      <c r="R1221">
        <v>56404</v>
      </c>
    </row>
    <row r="1222" spans="1:18" x14ac:dyDescent="0.25">
      <c r="A1222" s="160">
        <v>43832</v>
      </c>
      <c r="B1222" s="115">
        <v>949.95</v>
      </c>
      <c r="C1222" s="115">
        <v>900</v>
      </c>
      <c r="D1222" s="115">
        <v>900</v>
      </c>
      <c r="E1222" s="115">
        <v>949</v>
      </c>
      <c r="F1222" s="115">
        <v>900</v>
      </c>
      <c r="G1222">
        <v>698</v>
      </c>
      <c r="H1222" s="115"/>
      <c r="I1222" s="115"/>
      <c r="L1222" s="160">
        <v>43808</v>
      </c>
      <c r="M1222" s="115">
        <v>325.14999999999998</v>
      </c>
      <c r="N1222" s="115">
        <v>327.60000000000002</v>
      </c>
      <c r="O1222" s="115">
        <v>311.64999999999998</v>
      </c>
      <c r="P1222" s="115">
        <v>317</v>
      </c>
      <c r="Q1222" s="115">
        <v>325.14999999999998</v>
      </c>
      <c r="R1222">
        <v>31709</v>
      </c>
    </row>
    <row r="1223" spans="1:18" x14ac:dyDescent="0.25">
      <c r="A1223" s="160">
        <v>43833</v>
      </c>
      <c r="B1223" s="115">
        <v>914.9</v>
      </c>
      <c r="C1223" s="115">
        <v>890.15</v>
      </c>
      <c r="D1223" s="115">
        <v>880.5</v>
      </c>
      <c r="E1223" s="115">
        <v>891</v>
      </c>
      <c r="F1223" s="115">
        <v>890.15</v>
      </c>
      <c r="G1223">
        <v>417</v>
      </c>
      <c r="H1223" s="115"/>
      <c r="I1223" s="115"/>
      <c r="L1223" s="160">
        <v>43809</v>
      </c>
      <c r="M1223" s="115">
        <v>318.25</v>
      </c>
      <c r="N1223" s="115">
        <v>330</v>
      </c>
      <c r="O1223" s="115">
        <v>317</v>
      </c>
      <c r="P1223" s="115">
        <v>325</v>
      </c>
      <c r="Q1223" s="115">
        <v>318.25</v>
      </c>
      <c r="R1223">
        <v>26389</v>
      </c>
    </row>
    <row r="1224" spans="1:18" x14ac:dyDescent="0.25">
      <c r="A1224" s="160">
        <v>43836</v>
      </c>
      <c r="B1224" s="115">
        <v>880</v>
      </c>
      <c r="C1224" s="115">
        <v>870.5</v>
      </c>
      <c r="D1224" s="115">
        <v>862.1</v>
      </c>
      <c r="E1224" s="115">
        <v>880</v>
      </c>
      <c r="F1224" s="115">
        <v>870.5</v>
      </c>
      <c r="G1224">
        <v>295</v>
      </c>
      <c r="H1224" s="115"/>
      <c r="I1224" s="115"/>
      <c r="L1224" s="160">
        <v>43810</v>
      </c>
      <c r="M1224" s="115">
        <v>328.35</v>
      </c>
      <c r="N1224" s="115">
        <v>332.75</v>
      </c>
      <c r="O1224" s="115">
        <v>316</v>
      </c>
      <c r="P1224" s="115">
        <v>322</v>
      </c>
      <c r="Q1224" s="115">
        <v>328.35</v>
      </c>
      <c r="R1224">
        <v>45179</v>
      </c>
    </row>
    <row r="1225" spans="1:18" x14ac:dyDescent="0.25">
      <c r="A1225" s="160">
        <v>43837</v>
      </c>
      <c r="B1225" s="115">
        <v>889.95</v>
      </c>
      <c r="C1225" s="115">
        <v>879.45</v>
      </c>
      <c r="D1225" s="115">
        <v>840</v>
      </c>
      <c r="E1225" s="115">
        <v>861.4</v>
      </c>
      <c r="F1225" s="115">
        <v>879.45</v>
      </c>
      <c r="G1225">
        <v>2211</v>
      </c>
      <c r="H1225" s="115"/>
      <c r="I1225" s="115"/>
      <c r="L1225" s="160">
        <v>43811</v>
      </c>
      <c r="M1225" s="115">
        <v>335.25</v>
      </c>
      <c r="N1225" s="115">
        <v>338.9</v>
      </c>
      <c r="O1225" s="115">
        <v>325.85000000000002</v>
      </c>
      <c r="P1225" s="115">
        <v>331.95</v>
      </c>
      <c r="Q1225" s="115">
        <v>335.25</v>
      </c>
      <c r="R1225">
        <v>30248</v>
      </c>
    </row>
    <row r="1226" spans="1:18" x14ac:dyDescent="0.25">
      <c r="A1226" s="160">
        <v>43838</v>
      </c>
      <c r="B1226" s="115">
        <v>909.4</v>
      </c>
      <c r="C1226" s="115">
        <v>902.35</v>
      </c>
      <c r="D1226" s="115">
        <v>880</v>
      </c>
      <c r="E1226" s="115">
        <v>880</v>
      </c>
      <c r="F1226" s="115">
        <v>902.35</v>
      </c>
      <c r="G1226">
        <v>1967</v>
      </c>
      <c r="H1226" s="115"/>
      <c r="I1226" s="115"/>
      <c r="L1226" s="160">
        <v>43812</v>
      </c>
      <c r="M1226" s="115">
        <v>330.45</v>
      </c>
      <c r="N1226" s="115">
        <v>339.95</v>
      </c>
      <c r="O1226" s="115">
        <v>322.05</v>
      </c>
      <c r="P1226" s="115">
        <v>330.45</v>
      </c>
      <c r="Q1226" s="115">
        <v>330.45</v>
      </c>
      <c r="R1226">
        <v>23738</v>
      </c>
    </row>
    <row r="1227" spans="1:18" x14ac:dyDescent="0.25">
      <c r="A1227" s="160">
        <v>43839</v>
      </c>
      <c r="B1227" s="115">
        <v>922</v>
      </c>
      <c r="C1227" s="115">
        <v>920.15</v>
      </c>
      <c r="D1227" s="115">
        <v>895</v>
      </c>
      <c r="E1227" s="115">
        <v>909</v>
      </c>
      <c r="F1227" s="115">
        <v>920.15</v>
      </c>
      <c r="G1227">
        <v>1290</v>
      </c>
      <c r="H1227" s="115"/>
      <c r="I1227" s="115"/>
      <c r="L1227" s="160">
        <v>43815</v>
      </c>
      <c r="M1227" s="115">
        <v>340.65</v>
      </c>
      <c r="N1227" s="115">
        <v>344.5</v>
      </c>
      <c r="O1227" s="115">
        <v>330.45</v>
      </c>
      <c r="P1227" s="115">
        <v>331.25</v>
      </c>
      <c r="Q1227" s="115">
        <v>340.65</v>
      </c>
      <c r="R1227">
        <v>25123</v>
      </c>
    </row>
    <row r="1228" spans="1:18" x14ac:dyDescent="0.25">
      <c r="A1228" s="160">
        <v>43840</v>
      </c>
      <c r="B1228" s="115">
        <v>911.45</v>
      </c>
      <c r="C1228" s="115">
        <v>903.1</v>
      </c>
      <c r="D1228" s="115">
        <v>887</v>
      </c>
      <c r="E1228" s="115">
        <v>911.45</v>
      </c>
      <c r="F1228" s="115">
        <v>903.1</v>
      </c>
      <c r="G1228">
        <v>87</v>
      </c>
      <c r="H1228" s="115"/>
      <c r="I1228" s="115"/>
      <c r="L1228" s="160">
        <v>43816</v>
      </c>
      <c r="M1228" s="115">
        <v>345.95</v>
      </c>
      <c r="N1228" s="115">
        <v>351.4</v>
      </c>
      <c r="O1228" s="115">
        <v>340.1</v>
      </c>
      <c r="P1228" s="115">
        <v>345.9</v>
      </c>
      <c r="Q1228" s="115">
        <v>345.95</v>
      </c>
      <c r="R1228">
        <v>36726</v>
      </c>
    </row>
    <row r="1229" spans="1:18" x14ac:dyDescent="0.25">
      <c r="A1229" s="160">
        <v>43843</v>
      </c>
      <c r="B1229" s="115">
        <v>893.95</v>
      </c>
      <c r="C1229" s="115">
        <v>893.95</v>
      </c>
      <c r="D1229" s="115">
        <v>882.5</v>
      </c>
      <c r="E1229" s="115">
        <v>885.05</v>
      </c>
      <c r="F1229" s="115">
        <v>893.95</v>
      </c>
      <c r="G1229">
        <v>280</v>
      </c>
      <c r="H1229" s="115"/>
      <c r="I1229" s="115"/>
      <c r="L1229" s="160">
        <v>43817</v>
      </c>
      <c r="M1229" s="115">
        <v>363.75</v>
      </c>
      <c r="N1229" s="115">
        <v>384.45</v>
      </c>
      <c r="O1229" s="115">
        <v>345.7</v>
      </c>
      <c r="P1229" s="115">
        <v>350</v>
      </c>
      <c r="Q1229" s="115">
        <v>363.75</v>
      </c>
      <c r="R1229">
        <v>101049</v>
      </c>
    </row>
    <row r="1230" spans="1:18" x14ac:dyDescent="0.25">
      <c r="A1230" s="160">
        <v>43844</v>
      </c>
      <c r="B1230" s="115">
        <v>918</v>
      </c>
      <c r="C1230" s="115">
        <v>895</v>
      </c>
      <c r="D1230" s="115">
        <v>877</v>
      </c>
      <c r="E1230" s="115">
        <v>918</v>
      </c>
      <c r="F1230" s="115">
        <v>895</v>
      </c>
      <c r="G1230">
        <v>533</v>
      </c>
      <c r="H1230" s="115"/>
      <c r="I1230" s="115"/>
      <c r="L1230" s="160">
        <v>43818</v>
      </c>
      <c r="M1230" s="115">
        <v>367.55</v>
      </c>
      <c r="N1230" s="115">
        <v>374.35</v>
      </c>
      <c r="O1230" s="115">
        <v>356</v>
      </c>
      <c r="P1230" s="115">
        <v>360</v>
      </c>
      <c r="Q1230" s="115">
        <v>367.55</v>
      </c>
      <c r="R1230">
        <v>38516</v>
      </c>
    </row>
    <row r="1231" spans="1:18" x14ac:dyDescent="0.25">
      <c r="A1231" s="160">
        <v>43845</v>
      </c>
      <c r="B1231" s="115">
        <v>913.9</v>
      </c>
      <c r="C1231" s="115">
        <v>901</v>
      </c>
      <c r="D1231" s="115">
        <v>881.05</v>
      </c>
      <c r="E1231" s="115">
        <v>903.7</v>
      </c>
      <c r="F1231" s="115">
        <v>901</v>
      </c>
      <c r="G1231">
        <v>373</v>
      </c>
      <c r="H1231" s="115"/>
      <c r="I1231" s="115"/>
      <c r="L1231" s="160">
        <v>43819</v>
      </c>
      <c r="M1231" s="115">
        <v>370.55</v>
      </c>
      <c r="N1231" s="115">
        <v>376</v>
      </c>
      <c r="O1231" s="115">
        <v>367</v>
      </c>
      <c r="P1231" s="115">
        <v>369</v>
      </c>
      <c r="Q1231" s="115">
        <v>370.55</v>
      </c>
      <c r="R1231">
        <v>17404</v>
      </c>
    </row>
    <row r="1232" spans="1:18" x14ac:dyDescent="0.25">
      <c r="A1232" s="160">
        <v>43846</v>
      </c>
      <c r="B1232" s="115">
        <v>950</v>
      </c>
      <c r="C1232" s="115">
        <v>928.55</v>
      </c>
      <c r="D1232" s="115">
        <v>900.5</v>
      </c>
      <c r="E1232" s="115">
        <v>926</v>
      </c>
      <c r="F1232" s="115">
        <v>928.55</v>
      </c>
      <c r="G1232">
        <v>1497</v>
      </c>
      <c r="H1232" s="115"/>
      <c r="I1232" s="115"/>
      <c r="L1232" s="160">
        <v>43822</v>
      </c>
      <c r="M1232" s="115">
        <v>377.15</v>
      </c>
      <c r="N1232" s="115">
        <v>379.95</v>
      </c>
      <c r="O1232" s="115">
        <v>367.2</v>
      </c>
      <c r="P1232" s="115">
        <v>373.5</v>
      </c>
      <c r="Q1232" s="115">
        <v>377.15</v>
      </c>
      <c r="R1232">
        <v>27300</v>
      </c>
    </row>
    <row r="1233" spans="1:18" x14ac:dyDescent="0.25">
      <c r="A1233" s="160">
        <v>43847</v>
      </c>
      <c r="B1233" s="115">
        <v>999</v>
      </c>
      <c r="C1233" s="115">
        <v>993.5</v>
      </c>
      <c r="D1233" s="115">
        <v>925</v>
      </c>
      <c r="E1233" s="115">
        <v>930</v>
      </c>
      <c r="F1233" s="115">
        <v>993.5</v>
      </c>
      <c r="G1233">
        <v>2854</v>
      </c>
      <c r="H1233" s="115"/>
      <c r="I1233" s="115"/>
      <c r="L1233" s="160">
        <v>43823</v>
      </c>
      <c r="M1233" s="115">
        <v>387.4</v>
      </c>
      <c r="N1233" s="115">
        <v>394.55</v>
      </c>
      <c r="O1233" s="115">
        <v>379.45</v>
      </c>
      <c r="P1233" s="115">
        <v>380.9</v>
      </c>
      <c r="Q1233" s="115">
        <v>387.4</v>
      </c>
      <c r="R1233">
        <v>48454</v>
      </c>
    </row>
    <row r="1234" spans="1:18" x14ac:dyDescent="0.25">
      <c r="A1234" s="160">
        <v>43850</v>
      </c>
      <c r="B1234" s="115">
        <v>1029</v>
      </c>
      <c r="C1234" s="115">
        <v>959.8</v>
      </c>
      <c r="D1234" s="115">
        <v>950</v>
      </c>
      <c r="E1234" s="115">
        <v>1029</v>
      </c>
      <c r="F1234" s="115">
        <v>959.8</v>
      </c>
      <c r="G1234">
        <v>656</v>
      </c>
      <c r="H1234" s="115"/>
      <c r="I1234" s="115"/>
      <c r="L1234" s="160">
        <v>43825</v>
      </c>
      <c r="M1234" s="115">
        <v>395.7</v>
      </c>
      <c r="N1234" s="115">
        <v>407.2</v>
      </c>
      <c r="O1234" s="115">
        <v>387.05</v>
      </c>
      <c r="P1234" s="115">
        <v>388.1</v>
      </c>
      <c r="Q1234" s="115">
        <v>395.7</v>
      </c>
      <c r="R1234">
        <v>59707</v>
      </c>
    </row>
    <row r="1235" spans="1:18" x14ac:dyDescent="0.25">
      <c r="A1235" s="160">
        <v>43851</v>
      </c>
      <c r="B1235" s="115">
        <v>984</v>
      </c>
      <c r="C1235" s="115">
        <v>947.1</v>
      </c>
      <c r="D1235" s="115">
        <v>931.35</v>
      </c>
      <c r="E1235" s="115">
        <v>973</v>
      </c>
      <c r="F1235" s="115">
        <v>947.1</v>
      </c>
      <c r="G1235">
        <v>82</v>
      </c>
      <c r="H1235" s="115"/>
      <c r="I1235" s="115"/>
      <c r="L1235" s="160">
        <v>43826</v>
      </c>
      <c r="M1235" s="115">
        <v>402.85</v>
      </c>
      <c r="N1235" s="115">
        <v>404</v>
      </c>
      <c r="O1235" s="115">
        <v>396</v>
      </c>
      <c r="P1235" s="115">
        <v>397.95</v>
      </c>
      <c r="Q1235" s="115">
        <v>402.85</v>
      </c>
      <c r="R1235">
        <v>18098</v>
      </c>
    </row>
    <row r="1236" spans="1:18" x14ac:dyDescent="0.25">
      <c r="A1236" s="160">
        <v>43852</v>
      </c>
      <c r="B1236" s="115">
        <v>974.9</v>
      </c>
      <c r="C1236" s="115">
        <v>965.9</v>
      </c>
      <c r="D1236" s="115">
        <v>918.4</v>
      </c>
      <c r="E1236" s="115">
        <v>970</v>
      </c>
      <c r="F1236" s="115">
        <v>965.9</v>
      </c>
      <c r="G1236">
        <v>1422</v>
      </c>
      <c r="H1236" s="115"/>
      <c r="I1236" s="115"/>
      <c r="L1236" s="160">
        <v>43829</v>
      </c>
      <c r="M1236" s="115">
        <v>413.6</v>
      </c>
      <c r="N1236" s="115">
        <v>418.4</v>
      </c>
      <c r="O1236" s="115">
        <v>398.5</v>
      </c>
      <c r="P1236" s="115">
        <v>400</v>
      </c>
      <c r="Q1236" s="115">
        <v>413.6</v>
      </c>
      <c r="R1236">
        <v>34811</v>
      </c>
    </row>
    <row r="1237" spans="1:18" x14ac:dyDescent="0.25">
      <c r="A1237" s="160">
        <v>43853</v>
      </c>
      <c r="B1237" s="115">
        <v>965.95</v>
      </c>
      <c r="C1237" s="115">
        <v>945.15</v>
      </c>
      <c r="D1237" s="115">
        <v>941</v>
      </c>
      <c r="E1237" s="115">
        <v>945.05</v>
      </c>
      <c r="F1237" s="115">
        <v>945.15</v>
      </c>
      <c r="G1237">
        <v>134</v>
      </c>
      <c r="H1237" s="115"/>
      <c r="I1237" s="115"/>
      <c r="L1237" s="160">
        <v>43830</v>
      </c>
      <c r="M1237" s="115">
        <v>405.55</v>
      </c>
      <c r="N1237" s="115">
        <v>425</v>
      </c>
      <c r="O1237" s="115">
        <v>396.3</v>
      </c>
      <c r="P1237" s="115">
        <v>417.95</v>
      </c>
      <c r="Q1237" s="115">
        <v>405.55</v>
      </c>
      <c r="R1237">
        <v>48227</v>
      </c>
    </row>
    <row r="1238" spans="1:18" x14ac:dyDescent="0.25">
      <c r="A1238" s="160">
        <v>43854</v>
      </c>
      <c r="B1238" s="115">
        <v>1050</v>
      </c>
      <c r="C1238" s="115">
        <v>995.65</v>
      </c>
      <c r="D1238" s="115">
        <v>932</v>
      </c>
      <c r="E1238" s="115">
        <v>960</v>
      </c>
      <c r="F1238" s="115">
        <v>995.65</v>
      </c>
      <c r="G1238">
        <v>13936</v>
      </c>
      <c r="H1238" s="115"/>
      <c r="I1238" s="115"/>
      <c r="L1238" s="160">
        <v>43831</v>
      </c>
      <c r="M1238" s="115">
        <v>420</v>
      </c>
      <c r="N1238" s="115">
        <v>423</v>
      </c>
      <c r="O1238" s="115">
        <v>397</v>
      </c>
      <c r="P1238" s="115">
        <v>402.75</v>
      </c>
      <c r="Q1238" s="115">
        <v>420</v>
      </c>
      <c r="R1238">
        <v>27691</v>
      </c>
    </row>
    <row r="1239" spans="1:18" x14ac:dyDescent="0.25">
      <c r="A1239" s="160">
        <v>43857</v>
      </c>
      <c r="B1239" s="115">
        <v>1010</v>
      </c>
      <c r="C1239" s="115">
        <v>990.65</v>
      </c>
      <c r="D1239" s="115">
        <v>990</v>
      </c>
      <c r="E1239" s="115">
        <v>996</v>
      </c>
      <c r="F1239" s="115">
        <v>990.65</v>
      </c>
      <c r="G1239">
        <v>770</v>
      </c>
      <c r="H1239" s="115"/>
      <c r="I1239" s="115"/>
      <c r="L1239" s="160">
        <v>43832</v>
      </c>
      <c r="M1239" s="115">
        <v>415.15</v>
      </c>
      <c r="N1239" s="115">
        <v>423.8</v>
      </c>
      <c r="O1239" s="115">
        <v>411.25</v>
      </c>
      <c r="P1239" s="115">
        <v>423.3</v>
      </c>
      <c r="Q1239" s="115">
        <v>415.15</v>
      </c>
      <c r="R1239">
        <v>11535</v>
      </c>
    </row>
    <row r="1240" spans="1:18" x14ac:dyDescent="0.25">
      <c r="A1240" s="160">
        <v>43858</v>
      </c>
      <c r="B1240" s="115">
        <v>993.95</v>
      </c>
      <c r="C1240" s="115">
        <v>963.1</v>
      </c>
      <c r="D1240" s="115">
        <v>960</v>
      </c>
      <c r="E1240" s="115">
        <v>983.05</v>
      </c>
      <c r="F1240" s="115">
        <v>963.1</v>
      </c>
      <c r="G1240">
        <v>486</v>
      </c>
      <c r="H1240" s="115"/>
      <c r="I1240" s="115"/>
      <c r="L1240" s="160">
        <v>43833</v>
      </c>
      <c r="M1240" s="115">
        <v>416.3</v>
      </c>
      <c r="N1240" s="115">
        <v>423</v>
      </c>
      <c r="O1240" s="115">
        <v>410.1</v>
      </c>
      <c r="P1240" s="115">
        <v>410.15</v>
      </c>
      <c r="Q1240" s="115">
        <v>416.3</v>
      </c>
      <c r="R1240">
        <v>21169</v>
      </c>
    </row>
    <row r="1241" spans="1:18" x14ac:dyDescent="0.25">
      <c r="A1241" s="160">
        <v>43859</v>
      </c>
      <c r="B1241" s="115">
        <v>988.95</v>
      </c>
      <c r="C1241" s="115">
        <v>946.95</v>
      </c>
      <c r="D1241" s="115">
        <v>936</v>
      </c>
      <c r="E1241" s="115">
        <v>988.95</v>
      </c>
      <c r="F1241" s="115">
        <v>946.95</v>
      </c>
      <c r="G1241">
        <v>503</v>
      </c>
      <c r="H1241" s="115"/>
      <c r="I1241" s="115"/>
      <c r="L1241" s="160">
        <v>43836</v>
      </c>
      <c r="M1241" s="115">
        <v>412.2</v>
      </c>
      <c r="N1241" s="115">
        <v>416.95</v>
      </c>
      <c r="O1241" s="115">
        <v>403</v>
      </c>
      <c r="P1241" s="115">
        <v>406</v>
      </c>
      <c r="Q1241" s="115">
        <v>412.2</v>
      </c>
      <c r="R1241">
        <v>33555</v>
      </c>
    </row>
    <row r="1242" spans="1:18" x14ac:dyDescent="0.25">
      <c r="A1242" s="160">
        <v>43860</v>
      </c>
      <c r="B1242" s="115">
        <v>936.05</v>
      </c>
      <c r="C1242" s="115">
        <v>922.7</v>
      </c>
      <c r="D1242" s="115">
        <v>900</v>
      </c>
      <c r="E1242" s="115">
        <v>936.05</v>
      </c>
      <c r="F1242" s="115">
        <v>922.7</v>
      </c>
      <c r="G1242">
        <v>1059</v>
      </c>
      <c r="H1242" s="115"/>
      <c r="I1242" s="115"/>
      <c r="L1242" s="160">
        <v>43837</v>
      </c>
      <c r="M1242" s="115">
        <v>417.55</v>
      </c>
      <c r="N1242" s="115">
        <v>420.95</v>
      </c>
      <c r="O1242" s="115">
        <v>405</v>
      </c>
      <c r="P1242" s="115">
        <v>412.5</v>
      </c>
      <c r="Q1242" s="115">
        <v>417.55</v>
      </c>
      <c r="R1242">
        <v>16929</v>
      </c>
    </row>
    <row r="1243" spans="1:18" x14ac:dyDescent="0.25">
      <c r="A1243" s="160">
        <v>43861</v>
      </c>
      <c r="B1243" s="115">
        <v>960</v>
      </c>
      <c r="C1243" s="115">
        <v>950.6</v>
      </c>
      <c r="D1243" s="115">
        <v>900.05</v>
      </c>
      <c r="E1243" s="115">
        <v>900.05</v>
      </c>
      <c r="F1243" s="115">
        <v>950.6</v>
      </c>
      <c r="G1243">
        <v>746</v>
      </c>
      <c r="H1243" s="115"/>
      <c r="I1243" s="115"/>
      <c r="L1243" s="160">
        <v>43838</v>
      </c>
      <c r="M1243" s="115">
        <v>410.35</v>
      </c>
      <c r="N1243" s="115">
        <v>417.85</v>
      </c>
      <c r="O1243" s="115">
        <v>405.05</v>
      </c>
      <c r="P1243" s="115">
        <v>405.05</v>
      </c>
      <c r="Q1243" s="115">
        <v>410.35</v>
      </c>
      <c r="R1243">
        <v>15534</v>
      </c>
    </row>
    <row r="1244" spans="1:18" x14ac:dyDescent="0.25">
      <c r="A1244" s="160">
        <v>43862</v>
      </c>
      <c r="B1244" s="115">
        <v>927.6</v>
      </c>
      <c r="C1244" s="115">
        <v>897.7</v>
      </c>
      <c r="D1244" s="115">
        <v>889</v>
      </c>
      <c r="E1244" s="115">
        <v>926.85</v>
      </c>
      <c r="F1244" s="115">
        <v>897.7</v>
      </c>
      <c r="G1244">
        <v>1273</v>
      </c>
      <c r="H1244" s="115"/>
      <c r="I1244" s="115"/>
      <c r="L1244" s="160">
        <v>43839</v>
      </c>
      <c r="M1244" s="115">
        <v>415.5</v>
      </c>
      <c r="N1244" s="115">
        <v>418.95</v>
      </c>
      <c r="O1244" s="115">
        <v>410</v>
      </c>
      <c r="P1244" s="115">
        <v>415.95</v>
      </c>
      <c r="Q1244" s="115">
        <v>415.5</v>
      </c>
      <c r="R1244">
        <v>15064</v>
      </c>
    </row>
    <row r="1245" spans="1:18" x14ac:dyDescent="0.25">
      <c r="A1245" s="160">
        <v>43864</v>
      </c>
      <c r="B1245" s="115">
        <v>917</v>
      </c>
      <c r="C1245" s="115">
        <v>894.55</v>
      </c>
      <c r="D1245" s="115">
        <v>878.05</v>
      </c>
      <c r="E1245" s="115">
        <v>878.05</v>
      </c>
      <c r="F1245" s="115">
        <v>894.55</v>
      </c>
      <c r="G1245">
        <v>17</v>
      </c>
      <c r="H1245" s="115"/>
      <c r="I1245" s="115"/>
      <c r="L1245" s="160">
        <v>43840</v>
      </c>
      <c r="M1245" s="115">
        <v>428.3</v>
      </c>
      <c r="N1245" s="115">
        <v>437</v>
      </c>
      <c r="O1245" s="115">
        <v>407.8</v>
      </c>
      <c r="P1245" s="115">
        <v>415.5</v>
      </c>
      <c r="Q1245" s="115">
        <v>428.3</v>
      </c>
      <c r="R1245">
        <v>50896</v>
      </c>
    </row>
    <row r="1246" spans="1:18" x14ac:dyDescent="0.25">
      <c r="A1246" s="160">
        <v>43865</v>
      </c>
      <c r="B1246" s="115">
        <v>948.85</v>
      </c>
      <c r="C1246" s="115">
        <v>938</v>
      </c>
      <c r="D1246" s="115">
        <v>900</v>
      </c>
      <c r="E1246" s="115">
        <v>900</v>
      </c>
      <c r="F1246" s="115">
        <v>938</v>
      </c>
      <c r="G1246">
        <v>369</v>
      </c>
      <c r="H1246" s="115"/>
      <c r="I1246" s="115"/>
      <c r="L1246" s="160">
        <v>43843</v>
      </c>
      <c r="M1246" s="115">
        <v>453.4</v>
      </c>
      <c r="N1246" s="115">
        <v>462</v>
      </c>
      <c r="O1246" s="115">
        <v>427.95</v>
      </c>
      <c r="P1246" s="115">
        <v>428</v>
      </c>
      <c r="Q1246" s="115">
        <v>453.4</v>
      </c>
      <c r="R1246">
        <v>44206</v>
      </c>
    </row>
    <row r="1247" spans="1:18" x14ac:dyDescent="0.25">
      <c r="A1247" s="160">
        <v>43866</v>
      </c>
      <c r="B1247" s="115">
        <v>949.6</v>
      </c>
      <c r="C1247" s="115">
        <v>909.15</v>
      </c>
      <c r="D1247" s="115">
        <v>900.95</v>
      </c>
      <c r="E1247" s="115">
        <v>904</v>
      </c>
      <c r="F1247" s="115">
        <v>909.15</v>
      </c>
      <c r="G1247">
        <v>891</v>
      </c>
      <c r="H1247" s="115"/>
      <c r="I1247" s="115"/>
      <c r="L1247" s="160">
        <v>43844</v>
      </c>
      <c r="M1247" s="115">
        <v>448.55</v>
      </c>
      <c r="N1247" s="115">
        <v>458.45</v>
      </c>
      <c r="O1247" s="115">
        <v>428.9</v>
      </c>
      <c r="P1247" s="115">
        <v>458.4</v>
      </c>
      <c r="Q1247" s="115">
        <v>448.55</v>
      </c>
      <c r="R1247">
        <v>24843</v>
      </c>
    </row>
    <row r="1248" spans="1:18" x14ac:dyDescent="0.25">
      <c r="A1248" s="160">
        <v>43867</v>
      </c>
      <c r="B1248" s="115">
        <v>969.5</v>
      </c>
      <c r="C1248" s="115">
        <v>902</v>
      </c>
      <c r="D1248" s="115">
        <v>901.05</v>
      </c>
      <c r="E1248" s="115">
        <v>969.5</v>
      </c>
      <c r="F1248" s="115">
        <v>902</v>
      </c>
      <c r="G1248">
        <v>1020</v>
      </c>
      <c r="H1248" s="115"/>
      <c r="I1248" s="115"/>
      <c r="L1248" s="160">
        <v>43845</v>
      </c>
      <c r="M1248" s="115">
        <v>450.1</v>
      </c>
      <c r="N1248" s="115">
        <v>457.55</v>
      </c>
      <c r="O1248" s="115">
        <v>442.25</v>
      </c>
      <c r="P1248" s="115">
        <v>448.55</v>
      </c>
      <c r="Q1248" s="115">
        <v>450.1</v>
      </c>
      <c r="R1248">
        <v>132309</v>
      </c>
    </row>
    <row r="1249" spans="1:18" x14ac:dyDescent="0.25">
      <c r="A1249" s="160">
        <v>43868</v>
      </c>
      <c r="B1249" s="115">
        <v>954</v>
      </c>
      <c r="C1249" s="115">
        <v>924.15</v>
      </c>
      <c r="D1249" s="115">
        <v>890</v>
      </c>
      <c r="E1249" s="115">
        <v>911</v>
      </c>
      <c r="F1249" s="115">
        <v>924.15</v>
      </c>
      <c r="G1249">
        <v>3218</v>
      </c>
      <c r="H1249" s="115"/>
      <c r="I1249" s="115"/>
      <c r="L1249" s="160">
        <v>43846</v>
      </c>
      <c r="M1249" s="115">
        <v>444.2</v>
      </c>
      <c r="N1249" s="115">
        <v>454.8</v>
      </c>
      <c r="O1249" s="115">
        <v>442</v>
      </c>
      <c r="P1249" s="115">
        <v>453.95</v>
      </c>
      <c r="Q1249" s="115">
        <v>444.2</v>
      </c>
      <c r="R1249">
        <v>8210</v>
      </c>
    </row>
    <row r="1250" spans="1:18" x14ac:dyDescent="0.25">
      <c r="A1250" s="160">
        <v>43871</v>
      </c>
      <c r="B1250" s="115">
        <v>905</v>
      </c>
      <c r="C1250" s="115">
        <v>848.7</v>
      </c>
      <c r="D1250" s="115">
        <v>841</v>
      </c>
      <c r="E1250" s="115">
        <v>905</v>
      </c>
      <c r="F1250" s="115">
        <v>848.7</v>
      </c>
      <c r="G1250">
        <v>3391</v>
      </c>
      <c r="H1250" s="115"/>
      <c r="I1250" s="115"/>
      <c r="L1250" s="160">
        <v>43847</v>
      </c>
      <c r="M1250" s="115">
        <v>479.85</v>
      </c>
      <c r="N1250" s="115">
        <v>484</v>
      </c>
      <c r="O1250" s="115">
        <v>452.15</v>
      </c>
      <c r="P1250" s="115">
        <v>452.95</v>
      </c>
      <c r="Q1250" s="115">
        <v>479.85</v>
      </c>
      <c r="R1250">
        <v>90728</v>
      </c>
    </row>
    <row r="1251" spans="1:18" x14ac:dyDescent="0.25">
      <c r="A1251" s="160">
        <v>43872</v>
      </c>
      <c r="B1251" s="115">
        <v>850</v>
      </c>
      <c r="C1251" s="115">
        <v>835</v>
      </c>
      <c r="D1251" s="115">
        <v>825.15</v>
      </c>
      <c r="E1251" s="115">
        <v>850</v>
      </c>
      <c r="F1251" s="115">
        <v>835</v>
      </c>
      <c r="G1251">
        <v>1343</v>
      </c>
      <c r="H1251" s="115"/>
      <c r="I1251" s="115"/>
      <c r="L1251" s="160">
        <v>43850</v>
      </c>
      <c r="M1251" s="115">
        <v>467.3</v>
      </c>
      <c r="N1251" s="115">
        <v>489.45</v>
      </c>
      <c r="O1251" s="115">
        <v>456</v>
      </c>
      <c r="P1251" s="115">
        <v>485</v>
      </c>
      <c r="Q1251" s="115">
        <v>467.3</v>
      </c>
      <c r="R1251">
        <v>29019</v>
      </c>
    </row>
    <row r="1252" spans="1:18" x14ac:dyDescent="0.25">
      <c r="A1252" s="160">
        <v>43873</v>
      </c>
      <c r="B1252" s="115">
        <v>843.95</v>
      </c>
      <c r="C1252" s="115">
        <v>824.05</v>
      </c>
      <c r="D1252" s="115">
        <v>810</v>
      </c>
      <c r="E1252" s="115">
        <v>843.95</v>
      </c>
      <c r="F1252" s="115">
        <v>824.05</v>
      </c>
      <c r="G1252">
        <v>2957</v>
      </c>
      <c r="H1252" s="115"/>
      <c r="I1252" s="115"/>
      <c r="L1252" s="160">
        <v>43851</v>
      </c>
      <c r="M1252" s="115">
        <v>448.05</v>
      </c>
      <c r="N1252" s="115">
        <v>473</v>
      </c>
      <c r="O1252" s="115">
        <v>444.05</v>
      </c>
      <c r="P1252" s="115">
        <v>470.95</v>
      </c>
      <c r="Q1252" s="115">
        <v>448.05</v>
      </c>
      <c r="R1252">
        <v>24620</v>
      </c>
    </row>
    <row r="1253" spans="1:18" x14ac:dyDescent="0.25">
      <c r="A1253" s="160">
        <v>43874</v>
      </c>
      <c r="B1253" s="115">
        <v>822</v>
      </c>
      <c r="C1253" s="115">
        <v>799.15</v>
      </c>
      <c r="D1253" s="115">
        <v>793.5</v>
      </c>
      <c r="E1253" s="115">
        <v>822</v>
      </c>
      <c r="F1253" s="115">
        <v>799.15</v>
      </c>
      <c r="G1253">
        <v>4051</v>
      </c>
      <c r="H1253" s="115"/>
      <c r="I1253" s="115"/>
      <c r="L1253" s="160">
        <v>43852</v>
      </c>
      <c r="M1253" s="115">
        <v>450.95</v>
      </c>
      <c r="N1253" s="115">
        <v>465</v>
      </c>
      <c r="O1253" s="115">
        <v>445.1</v>
      </c>
      <c r="P1253" s="115">
        <v>448.25</v>
      </c>
      <c r="Q1253" s="115">
        <v>450.95</v>
      </c>
      <c r="R1253">
        <v>24168</v>
      </c>
    </row>
    <row r="1254" spans="1:18" x14ac:dyDescent="0.25">
      <c r="A1254" s="160">
        <v>43875</v>
      </c>
      <c r="B1254" s="115">
        <v>799.95</v>
      </c>
      <c r="C1254" s="115">
        <v>786.55</v>
      </c>
      <c r="D1254" s="115">
        <v>786.55</v>
      </c>
      <c r="E1254" s="115">
        <v>799</v>
      </c>
      <c r="F1254" s="115">
        <v>786.55</v>
      </c>
      <c r="G1254">
        <v>1147</v>
      </c>
      <c r="H1254" s="115"/>
      <c r="I1254" s="115"/>
      <c r="L1254" s="160">
        <v>43853</v>
      </c>
      <c r="M1254" s="115">
        <v>452.9</v>
      </c>
      <c r="N1254" s="115">
        <v>463.8</v>
      </c>
      <c r="O1254" s="115">
        <v>446.15</v>
      </c>
      <c r="P1254" s="115">
        <v>451.8</v>
      </c>
      <c r="Q1254" s="115">
        <v>452.9</v>
      </c>
      <c r="R1254">
        <v>13156</v>
      </c>
    </row>
    <row r="1255" spans="1:18" x14ac:dyDescent="0.25">
      <c r="A1255" s="160">
        <v>43878</v>
      </c>
      <c r="B1255" s="115">
        <v>786</v>
      </c>
      <c r="C1255" s="115">
        <v>770</v>
      </c>
      <c r="D1255" s="115">
        <v>751</v>
      </c>
      <c r="E1255" s="115">
        <v>786</v>
      </c>
      <c r="F1255" s="115">
        <v>770</v>
      </c>
      <c r="G1255">
        <v>890</v>
      </c>
      <c r="H1255" s="115"/>
      <c r="I1255" s="115"/>
      <c r="L1255" s="160">
        <v>43854</v>
      </c>
      <c r="M1255" s="115">
        <v>466.85</v>
      </c>
      <c r="N1255" s="115">
        <v>468.85</v>
      </c>
      <c r="O1255" s="115">
        <v>447.2</v>
      </c>
      <c r="P1255" s="115">
        <v>447.25</v>
      </c>
      <c r="Q1255" s="115">
        <v>466.85</v>
      </c>
      <c r="R1255">
        <v>43264</v>
      </c>
    </row>
    <row r="1256" spans="1:18" x14ac:dyDescent="0.25">
      <c r="A1256" s="160">
        <v>43879</v>
      </c>
      <c r="B1256" s="115">
        <v>799</v>
      </c>
      <c r="C1256" s="115">
        <v>749.85</v>
      </c>
      <c r="D1256" s="115">
        <v>740</v>
      </c>
      <c r="E1256" s="115">
        <v>799</v>
      </c>
      <c r="F1256" s="115">
        <v>749.85</v>
      </c>
      <c r="G1256">
        <v>947</v>
      </c>
      <c r="H1256" s="115"/>
      <c r="I1256" s="115"/>
      <c r="L1256" s="160">
        <v>43857</v>
      </c>
      <c r="M1256" s="115">
        <v>461.25</v>
      </c>
      <c r="N1256" s="115">
        <v>470.95</v>
      </c>
      <c r="O1256" s="115">
        <v>456.05</v>
      </c>
      <c r="P1256" s="115">
        <v>470.95</v>
      </c>
      <c r="Q1256" s="115">
        <v>461.25</v>
      </c>
      <c r="R1256">
        <v>20708</v>
      </c>
    </row>
    <row r="1257" spans="1:18" x14ac:dyDescent="0.25">
      <c r="A1257" s="160">
        <v>43880</v>
      </c>
      <c r="B1257" s="115">
        <v>800</v>
      </c>
      <c r="C1257" s="115">
        <v>762</v>
      </c>
      <c r="D1257" s="115">
        <v>750</v>
      </c>
      <c r="E1257" s="115">
        <v>800</v>
      </c>
      <c r="F1257" s="115">
        <v>762</v>
      </c>
      <c r="G1257">
        <v>1094</v>
      </c>
      <c r="H1257" s="115"/>
      <c r="I1257" s="115"/>
      <c r="L1257" s="160">
        <v>43858</v>
      </c>
      <c r="M1257" s="115">
        <v>515.5</v>
      </c>
      <c r="N1257" s="115">
        <v>525</v>
      </c>
      <c r="O1257" s="115">
        <v>457</v>
      </c>
      <c r="P1257" s="115">
        <v>460.05</v>
      </c>
      <c r="Q1257" s="115">
        <v>515.5</v>
      </c>
      <c r="R1257">
        <v>329469</v>
      </c>
    </row>
    <row r="1258" spans="1:18" x14ac:dyDescent="0.25">
      <c r="A1258" s="160">
        <v>43881</v>
      </c>
      <c r="B1258" s="115">
        <v>773</v>
      </c>
      <c r="C1258" s="115">
        <v>750.8</v>
      </c>
      <c r="D1258" s="115">
        <v>745</v>
      </c>
      <c r="E1258" s="115">
        <v>773</v>
      </c>
      <c r="F1258" s="115">
        <v>750.8</v>
      </c>
      <c r="G1258">
        <v>574</v>
      </c>
      <c r="H1258" s="115"/>
      <c r="I1258" s="115"/>
      <c r="L1258" s="160">
        <v>43859</v>
      </c>
      <c r="M1258" s="115">
        <v>544.6</v>
      </c>
      <c r="N1258" s="115">
        <v>558</v>
      </c>
      <c r="O1258" s="115">
        <v>506.15</v>
      </c>
      <c r="P1258" s="115">
        <v>515.4</v>
      </c>
      <c r="Q1258" s="115">
        <v>544.6</v>
      </c>
      <c r="R1258">
        <v>329256</v>
      </c>
    </row>
    <row r="1259" spans="1:18" x14ac:dyDescent="0.25">
      <c r="A1259" s="160">
        <v>43885</v>
      </c>
      <c r="B1259" s="115">
        <v>752</v>
      </c>
      <c r="C1259" s="115">
        <v>725.25</v>
      </c>
      <c r="D1259" s="115">
        <v>711</v>
      </c>
      <c r="E1259" s="115">
        <v>749</v>
      </c>
      <c r="F1259" s="115">
        <v>725.25</v>
      </c>
      <c r="G1259">
        <v>1073</v>
      </c>
      <c r="H1259" s="115"/>
      <c r="I1259" s="115"/>
      <c r="L1259" s="160">
        <v>43860</v>
      </c>
      <c r="M1259" s="115">
        <v>522.9</v>
      </c>
      <c r="N1259" s="115">
        <v>549.9</v>
      </c>
      <c r="O1259" s="115">
        <v>517.5</v>
      </c>
      <c r="P1259" s="115">
        <v>543.79999999999995</v>
      </c>
      <c r="Q1259" s="115">
        <v>522.9</v>
      </c>
      <c r="R1259">
        <v>122804</v>
      </c>
    </row>
    <row r="1260" spans="1:18" x14ac:dyDescent="0.25">
      <c r="A1260" s="160">
        <v>43886</v>
      </c>
      <c r="B1260" s="115">
        <v>735</v>
      </c>
      <c r="C1260" s="115">
        <v>722.5</v>
      </c>
      <c r="D1260" s="115">
        <v>700</v>
      </c>
      <c r="E1260" s="115">
        <v>730</v>
      </c>
      <c r="F1260" s="115">
        <v>722.5</v>
      </c>
      <c r="G1260">
        <v>1367</v>
      </c>
      <c r="H1260" s="115"/>
      <c r="I1260" s="115"/>
      <c r="L1260" s="160">
        <v>43861</v>
      </c>
      <c r="M1260" s="115">
        <v>514.65</v>
      </c>
      <c r="N1260" s="115">
        <v>549.65</v>
      </c>
      <c r="O1260" s="115">
        <v>495</v>
      </c>
      <c r="P1260" s="115">
        <v>527.04999999999995</v>
      </c>
      <c r="Q1260" s="115">
        <v>514.65</v>
      </c>
      <c r="R1260">
        <v>116335</v>
      </c>
    </row>
    <row r="1261" spans="1:18" x14ac:dyDescent="0.25">
      <c r="A1261" s="160">
        <v>43887</v>
      </c>
      <c r="B1261" s="115">
        <v>711.05</v>
      </c>
      <c r="C1261" s="115">
        <v>709</v>
      </c>
      <c r="D1261" s="115">
        <v>693.15</v>
      </c>
      <c r="E1261" s="115">
        <v>711.05</v>
      </c>
      <c r="F1261" s="115">
        <v>709</v>
      </c>
      <c r="G1261">
        <v>903</v>
      </c>
      <c r="H1261" s="115"/>
      <c r="I1261" s="115"/>
      <c r="L1261" s="160">
        <v>43862</v>
      </c>
      <c r="M1261" s="115">
        <v>505.45</v>
      </c>
      <c r="N1261" s="115">
        <v>535.15</v>
      </c>
      <c r="O1261" s="115">
        <v>499.25</v>
      </c>
      <c r="P1261" s="115">
        <v>515.20000000000005</v>
      </c>
      <c r="Q1261" s="115">
        <v>505.45</v>
      </c>
      <c r="R1261">
        <v>43161</v>
      </c>
    </row>
    <row r="1262" spans="1:18" x14ac:dyDescent="0.25">
      <c r="A1262" s="160">
        <v>43888</v>
      </c>
      <c r="B1262" s="115">
        <v>749.4</v>
      </c>
      <c r="C1262" s="115">
        <v>728.25</v>
      </c>
      <c r="D1262" s="115">
        <v>723</v>
      </c>
      <c r="E1262" s="115">
        <v>734</v>
      </c>
      <c r="F1262" s="115">
        <v>728.25</v>
      </c>
      <c r="G1262">
        <v>215</v>
      </c>
      <c r="H1262" s="115"/>
      <c r="I1262" s="115"/>
      <c r="L1262" s="160">
        <v>43864</v>
      </c>
      <c r="M1262" s="115">
        <v>503.25</v>
      </c>
      <c r="N1262" s="115">
        <v>519</v>
      </c>
      <c r="O1262" s="115">
        <v>491.2</v>
      </c>
      <c r="P1262" s="115">
        <v>501.5</v>
      </c>
      <c r="Q1262" s="115">
        <v>503.25</v>
      </c>
      <c r="R1262">
        <v>127223</v>
      </c>
    </row>
    <row r="1263" spans="1:18" x14ac:dyDescent="0.25">
      <c r="A1263" s="160">
        <v>43889</v>
      </c>
      <c r="B1263" s="115">
        <v>731.9</v>
      </c>
      <c r="C1263" s="115">
        <v>686.8</v>
      </c>
      <c r="D1263" s="115">
        <v>680.5</v>
      </c>
      <c r="E1263" s="115">
        <v>719</v>
      </c>
      <c r="F1263" s="115">
        <v>686.8</v>
      </c>
      <c r="G1263">
        <v>577</v>
      </c>
      <c r="H1263" s="115"/>
      <c r="I1263" s="115"/>
      <c r="L1263" s="160">
        <v>43865</v>
      </c>
      <c r="M1263" s="115">
        <v>524.9</v>
      </c>
      <c r="N1263" s="115">
        <v>534</v>
      </c>
      <c r="O1263" s="115">
        <v>508.95</v>
      </c>
      <c r="P1263" s="115">
        <v>509</v>
      </c>
      <c r="Q1263" s="115">
        <v>524.9</v>
      </c>
      <c r="R1263">
        <v>40017</v>
      </c>
    </row>
    <row r="1264" spans="1:18" x14ac:dyDescent="0.25">
      <c r="A1264" s="160">
        <v>43892</v>
      </c>
      <c r="B1264" s="115">
        <v>724</v>
      </c>
      <c r="C1264" s="115">
        <v>682.2</v>
      </c>
      <c r="D1264" s="115">
        <v>675</v>
      </c>
      <c r="E1264" s="115">
        <v>724</v>
      </c>
      <c r="F1264" s="115">
        <v>682.2</v>
      </c>
      <c r="G1264">
        <v>444</v>
      </c>
      <c r="H1264" s="115"/>
      <c r="I1264" s="115"/>
      <c r="L1264" s="160">
        <v>43866</v>
      </c>
      <c r="M1264" s="115">
        <v>518.20000000000005</v>
      </c>
      <c r="N1264" s="115">
        <v>536.85</v>
      </c>
      <c r="O1264" s="115">
        <v>514.45000000000005</v>
      </c>
      <c r="P1264" s="115">
        <v>524.85</v>
      </c>
      <c r="Q1264" s="115">
        <v>518.20000000000005</v>
      </c>
      <c r="R1264">
        <v>19116</v>
      </c>
    </row>
    <row r="1265" spans="1:18" x14ac:dyDescent="0.25">
      <c r="A1265" s="160">
        <v>43893</v>
      </c>
      <c r="B1265" s="115">
        <v>689</v>
      </c>
      <c r="C1265" s="115">
        <v>668.25</v>
      </c>
      <c r="D1265" s="115">
        <v>661.2</v>
      </c>
      <c r="E1265" s="115">
        <v>676</v>
      </c>
      <c r="F1265" s="115">
        <v>668.25</v>
      </c>
      <c r="G1265">
        <v>840</v>
      </c>
      <c r="H1265" s="115"/>
      <c r="I1265" s="115"/>
      <c r="L1265" s="160">
        <v>43867</v>
      </c>
      <c r="M1265" s="115">
        <v>514.15</v>
      </c>
      <c r="N1265" s="115">
        <v>524.85</v>
      </c>
      <c r="O1265" s="115">
        <v>501.65</v>
      </c>
      <c r="P1265" s="115">
        <v>518.20000000000005</v>
      </c>
      <c r="Q1265" s="115">
        <v>514.15</v>
      </c>
      <c r="R1265">
        <v>20945</v>
      </c>
    </row>
    <row r="1266" spans="1:18" x14ac:dyDescent="0.25">
      <c r="A1266" s="160">
        <v>43894</v>
      </c>
      <c r="B1266" s="115">
        <v>669.95</v>
      </c>
      <c r="C1266" s="115">
        <v>660.9</v>
      </c>
      <c r="D1266" s="115">
        <v>635.04999999999995</v>
      </c>
      <c r="E1266" s="115">
        <v>635.04999999999995</v>
      </c>
      <c r="F1266" s="115">
        <v>660.9</v>
      </c>
      <c r="G1266">
        <v>396</v>
      </c>
      <c r="H1266" s="115"/>
      <c r="I1266" s="115"/>
      <c r="L1266" s="160">
        <v>43868</v>
      </c>
      <c r="M1266" s="115">
        <v>505.05</v>
      </c>
      <c r="N1266" s="115">
        <v>522.35</v>
      </c>
      <c r="O1266" s="115">
        <v>496.6</v>
      </c>
      <c r="P1266" s="115">
        <v>514.15</v>
      </c>
      <c r="Q1266" s="115">
        <v>505.05</v>
      </c>
      <c r="R1266">
        <v>17942</v>
      </c>
    </row>
    <row r="1267" spans="1:18" x14ac:dyDescent="0.25">
      <c r="A1267" s="160">
        <v>43895</v>
      </c>
      <c r="B1267" s="115">
        <v>675</v>
      </c>
      <c r="C1267" s="115">
        <v>655.55</v>
      </c>
      <c r="D1267" s="115">
        <v>653.29999999999995</v>
      </c>
      <c r="E1267" s="115">
        <v>653.5</v>
      </c>
      <c r="F1267" s="115">
        <v>655.55</v>
      </c>
      <c r="G1267">
        <v>912</v>
      </c>
      <c r="H1267" s="115"/>
      <c r="I1267" s="115"/>
      <c r="L1267" s="160">
        <v>43871</v>
      </c>
      <c r="M1267" s="115">
        <v>518.15</v>
      </c>
      <c r="N1267" s="115">
        <v>524</v>
      </c>
      <c r="O1267" s="115">
        <v>500.1</v>
      </c>
      <c r="P1267" s="115">
        <v>505.05</v>
      </c>
      <c r="Q1267" s="115">
        <v>518.15</v>
      </c>
      <c r="R1267">
        <v>20570</v>
      </c>
    </row>
    <row r="1268" spans="1:18" x14ac:dyDescent="0.25">
      <c r="A1268" s="160">
        <v>43896</v>
      </c>
      <c r="B1268" s="115">
        <v>652.95000000000005</v>
      </c>
      <c r="C1268" s="115">
        <v>652</v>
      </c>
      <c r="D1268" s="115">
        <v>639.20000000000005</v>
      </c>
      <c r="E1268" s="115">
        <v>650</v>
      </c>
      <c r="F1268" s="115">
        <v>652</v>
      </c>
      <c r="G1268">
        <v>49</v>
      </c>
      <c r="H1268" s="115"/>
      <c r="I1268" s="115"/>
      <c r="L1268" s="160">
        <v>43872</v>
      </c>
      <c r="M1268" s="115">
        <v>526.79999999999995</v>
      </c>
      <c r="N1268" s="115">
        <v>532.4</v>
      </c>
      <c r="O1268" s="115">
        <v>505</v>
      </c>
      <c r="P1268" s="115">
        <v>518.04999999999995</v>
      </c>
      <c r="Q1268" s="115">
        <v>526.79999999999995</v>
      </c>
      <c r="R1268">
        <v>53271</v>
      </c>
    </row>
    <row r="1269" spans="1:18" x14ac:dyDescent="0.25">
      <c r="A1269" s="160">
        <v>43899</v>
      </c>
      <c r="B1269" s="115">
        <v>640</v>
      </c>
      <c r="C1269" s="115">
        <v>592.1</v>
      </c>
      <c r="D1269" s="115">
        <v>590</v>
      </c>
      <c r="E1269" s="115">
        <v>625</v>
      </c>
      <c r="F1269" s="115">
        <v>592.1</v>
      </c>
      <c r="G1269">
        <v>1010</v>
      </c>
      <c r="H1269" s="115"/>
      <c r="I1269" s="115"/>
      <c r="L1269" s="160">
        <v>43873</v>
      </c>
      <c r="M1269" s="115">
        <v>521.79999999999995</v>
      </c>
      <c r="N1269" s="115">
        <v>535.5</v>
      </c>
      <c r="O1269" s="115">
        <v>515.20000000000005</v>
      </c>
      <c r="P1269" s="115">
        <v>527</v>
      </c>
      <c r="Q1269" s="115">
        <v>521.79999999999995</v>
      </c>
      <c r="R1269">
        <v>47944</v>
      </c>
    </row>
    <row r="1270" spans="1:18" x14ac:dyDescent="0.25">
      <c r="A1270" s="160">
        <v>43901</v>
      </c>
      <c r="B1270" s="115">
        <v>609</v>
      </c>
      <c r="C1270" s="115">
        <v>591.45000000000005</v>
      </c>
      <c r="D1270" s="115">
        <v>585.1</v>
      </c>
      <c r="E1270" s="115">
        <v>600</v>
      </c>
      <c r="F1270" s="115">
        <v>591.45000000000005</v>
      </c>
      <c r="G1270">
        <v>664</v>
      </c>
      <c r="H1270" s="115"/>
      <c r="I1270" s="115"/>
      <c r="L1270" s="160">
        <v>43874</v>
      </c>
      <c r="M1270" s="115">
        <v>530.25</v>
      </c>
      <c r="N1270" s="115">
        <v>564.9</v>
      </c>
      <c r="O1270" s="115">
        <v>515</v>
      </c>
      <c r="P1270" s="115">
        <v>522</v>
      </c>
      <c r="Q1270" s="115">
        <v>530.25</v>
      </c>
      <c r="R1270">
        <v>419883</v>
      </c>
    </row>
    <row r="1271" spans="1:18" x14ac:dyDescent="0.25">
      <c r="A1271" s="160">
        <v>43902</v>
      </c>
      <c r="B1271" s="115">
        <v>575.04999999999995</v>
      </c>
      <c r="C1271" s="115">
        <v>503.3</v>
      </c>
      <c r="D1271" s="115">
        <v>500</v>
      </c>
      <c r="E1271" s="115">
        <v>575.04999999999995</v>
      </c>
      <c r="F1271" s="115">
        <v>503.3</v>
      </c>
      <c r="G1271">
        <v>3973</v>
      </c>
      <c r="H1271" s="115"/>
      <c r="I1271" s="115"/>
      <c r="L1271" s="160">
        <v>43875</v>
      </c>
      <c r="M1271" s="115">
        <v>532.35</v>
      </c>
      <c r="N1271" s="115">
        <v>543.4</v>
      </c>
      <c r="O1271" s="115">
        <v>522</v>
      </c>
      <c r="P1271" s="115">
        <v>535.25</v>
      </c>
      <c r="Q1271" s="115">
        <v>532.35</v>
      </c>
      <c r="R1271">
        <v>66322</v>
      </c>
    </row>
    <row r="1272" spans="1:18" x14ac:dyDescent="0.25">
      <c r="A1272" s="160">
        <v>43903</v>
      </c>
      <c r="B1272" s="115">
        <v>548.5</v>
      </c>
      <c r="C1272" s="115">
        <v>510.5</v>
      </c>
      <c r="D1272" s="115">
        <v>485</v>
      </c>
      <c r="E1272" s="115">
        <v>499.95</v>
      </c>
      <c r="F1272" s="115">
        <v>510.5</v>
      </c>
      <c r="G1272">
        <v>1951</v>
      </c>
      <c r="H1272" s="115"/>
      <c r="I1272" s="115"/>
      <c r="L1272" s="160">
        <v>43878</v>
      </c>
      <c r="M1272" s="115">
        <v>525.54999999999995</v>
      </c>
      <c r="N1272" s="115">
        <v>532.35</v>
      </c>
      <c r="O1272" s="115">
        <v>512.6</v>
      </c>
      <c r="P1272" s="115">
        <v>532.35</v>
      </c>
      <c r="Q1272" s="115">
        <v>525.54999999999995</v>
      </c>
      <c r="R1272">
        <v>42882</v>
      </c>
    </row>
    <row r="1273" spans="1:18" x14ac:dyDescent="0.25">
      <c r="A1273" s="160">
        <v>43906</v>
      </c>
      <c r="B1273" s="115">
        <v>545</v>
      </c>
      <c r="C1273" s="115">
        <v>504.35</v>
      </c>
      <c r="D1273" s="115">
        <v>481</v>
      </c>
      <c r="E1273" s="115">
        <v>500.05</v>
      </c>
      <c r="F1273" s="115">
        <v>504.35</v>
      </c>
      <c r="G1273">
        <v>1000</v>
      </c>
      <c r="H1273" s="115"/>
      <c r="I1273" s="115"/>
      <c r="L1273" s="160">
        <v>43879</v>
      </c>
      <c r="M1273" s="115">
        <v>517.35</v>
      </c>
      <c r="N1273" s="115">
        <v>524.85</v>
      </c>
      <c r="O1273" s="115">
        <v>505.1</v>
      </c>
      <c r="P1273" s="115">
        <v>520.04999999999995</v>
      </c>
      <c r="Q1273" s="115">
        <v>517.35</v>
      </c>
      <c r="R1273">
        <v>24687</v>
      </c>
    </row>
    <row r="1274" spans="1:18" x14ac:dyDescent="0.25">
      <c r="A1274" s="160">
        <v>43907</v>
      </c>
      <c r="B1274" s="115">
        <v>530.95000000000005</v>
      </c>
      <c r="C1274" s="115">
        <v>480.15</v>
      </c>
      <c r="D1274" s="115">
        <v>480</v>
      </c>
      <c r="E1274" s="115">
        <v>500</v>
      </c>
      <c r="F1274" s="115">
        <v>480.15</v>
      </c>
      <c r="G1274">
        <v>2227</v>
      </c>
      <c r="H1274" s="115"/>
      <c r="I1274" s="115"/>
      <c r="L1274" s="160">
        <v>43880</v>
      </c>
      <c r="M1274" s="115">
        <v>515.04999999999995</v>
      </c>
      <c r="N1274" s="115">
        <v>527.70000000000005</v>
      </c>
      <c r="O1274" s="115">
        <v>508.35</v>
      </c>
      <c r="P1274" s="115">
        <v>516.1</v>
      </c>
      <c r="Q1274" s="115">
        <v>515.04999999999995</v>
      </c>
      <c r="R1274">
        <v>22222</v>
      </c>
    </row>
    <row r="1275" spans="1:18" x14ac:dyDescent="0.25">
      <c r="A1275" s="160">
        <v>43908</v>
      </c>
      <c r="B1275" s="115">
        <v>494</v>
      </c>
      <c r="C1275" s="115">
        <v>442</v>
      </c>
      <c r="D1275" s="115">
        <v>411</v>
      </c>
      <c r="E1275" s="115">
        <v>485</v>
      </c>
      <c r="F1275" s="115">
        <v>442</v>
      </c>
      <c r="G1275">
        <v>1270</v>
      </c>
      <c r="H1275" s="115"/>
      <c r="I1275" s="115"/>
      <c r="L1275" s="160">
        <v>43881</v>
      </c>
      <c r="M1275" s="115">
        <v>516.5</v>
      </c>
      <c r="N1275" s="115">
        <v>525</v>
      </c>
      <c r="O1275" s="115">
        <v>511.6</v>
      </c>
      <c r="P1275" s="115">
        <v>521.5</v>
      </c>
      <c r="Q1275" s="115">
        <v>516.5</v>
      </c>
      <c r="R1275">
        <v>25655</v>
      </c>
    </row>
    <row r="1276" spans="1:18" x14ac:dyDescent="0.25">
      <c r="A1276" s="160">
        <v>43909</v>
      </c>
      <c r="B1276" s="115">
        <v>440.95</v>
      </c>
      <c r="C1276" s="115">
        <v>430</v>
      </c>
      <c r="D1276" s="115">
        <v>400</v>
      </c>
      <c r="E1276" s="115">
        <v>420</v>
      </c>
      <c r="F1276" s="115">
        <v>430</v>
      </c>
      <c r="G1276">
        <v>817</v>
      </c>
      <c r="H1276" s="115"/>
      <c r="I1276" s="115"/>
      <c r="L1276" s="160">
        <v>43885</v>
      </c>
      <c r="M1276" s="115">
        <v>510.55</v>
      </c>
      <c r="N1276" s="115">
        <v>534.5</v>
      </c>
      <c r="O1276" s="115">
        <v>500.1</v>
      </c>
      <c r="P1276" s="115">
        <v>519</v>
      </c>
      <c r="Q1276" s="115">
        <v>510.55</v>
      </c>
      <c r="R1276">
        <v>35011</v>
      </c>
    </row>
    <row r="1277" spans="1:18" x14ac:dyDescent="0.25">
      <c r="A1277" s="160">
        <v>43910</v>
      </c>
      <c r="B1277" s="115">
        <v>436.05</v>
      </c>
      <c r="C1277" s="115">
        <v>420</v>
      </c>
      <c r="D1277" s="115">
        <v>400</v>
      </c>
      <c r="E1277" s="115">
        <v>436.05</v>
      </c>
      <c r="F1277" s="115">
        <v>420</v>
      </c>
      <c r="G1277">
        <v>5366</v>
      </c>
      <c r="H1277" s="115"/>
      <c r="I1277" s="115"/>
      <c r="L1277" s="160">
        <v>43886</v>
      </c>
      <c r="M1277" s="115">
        <v>495.75</v>
      </c>
      <c r="N1277" s="115">
        <v>510.55</v>
      </c>
      <c r="O1277" s="115">
        <v>490</v>
      </c>
      <c r="P1277" s="115">
        <v>509</v>
      </c>
      <c r="Q1277" s="115">
        <v>495.75</v>
      </c>
      <c r="R1277">
        <v>37003</v>
      </c>
    </row>
    <row r="1278" spans="1:18" x14ac:dyDescent="0.25">
      <c r="A1278" s="160">
        <v>43913</v>
      </c>
      <c r="B1278" s="115">
        <v>400</v>
      </c>
      <c r="C1278" s="115">
        <v>371.3</v>
      </c>
      <c r="D1278" s="115">
        <v>366</v>
      </c>
      <c r="E1278" s="115">
        <v>399.95</v>
      </c>
      <c r="F1278" s="115">
        <v>371.3</v>
      </c>
      <c r="G1278">
        <v>556</v>
      </c>
      <c r="H1278" s="115"/>
      <c r="I1278" s="115"/>
      <c r="L1278" s="160">
        <v>43887</v>
      </c>
      <c r="M1278" s="115">
        <v>485.2</v>
      </c>
      <c r="N1278" s="115">
        <v>500.4</v>
      </c>
      <c r="O1278" s="115">
        <v>480.1</v>
      </c>
      <c r="P1278" s="115">
        <v>490.05</v>
      </c>
      <c r="Q1278" s="115">
        <v>485.2</v>
      </c>
      <c r="R1278">
        <v>48475</v>
      </c>
    </row>
    <row r="1279" spans="1:18" x14ac:dyDescent="0.25">
      <c r="A1279" s="160">
        <v>43914</v>
      </c>
      <c r="B1279" s="115">
        <v>400</v>
      </c>
      <c r="C1279" s="115">
        <v>396.55</v>
      </c>
      <c r="D1279" s="115">
        <v>340</v>
      </c>
      <c r="E1279" s="115">
        <v>361</v>
      </c>
      <c r="F1279" s="115">
        <v>396.55</v>
      </c>
      <c r="G1279">
        <v>1430</v>
      </c>
      <c r="H1279" s="115"/>
      <c r="I1279" s="115"/>
      <c r="L1279" s="160">
        <v>43888</v>
      </c>
      <c r="M1279" s="115">
        <v>495.95</v>
      </c>
      <c r="N1279" s="115">
        <v>510</v>
      </c>
      <c r="O1279" s="115">
        <v>401.15</v>
      </c>
      <c r="P1279" s="115">
        <v>486</v>
      </c>
      <c r="Q1279" s="115">
        <v>495.95</v>
      </c>
      <c r="R1279">
        <v>152979</v>
      </c>
    </row>
    <row r="1280" spans="1:18" x14ac:dyDescent="0.25">
      <c r="A1280" s="160">
        <v>43915</v>
      </c>
      <c r="B1280" s="115">
        <v>436</v>
      </c>
      <c r="C1280" s="115">
        <v>435.5</v>
      </c>
      <c r="D1280" s="115">
        <v>360</v>
      </c>
      <c r="E1280" s="115">
        <v>360</v>
      </c>
      <c r="F1280" s="115">
        <v>435.5</v>
      </c>
      <c r="G1280">
        <v>590</v>
      </c>
      <c r="H1280" s="115"/>
      <c r="I1280" s="115"/>
      <c r="L1280" s="160">
        <v>43889</v>
      </c>
      <c r="M1280" s="115">
        <v>469.25</v>
      </c>
      <c r="N1280" s="115">
        <v>489.95</v>
      </c>
      <c r="O1280" s="115">
        <v>455.6</v>
      </c>
      <c r="P1280" s="115">
        <v>489.95</v>
      </c>
      <c r="Q1280" s="115">
        <v>469.25</v>
      </c>
      <c r="R1280">
        <v>31362</v>
      </c>
    </row>
    <row r="1281" spans="1:18" x14ac:dyDescent="0.25">
      <c r="A1281" s="160">
        <v>43916</v>
      </c>
      <c r="B1281" s="115">
        <v>478</v>
      </c>
      <c r="C1281" s="115">
        <v>435</v>
      </c>
      <c r="D1281" s="115">
        <v>435</v>
      </c>
      <c r="E1281" s="115">
        <v>478</v>
      </c>
      <c r="F1281" s="115">
        <v>435</v>
      </c>
      <c r="G1281">
        <v>475</v>
      </c>
      <c r="H1281" s="115"/>
      <c r="I1281" s="115"/>
      <c r="L1281" s="160">
        <v>43892</v>
      </c>
      <c r="M1281" s="115">
        <v>460.15</v>
      </c>
      <c r="N1281" s="115">
        <v>480.1</v>
      </c>
      <c r="O1281" s="115">
        <v>453.05</v>
      </c>
      <c r="P1281" s="115">
        <v>469</v>
      </c>
      <c r="Q1281" s="115">
        <v>460.15</v>
      </c>
      <c r="R1281">
        <v>24757</v>
      </c>
    </row>
    <row r="1282" spans="1:18" x14ac:dyDescent="0.25">
      <c r="A1282" s="160">
        <v>43917</v>
      </c>
      <c r="B1282" s="115">
        <v>476</v>
      </c>
      <c r="C1282" s="115">
        <v>451.15</v>
      </c>
      <c r="D1282" s="115">
        <v>436</v>
      </c>
      <c r="E1282" s="115">
        <v>476</v>
      </c>
      <c r="F1282" s="115">
        <v>451.15</v>
      </c>
      <c r="G1282">
        <v>231</v>
      </c>
      <c r="H1282" s="115"/>
      <c r="I1282" s="115"/>
      <c r="L1282" s="160">
        <v>43893</v>
      </c>
      <c r="M1282" s="115">
        <v>455.3</v>
      </c>
      <c r="N1282" s="115">
        <v>470</v>
      </c>
      <c r="O1282" s="115">
        <v>451.3</v>
      </c>
      <c r="P1282" s="115">
        <v>470</v>
      </c>
      <c r="Q1282" s="115">
        <v>455.3</v>
      </c>
      <c r="R1282">
        <v>18676</v>
      </c>
    </row>
    <row r="1283" spans="1:18" x14ac:dyDescent="0.25">
      <c r="A1283" s="160">
        <v>43920</v>
      </c>
      <c r="B1283" s="115">
        <v>449</v>
      </c>
      <c r="C1283" s="115">
        <v>422.9</v>
      </c>
      <c r="D1283" s="115">
        <v>410.55</v>
      </c>
      <c r="E1283" s="115">
        <v>413</v>
      </c>
      <c r="F1283" s="115">
        <v>422.9</v>
      </c>
      <c r="G1283">
        <v>1033</v>
      </c>
      <c r="H1283" s="115"/>
      <c r="I1283" s="115"/>
      <c r="L1283" s="160">
        <v>43894</v>
      </c>
      <c r="M1283" s="115">
        <v>448.3</v>
      </c>
      <c r="N1283" s="115">
        <v>474.75</v>
      </c>
      <c r="O1283" s="115">
        <v>429.25</v>
      </c>
      <c r="P1283" s="115">
        <v>455</v>
      </c>
      <c r="Q1283" s="115">
        <v>448.3</v>
      </c>
      <c r="R1283">
        <v>22184</v>
      </c>
    </row>
    <row r="1284" spans="1:18" x14ac:dyDescent="0.25">
      <c r="A1284" s="160">
        <v>43921</v>
      </c>
      <c r="B1284" s="115">
        <v>438.95</v>
      </c>
      <c r="C1284" s="115">
        <v>417.25</v>
      </c>
      <c r="D1284" s="115">
        <v>390</v>
      </c>
      <c r="E1284" s="115">
        <v>420.1</v>
      </c>
      <c r="F1284" s="115">
        <v>417.25</v>
      </c>
      <c r="G1284">
        <v>550</v>
      </c>
      <c r="H1284" s="115"/>
      <c r="I1284" s="115"/>
      <c r="L1284" s="160">
        <v>43895</v>
      </c>
      <c r="M1284" s="115">
        <v>466.85</v>
      </c>
      <c r="N1284" s="115">
        <v>477</v>
      </c>
      <c r="O1284" s="115">
        <v>441.25</v>
      </c>
      <c r="P1284" s="115">
        <v>449.95</v>
      </c>
      <c r="Q1284" s="115">
        <v>466.85</v>
      </c>
      <c r="R1284">
        <v>25703</v>
      </c>
    </row>
    <row r="1285" spans="1:18" x14ac:dyDescent="0.25">
      <c r="A1285" s="160">
        <v>43922</v>
      </c>
      <c r="B1285" s="115">
        <v>455</v>
      </c>
      <c r="C1285" s="115">
        <v>425.75</v>
      </c>
      <c r="D1285" s="115">
        <v>417.6</v>
      </c>
      <c r="E1285" s="115">
        <v>455</v>
      </c>
      <c r="F1285" s="115">
        <v>425.75</v>
      </c>
      <c r="G1285">
        <v>89</v>
      </c>
      <c r="H1285" s="115"/>
      <c r="I1285" s="115"/>
      <c r="L1285" s="160">
        <v>43896</v>
      </c>
      <c r="M1285" s="115">
        <v>443.75</v>
      </c>
      <c r="N1285" s="115">
        <v>459.15</v>
      </c>
      <c r="O1285" s="115">
        <v>431.45</v>
      </c>
      <c r="P1285" s="115">
        <v>457</v>
      </c>
      <c r="Q1285" s="115">
        <v>443.75</v>
      </c>
      <c r="R1285">
        <v>22380</v>
      </c>
    </row>
    <row r="1286" spans="1:18" x14ac:dyDescent="0.25">
      <c r="A1286" s="160">
        <v>43924</v>
      </c>
      <c r="B1286" s="115">
        <v>462.7</v>
      </c>
      <c r="C1286" s="115">
        <v>419.1</v>
      </c>
      <c r="D1286" s="115">
        <v>402</v>
      </c>
      <c r="E1286" s="115">
        <v>402</v>
      </c>
      <c r="F1286" s="115">
        <v>419.1</v>
      </c>
      <c r="G1286">
        <v>1537</v>
      </c>
      <c r="H1286" s="115"/>
      <c r="I1286" s="115"/>
      <c r="L1286" s="160">
        <v>43899</v>
      </c>
      <c r="M1286" s="115">
        <v>420.75</v>
      </c>
      <c r="N1286" s="115">
        <v>439.5</v>
      </c>
      <c r="O1286" s="115">
        <v>404</v>
      </c>
      <c r="P1286" s="115">
        <v>432</v>
      </c>
      <c r="Q1286" s="115">
        <v>420.75</v>
      </c>
      <c r="R1286">
        <v>34212</v>
      </c>
    </row>
    <row r="1287" spans="1:18" x14ac:dyDescent="0.25">
      <c r="A1287" s="160">
        <v>43928</v>
      </c>
      <c r="B1287" s="115">
        <v>460.7</v>
      </c>
      <c r="C1287" s="115">
        <v>456</v>
      </c>
      <c r="D1287" s="115">
        <v>420</v>
      </c>
      <c r="E1287" s="115">
        <v>460.7</v>
      </c>
      <c r="F1287" s="115">
        <v>456</v>
      </c>
      <c r="G1287">
        <v>574</v>
      </c>
      <c r="H1287" s="115"/>
      <c r="I1287" s="115"/>
      <c r="L1287" s="160">
        <v>43901</v>
      </c>
      <c r="M1287" s="115">
        <v>412.45</v>
      </c>
      <c r="N1287" s="115">
        <v>427.75</v>
      </c>
      <c r="O1287" s="115">
        <v>408.05</v>
      </c>
      <c r="P1287" s="115">
        <v>427.75</v>
      </c>
      <c r="Q1287" s="115">
        <v>412.45</v>
      </c>
      <c r="R1287">
        <v>14344</v>
      </c>
    </row>
    <row r="1288" spans="1:18" x14ac:dyDescent="0.25">
      <c r="A1288" s="160">
        <v>43929</v>
      </c>
      <c r="B1288" s="115">
        <v>488.8</v>
      </c>
      <c r="C1288" s="115">
        <v>440.1</v>
      </c>
      <c r="D1288" s="115">
        <v>440</v>
      </c>
      <c r="E1288" s="115">
        <v>440.2</v>
      </c>
      <c r="F1288" s="115">
        <v>440.1</v>
      </c>
      <c r="G1288">
        <v>1934</v>
      </c>
      <c r="H1288" s="115"/>
      <c r="I1288" s="115"/>
      <c r="L1288" s="160">
        <v>43902</v>
      </c>
      <c r="M1288" s="115">
        <v>351.6</v>
      </c>
      <c r="N1288" s="115">
        <v>394.95</v>
      </c>
      <c r="O1288" s="115">
        <v>342</v>
      </c>
      <c r="P1288" s="115">
        <v>375.1</v>
      </c>
      <c r="Q1288" s="115">
        <v>351.6</v>
      </c>
      <c r="R1288">
        <v>69783</v>
      </c>
    </row>
    <row r="1289" spans="1:18" x14ac:dyDescent="0.25">
      <c r="A1289" s="160">
        <v>43930</v>
      </c>
      <c r="B1289" s="115">
        <v>527.95000000000005</v>
      </c>
      <c r="C1289" s="115">
        <v>495.95</v>
      </c>
      <c r="D1289" s="115">
        <v>425</v>
      </c>
      <c r="E1289" s="115">
        <v>426.3</v>
      </c>
      <c r="F1289" s="115">
        <v>495.95</v>
      </c>
      <c r="G1289">
        <v>2369</v>
      </c>
      <c r="H1289" s="115"/>
      <c r="I1289" s="115"/>
      <c r="L1289" s="160">
        <v>43903</v>
      </c>
      <c r="M1289" s="115">
        <v>346.15</v>
      </c>
      <c r="N1289" s="115">
        <v>359.75</v>
      </c>
      <c r="O1289" s="115">
        <v>283</v>
      </c>
      <c r="P1289" s="115">
        <v>333.6</v>
      </c>
      <c r="Q1289" s="115">
        <v>346.15</v>
      </c>
      <c r="R1289">
        <v>84532</v>
      </c>
    </row>
    <row r="1290" spans="1:18" x14ac:dyDescent="0.25">
      <c r="A1290" s="160">
        <v>43934</v>
      </c>
      <c r="B1290" s="115">
        <v>567.75</v>
      </c>
      <c r="C1290" s="115">
        <v>520.25</v>
      </c>
      <c r="D1290" s="115">
        <v>499.05</v>
      </c>
      <c r="E1290" s="115">
        <v>567.75</v>
      </c>
      <c r="F1290" s="115">
        <v>520.25</v>
      </c>
      <c r="G1290">
        <v>1022</v>
      </c>
      <c r="H1290" s="115"/>
      <c r="I1290" s="115"/>
      <c r="L1290" s="160">
        <v>43906</v>
      </c>
      <c r="M1290" s="115">
        <v>333.35</v>
      </c>
      <c r="N1290" s="115">
        <v>344</v>
      </c>
      <c r="O1290" s="115">
        <v>312.25</v>
      </c>
      <c r="P1290" s="115">
        <v>318.10000000000002</v>
      </c>
      <c r="Q1290" s="115">
        <v>333.35</v>
      </c>
      <c r="R1290">
        <v>39931</v>
      </c>
    </row>
    <row r="1291" spans="1:18" x14ac:dyDescent="0.25">
      <c r="A1291" s="160">
        <v>43936</v>
      </c>
      <c r="B1291" s="115">
        <v>525</v>
      </c>
      <c r="C1291" s="115">
        <v>506.8</v>
      </c>
      <c r="D1291" s="115">
        <v>496</v>
      </c>
      <c r="E1291" s="115">
        <v>496</v>
      </c>
      <c r="F1291" s="115">
        <v>506.8</v>
      </c>
      <c r="G1291">
        <v>793</v>
      </c>
      <c r="H1291" s="115"/>
      <c r="I1291" s="115"/>
      <c r="L1291" s="160">
        <v>43907</v>
      </c>
      <c r="M1291" s="115">
        <v>325.14999999999998</v>
      </c>
      <c r="N1291" s="115">
        <v>350</v>
      </c>
      <c r="O1291" s="115">
        <v>320</v>
      </c>
      <c r="P1291" s="115">
        <v>323.10000000000002</v>
      </c>
      <c r="Q1291" s="115">
        <v>325.14999999999998</v>
      </c>
      <c r="R1291">
        <v>28836</v>
      </c>
    </row>
    <row r="1292" spans="1:18" x14ac:dyDescent="0.25">
      <c r="A1292" s="160">
        <v>43937</v>
      </c>
      <c r="B1292" s="115">
        <v>539.95000000000005</v>
      </c>
      <c r="C1292" s="115">
        <v>532.79999999999995</v>
      </c>
      <c r="D1292" s="115">
        <v>502.35</v>
      </c>
      <c r="E1292" s="115">
        <v>518.95000000000005</v>
      </c>
      <c r="F1292" s="115">
        <v>532.79999999999995</v>
      </c>
      <c r="G1292">
        <v>650</v>
      </c>
      <c r="H1292" s="115"/>
      <c r="I1292" s="115"/>
      <c r="L1292" s="160">
        <v>43908</v>
      </c>
      <c r="M1292" s="115">
        <v>314.39999999999998</v>
      </c>
      <c r="N1292" s="115">
        <v>334.55</v>
      </c>
      <c r="O1292" s="115">
        <v>302.25</v>
      </c>
      <c r="P1292" s="115">
        <v>321</v>
      </c>
      <c r="Q1292" s="115">
        <v>314.39999999999998</v>
      </c>
      <c r="R1292">
        <v>25704</v>
      </c>
    </row>
    <row r="1293" spans="1:18" x14ac:dyDescent="0.25">
      <c r="A1293" s="160">
        <v>43938</v>
      </c>
      <c r="B1293" s="115">
        <v>600</v>
      </c>
      <c r="C1293" s="115">
        <v>553.79999999999995</v>
      </c>
      <c r="D1293" s="115">
        <v>500</v>
      </c>
      <c r="E1293" s="115">
        <v>502</v>
      </c>
      <c r="F1293" s="115">
        <v>553.79999999999995</v>
      </c>
      <c r="G1293">
        <v>2264</v>
      </c>
      <c r="H1293" s="115"/>
      <c r="I1293" s="115"/>
      <c r="L1293" s="160">
        <v>43909</v>
      </c>
      <c r="M1293" s="115">
        <v>319</v>
      </c>
      <c r="N1293" s="115">
        <v>348.05</v>
      </c>
      <c r="O1293" s="115">
        <v>301</v>
      </c>
      <c r="P1293" s="115">
        <v>314</v>
      </c>
      <c r="Q1293" s="115">
        <v>319</v>
      </c>
      <c r="R1293">
        <v>43409</v>
      </c>
    </row>
    <row r="1294" spans="1:18" x14ac:dyDescent="0.25">
      <c r="A1294" s="160">
        <v>43941</v>
      </c>
      <c r="B1294" s="115">
        <v>598.85</v>
      </c>
      <c r="C1294" s="115">
        <v>541.75</v>
      </c>
      <c r="D1294" s="115">
        <v>528.9</v>
      </c>
      <c r="E1294" s="115">
        <v>555</v>
      </c>
      <c r="F1294" s="115">
        <v>541.75</v>
      </c>
      <c r="G1294">
        <v>1438</v>
      </c>
      <c r="H1294" s="115"/>
      <c r="I1294" s="115"/>
      <c r="L1294" s="160">
        <v>43910</v>
      </c>
      <c r="M1294" s="115">
        <v>323.05</v>
      </c>
      <c r="N1294" s="115">
        <v>343.95</v>
      </c>
      <c r="O1294" s="115">
        <v>311.39999999999998</v>
      </c>
      <c r="P1294" s="115">
        <v>321</v>
      </c>
      <c r="Q1294" s="115">
        <v>323.05</v>
      </c>
      <c r="R1294">
        <v>32317</v>
      </c>
    </row>
    <row r="1295" spans="1:18" x14ac:dyDescent="0.25">
      <c r="A1295" s="160">
        <v>43942</v>
      </c>
      <c r="B1295" s="115">
        <v>525</v>
      </c>
      <c r="C1295" s="115">
        <v>496.1</v>
      </c>
      <c r="D1295" s="115">
        <v>485</v>
      </c>
      <c r="E1295" s="115">
        <v>525</v>
      </c>
      <c r="F1295" s="115">
        <v>496.1</v>
      </c>
      <c r="G1295">
        <v>3105</v>
      </c>
      <c r="H1295" s="115"/>
      <c r="I1295" s="115"/>
      <c r="L1295" s="160">
        <v>43913</v>
      </c>
      <c r="M1295" s="115">
        <v>298.75</v>
      </c>
      <c r="N1295" s="115">
        <v>314.05</v>
      </c>
      <c r="O1295" s="115">
        <v>275</v>
      </c>
      <c r="P1295" s="115">
        <v>310</v>
      </c>
      <c r="Q1295" s="115">
        <v>298.75</v>
      </c>
      <c r="R1295">
        <v>32146</v>
      </c>
    </row>
    <row r="1296" spans="1:18" x14ac:dyDescent="0.25">
      <c r="A1296" s="160">
        <v>43943</v>
      </c>
      <c r="B1296" s="115">
        <v>509.8</v>
      </c>
      <c r="C1296" s="115">
        <v>492.6</v>
      </c>
      <c r="D1296" s="115">
        <v>471</v>
      </c>
      <c r="E1296" s="115">
        <v>509.8</v>
      </c>
      <c r="F1296" s="115">
        <v>492.6</v>
      </c>
      <c r="G1296">
        <v>914</v>
      </c>
      <c r="H1296" s="115"/>
      <c r="I1296" s="115"/>
      <c r="L1296" s="160">
        <v>43914</v>
      </c>
      <c r="M1296" s="115">
        <v>301.14999999999998</v>
      </c>
      <c r="N1296" s="115">
        <v>325</v>
      </c>
      <c r="O1296" s="115">
        <v>296.05</v>
      </c>
      <c r="P1296" s="115">
        <v>296.05</v>
      </c>
      <c r="Q1296" s="115">
        <v>301.14999999999998</v>
      </c>
      <c r="R1296">
        <v>21677</v>
      </c>
    </row>
    <row r="1297" spans="1:18" x14ac:dyDescent="0.25">
      <c r="A1297" s="160">
        <v>43944</v>
      </c>
      <c r="B1297" s="115">
        <v>525</v>
      </c>
      <c r="C1297" s="115">
        <v>492.4</v>
      </c>
      <c r="D1297" s="115">
        <v>490</v>
      </c>
      <c r="E1297" s="115">
        <v>514.95000000000005</v>
      </c>
      <c r="F1297" s="115">
        <v>492.4</v>
      </c>
      <c r="G1297">
        <v>1458</v>
      </c>
      <c r="H1297" s="115"/>
      <c r="I1297" s="115"/>
      <c r="L1297" s="160">
        <v>43915</v>
      </c>
      <c r="M1297" s="115">
        <v>313.8</v>
      </c>
      <c r="N1297" s="115">
        <v>317.75</v>
      </c>
      <c r="O1297" s="115">
        <v>300</v>
      </c>
      <c r="P1297" s="115">
        <v>300.2</v>
      </c>
      <c r="Q1297" s="115">
        <v>313.8</v>
      </c>
      <c r="R1297">
        <v>9892</v>
      </c>
    </row>
    <row r="1298" spans="1:18" x14ac:dyDescent="0.25">
      <c r="A1298" s="160">
        <v>43945</v>
      </c>
      <c r="B1298" s="115">
        <v>483.25</v>
      </c>
      <c r="C1298" s="115">
        <v>469.5</v>
      </c>
      <c r="D1298" s="115">
        <v>461.9</v>
      </c>
      <c r="E1298" s="115">
        <v>481.5</v>
      </c>
      <c r="F1298" s="115">
        <v>469.5</v>
      </c>
      <c r="G1298">
        <v>669</v>
      </c>
      <c r="H1298" s="115"/>
      <c r="I1298" s="115"/>
      <c r="L1298" s="160">
        <v>43916</v>
      </c>
      <c r="M1298" s="115">
        <v>324.3</v>
      </c>
      <c r="N1298" s="115">
        <v>347.75</v>
      </c>
      <c r="O1298" s="115">
        <v>312.8</v>
      </c>
      <c r="P1298" s="115">
        <v>319.89999999999998</v>
      </c>
      <c r="Q1298" s="115">
        <v>324.3</v>
      </c>
      <c r="R1298">
        <v>17672</v>
      </c>
    </row>
    <row r="1299" spans="1:18" x14ac:dyDescent="0.25">
      <c r="A1299" s="160">
        <v>43948</v>
      </c>
      <c r="B1299" s="115">
        <v>488</v>
      </c>
      <c r="C1299" s="115">
        <v>487.85</v>
      </c>
      <c r="D1299" s="115">
        <v>472</v>
      </c>
      <c r="E1299" s="115">
        <v>488</v>
      </c>
      <c r="F1299" s="115">
        <v>487.85</v>
      </c>
      <c r="G1299">
        <v>387</v>
      </c>
      <c r="H1299" s="115"/>
      <c r="I1299" s="115"/>
      <c r="L1299" s="160">
        <v>43917</v>
      </c>
      <c r="M1299" s="115">
        <v>324.55</v>
      </c>
      <c r="N1299" s="115">
        <v>354</v>
      </c>
      <c r="O1299" s="115">
        <v>323.25</v>
      </c>
      <c r="P1299" s="115">
        <v>333.95</v>
      </c>
      <c r="Q1299" s="115">
        <v>324.55</v>
      </c>
      <c r="R1299">
        <v>8255</v>
      </c>
    </row>
    <row r="1300" spans="1:18" x14ac:dyDescent="0.25">
      <c r="A1300" s="160">
        <v>43949</v>
      </c>
      <c r="B1300" s="115">
        <v>494.9</v>
      </c>
      <c r="C1300" s="115">
        <v>479.75</v>
      </c>
      <c r="D1300" s="115">
        <v>462</v>
      </c>
      <c r="E1300" s="115">
        <v>475.1</v>
      </c>
      <c r="F1300" s="115">
        <v>479.75</v>
      </c>
      <c r="G1300">
        <v>832</v>
      </c>
      <c r="H1300" s="115"/>
      <c r="I1300" s="115"/>
      <c r="L1300" s="160">
        <v>43920</v>
      </c>
      <c r="M1300" s="115">
        <v>322.25</v>
      </c>
      <c r="N1300" s="115">
        <v>333.8</v>
      </c>
      <c r="O1300" s="115">
        <v>319.25</v>
      </c>
      <c r="P1300" s="115">
        <v>324.95</v>
      </c>
      <c r="Q1300" s="115">
        <v>322.25</v>
      </c>
      <c r="R1300">
        <v>13883</v>
      </c>
    </row>
    <row r="1301" spans="1:18" x14ac:dyDescent="0.25">
      <c r="A1301" s="160">
        <v>43950</v>
      </c>
      <c r="B1301" s="115">
        <v>487.4</v>
      </c>
      <c r="C1301" s="115">
        <v>475.05</v>
      </c>
      <c r="D1301" s="115">
        <v>470</v>
      </c>
      <c r="E1301" s="115">
        <v>480</v>
      </c>
      <c r="F1301" s="115">
        <v>475.05</v>
      </c>
      <c r="G1301">
        <v>890</v>
      </c>
      <c r="H1301" s="115"/>
      <c r="I1301" s="115"/>
      <c r="L1301" s="160">
        <v>43921</v>
      </c>
      <c r="M1301" s="115">
        <v>325.2</v>
      </c>
      <c r="N1301" s="115">
        <v>329.8</v>
      </c>
      <c r="O1301" s="115">
        <v>322</v>
      </c>
      <c r="P1301" s="115">
        <v>322.10000000000002</v>
      </c>
      <c r="Q1301" s="115">
        <v>325.2</v>
      </c>
      <c r="R1301">
        <v>8100</v>
      </c>
    </row>
    <row r="1302" spans="1:18" x14ac:dyDescent="0.25">
      <c r="A1302" s="160">
        <v>43951</v>
      </c>
      <c r="B1302" s="115">
        <v>505</v>
      </c>
      <c r="C1302" s="115">
        <v>505</v>
      </c>
      <c r="D1302" s="115">
        <v>477.05</v>
      </c>
      <c r="E1302" s="115">
        <v>477.05</v>
      </c>
      <c r="F1302" s="115">
        <v>505</v>
      </c>
      <c r="G1302">
        <v>1514</v>
      </c>
      <c r="H1302" s="115"/>
      <c r="I1302" s="115"/>
      <c r="L1302" s="160">
        <v>43922</v>
      </c>
      <c r="M1302" s="115">
        <v>327.85</v>
      </c>
      <c r="N1302" s="115">
        <v>334.85</v>
      </c>
      <c r="O1302" s="115">
        <v>322.25</v>
      </c>
      <c r="P1302" s="115">
        <v>334.85</v>
      </c>
      <c r="Q1302" s="115">
        <v>327.85</v>
      </c>
      <c r="R1302">
        <v>9280</v>
      </c>
    </row>
    <row r="1303" spans="1:18" x14ac:dyDescent="0.25">
      <c r="A1303" s="160">
        <v>43955</v>
      </c>
      <c r="B1303" s="115">
        <v>505</v>
      </c>
      <c r="C1303" s="115">
        <v>485</v>
      </c>
      <c r="D1303" s="115">
        <v>470</v>
      </c>
      <c r="E1303" s="115">
        <v>505</v>
      </c>
      <c r="F1303" s="115">
        <v>485</v>
      </c>
      <c r="G1303">
        <v>706</v>
      </c>
      <c r="H1303" s="115"/>
      <c r="I1303" s="115"/>
      <c r="L1303" s="160">
        <v>43924</v>
      </c>
      <c r="M1303" s="115">
        <v>335.45</v>
      </c>
      <c r="N1303" s="115">
        <v>336.95</v>
      </c>
      <c r="O1303" s="115">
        <v>324.5</v>
      </c>
      <c r="P1303" s="115">
        <v>330</v>
      </c>
      <c r="Q1303" s="115">
        <v>335.45</v>
      </c>
      <c r="R1303">
        <v>12878</v>
      </c>
    </row>
    <row r="1304" spans="1:18" x14ac:dyDescent="0.25">
      <c r="A1304" s="160">
        <v>43956</v>
      </c>
      <c r="B1304" s="115">
        <v>498.95</v>
      </c>
      <c r="C1304" s="115">
        <v>480.95</v>
      </c>
      <c r="D1304" s="115">
        <v>479</v>
      </c>
      <c r="E1304" s="115">
        <v>480</v>
      </c>
      <c r="F1304" s="115">
        <v>480.95</v>
      </c>
      <c r="G1304">
        <v>853</v>
      </c>
      <c r="H1304" s="115"/>
      <c r="I1304" s="115"/>
      <c r="L1304" s="160">
        <v>43928</v>
      </c>
      <c r="M1304" s="115">
        <v>402.5</v>
      </c>
      <c r="N1304" s="115">
        <v>402.5</v>
      </c>
      <c r="O1304" s="115">
        <v>335</v>
      </c>
      <c r="P1304" s="115">
        <v>340</v>
      </c>
      <c r="Q1304" s="115">
        <v>402.5</v>
      </c>
      <c r="R1304">
        <v>42515</v>
      </c>
    </row>
    <row r="1305" spans="1:18" x14ac:dyDescent="0.25">
      <c r="A1305" s="160">
        <v>43957</v>
      </c>
      <c r="B1305" s="115">
        <v>478.1</v>
      </c>
      <c r="C1305" s="115">
        <v>478.1</v>
      </c>
      <c r="D1305" s="115">
        <v>465</v>
      </c>
      <c r="E1305" s="115">
        <v>465</v>
      </c>
      <c r="F1305" s="115">
        <v>478.1</v>
      </c>
      <c r="G1305">
        <v>129</v>
      </c>
      <c r="H1305" s="115"/>
      <c r="I1305" s="115"/>
      <c r="L1305" s="160">
        <v>43929</v>
      </c>
      <c r="M1305" s="115">
        <v>417.45</v>
      </c>
      <c r="N1305" s="115">
        <v>429.9</v>
      </c>
      <c r="O1305" s="115">
        <v>391</v>
      </c>
      <c r="P1305" s="115">
        <v>406</v>
      </c>
      <c r="Q1305" s="115">
        <v>417.45</v>
      </c>
      <c r="R1305">
        <v>43163</v>
      </c>
    </row>
    <row r="1306" spans="1:18" x14ac:dyDescent="0.25">
      <c r="A1306" s="160">
        <v>43958</v>
      </c>
      <c r="B1306" s="115">
        <v>496.75</v>
      </c>
      <c r="C1306" s="115">
        <v>483.05</v>
      </c>
      <c r="D1306" s="115">
        <v>469</v>
      </c>
      <c r="E1306" s="115">
        <v>469.05</v>
      </c>
      <c r="F1306" s="115">
        <v>483.05</v>
      </c>
      <c r="G1306">
        <v>291</v>
      </c>
      <c r="H1306" s="115"/>
      <c r="I1306" s="115"/>
      <c r="L1306" s="160">
        <v>43930</v>
      </c>
      <c r="M1306" s="115">
        <v>436.9</v>
      </c>
      <c r="N1306" s="115">
        <v>440</v>
      </c>
      <c r="O1306" s="115">
        <v>426</v>
      </c>
      <c r="P1306" s="115">
        <v>427.9</v>
      </c>
      <c r="Q1306" s="115">
        <v>436.9</v>
      </c>
      <c r="R1306">
        <v>17277</v>
      </c>
    </row>
    <row r="1307" spans="1:18" x14ac:dyDescent="0.25">
      <c r="A1307" s="160">
        <v>43959</v>
      </c>
      <c r="B1307" s="115">
        <v>494.85</v>
      </c>
      <c r="C1307" s="115">
        <v>490.65</v>
      </c>
      <c r="D1307" s="115">
        <v>476</v>
      </c>
      <c r="E1307" s="115">
        <v>494.85</v>
      </c>
      <c r="F1307" s="115">
        <v>490.65</v>
      </c>
      <c r="G1307">
        <v>377</v>
      </c>
      <c r="H1307" s="115"/>
      <c r="I1307" s="115"/>
      <c r="L1307" s="160">
        <v>43934</v>
      </c>
      <c r="M1307" s="115">
        <v>463.8</v>
      </c>
      <c r="N1307" s="115">
        <v>471.95</v>
      </c>
      <c r="O1307" s="115">
        <v>406.85</v>
      </c>
      <c r="P1307" s="115">
        <v>447</v>
      </c>
      <c r="Q1307" s="115">
        <v>463.8</v>
      </c>
      <c r="R1307">
        <v>57265</v>
      </c>
    </row>
    <row r="1308" spans="1:18" x14ac:dyDescent="0.25">
      <c r="A1308" s="160">
        <v>43962</v>
      </c>
      <c r="B1308" s="115">
        <v>485</v>
      </c>
      <c r="C1308" s="115">
        <v>469.6</v>
      </c>
      <c r="D1308" s="115">
        <v>466.2</v>
      </c>
      <c r="E1308" s="115">
        <v>485</v>
      </c>
      <c r="F1308" s="115">
        <v>469.6</v>
      </c>
      <c r="G1308">
        <v>69</v>
      </c>
      <c r="H1308" s="115"/>
      <c r="I1308" s="115"/>
      <c r="L1308" s="160">
        <v>43936</v>
      </c>
      <c r="M1308" s="115">
        <v>459.8</v>
      </c>
      <c r="N1308" s="115">
        <v>534.04999999999995</v>
      </c>
      <c r="O1308" s="115">
        <v>453</v>
      </c>
      <c r="P1308" s="115">
        <v>480</v>
      </c>
      <c r="Q1308" s="115">
        <v>459.8</v>
      </c>
      <c r="R1308">
        <v>99003</v>
      </c>
    </row>
    <row r="1309" spans="1:18" x14ac:dyDescent="0.25">
      <c r="A1309" s="160">
        <v>43963</v>
      </c>
      <c r="B1309" s="115">
        <v>489.8</v>
      </c>
      <c r="C1309" s="115">
        <v>465</v>
      </c>
      <c r="D1309" s="115">
        <v>432</v>
      </c>
      <c r="E1309" s="115">
        <v>460</v>
      </c>
      <c r="F1309" s="115">
        <v>465</v>
      </c>
      <c r="G1309">
        <v>420</v>
      </c>
      <c r="H1309" s="115"/>
      <c r="I1309" s="115"/>
      <c r="L1309" s="160">
        <v>43937</v>
      </c>
      <c r="M1309" s="115">
        <v>457.45</v>
      </c>
      <c r="N1309" s="115">
        <v>473</v>
      </c>
      <c r="O1309" s="115">
        <v>452.25</v>
      </c>
      <c r="P1309" s="115">
        <v>464.05</v>
      </c>
      <c r="Q1309" s="115">
        <v>457.45</v>
      </c>
      <c r="R1309">
        <v>25041</v>
      </c>
    </row>
    <row r="1310" spans="1:18" x14ac:dyDescent="0.25">
      <c r="A1310" s="160">
        <v>43964</v>
      </c>
      <c r="B1310" s="115">
        <v>520</v>
      </c>
      <c r="C1310" s="115">
        <v>467.75</v>
      </c>
      <c r="D1310" s="115">
        <v>453.05</v>
      </c>
      <c r="E1310" s="115">
        <v>520</v>
      </c>
      <c r="F1310" s="115">
        <v>467.75</v>
      </c>
      <c r="G1310">
        <v>705</v>
      </c>
      <c r="H1310" s="115"/>
      <c r="I1310" s="115"/>
      <c r="L1310" s="160">
        <v>43938</v>
      </c>
      <c r="M1310" s="115">
        <v>448.2</v>
      </c>
      <c r="N1310" s="115">
        <v>473</v>
      </c>
      <c r="O1310" s="115">
        <v>445.05</v>
      </c>
      <c r="P1310" s="115">
        <v>469</v>
      </c>
      <c r="Q1310" s="115">
        <v>448.2</v>
      </c>
      <c r="R1310">
        <v>21234</v>
      </c>
    </row>
    <row r="1311" spans="1:18" x14ac:dyDescent="0.25">
      <c r="A1311" s="160">
        <v>43965</v>
      </c>
      <c r="B1311" s="115">
        <v>480</v>
      </c>
      <c r="C1311" s="115">
        <v>478.05</v>
      </c>
      <c r="D1311" s="115">
        <v>460</v>
      </c>
      <c r="E1311" s="115">
        <v>465</v>
      </c>
      <c r="F1311" s="115">
        <v>478.05</v>
      </c>
      <c r="G1311">
        <v>1583</v>
      </c>
      <c r="H1311" s="115"/>
      <c r="I1311" s="115"/>
      <c r="L1311" s="160">
        <v>43941</v>
      </c>
      <c r="M1311" s="115">
        <v>434.8</v>
      </c>
      <c r="N1311" s="115">
        <v>453</v>
      </c>
      <c r="O1311" s="115">
        <v>432.25</v>
      </c>
      <c r="P1311" s="115">
        <v>444</v>
      </c>
      <c r="Q1311" s="115">
        <v>434.8</v>
      </c>
      <c r="R1311">
        <v>12143</v>
      </c>
    </row>
    <row r="1312" spans="1:18" x14ac:dyDescent="0.25">
      <c r="A1312" s="160">
        <v>43966</v>
      </c>
      <c r="B1312" s="115">
        <v>478</v>
      </c>
      <c r="C1312" s="115">
        <v>468.45</v>
      </c>
      <c r="D1312" s="115">
        <v>466</v>
      </c>
      <c r="E1312" s="115">
        <v>478</v>
      </c>
      <c r="F1312" s="115">
        <v>468.45</v>
      </c>
      <c r="G1312">
        <v>487</v>
      </c>
      <c r="H1312" s="115"/>
      <c r="I1312" s="115"/>
      <c r="L1312" s="160">
        <v>43942</v>
      </c>
      <c r="M1312" s="115">
        <v>419.7</v>
      </c>
      <c r="N1312" s="115">
        <v>439.85</v>
      </c>
      <c r="O1312" s="115">
        <v>412.25</v>
      </c>
      <c r="P1312" s="115">
        <v>432.25</v>
      </c>
      <c r="Q1312" s="115">
        <v>419.7</v>
      </c>
      <c r="R1312">
        <v>20276</v>
      </c>
    </row>
    <row r="1313" spans="1:18" x14ac:dyDescent="0.25">
      <c r="A1313" s="160">
        <v>43969</v>
      </c>
      <c r="B1313" s="115">
        <v>478</v>
      </c>
      <c r="C1313" s="115">
        <v>469.7</v>
      </c>
      <c r="D1313" s="115">
        <v>463</v>
      </c>
      <c r="E1313" s="115">
        <v>468.45</v>
      </c>
      <c r="F1313" s="115">
        <v>469.7</v>
      </c>
      <c r="G1313">
        <v>180</v>
      </c>
      <c r="H1313" s="115"/>
      <c r="I1313" s="115"/>
      <c r="L1313" s="160">
        <v>43943</v>
      </c>
      <c r="M1313" s="115">
        <v>439.8</v>
      </c>
      <c r="N1313" s="115">
        <v>441.95</v>
      </c>
      <c r="O1313" s="115">
        <v>416.1</v>
      </c>
      <c r="P1313" s="115">
        <v>416.1</v>
      </c>
      <c r="Q1313" s="115">
        <v>439.8</v>
      </c>
      <c r="R1313">
        <v>29151</v>
      </c>
    </row>
    <row r="1314" spans="1:18" x14ac:dyDescent="0.25">
      <c r="A1314" s="160">
        <v>43970</v>
      </c>
      <c r="B1314" s="115">
        <v>464</v>
      </c>
      <c r="C1314" s="115">
        <v>449</v>
      </c>
      <c r="D1314" s="115">
        <v>448.05</v>
      </c>
      <c r="E1314" s="115">
        <v>464</v>
      </c>
      <c r="F1314" s="115">
        <v>449</v>
      </c>
      <c r="G1314">
        <v>510</v>
      </c>
      <c r="H1314" s="115"/>
      <c r="I1314" s="115"/>
      <c r="L1314" s="160">
        <v>43944</v>
      </c>
      <c r="M1314" s="115">
        <v>438.35</v>
      </c>
      <c r="N1314" s="115">
        <v>452.05</v>
      </c>
      <c r="O1314" s="115">
        <v>428.1</v>
      </c>
      <c r="P1314" s="115">
        <v>449</v>
      </c>
      <c r="Q1314" s="115">
        <v>438.35</v>
      </c>
      <c r="R1314">
        <v>14115</v>
      </c>
    </row>
    <row r="1315" spans="1:18" x14ac:dyDescent="0.25">
      <c r="A1315" s="160">
        <v>43971</v>
      </c>
      <c r="B1315" s="115">
        <v>459.9</v>
      </c>
      <c r="C1315" s="115">
        <v>444.05</v>
      </c>
      <c r="D1315" s="115">
        <v>440</v>
      </c>
      <c r="E1315" s="115">
        <v>445.5</v>
      </c>
      <c r="F1315" s="115">
        <v>444.05</v>
      </c>
      <c r="G1315">
        <v>1865</v>
      </c>
      <c r="H1315" s="115"/>
      <c r="I1315" s="115"/>
      <c r="L1315" s="160">
        <v>43945</v>
      </c>
      <c r="M1315" s="115">
        <v>421.85</v>
      </c>
      <c r="N1315" s="115">
        <v>438</v>
      </c>
      <c r="O1315" s="115">
        <v>418.15</v>
      </c>
      <c r="P1315" s="115">
        <v>430</v>
      </c>
      <c r="Q1315" s="115">
        <v>421.85</v>
      </c>
      <c r="R1315">
        <v>14521</v>
      </c>
    </row>
    <row r="1316" spans="1:18" x14ac:dyDescent="0.25">
      <c r="A1316" s="160">
        <v>43972</v>
      </c>
      <c r="B1316" s="115">
        <v>469.8</v>
      </c>
      <c r="C1316" s="115">
        <v>454</v>
      </c>
      <c r="D1316" s="115">
        <v>453.95</v>
      </c>
      <c r="E1316" s="115">
        <v>469.8</v>
      </c>
      <c r="F1316" s="115">
        <v>454</v>
      </c>
      <c r="G1316">
        <v>715</v>
      </c>
      <c r="H1316" s="115"/>
      <c r="I1316" s="115"/>
      <c r="L1316" s="160">
        <v>43948</v>
      </c>
      <c r="M1316" s="115">
        <v>416.1</v>
      </c>
      <c r="N1316" s="115">
        <v>437.75</v>
      </c>
      <c r="O1316" s="115">
        <v>412.25</v>
      </c>
      <c r="P1316" s="115">
        <v>436</v>
      </c>
      <c r="Q1316" s="115">
        <v>416.1</v>
      </c>
      <c r="R1316">
        <v>34813</v>
      </c>
    </row>
    <row r="1317" spans="1:18" x14ac:dyDescent="0.25">
      <c r="A1317" s="160">
        <v>43973</v>
      </c>
      <c r="B1317" s="115">
        <v>450</v>
      </c>
      <c r="C1317" s="115">
        <v>440</v>
      </c>
      <c r="D1317" s="115">
        <v>432</v>
      </c>
      <c r="E1317" s="115">
        <v>432</v>
      </c>
      <c r="F1317" s="115">
        <v>440</v>
      </c>
      <c r="G1317">
        <v>119</v>
      </c>
      <c r="H1317" s="115"/>
      <c r="I1317" s="115"/>
      <c r="L1317" s="160">
        <v>43949</v>
      </c>
      <c r="M1317" s="115">
        <v>425.85</v>
      </c>
      <c r="N1317" s="115">
        <v>433.05</v>
      </c>
      <c r="O1317" s="115">
        <v>418.2</v>
      </c>
      <c r="P1317" s="115">
        <v>420.1</v>
      </c>
      <c r="Q1317" s="115">
        <v>425.85</v>
      </c>
      <c r="R1317">
        <v>16988</v>
      </c>
    </row>
    <row r="1318" spans="1:18" x14ac:dyDescent="0.25">
      <c r="A1318" s="160">
        <v>43977</v>
      </c>
      <c r="B1318" s="115">
        <v>481</v>
      </c>
      <c r="C1318" s="115">
        <v>479.95</v>
      </c>
      <c r="D1318" s="115">
        <v>454</v>
      </c>
      <c r="E1318" s="115">
        <v>454</v>
      </c>
      <c r="F1318" s="115">
        <v>479.95</v>
      </c>
      <c r="G1318">
        <v>4494</v>
      </c>
      <c r="H1318" s="115"/>
      <c r="I1318" s="115"/>
      <c r="L1318" s="160">
        <v>43950</v>
      </c>
      <c r="M1318" s="115">
        <v>442.55</v>
      </c>
      <c r="N1318" s="115">
        <v>449.25</v>
      </c>
      <c r="O1318" s="115">
        <v>422.35</v>
      </c>
      <c r="P1318" s="115">
        <v>429</v>
      </c>
      <c r="Q1318" s="115">
        <v>442.55</v>
      </c>
      <c r="R1318">
        <v>31604</v>
      </c>
    </row>
    <row r="1319" spans="1:18" x14ac:dyDescent="0.25">
      <c r="A1319" s="160">
        <v>43978</v>
      </c>
      <c r="B1319" s="115">
        <v>504</v>
      </c>
      <c r="C1319" s="115">
        <v>499.7</v>
      </c>
      <c r="D1319" s="115">
        <v>481.35</v>
      </c>
      <c r="E1319" s="115">
        <v>490</v>
      </c>
      <c r="F1319" s="115">
        <v>499.7</v>
      </c>
      <c r="G1319">
        <v>711</v>
      </c>
      <c r="H1319" s="115"/>
      <c r="I1319" s="115"/>
      <c r="L1319" s="160">
        <v>43951</v>
      </c>
      <c r="M1319" s="115">
        <v>447.15</v>
      </c>
      <c r="N1319" s="115">
        <v>450</v>
      </c>
      <c r="O1319" s="115">
        <v>434</v>
      </c>
      <c r="P1319" s="115">
        <v>445.5</v>
      </c>
      <c r="Q1319" s="115">
        <v>447.15</v>
      </c>
      <c r="R1319">
        <v>31638</v>
      </c>
    </row>
    <row r="1320" spans="1:18" x14ac:dyDescent="0.25">
      <c r="A1320" s="160">
        <v>43979</v>
      </c>
      <c r="B1320" s="115">
        <v>519.95000000000005</v>
      </c>
      <c r="C1320" s="115">
        <v>483</v>
      </c>
      <c r="D1320" s="115">
        <v>483</v>
      </c>
      <c r="E1320" s="115">
        <v>519.95000000000005</v>
      </c>
      <c r="F1320" s="115">
        <v>483</v>
      </c>
      <c r="G1320">
        <v>33</v>
      </c>
      <c r="H1320" s="115"/>
      <c r="I1320" s="115"/>
      <c r="L1320" s="160">
        <v>43955</v>
      </c>
      <c r="M1320" s="115">
        <v>455.25</v>
      </c>
      <c r="N1320" s="115">
        <v>475</v>
      </c>
      <c r="O1320" s="115">
        <v>415</v>
      </c>
      <c r="P1320" s="115">
        <v>445</v>
      </c>
      <c r="Q1320" s="115">
        <v>455.25</v>
      </c>
      <c r="R1320">
        <v>40028</v>
      </c>
    </row>
    <row r="1321" spans="1:18" x14ac:dyDescent="0.25">
      <c r="A1321" s="160">
        <v>43980</v>
      </c>
      <c r="B1321" s="115">
        <v>480</v>
      </c>
      <c r="C1321" s="115">
        <v>480</v>
      </c>
      <c r="D1321" s="115">
        <v>475</v>
      </c>
      <c r="E1321" s="115">
        <v>480</v>
      </c>
      <c r="F1321" s="115">
        <v>480</v>
      </c>
      <c r="G1321">
        <v>428</v>
      </c>
      <c r="H1321" s="115"/>
      <c r="I1321" s="115"/>
      <c r="L1321" s="160">
        <v>43956</v>
      </c>
      <c r="M1321" s="115">
        <v>438.15</v>
      </c>
      <c r="N1321" s="115">
        <v>465</v>
      </c>
      <c r="O1321" s="115">
        <v>433.3</v>
      </c>
      <c r="P1321" s="115">
        <v>457</v>
      </c>
      <c r="Q1321" s="115">
        <v>438.15</v>
      </c>
      <c r="R1321">
        <v>36540</v>
      </c>
    </row>
    <row r="1322" spans="1:18" x14ac:dyDescent="0.25">
      <c r="A1322" s="160">
        <v>43983</v>
      </c>
      <c r="B1322" s="115">
        <v>494.9</v>
      </c>
      <c r="C1322" s="115">
        <v>476.35</v>
      </c>
      <c r="D1322" s="115">
        <v>446.05</v>
      </c>
      <c r="E1322" s="115">
        <v>446.05</v>
      </c>
      <c r="F1322" s="115">
        <v>476.35</v>
      </c>
      <c r="G1322">
        <v>3536</v>
      </c>
      <c r="H1322" s="115"/>
      <c r="I1322" s="115"/>
      <c r="L1322" s="160">
        <v>43957</v>
      </c>
      <c r="M1322" s="115">
        <v>440.95</v>
      </c>
      <c r="N1322" s="115">
        <v>449.75</v>
      </c>
      <c r="O1322" s="115">
        <v>428.05</v>
      </c>
      <c r="P1322" s="115">
        <v>438.25</v>
      </c>
      <c r="Q1322" s="115">
        <v>440.95</v>
      </c>
      <c r="R1322">
        <v>27192</v>
      </c>
    </row>
    <row r="1323" spans="1:18" x14ac:dyDescent="0.25">
      <c r="A1323" s="160">
        <v>43984</v>
      </c>
      <c r="B1323" s="115">
        <v>490</v>
      </c>
      <c r="C1323" s="115">
        <v>469</v>
      </c>
      <c r="D1323" s="115">
        <v>460</v>
      </c>
      <c r="E1323" s="115">
        <v>470.05</v>
      </c>
      <c r="F1323" s="115">
        <v>469</v>
      </c>
      <c r="G1323">
        <v>7249</v>
      </c>
      <c r="H1323" s="115"/>
      <c r="I1323" s="115"/>
      <c r="L1323" s="160">
        <v>43958</v>
      </c>
      <c r="M1323" s="115">
        <v>446.45</v>
      </c>
      <c r="N1323" s="115">
        <v>449.5</v>
      </c>
      <c r="O1323" s="115">
        <v>436.55</v>
      </c>
      <c r="P1323" s="115">
        <v>438.55</v>
      </c>
      <c r="Q1323" s="115">
        <v>446.45</v>
      </c>
      <c r="R1323">
        <v>14623</v>
      </c>
    </row>
    <row r="1324" spans="1:18" x14ac:dyDescent="0.25">
      <c r="A1324" s="160">
        <v>43985</v>
      </c>
      <c r="B1324" s="115">
        <v>484</v>
      </c>
      <c r="C1324" s="115">
        <v>484</v>
      </c>
      <c r="D1324" s="115">
        <v>477</v>
      </c>
      <c r="E1324" s="115">
        <v>477</v>
      </c>
      <c r="F1324" s="115">
        <v>484</v>
      </c>
      <c r="G1324">
        <v>831</v>
      </c>
      <c r="H1324" s="115"/>
      <c r="I1324" s="115"/>
      <c r="L1324" s="160">
        <v>43959</v>
      </c>
      <c r="M1324" s="115">
        <v>444.1</v>
      </c>
      <c r="N1324" s="115">
        <v>462.75</v>
      </c>
      <c r="O1324" s="115">
        <v>442</v>
      </c>
      <c r="P1324" s="115">
        <v>454.95</v>
      </c>
      <c r="Q1324" s="115">
        <v>444.1</v>
      </c>
      <c r="R1324">
        <v>30201</v>
      </c>
    </row>
    <row r="1325" spans="1:18" x14ac:dyDescent="0.25">
      <c r="A1325" s="160">
        <v>43986</v>
      </c>
      <c r="B1325" s="115">
        <v>484</v>
      </c>
      <c r="C1325" s="115">
        <v>475.25</v>
      </c>
      <c r="D1325" s="115">
        <v>471</v>
      </c>
      <c r="E1325" s="115">
        <v>484</v>
      </c>
      <c r="F1325" s="115">
        <v>475.25</v>
      </c>
      <c r="G1325">
        <v>560</v>
      </c>
      <c r="H1325" s="115"/>
      <c r="I1325" s="115"/>
      <c r="L1325" s="160">
        <v>43962</v>
      </c>
      <c r="M1325" s="115">
        <v>449.6</v>
      </c>
      <c r="N1325" s="115">
        <v>459.75</v>
      </c>
      <c r="O1325" s="115">
        <v>445.4</v>
      </c>
      <c r="P1325" s="115">
        <v>450</v>
      </c>
      <c r="Q1325" s="115">
        <v>449.6</v>
      </c>
      <c r="R1325">
        <v>30979</v>
      </c>
    </row>
    <row r="1326" spans="1:18" x14ac:dyDescent="0.25">
      <c r="A1326" s="160">
        <v>43987</v>
      </c>
      <c r="B1326" s="115">
        <v>513.25</v>
      </c>
      <c r="C1326" s="115">
        <v>492.5</v>
      </c>
      <c r="D1326" s="115">
        <v>475.25</v>
      </c>
      <c r="E1326" s="115">
        <v>475.25</v>
      </c>
      <c r="F1326" s="115">
        <v>492.5</v>
      </c>
      <c r="G1326">
        <v>1970</v>
      </c>
      <c r="H1326" s="115"/>
      <c r="I1326" s="115"/>
      <c r="L1326" s="160">
        <v>43963</v>
      </c>
      <c r="M1326" s="115">
        <v>448.05</v>
      </c>
      <c r="N1326" s="115">
        <v>453.8</v>
      </c>
      <c r="O1326" s="115">
        <v>438</v>
      </c>
      <c r="P1326" s="115">
        <v>453.8</v>
      </c>
      <c r="Q1326" s="115">
        <v>448.05</v>
      </c>
      <c r="R1326">
        <v>18975</v>
      </c>
    </row>
    <row r="1327" spans="1:18" x14ac:dyDescent="0.25">
      <c r="A1327" s="160">
        <v>43990</v>
      </c>
      <c r="B1327" s="115">
        <v>517</v>
      </c>
      <c r="C1327" s="115">
        <v>500</v>
      </c>
      <c r="D1327" s="115">
        <v>490</v>
      </c>
      <c r="E1327" s="115">
        <v>517</v>
      </c>
      <c r="F1327" s="115">
        <v>500</v>
      </c>
      <c r="G1327">
        <v>1253</v>
      </c>
      <c r="H1327" s="115"/>
      <c r="I1327" s="115"/>
      <c r="L1327" s="160">
        <v>43964</v>
      </c>
      <c r="M1327" s="115">
        <v>454.15</v>
      </c>
      <c r="N1327" s="115">
        <v>468.8</v>
      </c>
      <c r="O1327" s="115">
        <v>434.7</v>
      </c>
      <c r="P1327" s="115">
        <v>468.8</v>
      </c>
      <c r="Q1327" s="115">
        <v>454.15</v>
      </c>
      <c r="R1327">
        <v>38276</v>
      </c>
    </row>
    <row r="1328" spans="1:18" x14ac:dyDescent="0.25">
      <c r="A1328" s="160">
        <v>43991</v>
      </c>
      <c r="B1328" s="115">
        <v>515</v>
      </c>
      <c r="C1328" s="115">
        <v>490.05</v>
      </c>
      <c r="D1328" s="115">
        <v>490</v>
      </c>
      <c r="E1328" s="115">
        <v>500</v>
      </c>
      <c r="F1328" s="115">
        <v>490.05</v>
      </c>
      <c r="G1328">
        <v>1033</v>
      </c>
      <c r="H1328" s="115"/>
      <c r="I1328" s="115"/>
      <c r="L1328" s="160">
        <v>43965</v>
      </c>
      <c r="M1328" s="115">
        <v>461.05</v>
      </c>
      <c r="N1328" s="115">
        <v>463.8</v>
      </c>
      <c r="O1328" s="115">
        <v>437.85</v>
      </c>
      <c r="P1328" s="115">
        <v>452</v>
      </c>
      <c r="Q1328" s="115">
        <v>461.05</v>
      </c>
      <c r="R1328">
        <v>36271</v>
      </c>
    </row>
    <row r="1329" spans="1:18" x14ac:dyDescent="0.25">
      <c r="A1329" s="160">
        <v>43992</v>
      </c>
      <c r="B1329" s="115">
        <v>504</v>
      </c>
      <c r="C1329" s="115">
        <v>500.3</v>
      </c>
      <c r="D1329" s="115">
        <v>483</v>
      </c>
      <c r="E1329" s="115">
        <v>490</v>
      </c>
      <c r="F1329" s="115">
        <v>500.3</v>
      </c>
      <c r="G1329">
        <v>557</v>
      </c>
      <c r="H1329" s="115"/>
      <c r="I1329" s="115"/>
      <c r="L1329" s="160">
        <v>43966</v>
      </c>
      <c r="M1329" s="115">
        <v>486.95</v>
      </c>
      <c r="N1329" s="115">
        <v>495.9</v>
      </c>
      <c r="O1329" s="115">
        <v>458.75</v>
      </c>
      <c r="P1329" s="115">
        <v>465</v>
      </c>
      <c r="Q1329" s="115">
        <v>486.95</v>
      </c>
      <c r="R1329">
        <v>62519</v>
      </c>
    </row>
    <row r="1330" spans="1:18" x14ac:dyDescent="0.25">
      <c r="A1330" s="160">
        <v>43993</v>
      </c>
      <c r="B1330" s="115">
        <v>515</v>
      </c>
      <c r="C1330" s="115">
        <v>503.7</v>
      </c>
      <c r="D1330" s="115">
        <v>490.65</v>
      </c>
      <c r="E1330" s="115">
        <v>503.1</v>
      </c>
      <c r="F1330" s="115">
        <v>503.7</v>
      </c>
      <c r="G1330">
        <v>1218</v>
      </c>
      <c r="H1330" s="115"/>
      <c r="I1330" s="115"/>
      <c r="L1330" s="160">
        <v>43969</v>
      </c>
      <c r="M1330" s="115">
        <v>492.3</v>
      </c>
      <c r="N1330" s="115">
        <v>513.04999999999995</v>
      </c>
      <c r="O1330" s="115">
        <v>488.05</v>
      </c>
      <c r="P1330" s="115">
        <v>492</v>
      </c>
      <c r="Q1330" s="115">
        <v>492.3</v>
      </c>
      <c r="R1330">
        <v>69511</v>
      </c>
    </row>
    <row r="1331" spans="1:18" x14ac:dyDescent="0.25">
      <c r="A1331" s="160">
        <v>43994</v>
      </c>
      <c r="B1331" s="115">
        <v>509</v>
      </c>
      <c r="C1331" s="115">
        <v>503.1</v>
      </c>
      <c r="D1331" s="115">
        <v>489.9</v>
      </c>
      <c r="E1331" s="115">
        <v>496.95</v>
      </c>
      <c r="F1331" s="115">
        <v>503.1</v>
      </c>
      <c r="G1331">
        <v>716</v>
      </c>
      <c r="H1331" s="115"/>
      <c r="I1331" s="115"/>
      <c r="L1331" s="160">
        <v>43970</v>
      </c>
      <c r="M1331" s="115">
        <v>468.25</v>
      </c>
      <c r="N1331" s="115">
        <v>498.7</v>
      </c>
      <c r="O1331" s="115">
        <v>461.45</v>
      </c>
      <c r="P1331" s="115">
        <v>498.7</v>
      </c>
      <c r="Q1331" s="115">
        <v>468.25</v>
      </c>
      <c r="R1331">
        <v>37420</v>
      </c>
    </row>
    <row r="1332" spans="1:18" x14ac:dyDescent="0.25">
      <c r="A1332" s="160">
        <v>43997</v>
      </c>
      <c r="B1332" s="115">
        <v>519.95000000000005</v>
      </c>
      <c r="C1332" s="115">
        <v>502.5</v>
      </c>
      <c r="D1332" s="115">
        <v>500.05</v>
      </c>
      <c r="E1332" s="115">
        <v>519.95000000000005</v>
      </c>
      <c r="F1332" s="115">
        <v>502.5</v>
      </c>
      <c r="G1332">
        <v>375</v>
      </c>
      <c r="H1332" s="115"/>
      <c r="I1332" s="115"/>
      <c r="L1332" s="160">
        <v>43971</v>
      </c>
      <c r="M1332" s="115">
        <v>465.2</v>
      </c>
      <c r="N1332" s="115">
        <v>477</v>
      </c>
      <c r="O1332" s="115">
        <v>452.25</v>
      </c>
      <c r="P1332" s="115">
        <v>468.25</v>
      </c>
      <c r="Q1332" s="115">
        <v>465.2</v>
      </c>
      <c r="R1332">
        <v>24675</v>
      </c>
    </row>
    <row r="1333" spans="1:18" x14ac:dyDescent="0.25">
      <c r="A1333" s="160">
        <v>43998</v>
      </c>
      <c r="B1333" s="115">
        <v>527.6</v>
      </c>
      <c r="C1333" s="115">
        <v>500.45</v>
      </c>
      <c r="D1333" s="115">
        <v>475</v>
      </c>
      <c r="E1333" s="115">
        <v>527.6</v>
      </c>
      <c r="F1333" s="115">
        <v>500.45</v>
      </c>
      <c r="G1333">
        <v>562</v>
      </c>
      <c r="H1333" s="115"/>
      <c r="I1333" s="115"/>
      <c r="L1333" s="160">
        <v>43972</v>
      </c>
      <c r="M1333" s="115">
        <v>485.9</v>
      </c>
      <c r="N1333" s="115">
        <v>502</v>
      </c>
      <c r="O1333" s="115">
        <v>459.9</v>
      </c>
      <c r="P1333" s="115">
        <v>463.9</v>
      </c>
      <c r="Q1333" s="115">
        <v>485.9</v>
      </c>
      <c r="R1333">
        <v>83669</v>
      </c>
    </row>
    <row r="1334" spans="1:18" x14ac:dyDescent="0.25">
      <c r="A1334" s="160">
        <v>43999</v>
      </c>
      <c r="B1334" s="115">
        <v>503</v>
      </c>
      <c r="C1334" s="115">
        <v>495.5</v>
      </c>
      <c r="D1334" s="115">
        <v>495</v>
      </c>
      <c r="E1334" s="115">
        <v>501.95</v>
      </c>
      <c r="F1334" s="115">
        <v>495.5</v>
      </c>
      <c r="G1334">
        <v>471</v>
      </c>
      <c r="H1334" s="115"/>
      <c r="I1334" s="115"/>
      <c r="L1334" s="160">
        <v>43973</v>
      </c>
      <c r="M1334" s="115">
        <v>478.2</v>
      </c>
      <c r="N1334" s="115">
        <v>495</v>
      </c>
      <c r="O1334" s="115">
        <v>462.25</v>
      </c>
      <c r="P1334" s="115">
        <v>485.9</v>
      </c>
      <c r="Q1334" s="115">
        <v>478.2</v>
      </c>
      <c r="R1334">
        <v>30637</v>
      </c>
    </row>
    <row r="1335" spans="1:18" x14ac:dyDescent="0.25">
      <c r="A1335" s="160">
        <v>44000</v>
      </c>
      <c r="B1335" s="115">
        <v>500</v>
      </c>
      <c r="C1335" s="115">
        <v>486.3</v>
      </c>
      <c r="D1335" s="115">
        <v>480</v>
      </c>
      <c r="E1335" s="115">
        <v>500</v>
      </c>
      <c r="F1335" s="115">
        <v>486.3</v>
      </c>
      <c r="G1335">
        <v>1647</v>
      </c>
      <c r="H1335" s="115"/>
      <c r="I1335" s="115"/>
      <c r="L1335" s="160">
        <v>43977</v>
      </c>
      <c r="M1335" s="115">
        <v>495.85</v>
      </c>
      <c r="N1335" s="115">
        <v>505</v>
      </c>
      <c r="O1335" s="115">
        <v>478.2</v>
      </c>
      <c r="P1335" s="115">
        <v>478.2</v>
      </c>
      <c r="Q1335" s="115">
        <v>495.85</v>
      </c>
      <c r="R1335">
        <v>63796</v>
      </c>
    </row>
    <row r="1336" spans="1:18" x14ac:dyDescent="0.25">
      <c r="A1336" s="160">
        <v>44001</v>
      </c>
      <c r="B1336" s="115">
        <v>544</v>
      </c>
      <c r="C1336" s="115">
        <v>534.75</v>
      </c>
      <c r="D1336" s="115">
        <v>487.1</v>
      </c>
      <c r="E1336" s="115">
        <v>501.9</v>
      </c>
      <c r="F1336" s="115">
        <v>534.75</v>
      </c>
      <c r="G1336">
        <v>6759</v>
      </c>
      <c r="H1336" s="115"/>
      <c r="I1336" s="115"/>
      <c r="L1336" s="160">
        <v>43978</v>
      </c>
      <c r="M1336" s="115">
        <v>571.45000000000005</v>
      </c>
      <c r="N1336" s="115">
        <v>586.65</v>
      </c>
      <c r="O1336" s="115">
        <v>493</v>
      </c>
      <c r="P1336" s="115">
        <v>495.8</v>
      </c>
      <c r="Q1336" s="115">
        <v>571.45000000000005</v>
      </c>
      <c r="R1336">
        <v>354645</v>
      </c>
    </row>
    <row r="1337" spans="1:18" x14ac:dyDescent="0.25">
      <c r="A1337" s="160">
        <v>44004</v>
      </c>
      <c r="B1337" s="115">
        <v>570</v>
      </c>
      <c r="C1337" s="115">
        <v>514.85</v>
      </c>
      <c r="D1337" s="115">
        <v>511.25</v>
      </c>
      <c r="E1337" s="115">
        <v>555.70000000000005</v>
      </c>
      <c r="F1337" s="115">
        <v>514.85</v>
      </c>
      <c r="G1337">
        <v>4239</v>
      </c>
      <c r="H1337" s="115"/>
      <c r="I1337" s="115"/>
      <c r="L1337" s="160">
        <v>43979</v>
      </c>
      <c r="M1337" s="115">
        <v>571.20000000000005</v>
      </c>
      <c r="N1337" s="115">
        <v>596.95000000000005</v>
      </c>
      <c r="O1337" s="115">
        <v>552.65</v>
      </c>
      <c r="P1337" s="115">
        <v>584</v>
      </c>
      <c r="Q1337" s="115">
        <v>571.20000000000005</v>
      </c>
      <c r="R1337">
        <v>276772</v>
      </c>
    </row>
    <row r="1338" spans="1:18" x14ac:dyDescent="0.25">
      <c r="A1338" s="160">
        <v>44005</v>
      </c>
      <c r="B1338" s="115">
        <v>535</v>
      </c>
      <c r="C1338" s="115">
        <v>512</v>
      </c>
      <c r="D1338" s="115">
        <v>510</v>
      </c>
      <c r="E1338" s="115">
        <v>532.75</v>
      </c>
      <c r="F1338" s="115">
        <v>512</v>
      </c>
      <c r="G1338">
        <v>2421</v>
      </c>
      <c r="H1338" s="115"/>
      <c r="I1338" s="115"/>
      <c r="L1338" s="160">
        <v>43980</v>
      </c>
      <c r="M1338" s="115">
        <v>575.79999999999995</v>
      </c>
      <c r="N1338" s="115">
        <v>582.95000000000005</v>
      </c>
      <c r="O1338" s="115">
        <v>555.79999999999995</v>
      </c>
      <c r="P1338" s="115">
        <v>555.79999999999995</v>
      </c>
      <c r="Q1338" s="115">
        <v>575.79999999999995</v>
      </c>
      <c r="R1338">
        <v>78128</v>
      </c>
    </row>
    <row r="1339" spans="1:18" x14ac:dyDescent="0.25">
      <c r="A1339" s="160">
        <v>44006</v>
      </c>
      <c r="B1339" s="115">
        <v>555.54999999999995</v>
      </c>
      <c r="C1339" s="115">
        <v>513.70000000000005</v>
      </c>
      <c r="D1339" s="115">
        <v>505</v>
      </c>
      <c r="E1339" s="115">
        <v>545</v>
      </c>
      <c r="F1339" s="115">
        <v>513.70000000000005</v>
      </c>
      <c r="G1339">
        <v>4563</v>
      </c>
      <c r="H1339" s="115"/>
      <c r="I1339" s="115"/>
      <c r="L1339" s="160">
        <v>43983</v>
      </c>
      <c r="M1339" s="115">
        <v>580.35</v>
      </c>
      <c r="N1339" s="115">
        <v>605</v>
      </c>
      <c r="O1339" s="115">
        <v>570.4</v>
      </c>
      <c r="P1339" s="115">
        <v>581.04999999999995</v>
      </c>
      <c r="Q1339" s="115">
        <v>580.35</v>
      </c>
      <c r="R1339">
        <v>118814</v>
      </c>
    </row>
    <row r="1340" spans="1:18" x14ac:dyDescent="0.25">
      <c r="A1340" s="160">
        <v>44007</v>
      </c>
      <c r="B1340" s="115">
        <v>536</v>
      </c>
      <c r="C1340" s="115">
        <v>519.4</v>
      </c>
      <c r="D1340" s="115">
        <v>515</v>
      </c>
      <c r="E1340" s="115">
        <v>520</v>
      </c>
      <c r="F1340" s="115">
        <v>519.4</v>
      </c>
      <c r="G1340">
        <v>1485</v>
      </c>
      <c r="H1340" s="115"/>
      <c r="I1340" s="115"/>
      <c r="L1340" s="160">
        <v>43984</v>
      </c>
      <c r="M1340" s="115">
        <v>580.20000000000005</v>
      </c>
      <c r="N1340" s="115">
        <v>590</v>
      </c>
      <c r="O1340" s="115">
        <v>578.25</v>
      </c>
      <c r="P1340" s="115">
        <v>590</v>
      </c>
      <c r="Q1340" s="115">
        <v>580.20000000000005</v>
      </c>
      <c r="R1340">
        <v>46636</v>
      </c>
    </row>
    <row r="1341" spans="1:18" x14ac:dyDescent="0.25">
      <c r="A1341" s="160">
        <v>44008</v>
      </c>
      <c r="B1341" s="115">
        <v>543.95000000000005</v>
      </c>
      <c r="C1341" s="115">
        <v>507.2</v>
      </c>
      <c r="D1341" s="115">
        <v>497.05</v>
      </c>
      <c r="E1341" s="115">
        <v>543.95000000000005</v>
      </c>
      <c r="F1341" s="115">
        <v>507.2</v>
      </c>
      <c r="G1341">
        <v>4083</v>
      </c>
      <c r="H1341" s="115"/>
      <c r="I1341" s="115"/>
      <c r="L1341" s="160">
        <v>43985</v>
      </c>
      <c r="M1341" s="115">
        <v>578.5</v>
      </c>
      <c r="N1341" s="115">
        <v>585</v>
      </c>
      <c r="O1341" s="115">
        <v>569.5</v>
      </c>
      <c r="P1341" s="115">
        <v>585</v>
      </c>
      <c r="Q1341" s="115">
        <v>578.5</v>
      </c>
      <c r="R1341">
        <v>50271</v>
      </c>
    </row>
    <row r="1342" spans="1:18" x14ac:dyDescent="0.25">
      <c r="A1342" s="160">
        <v>44011</v>
      </c>
      <c r="B1342" s="115">
        <v>525</v>
      </c>
      <c r="C1342" s="115">
        <v>506.85</v>
      </c>
      <c r="D1342" s="115">
        <v>487.55</v>
      </c>
      <c r="E1342" s="115">
        <v>503.1</v>
      </c>
      <c r="F1342" s="115">
        <v>506.85</v>
      </c>
      <c r="G1342">
        <v>2597</v>
      </c>
      <c r="H1342" s="115"/>
      <c r="I1342" s="115"/>
      <c r="L1342" s="160">
        <v>43986</v>
      </c>
      <c r="M1342" s="115">
        <v>576.15</v>
      </c>
      <c r="N1342" s="115">
        <v>579</v>
      </c>
      <c r="O1342" s="115">
        <v>560.70000000000005</v>
      </c>
      <c r="P1342" s="115">
        <v>577.95000000000005</v>
      </c>
      <c r="Q1342" s="115">
        <v>576.15</v>
      </c>
      <c r="R1342">
        <v>20793</v>
      </c>
    </row>
    <row r="1343" spans="1:18" x14ac:dyDescent="0.25">
      <c r="A1343" s="160">
        <v>44012</v>
      </c>
      <c r="B1343" s="115">
        <v>510</v>
      </c>
      <c r="C1343" s="115">
        <v>481.15</v>
      </c>
      <c r="D1343" s="115">
        <v>473</v>
      </c>
      <c r="E1343" s="115">
        <v>510</v>
      </c>
      <c r="F1343" s="115">
        <v>481.15</v>
      </c>
      <c r="G1343">
        <v>2128</v>
      </c>
      <c r="H1343" s="115"/>
      <c r="I1343" s="115"/>
      <c r="L1343" s="160">
        <v>43987</v>
      </c>
      <c r="M1343" s="115">
        <v>588.25</v>
      </c>
      <c r="N1343" s="115">
        <v>595</v>
      </c>
      <c r="O1343" s="115">
        <v>573</v>
      </c>
      <c r="P1343" s="115">
        <v>573</v>
      </c>
      <c r="Q1343" s="115">
        <v>588.25</v>
      </c>
      <c r="R1343">
        <v>58968</v>
      </c>
    </row>
    <row r="1344" spans="1:18" x14ac:dyDescent="0.25">
      <c r="A1344" s="160">
        <v>44013</v>
      </c>
      <c r="B1344" s="115">
        <v>499</v>
      </c>
      <c r="C1344" s="115">
        <v>494.95</v>
      </c>
      <c r="D1344" s="115">
        <v>480</v>
      </c>
      <c r="E1344" s="115">
        <v>481</v>
      </c>
      <c r="F1344" s="115">
        <v>494.95</v>
      </c>
      <c r="G1344">
        <v>1351</v>
      </c>
      <c r="H1344" s="115"/>
      <c r="I1344" s="115"/>
      <c r="L1344" s="160">
        <v>43990</v>
      </c>
      <c r="M1344" s="115">
        <v>578.95000000000005</v>
      </c>
      <c r="N1344" s="115">
        <v>594.95000000000005</v>
      </c>
      <c r="O1344" s="115">
        <v>575</v>
      </c>
      <c r="P1344" s="115">
        <v>589</v>
      </c>
      <c r="Q1344" s="115">
        <v>578.95000000000005</v>
      </c>
      <c r="R1344">
        <v>39068</v>
      </c>
    </row>
    <row r="1345" spans="1:18" x14ac:dyDescent="0.25">
      <c r="A1345" s="160">
        <v>44014</v>
      </c>
      <c r="B1345" s="115">
        <v>509.95</v>
      </c>
      <c r="C1345" s="115">
        <v>503.7</v>
      </c>
      <c r="D1345" s="115">
        <v>495.5</v>
      </c>
      <c r="E1345" s="115">
        <v>508.95</v>
      </c>
      <c r="F1345" s="115">
        <v>503.7</v>
      </c>
      <c r="G1345">
        <v>385</v>
      </c>
      <c r="H1345" s="115"/>
      <c r="I1345" s="115"/>
      <c r="L1345" s="160">
        <v>43991</v>
      </c>
      <c r="M1345" s="115">
        <v>593.79999999999995</v>
      </c>
      <c r="N1345" s="115">
        <v>620</v>
      </c>
      <c r="O1345" s="115">
        <v>576.04999999999995</v>
      </c>
      <c r="P1345" s="115">
        <v>582</v>
      </c>
      <c r="Q1345" s="115">
        <v>593.79999999999995</v>
      </c>
      <c r="R1345">
        <v>126503</v>
      </c>
    </row>
    <row r="1346" spans="1:18" x14ac:dyDescent="0.25">
      <c r="A1346" s="160">
        <v>44015</v>
      </c>
      <c r="B1346" s="115">
        <v>520</v>
      </c>
      <c r="C1346" s="115">
        <v>501.85</v>
      </c>
      <c r="D1346" s="115">
        <v>499.95</v>
      </c>
      <c r="E1346" s="115">
        <v>520</v>
      </c>
      <c r="F1346" s="115">
        <v>501.85</v>
      </c>
      <c r="G1346">
        <v>704</v>
      </c>
      <c r="H1346" s="115"/>
      <c r="I1346" s="115"/>
      <c r="L1346" s="160">
        <v>43992</v>
      </c>
      <c r="M1346" s="115">
        <v>631.35</v>
      </c>
      <c r="N1346" s="115">
        <v>653.25</v>
      </c>
      <c r="O1346" s="115">
        <v>579.45000000000005</v>
      </c>
      <c r="P1346" s="115">
        <v>599</v>
      </c>
      <c r="Q1346" s="115">
        <v>631.35</v>
      </c>
      <c r="R1346">
        <v>646686</v>
      </c>
    </row>
    <row r="1347" spans="1:18" x14ac:dyDescent="0.25">
      <c r="A1347" s="160">
        <v>44018</v>
      </c>
      <c r="B1347" s="115">
        <v>515</v>
      </c>
      <c r="C1347" s="115">
        <v>513.70000000000005</v>
      </c>
      <c r="D1347" s="115">
        <v>499</v>
      </c>
      <c r="E1347" s="115">
        <v>499.5</v>
      </c>
      <c r="F1347" s="115">
        <v>513.70000000000005</v>
      </c>
      <c r="G1347">
        <v>313</v>
      </c>
      <c r="H1347" s="115"/>
      <c r="I1347" s="115"/>
      <c r="L1347" s="160">
        <v>43993</v>
      </c>
      <c r="M1347" s="115">
        <v>641.1</v>
      </c>
      <c r="N1347" s="115">
        <v>652</v>
      </c>
      <c r="O1347" s="115">
        <v>636</v>
      </c>
      <c r="P1347" s="115">
        <v>648</v>
      </c>
      <c r="Q1347" s="115">
        <v>641.1</v>
      </c>
      <c r="R1347">
        <v>237710</v>
      </c>
    </row>
    <row r="1348" spans="1:18" x14ac:dyDescent="0.25">
      <c r="A1348" s="160">
        <v>44019</v>
      </c>
      <c r="B1348" s="115">
        <v>540</v>
      </c>
      <c r="C1348" s="115">
        <v>515.4</v>
      </c>
      <c r="D1348" s="115">
        <v>511.15</v>
      </c>
      <c r="E1348" s="115">
        <v>525</v>
      </c>
      <c r="F1348" s="115">
        <v>515.4</v>
      </c>
      <c r="G1348">
        <v>1330</v>
      </c>
      <c r="H1348" s="115"/>
      <c r="I1348" s="115"/>
      <c r="L1348" s="160">
        <v>43994</v>
      </c>
      <c r="M1348" s="115">
        <v>647</v>
      </c>
      <c r="N1348" s="115">
        <v>667</v>
      </c>
      <c r="O1348" s="115">
        <v>609.79999999999995</v>
      </c>
      <c r="P1348" s="115">
        <v>628</v>
      </c>
      <c r="Q1348" s="115">
        <v>647</v>
      </c>
      <c r="R1348">
        <v>466682</v>
      </c>
    </row>
    <row r="1349" spans="1:18" x14ac:dyDescent="0.25">
      <c r="A1349" s="160">
        <v>44020</v>
      </c>
      <c r="B1349" s="115">
        <v>530</v>
      </c>
      <c r="C1349" s="115">
        <v>501.7</v>
      </c>
      <c r="D1349" s="115">
        <v>500</v>
      </c>
      <c r="E1349" s="115">
        <v>528.54999999999995</v>
      </c>
      <c r="F1349" s="115">
        <v>501.7</v>
      </c>
      <c r="G1349">
        <v>1179</v>
      </c>
      <c r="H1349" s="115"/>
      <c r="I1349" s="115"/>
      <c r="L1349" s="160">
        <v>43997</v>
      </c>
      <c r="M1349" s="115">
        <v>690.9</v>
      </c>
      <c r="N1349" s="115">
        <v>698</v>
      </c>
      <c r="O1349" s="115">
        <v>640</v>
      </c>
      <c r="P1349" s="115">
        <v>652.04999999999995</v>
      </c>
      <c r="Q1349" s="115">
        <v>690.9</v>
      </c>
      <c r="R1349">
        <v>364249</v>
      </c>
    </row>
    <row r="1350" spans="1:18" x14ac:dyDescent="0.25">
      <c r="A1350" s="160">
        <v>44021</v>
      </c>
      <c r="B1350" s="115">
        <v>519.95000000000005</v>
      </c>
      <c r="C1350" s="115">
        <v>507.05</v>
      </c>
      <c r="D1350" s="115">
        <v>496</v>
      </c>
      <c r="E1350" s="115">
        <v>501.7</v>
      </c>
      <c r="F1350" s="115">
        <v>507.05</v>
      </c>
      <c r="G1350">
        <v>315</v>
      </c>
      <c r="H1350" s="115"/>
      <c r="I1350" s="115"/>
      <c r="L1350" s="160">
        <v>43998</v>
      </c>
      <c r="M1350" s="115">
        <v>739.25</v>
      </c>
      <c r="N1350" s="115">
        <v>748.05</v>
      </c>
      <c r="O1350" s="115">
        <v>686</v>
      </c>
      <c r="P1350" s="115">
        <v>700</v>
      </c>
      <c r="Q1350" s="115">
        <v>739.25</v>
      </c>
      <c r="R1350">
        <v>631993</v>
      </c>
    </row>
    <row r="1351" spans="1:18" x14ac:dyDescent="0.25">
      <c r="A1351" s="160">
        <v>44022</v>
      </c>
      <c r="B1351" s="115">
        <v>518.95000000000005</v>
      </c>
      <c r="C1351" s="115">
        <v>509.4</v>
      </c>
      <c r="D1351" s="115">
        <v>500</v>
      </c>
      <c r="E1351" s="115">
        <v>518.95000000000005</v>
      </c>
      <c r="F1351" s="115">
        <v>509.4</v>
      </c>
      <c r="G1351">
        <v>657</v>
      </c>
      <c r="H1351" s="115"/>
      <c r="I1351" s="115"/>
      <c r="L1351" s="160">
        <v>43999</v>
      </c>
      <c r="M1351" s="115">
        <v>771.65</v>
      </c>
      <c r="N1351" s="115">
        <v>793.85</v>
      </c>
      <c r="O1351" s="115">
        <v>741</v>
      </c>
      <c r="P1351" s="115">
        <v>744.75</v>
      </c>
      <c r="Q1351" s="115">
        <v>771.65</v>
      </c>
      <c r="R1351">
        <v>453925</v>
      </c>
    </row>
    <row r="1352" spans="1:18" x14ac:dyDescent="0.25">
      <c r="A1352" s="160">
        <v>44025</v>
      </c>
      <c r="B1352" s="115">
        <v>519.95000000000005</v>
      </c>
      <c r="C1352" s="115">
        <v>503</v>
      </c>
      <c r="D1352" s="115">
        <v>500.05</v>
      </c>
      <c r="E1352" s="115">
        <v>519.95000000000005</v>
      </c>
      <c r="F1352" s="115">
        <v>503</v>
      </c>
      <c r="G1352">
        <v>482</v>
      </c>
      <c r="H1352" s="115"/>
      <c r="I1352" s="115"/>
      <c r="L1352" s="160">
        <v>44000</v>
      </c>
      <c r="M1352" s="115">
        <v>780.15</v>
      </c>
      <c r="N1352" s="115">
        <v>799</v>
      </c>
      <c r="O1352" s="115">
        <v>772</v>
      </c>
      <c r="P1352" s="115">
        <v>778.85</v>
      </c>
      <c r="Q1352" s="115">
        <v>780.15</v>
      </c>
      <c r="R1352">
        <v>249905</v>
      </c>
    </row>
    <row r="1353" spans="1:18" x14ac:dyDescent="0.25">
      <c r="A1353" s="160">
        <v>44026</v>
      </c>
      <c r="B1353" s="115">
        <v>509</v>
      </c>
      <c r="C1353" s="115">
        <v>499.8</v>
      </c>
      <c r="D1353" s="115">
        <v>490</v>
      </c>
      <c r="E1353" s="115">
        <v>509</v>
      </c>
      <c r="F1353" s="115">
        <v>499.8</v>
      </c>
      <c r="G1353">
        <v>457</v>
      </c>
      <c r="H1353" s="115"/>
      <c r="I1353" s="115"/>
      <c r="L1353" s="160">
        <v>44001</v>
      </c>
      <c r="M1353" s="115">
        <v>716.9</v>
      </c>
      <c r="N1353" s="115">
        <v>788</v>
      </c>
      <c r="O1353" s="115">
        <v>657.65</v>
      </c>
      <c r="P1353" s="115">
        <v>785</v>
      </c>
      <c r="Q1353" s="115">
        <v>716.9</v>
      </c>
      <c r="R1353">
        <v>630756</v>
      </c>
    </row>
    <row r="1354" spans="1:18" x14ac:dyDescent="0.25">
      <c r="A1354" s="160">
        <v>44027</v>
      </c>
      <c r="B1354" s="115">
        <v>519.95000000000005</v>
      </c>
      <c r="C1354" s="115">
        <v>510.25</v>
      </c>
      <c r="D1354" s="115">
        <v>507</v>
      </c>
      <c r="E1354" s="115">
        <v>519.95000000000005</v>
      </c>
      <c r="F1354" s="115">
        <v>510.25</v>
      </c>
      <c r="G1354">
        <v>124</v>
      </c>
      <c r="H1354" s="115"/>
      <c r="I1354" s="115"/>
      <c r="L1354" s="160">
        <v>44004</v>
      </c>
      <c r="M1354" s="115">
        <v>709.3</v>
      </c>
      <c r="N1354" s="115">
        <v>739.7</v>
      </c>
      <c r="O1354" s="115">
        <v>706.1</v>
      </c>
      <c r="P1354" s="115">
        <v>724.8</v>
      </c>
      <c r="Q1354" s="115">
        <v>709.3</v>
      </c>
      <c r="R1354">
        <v>118227</v>
      </c>
    </row>
    <row r="1355" spans="1:18" x14ac:dyDescent="0.25">
      <c r="A1355" s="160">
        <v>44028</v>
      </c>
      <c r="B1355" s="115">
        <v>514.95000000000005</v>
      </c>
      <c r="C1355" s="115">
        <v>511.9</v>
      </c>
      <c r="D1355" s="115">
        <v>491</v>
      </c>
      <c r="E1355" s="115">
        <v>491</v>
      </c>
      <c r="F1355" s="115">
        <v>511.9</v>
      </c>
      <c r="G1355">
        <v>223</v>
      </c>
      <c r="H1355" s="115"/>
      <c r="I1355" s="115"/>
      <c r="L1355" s="160">
        <v>44005</v>
      </c>
      <c r="M1355" s="115">
        <v>715.9</v>
      </c>
      <c r="N1355" s="115">
        <v>727.5</v>
      </c>
      <c r="O1355" s="115">
        <v>710</v>
      </c>
      <c r="P1355" s="115">
        <v>717</v>
      </c>
      <c r="Q1355" s="115">
        <v>715.9</v>
      </c>
      <c r="R1355">
        <v>87454</v>
      </c>
    </row>
    <row r="1356" spans="1:18" x14ac:dyDescent="0.25">
      <c r="A1356" s="160">
        <v>44029</v>
      </c>
      <c r="B1356" s="115">
        <v>531</v>
      </c>
      <c r="C1356" s="115">
        <v>517.85</v>
      </c>
      <c r="D1356" s="115">
        <v>502.05</v>
      </c>
      <c r="E1356" s="115">
        <v>503</v>
      </c>
      <c r="F1356" s="115">
        <v>517.85</v>
      </c>
      <c r="G1356">
        <v>814</v>
      </c>
      <c r="H1356" s="115"/>
      <c r="I1356" s="115"/>
      <c r="L1356" s="160">
        <v>44006</v>
      </c>
      <c r="M1356" s="115">
        <v>702.95</v>
      </c>
      <c r="N1356" s="115">
        <v>744.8</v>
      </c>
      <c r="O1356" s="115">
        <v>695.6</v>
      </c>
      <c r="P1356" s="115">
        <v>722</v>
      </c>
      <c r="Q1356" s="115">
        <v>702.95</v>
      </c>
      <c r="R1356">
        <v>145759</v>
      </c>
    </row>
    <row r="1357" spans="1:18" x14ac:dyDescent="0.25">
      <c r="A1357" s="160">
        <v>44032</v>
      </c>
      <c r="B1357" s="115">
        <v>543.5</v>
      </c>
      <c r="C1357" s="115">
        <v>520.75</v>
      </c>
      <c r="D1357" s="115">
        <v>513</v>
      </c>
      <c r="E1357" s="115">
        <v>543</v>
      </c>
      <c r="F1357" s="115">
        <v>520.75</v>
      </c>
      <c r="G1357">
        <v>3563</v>
      </c>
      <c r="H1357" s="115"/>
      <c r="I1357" s="115"/>
      <c r="L1357" s="160">
        <v>44007</v>
      </c>
      <c r="M1357" s="115">
        <v>703.9</v>
      </c>
      <c r="N1357" s="115">
        <v>724.35</v>
      </c>
      <c r="O1357" s="115">
        <v>695</v>
      </c>
      <c r="P1357" s="115">
        <v>708</v>
      </c>
      <c r="Q1357" s="115">
        <v>703.9</v>
      </c>
      <c r="R1357">
        <v>92163</v>
      </c>
    </row>
    <row r="1358" spans="1:18" x14ac:dyDescent="0.25">
      <c r="A1358" s="160">
        <v>44033</v>
      </c>
      <c r="B1358" s="115">
        <v>530</v>
      </c>
      <c r="C1358" s="115">
        <v>520</v>
      </c>
      <c r="D1358" s="115">
        <v>512.15</v>
      </c>
      <c r="E1358" s="115">
        <v>530</v>
      </c>
      <c r="F1358" s="115">
        <v>520</v>
      </c>
      <c r="G1358">
        <v>1226</v>
      </c>
      <c r="H1358" s="115"/>
      <c r="I1358" s="115"/>
      <c r="L1358" s="160">
        <v>44008</v>
      </c>
      <c r="M1358" s="115">
        <v>701.95</v>
      </c>
      <c r="N1358" s="115">
        <v>715.4</v>
      </c>
      <c r="O1358" s="115">
        <v>695</v>
      </c>
      <c r="P1358" s="115">
        <v>712.4</v>
      </c>
      <c r="Q1358" s="115">
        <v>701.95</v>
      </c>
      <c r="R1358">
        <v>100547</v>
      </c>
    </row>
    <row r="1359" spans="1:18" x14ac:dyDescent="0.25">
      <c r="A1359" s="160">
        <v>44034</v>
      </c>
      <c r="B1359" s="115">
        <v>521</v>
      </c>
      <c r="C1359" s="115">
        <v>520</v>
      </c>
      <c r="D1359" s="115">
        <v>515.5</v>
      </c>
      <c r="E1359" s="115">
        <v>520</v>
      </c>
      <c r="F1359" s="115">
        <v>520</v>
      </c>
      <c r="G1359">
        <v>520</v>
      </c>
      <c r="H1359" s="115"/>
      <c r="I1359" s="115"/>
      <c r="L1359" s="160">
        <v>44011</v>
      </c>
      <c r="M1359" s="115">
        <v>708.6</v>
      </c>
      <c r="N1359" s="115">
        <v>715</v>
      </c>
      <c r="O1359" s="115">
        <v>690.4</v>
      </c>
      <c r="P1359" s="115">
        <v>709.15</v>
      </c>
      <c r="Q1359" s="115">
        <v>708.6</v>
      </c>
      <c r="R1359">
        <v>121426</v>
      </c>
    </row>
    <row r="1360" spans="1:18" x14ac:dyDescent="0.25">
      <c r="A1360" s="160">
        <v>44035</v>
      </c>
      <c r="B1360" s="115">
        <v>559.95000000000005</v>
      </c>
      <c r="C1360" s="115">
        <v>535.04999999999995</v>
      </c>
      <c r="D1360" s="115">
        <v>520</v>
      </c>
      <c r="E1360" s="115">
        <v>520.04999999999995</v>
      </c>
      <c r="F1360" s="115">
        <v>535.04999999999995</v>
      </c>
      <c r="G1360">
        <v>1513</v>
      </c>
      <c r="H1360" s="115"/>
      <c r="I1360" s="115"/>
      <c r="L1360" s="160">
        <v>44012</v>
      </c>
      <c r="M1360" s="115">
        <v>707.5</v>
      </c>
      <c r="N1360" s="115">
        <v>727.75</v>
      </c>
      <c r="O1360" s="115">
        <v>702</v>
      </c>
      <c r="P1360" s="115">
        <v>714</v>
      </c>
      <c r="Q1360" s="115">
        <v>707.5</v>
      </c>
      <c r="R1360">
        <v>317364</v>
      </c>
    </row>
    <row r="1361" spans="1:18" x14ac:dyDescent="0.25">
      <c r="A1361" s="160">
        <v>44036</v>
      </c>
      <c r="B1361" s="115">
        <v>579.70000000000005</v>
      </c>
      <c r="C1361" s="115">
        <v>567.9</v>
      </c>
      <c r="D1361" s="115">
        <v>535</v>
      </c>
      <c r="E1361" s="115">
        <v>559.65</v>
      </c>
      <c r="F1361" s="115">
        <v>567.9</v>
      </c>
      <c r="G1361">
        <v>2202</v>
      </c>
      <c r="H1361" s="115"/>
      <c r="I1361" s="115"/>
      <c r="L1361" s="160">
        <v>44013</v>
      </c>
      <c r="M1361" s="115">
        <v>735.6</v>
      </c>
      <c r="N1361" s="115">
        <v>741.95</v>
      </c>
      <c r="O1361" s="115">
        <v>706.45</v>
      </c>
      <c r="P1361" s="115">
        <v>709</v>
      </c>
      <c r="Q1361" s="115">
        <v>735.6</v>
      </c>
      <c r="R1361">
        <v>212571</v>
      </c>
    </row>
    <row r="1362" spans="1:18" x14ac:dyDescent="0.25">
      <c r="A1362" s="160">
        <v>44039</v>
      </c>
      <c r="B1362" s="115">
        <v>580</v>
      </c>
      <c r="C1362" s="115">
        <v>557.75</v>
      </c>
      <c r="D1362" s="115">
        <v>550</v>
      </c>
      <c r="E1362" s="115">
        <v>574.25</v>
      </c>
      <c r="F1362" s="115">
        <v>557.75</v>
      </c>
      <c r="G1362">
        <v>1767</v>
      </c>
      <c r="H1362" s="115"/>
      <c r="I1362" s="115"/>
      <c r="L1362" s="160">
        <v>44014</v>
      </c>
      <c r="M1362" s="115">
        <v>737.65</v>
      </c>
      <c r="N1362" s="115">
        <v>746.8</v>
      </c>
      <c r="O1362" s="115">
        <v>730.85</v>
      </c>
      <c r="P1362" s="115">
        <v>742</v>
      </c>
      <c r="Q1362" s="115">
        <v>737.65</v>
      </c>
      <c r="R1362">
        <v>130450</v>
      </c>
    </row>
    <row r="1363" spans="1:18" x14ac:dyDescent="0.25">
      <c r="A1363" s="160">
        <v>44040</v>
      </c>
      <c r="B1363" s="115">
        <v>563</v>
      </c>
      <c r="C1363" s="115">
        <v>555.54999999999995</v>
      </c>
      <c r="D1363" s="115">
        <v>545</v>
      </c>
      <c r="E1363" s="115">
        <v>545.25</v>
      </c>
      <c r="F1363" s="115">
        <v>555.54999999999995</v>
      </c>
      <c r="G1363">
        <v>657</v>
      </c>
      <c r="H1363" s="115"/>
      <c r="I1363" s="115"/>
      <c r="L1363" s="160">
        <v>44015</v>
      </c>
      <c r="M1363" s="115">
        <v>733.75</v>
      </c>
      <c r="N1363" s="115">
        <v>744.7</v>
      </c>
      <c r="O1363" s="115">
        <v>722.2</v>
      </c>
      <c r="P1363" s="115">
        <v>735</v>
      </c>
      <c r="Q1363" s="115">
        <v>733.75</v>
      </c>
      <c r="R1363">
        <v>129984</v>
      </c>
    </row>
    <row r="1364" spans="1:18" x14ac:dyDescent="0.25">
      <c r="A1364" s="160">
        <v>44041</v>
      </c>
      <c r="B1364" s="115">
        <v>561</v>
      </c>
      <c r="C1364" s="115">
        <v>559</v>
      </c>
      <c r="D1364" s="115">
        <v>545</v>
      </c>
      <c r="E1364" s="115">
        <v>557</v>
      </c>
      <c r="F1364" s="115">
        <v>559</v>
      </c>
      <c r="G1364">
        <v>1325</v>
      </c>
      <c r="H1364" s="115"/>
      <c r="I1364" s="115"/>
      <c r="L1364" s="160">
        <v>44018</v>
      </c>
      <c r="M1364" s="115">
        <v>726.95</v>
      </c>
      <c r="N1364" s="115">
        <v>741.8</v>
      </c>
      <c r="O1364" s="115">
        <v>721.5</v>
      </c>
      <c r="P1364" s="115">
        <v>739.65</v>
      </c>
      <c r="Q1364" s="115">
        <v>726.95</v>
      </c>
      <c r="R1364">
        <v>57160</v>
      </c>
    </row>
    <row r="1365" spans="1:18" x14ac:dyDescent="0.25">
      <c r="A1365" s="160">
        <v>44042</v>
      </c>
      <c r="B1365" s="115">
        <v>568</v>
      </c>
      <c r="C1365" s="115">
        <v>542.5</v>
      </c>
      <c r="D1365" s="115">
        <v>535.04999999999995</v>
      </c>
      <c r="E1365" s="115">
        <v>568</v>
      </c>
      <c r="F1365" s="115">
        <v>542.5</v>
      </c>
      <c r="G1365">
        <v>782</v>
      </c>
      <c r="H1365" s="115"/>
      <c r="I1365" s="115"/>
      <c r="L1365" s="160">
        <v>44019</v>
      </c>
      <c r="M1365" s="115">
        <v>727.95</v>
      </c>
      <c r="N1365" s="115">
        <v>733</v>
      </c>
      <c r="O1365" s="115">
        <v>710.1</v>
      </c>
      <c r="P1365" s="115">
        <v>733</v>
      </c>
      <c r="Q1365" s="115">
        <v>727.95</v>
      </c>
      <c r="R1365">
        <v>44102</v>
      </c>
    </row>
    <row r="1366" spans="1:18" x14ac:dyDescent="0.25">
      <c r="A1366" s="160">
        <v>44043</v>
      </c>
      <c r="B1366" s="115">
        <v>540</v>
      </c>
      <c r="C1366" s="115">
        <v>534</v>
      </c>
      <c r="D1366" s="115">
        <v>525</v>
      </c>
      <c r="E1366" s="115">
        <v>540</v>
      </c>
      <c r="F1366" s="115">
        <v>534</v>
      </c>
      <c r="G1366">
        <v>525</v>
      </c>
      <c r="H1366" s="115"/>
      <c r="I1366" s="115"/>
      <c r="L1366" s="160">
        <v>44020</v>
      </c>
      <c r="M1366" s="115">
        <v>718.7</v>
      </c>
      <c r="N1366" s="115">
        <v>733.95</v>
      </c>
      <c r="O1366" s="115">
        <v>716.1</v>
      </c>
      <c r="P1366" s="115">
        <v>730</v>
      </c>
      <c r="Q1366" s="115">
        <v>718.7</v>
      </c>
      <c r="R1366">
        <v>28872</v>
      </c>
    </row>
    <row r="1367" spans="1:18" x14ac:dyDescent="0.25">
      <c r="A1367" s="160">
        <v>44046</v>
      </c>
      <c r="B1367" s="115">
        <v>539</v>
      </c>
      <c r="C1367" s="115">
        <v>521.04999999999995</v>
      </c>
      <c r="D1367" s="115">
        <v>500</v>
      </c>
      <c r="E1367" s="115">
        <v>535</v>
      </c>
      <c r="F1367" s="115">
        <v>521.04999999999995</v>
      </c>
      <c r="G1367">
        <v>1375</v>
      </c>
      <c r="H1367" s="115"/>
      <c r="I1367" s="115"/>
      <c r="L1367" s="160">
        <v>44021</v>
      </c>
      <c r="M1367" s="115">
        <v>750.65</v>
      </c>
      <c r="N1367" s="115">
        <v>773</v>
      </c>
      <c r="O1367" s="115">
        <v>730</v>
      </c>
      <c r="P1367" s="115">
        <v>738</v>
      </c>
      <c r="Q1367" s="115">
        <v>750.65</v>
      </c>
      <c r="R1367">
        <v>212874</v>
      </c>
    </row>
    <row r="1368" spans="1:18" x14ac:dyDescent="0.25">
      <c r="A1368" s="160">
        <v>44047</v>
      </c>
      <c r="B1368" s="115">
        <v>539.70000000000005</v>
      </c>
      <c r="C1368" s="115">
        <v>515.20000000000005</v>
      </c>
      <c r="D1368" s="115">
        <v>515</v>
      </c>
      <c r="E1368" s="115">
        <v>539.70000000000005</v>
      </c>
      <c r="F1368" s="115">
        <v>515.20000000000005</v>
      </c>
      <c r="G1368">
        <v>550</v>
      </c>
      <c r="H1368" s="115"/>
      <c r="I1368" s="115"/>
      <c r="L1368" s="160">
        <v>44022</v>
      </c>
      <c r="M1368" s="115">
        <v>751.05</v>
      </c>
      <c r="N1368" s="115">
        <v>772</v>
      </c>
      <c r="O1368" s="115">
        <v>740.6</v>
      </c>
      <c r="P1368" s="115">
        <v>752.9</v>
      </c>
      <c r="Q1368" s="115">
        <v>751.05</v>
      </c>
      <c r="R1368">
        <v>82669</v>
      </c>
    </row>
    <row r="1369" spans="1:18" x14ac:dyDescent="0.25">
      <c r="A1369" s="160">
        <v>44048</v>
      </c>
      <c r="B1369" s="115">
        <v>540</v>
      </c>
      <c r="C1369" s="115">
        <v>525.95000000000005</v>
      </c>
      <c r="D1369" s="115">
        <v>520.20000000000005</v>
      </c>
      <c r="E1369" s="115">
        <v>540</v>
      </c>
      <c r="F1369" s="115">
        <v>525.95000000000005</v>
      </c>
      <c r="G1369">
        <v>1257</v>
      </c>
      <c r="H1369" s="115"/>
      <c r="I1369" s="115"/>
      <c r="L1369" s="160">
        <v>44025</v>
      </c>
      <c r="M1369" s="115">
        <v>745.2</v>
      </c>
      <c r="N1369" s="115">
        <v>770</v>
      </c>
      <c r="O1369" s="115">
        <v>742.05</v>
      </c>
      <c r="P1369" s="115">
        <v>762</v>
      </c>
      <c r="Q1369" s="115">
        <v>745.2</v>
      </c>
      <c r="R1369">
        <v>60080</v>
      </c>
    </row>
    <row r="1370" spans="1:18" x14ac:dyDescent="0.25">
      <c r="A1370" s="160">
        <v>44049</v>
      </c>
      <c r="B1370" s="115">
        <v>543.45000000000005</v>
      </c>
      <c r="C1370" s="115">
        <v>531</v>
      </c>
      <c r="D1370" s="115">
        <v>526.4</v>
      </c>
      <c r="E1370" s="115">
        <v>543.45000000000005</v>
      </c>
      <c r="F1370" s="115">
        <v>531</v>
      </c>
      <c r="G1370">
        <v>312</v>
      </c>
      <c r="H1370" s="115"/>
      <c r="I1370" s="115"/>
      <c r="L1370" s="160">
        <v>44026</v>
      </c>
      <c r="M1370" s="115">
        <v>755.6</v>
      </c>
      <c r="N1370" s="115">
        <v>765</v>
      </c>
      <c r="O1370" s="115">
        <v>740</v>
      </c>
      <c r="P1370" s="115">
        <v>750</v>
      </c>
      <c r="Q1370" s="115">
        <v>755.6</v>
      </c>
      <c r="R1370">
        <v>53889</v>
      </c>
    </row>
    <row r="1371" spans="1:18" x14ac:dyDescent="0.25">
      <c r="A1371" s="160">
        <v>44050</v>
      </c>
      <c r="B1371" s="115">
        <v>545</v>
      </c>
      <c r="C1371" s="115">
        <v>539.29999999999995</v>
      </c>
      <c r="D1371" s="115">
        <v>530</v>
      </c>
      <c r="E1371" s="115">
        <v>545</v>
      </c>
      <c r="F1371" s="115">
        <v>539.29999999999995</v>
      </c>
      <c r="G1371">
        <v>1616</v>
      </c>
      <c r="H1371" s="115"/>
      <c r="I1371" s="115"/>
      <c r="L1371" s="160">
        <v>44027</v>
      </c>
      <c r="M1371" s="115">
        <v>808.15</v>
      </c>
      <c r="N1371" s="115">
        <v>821.95</v>
      </c>
      <c r="O1371" s="115">
        <v>759</v>
      </c>
      <c r="P1371" s="115">
        <v>759</v>
      </c>
      <c r="Q1371" s="115">
        <v>808.15</v>
      </c>
      <c r="R1371">
        <v>263217</v>
      </c>
    </row>
    <row r="1372" spans="1:18" x14ac:dyDescent="0.25">
      <c r="A1372" s="160">
        <v>44053</v>
      </c>
      <c r="B1372" s="115">
        <v>550</v>
      </c>
      <c r="C1372" s="115">
        <v>546.6</v>
      </c>
      <c r="D1372" s="115">
        <v>519</v>
      </c>
      <c r="E1372" s="115">
        <v>536</v>
      </c>
      <c r="F1372" s="115">
        <v>546.6</v>
      </c>
      <c r="G1372">
        <v>3590</v>
      </c>
      <c r="H1372" s="115"/>
      <c r="I1372" s="115"/>
      <c r="L1372" s="160">
        <v>44028</v>
      </c>
      <c r="M1372" s="115">
        <v>811.05</v>
      </c>
      <c r="N1372" s="115">
        <v>831.95</v>
      </c>
      <c r="O1372" s="115">
        <v>786.15</v>
      </c>
      <c r="P1372" s="115">
        <v>816</v>
      </c>
      <c r="Q1372" s="115">
        <v>811.05</v>
      </c>
      <c r="R1372">
        <v>122939</v>
      </c>
    </row>
    <row r="1373" spans="1:18" x14ac:dyDescent="0.25">
      <c r="A1373" s="160">
        <v>44054</v>
      </c>
      <c r="B1373" s="115">
        <v>569.95000000000005</v>
      </c>
      <c r="C1373" s="115">
        <v>560</v>
      </c>
      <c r="D1373" s="115">
        <v>546</v>
      </c>
      <c r="E1373" s="115">
        <v>546</v>
      </c>
      <c r="F1373" s="115">
        <v>560</v>
      </c>
      <c r="G1373">
        <v>971</v>
      </c>
      <c r="H1373" s="115"/>
      <c r="I1373" s="115"/>
      <c r="L1373" s="160">
        <v>44029</v>
      </c>
      <c r="M1373" s="115">
        <v>813.65</v>
      </c>
      <c r="N1373" s="115">
        <v>827</v>
      </c>
      <c r="O1373" s="115">
        <v>810</v>
      </c>
      <c r="P1373" s="115">
        <v>818.85</v>
      </c>
      <c r="Q1373" s="115">
        <v>813.65</v>
      </c>
      <c r="R1373">
        <v>65545</v>
      </c>
    </row>
    <row r="1374" spans="1:18" x14ac:dyDescent="0.25">
      <c r="A1374" s="160">
        <v>44055</v>
      </c>
      <c r="B1374" s="115">
        <v>560</v>
      </c>
      <c r="C1374" s="115">
        <v>545</v>
      </c>
      <c r="D1374" s="115">
        <v>544.15</v>
      </c>
      <c r="E1374" s="115">
        <v>560</v>
      </c>
      <c r="F1374" s="115">
        <v>545</v>
      </c>
      <c r="G1374">
        <v>895</v>
      </c>
      <c r="H1374" s="115"/>
      <c r="I1374" s="115"/>
      <c r="L1374" s="160">
        <v>44032</v>
      </c>
      <c r="M1374" s="115">
        <v>825.8</v>
      </c>
      <c r="N1374" s="115">
        <v>935.7</v>
      </c>
      <c r="O1374" s="115">
        <v>820</v>
      </c>
      <c r="P1374" s="115">
        <v>832</v>
      </c>
      <c r="Q1374" s="115">
        <v>825.8</v>
      </c>
      <c r="R1374">
        <v>597833</v>
      </c>
    </row>
    <row r="1375" spans="1:18" x14ac:dyDescent="0.25">
      <c r="A1375" s="160">
        <v>44056</v>
      </c>
      <c r="B1375" s="115">
        <v>567</v>
      </c>
      <c r="C1375" s="115">
        <v>552.45000000000005</v>
      </c>
      <c r="D1375" s="115">
        <v>545.1</v>
      </c>
      <c r="E1375" s="115">
        <v>545.1</v>
      </c>
      <c r="F1375" s="115">
        <v>552.45000000000005</v>
      </c>
      <c r="G1375">
        <v>787</v>
      </c>
      <c r="H1375" s="115"/>
      <c r="I1375" s="115"/>
      <c r="L1375" s="160">
        <v>44033</v>
      </c>
      <c r="M1375" s="115">
        <v>820.85</v>
      </c>
      <c r="N1375" s="115">
        <v>840</v>
      </c>
      <c r="O1375" s="115">
        <v>800</v>
      </c>
      <c r="P1375" s="115">
        <v>830.5</v>
      </c>
      <c r="Q1375" s="115">
        <v>820.85</v>
      </c>
      <c r="R1375">
        <v>144044</v>
      </c>
    </row>
    <row r="1376" spans="1:18" x14ac:dyDescent="0.25">
      <c r="A1376" s="160">
        <v>44057</v>
      </c>
      <c r="B1376" s="115">
        <v>649.9</v>
      </c>
      <c r="C1376" s="115">
        <v>598.75</v>
      </c>
      <c r="D1376" s="115">
        <v>563.04999999999995</v>
      </c>
      <c r="E1376" s="115">
        <v>574.95000000000005</v>
      </c>
      <c r="F1376" s="115">
        <v>598.75</v>
      </c>
      <c r="G1376">
        <v>3674</v>
      </c>
      <c r="H1376" s="115"/>
      <c r="I1376" s="115"/>
      <c r="L1376" s="160">
        <v>44034</v>
      </c>
      <c r="M1376" s="115">
        <v>888.55</v>
      </c>
      <c r="N1376" s="115">
        <v>899</v>
      </c>
      <c r="O1376" s="115">
        <v>810.05</v>
      </c>
      <c r="P1376" s="115">
        <v>834.9</v>
      </c>
      <c r="Q1376" s="115">
        <v>888.55</v>
      </c>
      <c r="R1376">
        <v>899455</v>
      </c>
    </row>
    <row r="1377" spans="1:18" x14ac:dyDescent="0.25">
      <c r="A1377" s="160">
        <v>44060</v>
      </c>
      <c r="B1377" s="115">
        <v>650</v>
      </c>
      <c r="C1377" s="115">
        <v>627</v>
      </c>
      <c r="D1377" s="115">
        <v>610.04999999999995</v>
      </c>
      <c r="E1377" s="115">
        <v>620</v>
      </c>
      <c r="F1377" s="115">
        <v>627</v>
      </c>
      <c r="G1377">
        <v>831</v>
      </c>
      <c r="H1377" s="115"/>
      <c r="I1377" s="115"/>
      <c r="L1377" s="160">
        <v>44035</v>
      </c>
      <c r="M1377" s="115">
        <v>865.95</v>
      </c>
      <c r="N1377" s="115">
        <v>918.9</v>
      </c>
      <c r="O1377" s="115">
        <v>852</v>
      </c>
      <c r="P1377" s="115">
        <v>900</v>
      </c>
      <c r="Q1377" s="115">
        <v>865.95</v>
      </c>
      <c r="R1377">
        <v>307280</v>
      </c>
    </row>
    <row r="1378" spans="1:18" x14ac:dyDescent="0.25">
      <c r="A1378" s="160">
        <v>44061</v>
      </c>
      <c r="B1378" s="115">
        <v>675</v>
      </c>
      <c r="C1378" s="115">
        <v>666.05</v>
      </c>
      <c r="D1378" s="115">
        <v>601.04999999999995</v>
      </c>
      <c r="E1378" s="115">
        <v>645.95000000000005</v>
      </c>
      <c r="F1378" s="115">
        <v>666.05</v>
      </c>
      <c r="G1378">
        <v>2539</v>
      </c>
      <c r="H1378" s="115"/>
      <c r="I1378" s="115"/>
      <c r="L1378" s="160">
        <v>44036</v>
      </c>
      <c r="M1378" s="115">
        <v>854.7</v>
      </c>
      <c r="N1378" s="115">
        <v>874.9</v>
      </c>
      <c r="O1378" s="115">
        <v>850</v>
      </c>
      <c r="P1378" s="115">
        <v>864.9</v>
      </c>
      <c r="Q1378" s="115">
        <v>854.7</v>
      </c>
      <c r="R1378">
        <v>91693</v>
      </c>
    </row>
    <row r="1379" spans="1:18" x14ac:dyDescent="0.25">
      <c r="A1379" s="160">
        <v>44062</v>
      </c>
      <c r="B1379" s="115">
        <v>690</v>
      </c>
      <c r="C1379" s="115">
        <v>682.75</v>
      </c>
      <c r="D1379" s="115">
        <v>635</v>
      </c>
      <c r="E1379" s="115">
        <v>665</v>
      </c>
      <c r="F1379" s="115">
        <v>682.75</v>
      </c>
      <c r="G1379">
        <v>890</v>
      </c>
      <c r="H1379" s="115"/>
      <c r="I1379" s="115"/>
      <c r="L1379" s="160">
        <v>44039</v>
      </c>
      <c r="M1379" s="115">
        <v>831.4</v>
      </c>
      <c r="N1379" s="115">
        <v>861.35</v>
      </c>
      <c r="O1379" s="115">
        <v>819</v>
      </c>
      <c r="P1379" s="115">
        <v>855</v>
      </c>
      <c r="Q1379" s="115">
        <v>831.4</v>
      </c>
      <c r="R1379">
        <v>78456</v>
      </c>
    </row>
    <row r="1380" spans="1:18" x14ac:dyDescent="0.25">
      <c r="A1380" s="160">
        <v>44063</v>
      </c>
      <c r="B1380" s="115">
        <v>679.95</v>
      </c>
      <c r="C1380" s="115">
        <v>662.5</v>
      </c>
      <c r="D1380" s="115">
        <v>645</v>
      </c>
      <c r="E1380" s="115">
        <v>677</v>
      </c>
      <c r="F1380" s="115">
        <v>662.5</v>
      </c>
      <c r="G1380">
        <v>578</v>
      </c>
      <c r="H1380" s="115"/>
      <c r="I1380" s="115"/>
      <c r="L1380" s="160">
        <v>44040</v>
      </c>
      <c r="M1380" s="115">
        <v>824.75</v>
      </c>
      <c r="N1380" s="115">
        <v>849</v>
      </c>
      <c r="O1380" s="115">
        <v>820</v>
      </c>
      <c r="P1380" s="115">
        <v>839.95</v>
      </c>
      <c r="Q1380" s="115">
        <v>824.75</v>
      </c>
      <c r="R1380">
        <v>49973</v>
      </c>
    </row>
    <row r="1381" spans="1:18" x14ac:dyDescent="0.25">
      <c r="A1381" s="160">
        <v>44064</v>
      </c>
      <c r="B1381" s="115">
        <v>770</v>
      </c>
      <c r="C1381" s="115">
        <v>748</v>
      </c>
      <c r="D1381" s="115">
        <v>651.04999999999995</v>
      </c>
      <c r="E1381" s="115">
        <v>660</v>
      </c>
      <c r="F1381" s="115">
        <v>748</v>
      </c>
      <c r="G1381">
        <v>5740</v>
      </c>
      <c r="H1381" s="115"/>
      <c r="I1381" s="115"/>
      <c r="L1381" s="160">
        <v>44041</v>
      </c>
      <c r="M1381" s="115">
        <v>818.95</v>
      </c>
      <c r="N1381" s="115">
        <v>844</v>
      </c>
      <c r="O1381" s="115">
        <v>816.1</v>
      </c>
      <c r="P1381" s="115">
        <v>829.6</v>
      </c>
      <c r="Q1381" s="115">
        <v>818.95</v>
      </c>
      <c r="R1381">
        <v>70207</v>
      </c>
    </row>
    <row r="1382" spans="1:18" x14ac:dyDescent="0.25">
      <c r="A1382" s="160">
        <v>44067</v>
      </c>
      <c r="B1382" s="115">
        <v>837.95</v>
      </c>
      <c r="C1382" s="115">
        <v>801.3</v>
      </c>
      <c r="D1382" s="115">
        <v>764.05</v>
      </c>
      <c r="E1382" s="115">
        <v>799</v>
      </c>
      <c r="F1382" s="115">
        <v>801.3</v>
      </c>
      <c r="G1382">
        <v>10047</v>
      </c>
      <c r="H1382" s="115"/>
      <c r="I1382" s="115"/>
      <c r="L1382" s="160">
        <v>44042</v>
      </c>
      <c r="M1382" s="115">
        <v>786.95</v>
      </c>
      <c r="N1382" s="115">
        <v>835</v>
      </c>
      <c r="O1382" s="115">
        <v>779.65</v>
      </c>
      <c r="P1382" s="115">
        <v>828.8</v>
      </c>
      <c r="Q1382" s="115">
        <v>786.95</v>
      </c>
      <c r="R1382">
        <v>88754</v>
      </c>
    </row>
    <row r="1383" spans="1:18" x14ac:dyDescent="0.25">
      <c r="A1383" s="160">
        <v>44068</v>
      </c>
      <c r="B1383" s="115">
        <v>833.95</v>
      </c>
      <c r="C1383" s="115">
        <v>765.95</v>
      </c>
      <c r="D1383" s="115">
        <v>751</v>
      </c>
      <c r="E1383" s="115">
        <v>801.3</v>
      </c>
      <c r="F1383" s="115">
        <v>765.95</v>
      </c>
      <c r="G1383">
        <v>2620</v>
      </c>
      <c r="H1383" s="115"/>
      <c r="I1383" s="115"/>
      <c r="L1383" s="160">
        <v>44043</v>
      </c>
      <c r="M1383" s="115">
        <v>792</v>
      </c>
      <c r="N1383" s="115">
        <v>816</v>
      </c>
      <c r="O1383" s="115">
        <v>765</v>
      </c>
      <c r="P1383" s="115">
        <v>785</v>
      </c>
      <c r="Q1383" s="115">
        <v>792</v>
      </c>
      <c r="R1383">
        <v>102589</v>
      </c>
    </row>
    <row r="1384" spans="1:18" x14ac:dyDescent="0.25">
      <c r="A1384" s="160">
        <v>44069</v>
      </c>
      <c r="B1384" s="115">
        <v>767</v>
      </c>
      <c r="C1384" s="115">
        <v>749.8</v>
      </c>
      <c r="D1384" s="115">
        <v>742</v>
      </c>
      <c r="E1384" s="115">
        <v>767</v>
      </c>
      <c r="F1384" s="115">
        <v>749.8</v>
      </c>
      <c r="G1384">
        <v>873</v>
      </c>
      <c r="H1384" s="115"/>
      <c r="I1384" s="115"/>
      <c r="L1384" s="160">
        <v>44046</v>
      </c>
      <c r="M1384" s="115">
        <v>810.15</v>
      </c>
      <c r="N1384" s="115">
        <v>820.45</v>
      </c>
      <c r="O1384" s="115">
        <v>790.85</v>
      </c>
      <c r="P1384" s="115">
        <v>794.45</v>
      </c>
      <c r="Q1384" s="115">
        <v>810.15</v>
      </c>
      <c r="R1384">
        <v>79584</v>
      </c>
    </row>
    <row r="1385" spans="1:18" x14ac:dyDescent="0.25">
      <c r="A1385" s="160">
        <v>44070</v>
      </c>
      <c r="B1385" s="115">
        <v>750</v>
      </c>
      <c r="C1385" s="115">
        <v>725.3</v>
      </c>
      <c r="D1385" s="115">
        <v>721</v>
      </c>
      <c r="E1385" s="115">
        <v>750</v>
      </c>
      <c r="F1385" s="115">
        <v>725.3</v>
      </c>
      <c r="G1385">
        <v>1122</v>
      </c>
      <c r="H1385" s="115"/>
      <c r="I1385" s="115"/>
      <c r="L1385" s="160">
        <v>44047</v>
      </c>
      <c r="M1385" s="115">
        <v>804.3</v>
      </c>
      <c r="N1385" s="115">
        <v>817.4</v>
      </c>
      <c r="O1385" s="115">
        <v>791.85</v>
      </c>
      <c r="P1385" s="115">
        <v>817</v>
      </c>
      <c r="Q1385" s="115">
        <v>804.3</v>
      </c>
      <c r="R1385">
        <v>34825</v>
      </c>
    </row>
    <row r="1386" spans="1:18" x14ac:dyDescent="0.25">
      <c r="A1386" s="160">
        <v>44071</v>
      </c>
      <c r="B1386" s="115">
        <v>795</v>
      </c>
      <c r="C1386" s="115">
        <v>770</v>
      </c>
      <c r="D1386" s="115">
        <v>712.5</v>
      </c>
      <c r="E1386" s="115">
        <v>725</v>
      </c>
      <c r="F1386" s="115">
        <v>770</v>
      </c>
      <c r="G1386">
        <v>5137</v>
      </c>
      <c r="H1386" s="115"/>
      <c r="I1386" s="115"/>
      <c r="L1386" s="160">
        <v>44048</v>
      </c>
      <c r="M1386" s="115">
        <v>806.35</v>
      </c>
      <c r="N1386" s="115">
        <v>815</v>
      </c>
      <c r="O1386" s="115">
        <v>794.95</v>
      </c>
      <c r="P1386" s="115">
        <v>801.3</v>
      </c>
      <c r="Q1386" s="115">
        <v>806.35</v>
      </c>
      <c r="R1386">
        <v>39931</v>
      </c>
    </row>
    <row r="1387" spans="1:18" x14ac:dyDescent="0.25">
      <c r="A1387" s="160">
        <v>44074</v>
      </c>
      <c r="B1387" s="115">
        <v>765</v>
      </c>
      <c r="C1387" s="115">
        <v>725.6</v>
      </c>
      <c r="D1387" s="115">
        <v>725</v>
      </c>
      <c r="E1387" s="115">
        <v>741</v>
      </c>
      <c r="F1387" s="115">
        <v>725.6</v>
      </c>
      <c r="G1387">
        <v>3375</v>
      </c>
      <c r="H1387" s="115"/>
      <c r="I1387" s="115"/>
      <c r="L1387" s="160">
        <v>44049</v>
      </c>
      <c r="M1387" s="115">
        <v>788.55</v>
      </c>
      <c r="N1387" s="115">
        <v>813.35</v>
      </c>
      <c r="O1387" s="115">
        <v>786</v>
      </c>
      <c r="P1387" s="115">
        <v>811</v>
      </c>
      <c r="Q1387" s="115">
        <v>788.55</v>
      </c>
      <c r="R1387">
        <v>44859</v>
      </c>
    </row>
    <row r="1388" spans="1:18" x14ac:dyDescent="0.25">
      <c r="A1388" s="160">
        <v>44075</v>
      </c>
      <c r="B1388" s="115">
        <v>729.65</v>
      </c>
      <c r="C1388" s="115">
        <v>719.05</v>
      </c>
      <c r="D1388" s="115">
        <v>715.05</v>
      </c>
      <c r="E1388" s="115">
        <v>726.05</v>
      </c>
      <c r="F1388" s="115">
        <v>719.05</v>
      </c>
      <c r="G1388">
        <v>333</v>
      </c>
      <c r="H1388" s="115"/>
      <c r="I1388" s="115"/>
      <c r="L1388" s="160">
        <v>44050</v>
      </c>
      <c r="M1388" s="115">
        <v>782.45</v>
      </c>
      <c r="N1388" s="115">
        <v>799.5</v>
      </c>
      <c r="O1388" s="115">
        <v>780.1</v>
      </c>
      <c r="P1388" s="115">
        <v>794.5</v>
      </c>
      <c r="Q1388" s="115">
        <v>782.45</v>
      </c>
      <c r="R1388">
        <v>45403</v>
      </c>
    </row>
    <row r="1389" spans="1:18" x14ac:dyDescent="0.25">
      <c r="A1389" s="160">
        <v>44076</v>
      </c>
      <c r="B1389" s="115">
        <v>743</v>
      </c>
      <c r="C1389" s="115">
        <v>716.45</v>
      </c>
      <c r="D1389" s="115">
        <v>690</v>
      </c>
      <c r="E1389" s="115">
        <v>741.05</v>
      </c>
      <c r="F1389" s="115">
        <v>716.45</v>
      </c>
      <c r="G1389">
        <v>113</v>
      </c>
      <c r="H1389" s="115"/>
      <c r="I1389" s="115"/>
      <c r="L1389" s="160">
        <v>44053</v>
      </c>
      <c r="M1389" s="115">
        <v>769.85</v>
      </c>
      <c r="N1389" s="115">
        <v>799</v>
      </c>
      <c r="O1389" s="115">
        <v>752.15</v>
      </c>
      <c r="P1389" s="115">
        <v>792.45</v>
      </c>
      <c r="Q1389" s="115">
        <v>769.85</v>
      </c>
      <c r="R1389">
        <v>94402</v>
      </c>
    </row>
    <row r="1390" spans="1:18" x14ac:dyDescent="0.25">
      <c r="A1390" s="160">
        <v>44077</v>
      </c>
      <c r="B1390" s="115">
        <v>749.5</v>
      </c>
      <c r="C1390" s="115">
        <v>732.45</v>
      </c>
      <c r="D1390" s="115">
        <v>716</v>
      </c>
      <c r="E1390" s="115">
        <v>720</v>
      </c>
      <c r="F1390" s="115">
        <v>732.45</v>
      </c>
      <c r="G1390">
        <v>439</v>
      </c>
      <c r="H1390" s="115"/>
      <c r="I1390" s="115"/>
      <c r="L1390" s="160">
        <v>44054</v>
      </c>
      <c r="M1390" s="115">
        <v>814.75</v>
      </c>
      <c r="N1390" s="115">
        <v>840</v>
      </c>
      <c r="O1390" s="115">
        <v>753.5</v>
      </c>
      <c r="P1390" s="115">
        <v>776.65</v>
      </c>
      <c r="Q1390" s="115">
        <v>814.75</v>
      </c>
      <c r="R1390">
        <v>403744</v>
      </c>
    </row>
    <row r="1391" spans="1:18" x14ac:dyDescent="0.25">
      <c r="A1391" s="160">
        <v>44078</v>
      </c>
      <c r="B1391" s="115">
        <v>724</v>
      </c>
      <c r="C1391" s="115">
        <v>691.8</v>
      </c>
      <c r="D1391" s="115">
        <v>685</v>
      </c>
      <c r="E1391" s="115">
        <v>701</v>
      </c>
      <c r="F1391" s="115">
        <v>691.8</v>
      </c>
      <c r="G1391">
        <v>907</v>
      </c>
      <c r="H1391" s="115"/>
      <c r="I1391" s="115"/>
      <c r="L1391" s="160">
        <v>44055</v>
      </c>
      <c r="M1391" s="115">
        <v>820.65</v>
      </c>
      <c r="N1391" s="115">
        <v>838.9</v>
      </c>
      <c r="O1391" s="115">
        <v>797</v>
      </c>
      <c r="P1391" s="115">
        <v>817</v>
      </c>
      <c r="Q1391" s="115">
        <v>820.65</v>
      </c>
      <c r="R1391">
        <v>113165</v>
      </c>
    </row>
    <row r="1392" spans="1:18" x14ac:dyDescent="0.25">
      <c r="A1392" s="160">
        <v>44081</v>
      </c>
      <c r="B1392" s="115">
        <v>719.8</v>
      </c>
      <c r="C1392" s="115">
        <v>701</v>
      </c>
      <c r="D1392" s="115">
        <v>684</v>
      </c>
      <c r="E1392" s="115">
        <v>684</v>
      </c>
      <c r="F1392" s="115">
        <v>701</v>
      </c>
      <c r="G1392">
        <v>440</v>
      </c>
      <c r="H1392" s="115"/>
      <c r="I1392" s="115"/>
      <c r="L1392" s="160">
        <v>44056</v>
      </c>
      <c r="M1392" s="115">
        <v>821.35</v>
      </c>
      <c r="N1392" s="115">
        <v>832.75</v>
      </c>
      <c r="O1392" s="115">
        <v>815.4</v>
      </c>
      <c r="P1392" s="115">
        <v>827</v>
      </c>
      <c r="Q1392" s="115">
        <v>821.35</v>
      </c>
      <c r="R1392">
        <v>72895</v>
      </c>
    </row>
    <row r="1393" spans="1:18" x14ac:dyDescent="0.25">
      <c r="A1393" s="160">
        <v>44082</v>
      </c>
      <c r="B1393" s="115">
        <v>714.75</v>
      </c>
      <c r="C1393" s="115">
        <v>681.65</v>
      </c>
      <c r="D1393" s="115">
        <v>670.05</v>
      </c>
      <c r="E1393" s="115">
        <v>692.5</v>
      </c>
      <c r="F1393" s="115">
        <v>681.65</v>
      </c>
      <c r="G1393">
        <v>358</v>
      </c>
      <c r="H1393" s="115"/>
      <c r="I1393" s="115"/>
      <c r="L1393" s="160">
        <v>44057</v>
      </c>
      <c r="M1393" s="115">
        <v>793.15</v>
      </c>
      <c r="N1393" s="115">
        <v>830</v>
      </c>
      <c r="O1393" s="115">
        <v>765</v>
      </c>
      <c r="P1393" s="115">
        <v>827.2</v>
      </c>
      <c r="Q1393" s="115">
        <v>793.15</v>
      </c>
      <c r="R1393">
        <v>87995</v>
      </c>
    </row>
    <row r="1394" spans="1:18" x14ac:dyDescent="0.25">
      <c r="A1394" s="160">
        <v>44083</v>
      </c>
      <c r="B1394" s="115">
        <v>690</v>
      </c>
      <c r="C1394" s="115">
        <v>686.4</v>
      </c>
      <c r="D1394" s="115">
        <v>670</v>
      </c>
      <c r="E1394" s="115">
        <v>683</v>
      </c>
      <c r="F1394" s="115">
        <v>686.4</v>
      </c>
      <c r="G1394">
        <v>193</v>
      </c>
      <c r="H1394" s="115"/>
      <c r="I1394" s="115"/>
      <c r="L1394" s="160">
        <v>44060</v>
      </c>
      <c r="M1394" s="115">
        <v>783.75</v>
      </c>
      <c r="N1394" s="115">
        <v>801.2</v>
      </c>
      <c r="O1394" s="115">
        <v>778.1</v>
      </c>
      <c r="P1394" s="115">
        <v>799.5</v>
      </c>
      <c r="Q1394" s="115">
        <v>783.75</v>
      </c>
      <c r="R1394">
        <v>36167</v>
      </c>
    </row>
    <row r="1395" spans="1:18" x14ac:dyDescent="0.25">
      <c r="A1395" s="160">
        <v>44084</v>
      </c>
      <c r="B1395" s="115">
        <v>705</v>
      </c>
      <c r="C1395" s="115">
        <v>691.75</v>
      </c>
      <c r="D1395" s="115">
        <v>680</v>
      </c>
      <c r="E1395" s="115">
        <v>690</v>
      </c>
      <c r="F1395" s="115">
        <v>691.75</v>
      </c>
      <c r="G1395">
        <v>296</v>
      </c>
      <c r="H1395" s="115"/>
      <c r="I1395" s="115"/>
      <c r="L1395" s="160">
        <v>44061</v>
      </c>
      <c r="M1395" s="115">
        <v>806.15</v>
      </c>
      <c r="N1395" s="115">
        <v>821</v>
      </c>
      <c r="O1395" s="115">
        <v>763</v>
      </c>
      <c r="P1395" s="115">
        <v>788</v>
      </c>
      <c r="Q1395" s="115">
        <v>806.15</v>
      </c>
      <c r="R1395">
        <v>73374</v>
      </c>
    </row>
    <row r="1396" spans="1:18" x14ac:dyDescent="0.25">
      <c r="A1396" s="160">
        <v>44085</v>
      </c>
      <c r="B1396" s="115">
        <v>729.55</v>
      </c>
      <c r="C1396" s="115">
        <v>719.35</v>
      </c>
      <c r="D1396" s="115">
        <v>675</v>
      </c>
      <c r="E1396" s="115">
        <v>682.3</v>
      </c>
      <c r="F1396" s="115">
        <v>719.35</v>
      </c>
      <c r="G1396">
        <v>1133</v>
      </c>
      <c r="H1396" s="115"/>
      <c r="I1396" s="115"/>
      <c r="L1396" s="160">
        <v>44062</v>
      </c>
      <c r="M1396" s="115">
        <v>811.2</v>
      </c>
      <c r="N1396" s="115">
        <v>828</v>
      </c>
      <c r="O1396" s="115">
        <v>804</v>
      </c>
      <c r="P1396" s="115">
        <v>807.2</v>
      </c>
      <c r="Q1396" s="115">
        <v>811.2</v>
      </c>
      <c r="R1396">
        <v>99244</v>
      </c>
    </row>
    <row r="1397" spans="1:18" x14ac:dyDescent="0.25">
      <c r="A1397" s="160">
        <v>44088</v>
      </c>
      <c r="B1397" s="115">
        <v>829</v>
      </c>
      <c r="C1397" s="115">
        <v>791.05</v>
      </c>
      <c r="D1397" s="115">
        <v>729.9</v>
      </c>
      <c r="E1397" s="115">
        <v>730</v>
      </c>
      <c r="F1397" s="115">
        <v>791.05</v>
      </c>
      <c r="G1397">
        <v>15160</v>
      </c>
      <c r="H1397" s="115"/>
      <c r="I1397" s="115"/>
      <c r="L1397" s="160">
        <v>44063</v>
      </c>
      <c r="M1397" s="115">
        <v>805.3</v>
      </c>
      <c r="N1397" s="115">
        <v>818.2</v>
      </c>
      <c r="O1397" s="115">
        <v>800</v>
      </c>
      <c r="P1397" s="115">
        <v>808.75</v>
      </c>
      <c r="Q1397" s="115">
        <v>805.3</v>
      </c>
      <c r="R1397">
        <v>44169</v>
      </c>
    </row>
    <row r="1398" spans="1:18" x14ac:dyDescent="0.25">
      <c r="A1398" s="160">
        <v>44089</v>
      </c>
      <c r="B1398" s="115">
        <v>873.9</v>
      </c>
      <c r="C1398" s="115">
        <v>868.8</v>
      </c>
      <c r="D1398" s="115">
        <v>774</v>
      </c>
      <c r="E1398" s="115">
        <v>774</v>
      </c>
      <c r="F1398" s="115">
        <v>868.8</v>
      </c>
      <c r="G1398">
        <v>11866</v>
      </c>
      <c r="H1398" s="115"/>
      <c r="I1398" s="115"/>
      <c r="L1398" s="160">
        <v>44064</v>
      </c>
      <c r="M1398" s="115">
        <v>794.25</v>
      </c>
      <c r="N1398" s="115">
        <v>812.85</v>
      </c>
      <c r="O1398" s="115">
        <v>790</v>
      </c>
      <c r="P1398" s="115">
        <v>807</v>
      </c>
      <c r="Q1398" s="115">
        <v>794.25</v>
      </c>
      <c r="R1398">
        <v>70619</v>
      </c>
    </row>
    <row r="1399" spans="1:18" x14ac:dyDescent="0.25">
      <c r="A1399" s="160">
        <v>44090</v>
      </c>
      <c r="B1399" s="115">
        <v>877</v>
      </c>
      <c r="C1399" s="115">
        <v>871.4</v>
      </c>
      <c r="D1399" s="115">
        <v>835</v>
      </c>
      <c r="E1399" s="115">
        <v>835.05</v>
      </c>
      <c r="F1399" s="115">
        <v>871.4</v>
      </c>
      <c r="G1399">
        <v>2042</v>
      </c>
      <c r="H1399" s="115"/>
      <c r="I1399" s="115"/>
      <c r="L1399" s="160">
        <v>44067</v>
      </c>
      <c r="M1399" s="115">
        <v>856.05</v>
      </c>
      <c r="N1399" s="115">
        <v>860.05</v>
      </c>
      <c r="O1399" s="115">
        <v>780</v>
      </c>
      <c r="P1399" s="115">
        <v>794.25</v>
      </c>
      <c r="Q1399" s="115">
        <v>856.05</v>
      </c>
      <c r="R1399">
        <v>381111</v>
      </c>
    </row>
    <row r="1400" spans="1:18" x14ac:dyDescent="0.25">
      <c r="A1400" s="160">
        <v>44091</v>
      </c>
      <c r="B1400" s="115">
        <v>873</v>
      </c>
      <c r="C1400" s="115">
        <v>819.8</v>
      </c>
      <c r="D1400" s="115">
        <v>811.1</v>
      </c>
      <c r="E1400" s="115">
        <v>845</v>
      </c>
      <c r="F1400" s="115">
        <v>819.8</v>
      </c>
      <c r="G1400">
        <v>1591</v>
      </c>
      <c r="H1400" s="115"/>
      <c r="I1400" s="115"/>
      <c r="L1400" s="160">
        <v>44068</v>
      </c>
      <c r="M1400" s="115">
        <v>851.85</v>
      </c>
      <c r="N1400" s="115">
        <v>883</v>
      </c>
      <c r="O1400" s="115">
        <v>840</v>
      </c>
      <c r="P1400" s="115">
        <v>865</v>
      </c>
      <c r="Q1400" s="115">
        <v>851.85</v>
      </c>
      <c r="R1400">
        <v>273635</v>
      </c>
    </row>
    <row r="1401" spans="1:18" x14ac:dyDescent="0.25">
      <c r="A1401" s="160">
        <v>44092</v>
      </c>
      <c r="B1401" s="115">
        <v>857.95</v>
      </c>
      <c r="C1401" s="115">
        <v>807.9</v>
      </c>
      <c r="D1401" s="115">
        <v>804</v>
      </c>
      <c r="E1401" s="115">
        <v>857.95</v>
      </c>
      <c r="F1401" s="115">
        <v>807.9</v>
      </c>
      <c r="G1401">
        <v>629</v>
      </c>
      <c r="H1401" s="115"/>
      <c r="I1401" s="115"/>
      <c r="L1401" s="160">
        <v>44069</v>
      </c>
      <c r="M1401" s="115">
        <v>866.7</v>
      </c>
      <c r="N1401" s="115">
        <v>898.9</v>
      </c>
      <c r="O1401" s="115">
        <v>858.4</v>
      </c>
      <c r="P1401" s="115">
        <v>860</v>
      </c>
      <c r="Q1401" s="115">
        <v>866.7</v>
      </c>
      <c r="R1401">
        <v>381089</v>
      </c>
    </row>
    <row r="1402" spans="1:18" x14ac:dyDescent="0.25">
      <c r="A1402" s="160">
        <v>44095</v>
      </c>
      <c r="B1402" s="115">
        <v>808</v>
      </c>
      <c r="C1402" s="115">
        <v>731.25</v>
      </c>
      <c r="D1402" s="115">
        <v>710.3</v>
      </c>
      <c r="E1402" s="115">
        <v>808</v>
      </c>
      <c r="F1402" s="115">
        <v>731.25</v>
      </c>
      <c r="G1402">
        <v>1346</v>
      </c>
      <c r="H1402" s="115"/>
      <c r="I1402" s="115"/>
      <c r="L1402" s="160">
        <v>44070</v>
      </c>
      <c r="M1402" s="115">
        <v>851</v>
      </c>
      <c r="N1402" s="115">
        <v>884.95</v>
      </c>
      <c r="O1402" s="115">
        <v>845</v>
      </c>
      <c r="P1402" s="115">
        <v>880</v>
      </c>
      <c r="Q1402" s="115">
        <v>851</v>
      </c>
      <c r="R1402">
        <v>94737</v>
      </c>
    </row>
    <row r="1403" spans="1:18" x14ac:dyDescent="0.25">
      <c r="A1403" s="160">
        <v>44096</v>
      </c>
      <c r="B1403" s="115">
        <v>770</v>
      </c>
      <c r="C1403" s="115">
        <v>735.35</v>
      </c>
      <c r="D1403" s="115">
        <v>715</v>
      </c>
      <c r="E1403" s="115">
        <v>715</v>
      </c>
      <c r="F1403" s="115">
        <v>735.35</v>
      </c>
      <c r="G1403">
        <v>485</v>
      </c>
      <c r="H1403" s="115"/>
      <c r="I1403" s="115"/>
      <c r="L1403" s="160">
        <v>44071</v>
      </c>
      <c r="M1403" s="115">
        <v>827.2</v>
      </c>
      <c r="N1403" s="115">
        <v>870</v>
      </c>
      <c r="O1403" s="115">
        <v>821</v>
      </c>
      <c r="P1403" s="115">
        <v>857.95</v>
      </c>
      <c r="Q1403" s="115">
        <v>827.2</v>
      </c>
      <c r="R1403">
        <v>110559</v>
      </c>
    </row>
    <row r="1404" spans="1:18" x14ac:dyDescent="0.25">
      <c r="A1404" s="160">
        <v>44097</v>
      </c>
      <c r="B1404" s="115">
        <v>762</v>
      </c>
      <c r="C1404" s="115">
        <v>703.4</v>
      </c>
      <c r="D1404" s="115">
        <v>690.05</v>
      </c>
      <c r="E1404" s="115">
        <v>750</v>
      </c>
      <c r="F1404" s="115">
        <v>703.4</v>
      </c>
      <c r="G1404">
        <v>1346</v>
      </c>
      <c r="H1404" s="115"/>
      <c r="I1404" s="115"/>
      <c r="L1404" s="160">
        <v>44074</v>
      </c>
      <c r="M1404" s="115">
        <v>781.1</v>
      </c>
      <c r="N1404" s="115">
        <v>838.6</v>
      </c>
      <c r="O1404" s="115">
        <v>752.3</v>
      </c>
      <c r="P1404" s="115">
        <v>838.6</v>
      </c>
      <c r="Q1404" s="115">
        <v>781.1</v>
      </c>
      <c r="R1404">
        <v>168234</v>
      </c>
    </row>
    <row r="1405" spans="1:18" x14ac:dyDescent="0.25">
      <c r="A1405" s="160">
        <v>44098</v>
      </c>
      <c r="B1405" s="115">
        <v>704.95</v>
      </c>
      <c r="C1405" s="115">
        <v>679.4</v>
      </c>
      <c r="D1405" s="115">
        <v>667.25</v>
      </c>
      <c r="E1405" s="115">
        <v>699</v>
      </c>
      <c r="F1405" s="115">
        <v>679.4</v>
      </c>
      <c r="G1405">
        <v>1908</v>
      </c>
      <c r="H1405" s="115"/>
      <c r="I1405" s="115"/>
      <c r="L1405" s="160">
        <v>44075</v>
      </c>
      <c r="M1405" s="115">
        <v>764.45</v>
      </c>
      <c r="N1405" s="115">
        <v>787.9</v>
      </c>
      <c r="O1405" s="115">
        <v>752.65</v>
      </c>
      <c r="P1405" s="115">
        <v>782.95</v>
      </c>
      <c r="Q1405" s="115">
        <v>764.45</v>
      </c>
      <c r="R1405">
        <v>74302</v>
      </c>
    </row>
    <row r="1406" spans="1:18" x14ac:dyDescent="0.25">
      <c r="A1406" s="160">
        <v>44099</v>
      </c>
      <c r="B1406" s="115">
        <v>729.95</v>
      </c>
      <c r="C1406" s="115">
        <v>721.35</v>
      </c>
      <c r="D1406" s="115">
        <v>685</v>
      </c>
      <c r="E1406" s="115">
        <v>685</v>
      </c>
      <c r="F1406" s="115">
        <v>721.35</v>
      </c>
      <c r="G1406">
        <v>726</v>
      </c>
      <c r="H1406" s="115"/>
      <c r="I1406" s="115"/>
      <c r="L1406" s="160">
        <v>44076</v>
      </c>
      <c r="M1406" s="115">
        <v>786.15</v>
      </c>
      <c r="N1406" s="115">
        <v>798.3</v>
      </c>
      <c r="O1406" s="115">
        <v>768.5</v>
      </c>
      <c r="P1406" s="115">
        <v>776</v>
      </c>
      <c r="Q1406" s="115">
        <v>786.15</v>
      </c>
      <c r="R1406">
        <v>37424</v>
      </c>
    </row>
    <row r="1407" spans="1:18" x14ac:dyDescent="0.25">
      <c r="A1407" s="160">
        <v>44102</v>
      </c>
      <c r="B1407" s="115">
        <v>848</v>
      </c>
      <c r="C1407" s="115">
        <v>821.3</v>
      </c>
      <c r="D1407" s="115">
        <v>728.5</v>
      </c>
      <c r="E1407" s="115">
        <v>749.9</v>
      </c>
      <c r="F1407" s="115">
        <v>821.3</v>
      </c>
      <c r="G1407">
        <v>5728</v>
      </c>
      <c r="H1407" s="115"/>
      <c r="I1407" s="115"/>
      <c r="L1407" s="160">
        <v>44077</v>
      </c>
      <c r="M1407" s="115">
        <v>784.2</v>
      </c>
      <c r="N1407" s="115">
        <v>815</v>
      </c>
      <c r="O1407" s="115">
        <v>781</v>
      </c>
      <c r="P1407" s="115">
        <v>787.95</v>
      </c>
      <c r="Q1407" s="115">
        <v>784.2</v>
      </c>
      <c r="R1407">
        <v>58938</v>
      </c>
    </row>
    <row r="1408" spans="1:18" x14ac:dyDescent="0.25">
      <c r="A1408" s="160">
        <v>44103</v>
      </c>
      <c r="B1408" s="115">
        <v>847.9</v>
      </c>
      <c r="C1408" s="115">
        <v>822.55</v>
      </c>
      <c r="D1408" s="115">
        <v>801.3</v>
      </c>
      <c r="E1408" s="115">
        <v>844</v>
      </c>
      <c r="F1408" s="115">
        <v>822.55</v>
      </c>
      <c r="G1408">
        <v>545</v>
      </c>
      <c r="H1408" s="115"/>
      <c r="I1408" s="115"/>
      <c r="L1408" s="160">
        <v>44078</v>
      </c>
      <c r="M1408" s="115">
        <v>772.05</v>
      </c>
      <c r="N1408" s="115">
        <v>782.85</v>
      </c>
      <c r="O1408" s="115">
        <v>765</v>
      </c>
      <c r="P1408" s="115">
        <v>770</v>
      </c>
      <c r="Q1408" s="115">
        <v>772.05</v>
      </c>
      <c r="R1408">
        <v>64392</v>
      </c>
    </row>
    <row r="1409" spans="1:18" x14ac:dyDescent="0.25">
      <c r="A1409" s="160">
        <v>44104</v>
      </c>
      <c r="B1409" s="115">
        <v>820</v>
      </c>
      <c r="C1409" s="115">
        <v>798.05</v>
      </c>
      <c r="D1409" s="115">
        <v>782.5</v>
      </c>
      <c r="E1409" s="115">
        <v>820</v>
      </c>
      <c r="F1409" s="115">
        <v>798.05</v>
      </c>
      <c r="G1409">
        <v>1521</v>
      </c>
      <c r="H1409" s="115"/>
      <c r="I1409" s="115"/>
      <c r="L1409" s="160">
        <v>44081</v>
      </c>
      <c r="M1409" s="115">
        <v>741.7</v>
      </c>
      <c r="N1409" s="115">
        <v>779.9</v>
      </c>
      <c r="O1409" s="115">
        <v>738</v>
      </c>
      <c r="P1409" s="115">
        <v>777.9</v>
      </c>
      <c r="Q1409" s="115">
        <v>741.7</v>
      </c>
      <c r="R1409">
        <v>117046</v>
      </c>
    </row>
    <row r="1410" spans="1:18" x14ac:dyDescent="0.25">
      <c r="A1410" s="160">
        <v>44105</v>
      </c>
      <c r="B1410" s="115">
        <v>824.95</v>
      </c>
      <c r="C1410" s="115">
        <v>802.9</v>
      </c>
      <c r="D1410" s="115">
        <v>791</v>
      </c>
      <c r="E1410" s="115">
        <v>824.95</v>
      </c>
      <c r="F1410" s="115">
        <v>802.9</v>
      </c>
      <c r="G1410">
        <v>941</v>
      </c>
      <c r="H1410" s="115"/>
      <c r="I1410" s="115"/>
      <c r="L1410" s="160">
        <v>44082</v>
      </c>
      <c r="M1410" s="115">
        <v>732</v>
      </c>
      <c r="N1410" s="115">
        <v>758.9</v>
      </c>
      <c r="O1410" s="115">
        <v>716</v>
      </c>
      <c r="P1410" s="115">
        <v>751.5</v>
      </c>
      <c r="Q1410" s="115">
        <v>732</v>
      </c>
      <c r="R1410">
        <v>77707</v>
      </c>
    </row>
    <row r="1411" spans="1:18" x14ac:dyDescent="0.25">
      <c r="A1411" s="160">
        <v>44109</v>
      </c>
      <c r="B1411" s="115">
        <v>810.2</v>
      </c>
      <c r="C1411" s="115">
        <v>780.65</v>
      </c>
      <c r="D1411" s="115">
        <v>780.05</v>
      </c>
      <c r="E1411" s="115">
        <v>803.1</v>
      </c>
      <c r="F1411" s="115">
        <v>780.65</v>
      </c>
      <c r="G1411">
        <v>251</v>
      </c>
      <c r="H1411" s="115"/>
      <c r="I1411" s="115"/>
      <c r="L1411" s="160">
        <v>44083</v>
      </c>
      <c r="M1411" s="115">
        <v>711.6</v>
      </c>
      <c r="N1411" s="115">
        <v>725</v>
      </c>
      <c r="O1411" s="115">
        <v>695</v>
      </c>
      <c r="P1411" s="115">
        <v>717</v>
      </c>
      <c r="Q1411" s="115">
        <v>711.6</v>
      </c>
      <c r="R1411">
        <v>93644</v>
      </c>
    </row>
    <row r="1412" spans="1:18" x14ac:dyDescent="0.25">
      <c r="A1412" s="160">
        <v>44110</v>
      </c>
      <c r="B1412" s="115">
        <v>792.95</v>
      </c>
      <c r="C1412" s="115">
        <v>778.1</v>
      </c>
      <c r="D1412" s="115">
        <v>778.1</v>
      </c>
      <c r="E1412" s="115">
        <v>788.5</v>
      </c>
      <c r="F1412" s="115">
        <v>778.1</v>
      </c>
      <c r="G1412">
        <v>222</v>
      </c>
      <c r="H1412" s="115"/>
      <c r="I1412" s="115"/>
      <c r="L1412" s="160">
        <v>44084</v>
      </c>
      <c r="M1412" s="115">
        <v>729.15</v>
      </c>
      <c r="N1412" s="115">
        <v>738.9</v>
      </c>
      <c r="O1412" s="115">
        <v>720</v>
      </c>
      <c r="P1412" s="115">
        <v>720</v>
      </c>
      <c r="Q1412" s="115">
        <v>729.15</v>
      </c>
      <c r="R1412">
        <v>40528</v>
      </c>
    </row>
    <row r="1413" spans="1:18" x14ac:dyDescent="0.25">
      <c r="A1413" s="160">
        <v>44111</v>
      </c>
      <c r="B1413" s="115">
        <v>799</v>
      </c>
      <c r="C1413" s="115">
        <v>737.2</v>
      </c>
      <c r="D1413" s="115">
        <v>733</v>
      </c>
      <c r="E1413" s="115">
        <v>764</v>
      </c>
      <c r="F1413" s="115">
        <v>737.2</v>
      </c>
      <c r="G1413">
        <v>844</v>
      </c>
      <c r="H1413" s="115"/>
      <c r="I1413" s="115"/>
      <c r="L1413" s="160">
        <v>44085</v>
      </c>
      <c r="M1413" s="115">
        <v>735.55</v>
      </c>
      <c r="N1413" s="115">
        <v>756.45</v>
      </c>
      <c r="O1413" s="115">
        <v>721</v>
      </c>
      <c r="P1413" s="115">
        <v>733.5</v>
      </c>
      <c r="Q1413" s="115">
        <v>735.55</v>
      </c>
      <c r="R1413">
        <v>69359</v>
      </c>
    </row>
    <row r="1414" spans="1:18" x14ac:dyDescent="0.25">
      <c r="A1414" s="160">
        <v>44112</v>
      </c>
      <c r="B1414" s="115">
        <v>749</v>
      </c>
      <c r="C1414" s="115">
        <v>734</v>
      </c>
      <c r="D1414" s="115">
        <v>732</v>
      </c>
      <c r="E1414" s="115">
        <v>732</v>
      </c>
      <c r="F1414" s="115">
        <v>734</v>
      </c>
      <c r="G1414">
        <v>570</v>
      </c>
      <c r="H1414" s="115"/>
      <c r="I1414" s="115"/>
      <c r="L1414" s="160">
        <v>44088</v>
      </c>
      <c r="M1414" s="115">
        <v>771.95</v>
      </c>
      <c r="N1414" s="115">
        <v>784.75</v>
      </c>
      <c r="O1414" s="115">
        <v>743.8</v>
      </c>
      <c r="P1414" s="115">
        <v>743.8</v>
      </c>
      <c r="Q1414" s="115">
        <v>771.95</v>
      </c>
      <c r="R1414">
        <v>111980</v>
      </c>
    </row>
    <row r="1415" spans="1:18" x14ac:dyDescent="0.25">
      <c r="A1415" s="160">
        <v>44113</v>
      </c>
      <c r="B1415" s="115">
        <v>758.95</v>
      </c>
      <c r="C1415" s="115">
        <v>730.45</v>
      </c>
      <c r="D1415" s="115">
        <v>728</v>
      </c>
      <c r="E1415" s="115">
        <v>742</v>
      </c>
      <c r="F1415" s="115">
        <v>730.45</v>
      </c>
      <c r="G1415">
        <v>267</v>
      </c>
      <c r="H1415" s="115"/>
      <c r="I1415" s="115"/>
      <c r="L1415" s="160">
        <v>44089</v>
      </c>
      <c r="M1415" s="115">
        <v>765.9</v>
      </c>
      <c r="N1415" s="115">
        <v>784.8</v>
      </c>
      <c r="O1415" s="115">
        <v>760.1</v>
      </c>
      <c r="P1415" s="115">
        <v>779.7</v>
      </c>
      <c r="Q1415" s="115">
        <v>765.9</v>
      </c>
      <c r="R1415">
        <v>64401</v>
      </c>
    </row>
    <row r="1416" spans="1:18" x14ac:dyDescent="0.25">
      <c r="A1416" s="160">
        <v>44116</v>
      </c>
      <c r="B1416" s="115">
        <v>732.05</v>
      </c>
      <c r="C1416" s="115">
        <v>730.1</v>
      </c>
      <c r="D1416" s="115">
        <v>724.5</v>
      </c>
      <c r="E1416" s="115">
        <v>724.5</v>
      </c>
      <c r="F1416" s="115">
        <v>730.1</v>
      </c>
      <c r="G1416">
        <v>439</v>
      </c>
      <c r="H1416" s="115"/>
      <c r="I1416" s="115"/>
      <c r="L1416" s="160">
        <v>44090</v>
      </c>
      <c r="M1416" s="115">
        <v>769.1</v>
      </c>
      <c r="N1416" s="115">
        <v>780</v>
      </c>
      <c r="O1416" s="115">
        <v>759</v>
      </c>
      <c r="P1416" s="115">
        <v>775.9</v>
      </c>
      <c r="Q1416" s="115">
        <v>769.1</v>
      </c>
      <c r="R1416">
        <v>60339</v>
      </c>
    </row>
    <row r="1417" spans="1:18" x14ac:dyDescent="0.25">
      <c r="A1417" s="160">
        <v>44117</v>
      </c>
      <c r="B1417" s="115">
        <v>748</v>
      </c>
      <c r="C1417" s="115">
        <v>706.9</v>
      </c>
      <c r="D1417" s="115">
        <v>701.05</v>
      </c>
      <c r="E1417" s="115">
        <v>748</v>
      </c>
      <c r="F1417" s="115">
        <v>706.9</v>
      </c>
      <c r="G1417">
        <v>456</v>
      </c>
      <c r="H1417" s="115"/>
      <c r="I1417" s="115"/>
      <c r="L1417" s="160">
        <v>44091</v>
      </c>
      <c r="M1417" s="115">
        <v>821.85</v>
      </c>
      <c r="N1417" s="115">
        <v>839.4</v>
      </c>
      <c r="O1417" s="115">
        <v>800</v>
      </c>
      <c r="P1417" s="115">
        <v>808.95</v>
      </c>
      <c r="Q1417" s="115">
        <v>821.85</v>
      </c>
      <c r="R1417">
        <v>404611</v>
      </c>
    </row>
    <row r="1418" spans="1:18" x14ac:dyDescent="0.25">
      <c r="A1418" s="160">
        <v>44118</v>
      </c>
      <c r="B1418" s="115">
        <v>784</v>
      </c>
      <c r="C1418" s="115">
        <v>777.4</v>
      </c>
      <c r="D1418" s="115">
        <v>701.05</v>
      </c>
      <c r="E1418" s="115">
        <v>701.05</v>
      </c>
      <c r="F1418" s="115">
        <v>777.4</v>
      </c>
      <c r="G1418">
        <v>2748</v>
      </c>
      <c r="H1418" s="115"/>
      <c r="I1418" s="115"/>
      <c r="L1418" s="160">
        <v>44092</v>
      </c>
      <c r="M1418" s="115">
        <v>825.3</v>
      </c>
      <c r="N1418" s="115">
        <v>835.5</v>
      </c>
      <c r="O1418" s="115">
        <v>810</v>
      </c>
      <c r="P1418" s="115">
        <v>825</v>
      </c>
      <c r="Q1418" s="115">
        <v>825.3</v>
      </c>
      <c r="R1418">
        <v>295461</v>
      </c>
    </row>
    <row r="1419" spans="1:18" x14ac:dyDescent="0.25">
      <c r="A1419" s="160">
        <v>44119</v>
      </c>
      <c r="B1419" s="115">
        <v>790</v>
      </c>
      <c r="C1419" s="115">
        <v>762</v>
      </c>
      <c r="D1419" s="115">
        <v>762</v>
      </c>
      <c r="E1419" s="115">
        <v>790</v>
      </c>
      <c r="F1419" s="115">
        <v>762</v>
      </c>
      <c r="G1419">
        <v>551</v>
      </c>
      <c r="H1419" s="115"/>
      <c r="I1419" s="115"/>
      <c r="L1419" s="160">
        <v>44095</v>
      </c>
      <c r="M1419" s="115">
        <v>787.9</v>
      </c>
      <c r="N1419" s="115">
        <v>839.3</v>
      </c>
      <c r="O1419" s="115">
        <v>771.05</v>
      </c>
      <c r="P1419" s="115">
        <v>832.9</v>
      </c>
      <c r="Q1419" s="115">
        <v>787.9</v>
      </c>
      <c r="R1419">
        <v>126379</v>
      </c>
    </row>
    <row r="1420" spans="1:18" x14ac:dyDescent="0.25">
      <c r="A1420" s="160">
        <v>44120</v>
      </c>
      <c r="B1420" s="115">
        <v>810.05</v>
      </c>
      <c r="C1420" s="115">
        <v>804.8</v>
      </c>
      <c r="D1420" s="115">
        <v>751.75</v>
      </c>
      <c r="E1420" s="115">
        <v>770</v>
      </c>
      <c r="F1420" s="115">
        <v>804.8</v>
      </c>
      <c r="G1420">
        <v>1925</v>
      </c>
      <c r="H1420" s="115"/>
      <c r="I1420" s="115"/>
      <c r="L1420" s="160">
        <v>44096</v>
      </c>
      <c r="M1420" s="115">
        <v>779.9</v>
      </c>
      <c r="N1420" s="115">
        <v>795.55</v>
      </c>
      <c r="O1420" s="115">
        <v>745</v>
      </c>
      <c r="P1420" s="115">
        <v>788.65</v>
      </c>
      <c r="Q1420" s="115">
        <v>779.9</v>
      </c>
      <c r="R1420">
        <v>119952</v>
      </c>
    </row>
    <row r="1421" spans="1:18" x14ac:dyDescent="0.25">
      <c r="A1421" s="160">
        <v>44123</v>
      </c>
      <c r="B1421" s="115">
        <v>835</v>
      </c>
      <c r="C1421" s="115">
        <v>830.2</v>
      </c>
      <c r="D1421" s="115">
        <v>789.65</v>
      </c>
      <c r="E1421" s="115">
        <v>805.05</v>
      </c>
      <c r="F1421" s="115">
        <v>830.2</v>
      </c>
      <c r="G1421">
        <v>2839</v>
      </c>
      <c r="H1421" s="115"/>
      <c r="I1421" s="115"/>
      <c r="L1421" s="160">
        <v>44097</v>
      </c>
      <c r="M1421" s="115">
        <v>766.1</v>
      </c>
      <c r="N1421" s="115">
        <v>799</v>
      </c>
      <c r="O1421" s="115">
        <v>745.05</v>
      </c>
      <c r="P1421" s="115">
        <v>780.9</v>
      </c>
      <c r="Q1421" s="115">
        <v>766.1</v>
      </c>
      <c r="R1421">
        <v>116182</v>
      </c>
    </row>
    <row r="1422" spans="1:18" x14ac:dyDescent="0.25">
      <c r="A1422" s="160">
        <v>44124</v>
      </c>
      <c r="B1422" s="115">
        <v>853.95</v>
      </c>
      <c r="C1422" s="115">
        <v>836.75</v>
      </c>
      <c r="D1422" s="115">
        <v>800.05</v>
      </c>
      <c r="E1422" s="115">
        <v>800.5</v>
      </c>
      <c r="F1422" s="115">
        <v>836.75</v>
      </c>
      <c r="G1422">
        <v>3397</v>
      </c>
      <c r="H1422" s="115"/>
      <c r="I1422" s="115"/>
      <c r="L1422" s="160">
        <v>44098</v>
      </c>
      <c r="M1422" s="115">
        <v>767.8</v>
      </c>
      <c r="N1422" s="115">
        <v>784.65</v>
      </c>
      <c r="O1422" s="115">
        <v>745.05</v>
      </c>
      <c r="P1422" s="115">
        <v>758</v>
      </c>
      <c r="Q1422" s="115">
        <v>767.8</v>
      </c>
      <c r="R1422">
        <v>135162</v>
      </c>
    </row>
    <row r="1423" spans="1:18" x14ac:dyDescent="0.25">
      <c r="A1423" s="160">
        <v>44125</v>
      </c>
      <c r="B1423" s="115">
        <v>838.5</v>
      </c>
      <c r="C1423" s="115">
        <v>806.15</v>
      </c>
      <c r="D1423" s="115">
        <v>806.1</v>
      </c>
      <c r="E1423" s="115">
        <v>830</v>
      </c>
      <c r="F1423" s="115">
        <v>806.15</v>
      </c>
      <c r="G1423">
        <v>292</v>
      </c>
      <c r="H1423" s="115"/>
      <c r="I1423" s="115"/>
      <c r="L1423" s="160">
        <v>44099</v>
      </c>
      <c r="M1423" s="115">
        <v>744.1</v>
      </c>
      <c r="N1423" s="115">
        <v>758.9</v>
      </c>
      <c r="O1423" s="115">
        <v>722.9</v>
      </c>
      <c r="P1423" s="115">
        <v>750</v>
      </c>
      <c r="Q1423" s="115">
        <v>744.1</v>
      </c>
      <c r="R1423">
        <v>123691</v>
      </c>
    </row>
    <row r="1424" spans="1:18" x14ac:dyDescent="0.25">
      <c r="A1424" s="160">
        <v>44126</v>
      </c>
      <c r="B1424" s="115">
        <v>820</v>
      </c>
      <c r="C1424" s="115">
        <v>790.35</v>
      </c>
      <c r="D1424" s="115">
        <v>790.05</v>
      </c>
      <c r="E1424" s="115">
        <v>820</v>
      </c>
      <c r="F1424" s="115">
        <v>790.35</v>
      </c>
      <c r="G1424">
        <v>89</v>
      </c>
      <c r="H1424" s="115"/>
      <c r="I1424" s="115"/>
      <c r="L1424" s="160">
        <v>44102</v>
      </c>
      <c r="M1424" s="115">
        <v>741.8</v>
      </c>
      <c r="N1424" s="115">
        <v>755.9</v>
      </c>
      <c r="O1424" s="115">
        <v>738.3</v>
      </c>
      <c r="P1424" s="115">
        <v>750</v>
      </c>
      <c r="Q1424" s="115">
        <v>741.8</v>
      </c>
      <c r="R1424">
        <v>56793</v>
      </c>
    </row>
    <row r="1425" spans="1:18" x14ac:dyDescent="0.25">
      <c r="A1425" s="160">
        <v>44127</v>
      </c>
      <c r="B1425" s="115">
        <v>808.4</v>
      </c>
      <c r="C1425" s="115">
        <v>799</v>
      </c>
      <c r="D1425" s="115">
        <v>781.05</v>
      </c>
      <c r="E1425" s="115">
        <v>790.5</v>
      </c>
      <c r="F1425" s="115">
        <v>799</v>
      </c>
      <c r="G1425">
        <v>170</v>
      </c>
      <c r="H1425" s="115"/>
      <c r="I1425" s="115"/>
      <c r="L1425" s="160">
        <v>44103</v>
      </c>
      <c r="M1425" s="115">
        <v>736.6</v>
      </c>
      <c r="N1425" s="115">
        <v>752</v>
      </c>
      <c r="O1425" s="115">
        <v>723.5</v>
      </c>
      <c r="P1425" s="115">
        <v>748</v>
      </c>
      <c r="Q1425" s="115">
        <v>736.6</v>
      </c>
      <c r="R1425">
        <v>84045</v>
      </c>
    </row>
    <row r="1426" spans="1:18" x14ac:dyDescent="0.25">
      <c r="A1426" s="160">
        <v>44130</v>
      </c>
      <c r="B1426" s="115">
        <v>880</v>
      </c>
      <c r="C1426" s="115">
        <v>781.8</v>
      </c>
      <c r="D1426" s="115">
        <v>780.3</v>
      </c>
      <c r="E1426" s="115">
        <v>843.95</v>
      </c>
      <c r="F1426" s="115">
        <v>781.8</v>
      </c>
      <c r="G1426">
        <v>371</v>
      </c>
      <c r="H1426" s="115"/>
      <c r="I1426" s="115"/>
      <c r="L1426" s="160">
        <v>44104</v>
      </c>
      <c r="M1426" s="115">
        <v>751.25</v>
      </c>
      <c r="N1426" s="115">
        <v>765</v>
      </c>
      <c r="O1426" s="115">
        <v>725.05</v>
      </c>
      <c r="P1426" s="115">
        <v>737</v>
      </c>
      <c r="Q1426" s="115">
        <v>751.25</v>
      </c>
      <c r="R1426">
        <v>102564</v>
      </c>
    </row>
    <row r="1427" spans="1:18" x14ac:dyDescent="0.25">
      <c r="A1427" s="160">
        <v>44131</v>
      </c>
      <c r="B1427" s="115">
        <v>820</v>
      </c>
      <c r="C1427" s="115">
        <v>790</v>
      </c>
      <c r="D1427" s="115">
        <v>782</v>
      </c>
      <c r="E1427" s="115">
        <v>820</v>
      </c>
      <c r="F1427" s="115">
        <v>790</v>
      </c>
      <c r="G1427">
        <v>371</v>
      </c>
      <c r="H1427" s="115"/>
      <c r="I1427" s="115"/>
      <c r="L1427" s="160">
        <v>44105</v>
      </c>
      <c r="M1427" s="115">
        <v>760.6</v>
      </c>
      <c r="N1427" s="115">
        <v>766.8</v>
      </c>
      <c r="O1427" s="115">
        <v>744</v>
      </c>
      <c r="P1427" s="115">
        <v>754</v>
      </c>
      <c r="Q1427" s="115">
        <v>760.6</v>
      </c>
      <c r="R1427">
        <v>64061</v>
      </c>
    </row>
    <row r="1428" spans="1:18" x14ac:dyDescent="0.25">
      <c r="A1428" s="160">
        <v>44132</v>
      </c>
      <c r="B1428" s="115">
        <v>800.2</v>
      </c>
      <c r="C1428" s="115">
        <v>786.7</v>
      </c>
      <c r="D1428" s="115">
        <v>783</v>
      </c>
      <c r="E1428" s="115">
        <v>800</v>
      </c>
      <c r="F1428" s="115">
        <v>786.7</v>
      </c>
      <c r="G1428">
        <v>295</v>
      </c>
      <c r="H1428" s="115"/>
      <c r="I1428" s="115"/>
      <c r="L1428" s="160">
        <v>44109</v>
      </c>
      <c r="M1428" s="115">
        <v>771.45</v>
      </c>
      <c r="N1428" s="115">
        <v>784</v>
      </c>
      <c r="O1428" s="115">
        <v>762.5</v>
      </c>
      <c r="P1428" s="115">
        <v>769</v>
      </c>
      <c r="Q1428" s="115">
        <v>771.45</v>
      </c>
      <c r="R1428">
        <v>65047</v>
      </c>
    </row>
    <row r="1429" spans="1:18" x14ac:dyDescent="0.25">
      <c r="A1429" s="160">
        <v>44133</v>
      </c>
      <c r="B1429" s="115">
        <v>798</v>
      </c>
      <c r="C1429" s="115">
        <v>796.2</v>
      </c>
      <c r="D1429" s="115">
        <v>762.05</v>
      </c>
      <c r="E1429" s="115">
        <v>796.95</v>
      </c>
      <c r="F1429" s="115">
        <v>796.2</v>
      </c>
      <c r="G1429">
        <v>114</v>
      </c>
      <c r="H1429" s="115"/>
      <c r="I1429" s="115"/>
      <c r="L1429" s="160">
        <v>44110</v>
      </c>
      <c r="M1429" s="115">
        <v>760.3</v>
      </c>
      <c r="N1429" s="115">
        <v>772</v>
      </c>
      <c r="O1429" s="115">
        <v>758</v>
      </c>
      <c r="P1429" s="115">
        <v>767</v>
      </c>
      <c r="Q1429" s="115">
        <v>760.3</v>
      </c>
      <c r="R1429">
        <v>37131</v>
      </c>
    </row>
    <row r="1430" spans="1:18" x14ac:dyDescent="0.25">
      <c r="A1430" s="160">
        <v>44134</v>
      </c>
      <c r="B1430" s="115">
        <v>800</v>
      </c>
      <c r="C1430" s="115">
        <v>772.85</v>
      </c>
      <c r="D1430" s="115">
        <v>770.05</v>
      </c>
      <c r="E1430" s="115">
        <v>800</v>
      </c>
      <c r="F1430" s="115">
        <v>772.85</v>
      </c>
      <c r="G1430">
        <v>60</v>
      </c>
      <c r="H1430" s="115"/>
      <c r="I1430" s="115"/>
      <c r="L1430" s="160">
        <v>44111</v>
      </c>
      <c r="M1430" s="115">
        <v>740.2</v>
      </c>
      <c r="N1430" s="115">
        <v>764.1</v>
      </c>
      <c r="O1430" s="115">
        <v>737.85</v>
      </c>
      <c r="P1430" s="115">
        <v>761.85</v>
      </c>
      <c r="Q1430" s="115">
        <v>740.2</v>
      </c>
      <c r="R1430">
        <v>65867</v>
      </c>
    </row>
    <row r="1431" spans="1:18" x14ac:dyDescent="0.25">
      <c r="A1431" s="160">
        <v>44137</v>
      </c>
      <c r="B1431" s="115">
        <v>795</v>
      </c>
      <c r="C1431" s="115">
        <v>765.1</v>
      </c>
      <c r="D1431" s="115">
        <v>764</v>
      </c>
      <c r="E1431" s="115">
        <v>773</v>
      </c>
      <c r="F1431" s="115">
        <v>765.1</v>
      </c>
      <c r="G1431">
        <v>2066</v>
      </c>
      <c r="H1431" s="115"/>
      <c r="I1431" s="115"/>
      <c r="L1431" s="160">
        <v>44112</v>
      </c>
      <c r="M1431" s="115">
        <v>728.3</v>
      </c>
      <c r="N1431" s="115">
        <v>755.95</v>
      </c>
      <c r="O1431" s="115">
        <v>724.05</v>
      </c>
      <c r="P1431" s="115">
        <v>742.2</v>
      </c>
      <c r="Q1431" s="115">
        <v>728.3</v>
      </c>
      <c r="R1431">
        <v>74957</v>
      </c>
    </row>
    <row r="1432" spans="1:18" x14ac:dyDescent="0.25">
      <c r="A1432" s="160">
        <v>44138</v>
      </c>
      <c r="B1432" s="115">
        <v>808.9</v>
      </c>
      <c r="C1432" s="115">
        <v>790.15</v>
      </c>
      <c r="D1432" s="115">
        <v>789.9</v>
      </c>
      <c r="E1432" s="115">
        <v>790</v>
      </c>
      <c r="F1432" s="115">
        <v>790.15</v>
      </c>
      <c r="G1432">
        <v>240</v>
      </c>
      <c r="H1432" s="115"/>
      <c r="I1432" s="115"/>
      <c r="L1432" s="160">
        <v>44113</v>
      </c>
      <c r="M1432" s="115">
        <v>732.8</v>
      </c>
      <c r="N1432" s="115">
        <v>751</v>
      </c>
      <c r="O1432" s="115">
        <v>728.45</v>
      </c>
      <c r="P1432" s="115">
        <v>730.4</v>
      </c>
      <c r="Q1432" s="115">
        <v>732.8</v>
      </c>
      <c r="R1432">
        <v>66202</v>
      </c>
    </row>
    <row r="1433" spans="1:18" x14ac:dyDescent="0.25">
      <c r="A1433" s="160">
        <v>44139</v>
      </c>
      <c r="B1433" s="115">
        <v>800</v>
      </c>
      <c r="C1433" s="115">
        <v>800</v>
      </c>
      <c r="D1433" s="115">
        <v>765</v>
      </c>
      <c r="E1433" s="115">
        <v>765</v>
      </c>
      <c r="F1433" s="115">
        <v>800</v>
      </c>
      <c r="G1433">
        <v>650</v>
      </c>
      <c r="H1433" s="115"/>
      <c r="I1433" s="115"/>
      <c r="L1433" s="160">
        <v>44116</v>
      </c>
      <c r="M1433" s="115">
        <v>733.15</v>
      </c>
      <c r="N1433" s="115">
        <v>744.9</v>
      </c>
      <c r="O1433" s="115">
        <v>728.05</v>
      </c>
      <c r="P1433" s="115">
        <v>738.8</v>
      </c>
      <c r="Q1433" s="115">
        <v>733.15</v>
      </c>
      <c r="R1433">
        <v>37472</v>
      </c>
    </row>
    <row r="1434" spans="1:18" x14ac:dyDescent="0.25">
      <c r="A1434" s="160">
        <v>44140</v>
      </c>
      <c r="B1434" s="115">
        <v>821</v>
      </c>
      <c r="C1434" s="115">
        <v>818</v>
      </c>
      <c r="D1434" s="115">
        <v>787.2</v>
      </c>
      <c r="E1434" s="115">
        <v>800.95</v>
      </c>
      <c r="F1434" s="115">
        <v>818</v>
      </c>
      <c r="G1434">
        <v>834</v>
      </c>
      <c r="H1434" s="115"/>
      <c r="I1434" s="115"/>
      <c r="L1434" s="160">
        <v>44117</v>
      </c>
      <c r="M1434" s="115">
        <v>739.65</v>
      </c>
      <c r="N1434" s="115">
        <v>743.5</v>
      </c>
      <c r="O1434" s="115">
        <v>730.1</v>
      </c>
      <c r="P1434" s="115">
        <v>737.65</v>
      </c>
      <c r="Q1434" s="115">
        <v>739.65</v>
      </c>
      <c r="R1434">
        <v>38042</v>
      </c>
    </row>
    <row r="1435" spans="1:18" x14ac:dyDescent="0.25">
      <c r="A1435" s="160">
        <v>44141</v>
      </c>
      <c r="B1435" s="115">
        <v>841</v>
      </c>
      <c r="C1435" s="115">
        <v>800.5</v>
      </c>
      <c r="D1435" s="115">
        <v>800</v>
      </c>
      <c r="E1435" s="115">
        <v>839.95</v>
      </c>
      <c r="F1435" s="115">
        <v>800.5</v>
      </c>
      <c r="G1435">
        <v>487</v>
      </c>
      <c r="H1435" s="115"/>
      <c r="I1435" s="115"/>
      <c r="L1435" s="160">
        <v>44118</v>
      </c>
      <c r="M1435" s="115">
        <v>730.6</v>
      </c>
      <c r="N1435" s="115">
        <v>744.9</v>
      </c>
      <c r="O1435" s="115">
        <v>725.35</v>
      </c>
      <c r="P1435" s="115">
        <v>738</v>
      </c>
      <c r="Q1435" s="115">
        <v>730.6</v>
      </c>
      <c r="R1435">
        <v>38423</v>
      </c>
    </row>
    <row r="1436" spans="1:18" x14ac:dyDescent="0.25">
      <c r="A1436" s="160">
        <v>44144</v>
      </c>
      <c r="B1436" s="115">
        <v>805</v>
      </c>
      <c r="C1436" s="115">
        <v>797.4</v>
      </c>
      <c r="D1436" s="115">
        <v>795</v>
      </c>
      <c r="E1436" s="115">
        <v>801</v>
      </c>
      <c r="F1436" s="115">
        <v>797.4</v>
      </c>
      <c r="G1436">
        <v>177</v>
      </c>
      <c r="H1436" s="115"/>
      <c r="I1436" s="115"/>
      <c r="L1436" s="160">
        <v>44119</v>
      </c>
      <c r="M1436" s="115">
        <v>717.55</v>
      </c>
      <c r="N1436" s="115">
        <v>734.55</v>
      </c>
      <c r="O1436" s="115">
        <v>714.1</v>
      </c>
      <c r="P1436" s="115">
        <v>730.55</v>
      </c>
      <c r="Q1436" s="115">
        <v>717.55</v>
      </c>
      <c r="R1436">
        <v>49079</v>
      </c>
    </row>
    <row r="1437" spans="1:18" x14ac:dyDescent="0.25">
      <c r="A1437" s="160">
        <v>44145</v>
      </c>
      <c r="B1437" s="115">
        <v>805</v>
      </c>
      <c r="C1437" s="115">
        <v>781.5</v>
      </c>
      <c r="D1437" s="115">
        <v>770</v>
      </c>
      <c r="E1437" s="115">
        <v>797</v>
      </c>
      <c r="F1437" s="115">
        <v>781.5</v>
      </c>
      <c r="G1437">
        <v>812</v>
      </c>
      <c r="H1437" s="115"/>
      <c r="I1437" s="115"/>
      <c r="L1437" s="160">
        <v>44120</v>
      </c>
      <c r="M1437" s="115">
        <v>736.3</v>
      </c>
      <c r="N1437" s="115">
        <v>744</v>
      </c>
      <c r="O1437" s="115">
        <v>725</v>
      </c>
      <c r="P1437" s="115">
        <v>738.25</v>
      </c>
      <c r="Q1437" s="115">
        <v>736.3</v>
      </c>
      <c r="R1437">
        <v>73128</v>
      </c>
    </row>
    <row r="1438" spans="1:18" x14ac:dyDescent="0.25">
      <c r="A1438" s="160">
        <v>44146</v>
      </c>
      <c r="B1438" s="115">
        <v>760</v>
      </c>
      <c r="C1438" s="115">
        <v>731.6</v>
      </c>
      <c r="D1438" s="115">
        <v>703</v>
      </c>
      <c r="E1438" s="115">
        <v>760</v>
      </c>
      <c r="F1438" s="115">
        <v>731.6</v>
      </c>
      <c r="G1438">
        <v>3143</v>
      </c>
      <c r="H1438" s="115"/>
      <c r="I1438" s="115"/>
      <c r="L1438" s="160">
        <v>44123</v>
      </c>
      <c r="M1438" s="115">
        <v>700.1</v>
      </c>
      <c r="N1438" s="115">
        <v>742</v>
      </c>
      <c r="O1438" s="115">
        <v>675</v>
      </c>
      <c r="P1438" s="115">
        <v>742</v>
      </c>
      <c r="Q1438" s="115">
        <v>700.1</v>
      </c>
      <c r="R1438">
        <v>220580</v>
      </c>
    </row>
    <row r="1439" spans="1:18" x14ac:dyDescent="0.25">
      <c r="A1439" s="160">
        <v>44147</v>
      </c>
      <c r="B1439" s="115">
        <v>748</v>
      </c>
      <c r="C1439" s="115">
        <v>725.4</v>
      </c>
      <c r="D1439" s="115">
        <v>724</v>
      </c>
      <c r="E1439" s="115">
        <v>747.95</v>
      </c>
      <c r="F1439" s="115">
        <v>725.4</v>
      </c>
      <c r="G1439">
        <v>2680</v>
      </c>
      <c r="H1439" s="115"/>
      <c r="I1439" s="115"/>
      <c r="L1439" s="160">
        <v>44124</v>
      </c>
      <c r="M1439" s="115">
        <v>693.9</v>
      </c>
      <c r="N1439" s="115">
        <v>719.55</v>
      </c>
      <c r="O1439" s="115">
        <v>690</v>
      </c>
      <c r="P1439" s="115">
        <v>699</v>
      </c>
      <c r="Q1439" s="115">
        <v>693.9</v>
      </c>
      <c r="R1439">
        <v>64874</v>
      </c>
    </row>
    <row r="1440" spans="1:18" x14ac:dyDescent="0.25">
      <c r="A1440" s="160">
        <v>44148</v>
      </c>
      <c r="B1440" s="115">
        <v>744</v>
      </c>
      <c r="C1440" s="115">
        <v>744</v>
      </c>
      <c r="D1440" s="115">
        <v>710.1</v>
      </c>
      <c r="E1440" s="115">
        <v>710.25</v>
      </c>
      <c r="F1440" s="115">
        <v>744</v>
      </c>
      <c r="G1440">
        <v>196</v>
      </c>
      <c r="H1440" s="115"/>
      <c r="I1440" s="115"/>
      <c r="L1440" s="160">
        <v>44125</v>
      </c>
      <c r="M1440" s="115">
        <v>721.2</v>
      </c>
      <c r="N1440" s="115">
        <v>730</v>
      </c>
      <c r="O1440" s="115">
        <v>694.1</v>
      </c>
      <c r="P1440" s="115">
        <v>694.9</v>
      </c>
      <c r="Q1440" s="115">
        <v>721.2</v>
      </c>
      <c r="R1440">
        <v>151535</v>
      </c>
    </row>
    <row r="1441" spans="1:18" x14ac:dyDescent="0.25">
      <c r="A1441" s="160">
        <v>44149</v>
      </c>
      <c r="B1441" s="115">
        <v>749.8</v>
      </c>
      <c r="C1441" s="115">
        <v>742.6</v>
      </c>
      <c r="D1441" s="115">
        <v>730.65</v>
      </c>
      <c r="E1441" s="115">
        <v>749.8</v>
      </c>
      <c r="F1441" s="115">
        <v>742.6</v>
      </c>
      <c r="G1441">
        <v>200</v>
      </c>
      <c r="H1441" s="115"/>
      <c r="I1441" s="115"/>
      <c r="L1441" s="160">
        <v>44126</v>
      </c>
      <c r="M1441" s="115">
        <v>720.55</v>
      </c>
      <c r="N1441" s="115">
        <v>729.3</v>
      </c>
      <c r="O1441" s="115">
        <v>715.85</v>
      </c>
      <c r="P1441" s="115">
        <v>725.9</v>
      </c>
      <c r="Q1441" s="115">
        <v>720.55</v>
      </c>
      <c r="R1441">
        <v>37040</v>
      </c>
    </row>
    <row r="1442" spans="1:18" x14ac:dyDescent="0.25">
      <c r="A1442" s="160">
        <v>44152</v>
      </c>
      <c r="B1442" s="115">
        <v>769.95</v>
      </c>
      <c r="C1442" s="115">
        <v>727.6</v>
      </c>
      <c r="D1442" s="115">
        <v>725</v>
      </c>
      <c r="E1442" s="115">
        <v>725.1</v>
      </c>
      <c r="F1442" s="115">
        <v>727.6</v>
      </c>
      <c r="G1442">
        <v>1396</v>
      </c>
      <c r="H1442" s="115"/>
      <c r="I1442" s="115"/>
      <c r="L1442" s="160">
        <v>44127</v>
      </c>
      <c r="M1442" s="115">
        <v>726.05</v>
      </c>
      <c r="N1442" s="115">
        <v>730</v>
      </c>
      <c r="O1442" s="115">
        <v>718.95</v>
      </c>
      <c r="P1442" s="115">
        <v>726.9</v>
      </c>
      <c r="Q1442" s="115">
        <v>726.05</v>
      </c>
      <c r="R1442">
        <v>35230</v>
      </c>
    </row>
    <row r="1443" spans="1:18" x14ac:dyDescent="0.25">
      <c r="A1443" s="160">
        <v>44153</v>
      </c>
      <c r="B1443" s="115">
        <v>739.9</v>
      </c>
      <c r="C1443" s="115">
        <v>725.55</v>
      </c>
      <c r="D1443" s="115">
        <v>725</v>
      </c>
      <c r="E1443" s="115">
        <v>730</v>
      </c>
      <c r="F1443" s="115">
        <v>725.55</v>
      </c>
      <c r="G1443">
        <v>258</v>
      </c>
      <c r="H1443" s="115"/>
      <c r="I1443" s="115"/>
      <c r="L1443" s="160">
        <v>44130</v>
      </c>
      <c r="M1443" s="115">
        <v>713.45</v>
      </c>
      <c r="N1443" s="115">
        <v>731.9</v>
      </c>
      <c r="O1443" s="115">
        <v>710.1</v>
      </c>
      <c r="P1443" s="115">
        <v>717.5</v>
      </c>
      <c r="Q1443" s="115">
        <v>713.45</v>
      </c>
      <c r="R1443">
        <v>40428</v>
      </c>
    </row>
    <row r="1444" spans="1:18" x14ac:dyDescent="0.25">
      <c r="A1444" s="160">
        <v>44154</v>
      </c>
      <c r="B1444" s="115">
        <v>736</v>
      </c>
      <c r="C1444" s="115">
        <v>717.5</v>
      </c>
      <c r="D1444" s="115">
        <v>716.65</v>
      </c>
      <c r="E1444" s="115">
        <v>736</v>
      </c>
      <c r="F1444" s="115">
        <v>717.5</v>
      </c>
      <c r="G1444">
        <v>468</v>
      </c>
      <c r="H1444" s="115"/>
      <c r="I1444" s="115"/>
      <c r="L1444" s="160">
        <v>44131</v>
      </c>
      <c r="M1444" s="115">
        <v>718.45</v>
      </c>
      <c r="N1444" s="115">
        <v>721.65</v>
      </c>
      <c r="O1444" s="115">
        <v>708.05</v>
      </c>
      <c r="P1444" s="115">
        <v>711</v>
      </c>
      <c r="Q1444" s="115">
        <v>718.45</v>
      </c>
      <c r="R1444">
        <v>26638</v>
      </c>
    </row>
    <row r="1445" spans="1:18" x14ac:dyDescent="0.25">
      <c r="A1445" s="160">
        <v>44155</v>
      </c>
      <c r="B1445" s="115">
        <v>733.95</v>
      </c>
      <c r="C1445" s="115">
        <v>733.75</v>
      </c>
      <c r="D1445" s="115">
        <v>718</v>
      </c>
      <c r="E1445" s="115">
        <v>718.1</v>
      </c>
      <c r="F1445" s="115">
        <v>733.75</v>
      </c>
      <c r="G1445">
        <v>429</v>
      </c>
      <c r="H1445" s="115"/>
      <c r="I1445" s="115"/>
      <c r="L1445" s="160">
        <v>44132</v>
      </c>
      <c r="M1445" s="115">
        <v>716.1</v>
      </c>
      <c r="N1445" s="115">
        <v>722.9</v>
      </c>
      <c r="O1445" s="115">
        <v>713</v>
      </c>
      <c r="P1445" s="115">
        <v>718</v>
      </c>
      <c r="Q1445" s="115">
        <v>716.1</v>
      </c>
      <c r="R1445">
        <v>22143</v>
      </c>
    </row>
    <row r="1446" spans="1:18" x14ac:dyDescent="0.25">
      <c r="A1446" s="160">
        <v>44158</v>
      </c>
      <c r="B1446" s="115">
        <v>738</v>
      </c>
      <c r="C1446" s="115">
        <v>715</v>
      </c>
      <c r="D1446" s="115">
        <v>713</v>
      </c>
      <c r="E1446" s="115">
        <v>713</v>
      </c>
      <c r="F1446" s="115">
        <v>715</v>
      </c>
      <c r="G1446">
        <v>1397</v>
      </c>
      <c r="H1446" s="115"/>
      <c r="I1446" s="115"/>
      <c r="L1446" s="160">
        <v>44133</v>
      </c>
      <c r="M1446" s="115">
        <v>714.15</v>
      </c>
      <c r="N1446" s="115">
        <v>721</v>
      </c>
      <c r="O1446" s="115">
        <v>698</v>
      </c>
      <c r="P1446" s="115">
        <v>710</v>
      </c>
      <c r="Q1446" s="115">
        <v>714.15</v>
      </c>
      <c r="R1446">
        <v>30973</v>
      </c>
    </row>
    <row r="1447" spans="1:18" x14ac:dyDescent="0.25">
      <c r="A1447" s="160">
        <v>44159</v>
      </c>
      <c r="B1447" s="115">
        <v>740.9</v>
      </c>
      <c r="C1447" s="115">
        <v>714.5</v>
      </c>
      <c r="D1447" s="115">
        <v>706.2</v>
      </c>
      <c r="E1447" s="115">
        <v>740.8</v>
      </c>
      <c r="F1447" s="115">
        <v>714.5</v>
      </c>
      <c r="G1447">
        <v>575</v>
      </c>
      <c r="H1447" s="115"/>
      <c r="I1447" s="115"/>
      <c r="L1447" s="160">
        <v>44134</v>
      </c>
      <c r="M1447" s="115">
        <v>736.4</v>
      </c>
      <c r="N1447" s="115">
        <v>747</v>
      </c>
      <c r="O1447" s="115">
        <v>715.65</v>
      </c>
      <c r="P1447" s="115">
        <v>717</v>
      </c>
      <c r="Q1447" s="115">
        <v>736.4</v>
      </c>
      <c r="R1447">
        <v>164114</v>
      </c>
    </row>
    <row r="1448" spans="1:18" x14ac:dyDescent="0.25">
      <c r="A1448" s="160">
        <v>44160</v>
      </c>
      <c r="B1448" s="115">
        <v>721.9</v>
      </c>
      <c r="C1448" s="115">
        <v>710.85</v>
      </c>
      <c r="D1448" s="115">
        <v>700</v>
      </c>
      <c r="E1448" s="115">
        <v>715</v>
      </c>
      <c r="F1448" s="115">
        <v>710.85</v>
      </c>
      <c r="G1448">
        <v>277</v>
      </c>
      <c r="H1448" s="115"/>
      <c r="I1448" s="115"/>
      <c r="L1448" s="160">
        <v>44137</v>
      </c>
      <c r="M1448" s="115">
        <v>715.35</v>
      </c>
      <c r="N1448" s="115">
        <v>746.5</v>
      </c>
      <c r="O1448" s="115">
        <v>710</v>
      </c>
      <c r="P1448" s="115">
        <v>744</v>
      </c>
      <c r="Q1448" s="115">
        <v>715.35</v>
      </c>
      <c r="R1448">
        <v>75435</v>
      </c>
    </row>
    <row r="1449" spans="1:18" x14ac:dyDescent="0.25">
      <c r="A1449" s="160">
        <v>44161</v>
      </c>
      <c r="B1449" s="115">
        <v>730.05</v>
      </c>
      <c r="C1449" s="115">
        <v>713.2</v>
      </c>
      <c r="D1449" s="115">
        <v>710.1</v>
      </c>
      <c r="E1449" s="115">
        <v>715.05</v>
      </c>
      <c r="F1449" s="115">
        <v>713.2</v>
      </c>
      <c r="G1449">
        <v>558</v>
      </c>
      <c r="H1449" s="115"/>
      <c r="I1449" s="115"/>
      <c r="L1449" s="160">
        <v>44138</v>
      </c>
      <c r="M1449" s="115">
        <v>730.75</v>
      </c>
      <c r="N1449" s="115">
        <v>741</v>
      </c>
      <c r="O1449" s="115">
        <v>713.25</v>
      </c>
      <c r="P1449" s="115">
        <v>722.7</v>
      </c>
      <c r="Q1449" s="115">
        <v>730.75</v>
      </c>
      <c r="R1449">
        <v>52593</v>
      </c>
    </row>
    <row r="1450" spans="1:18" x14ac:dyDescent="0.25">
      <c r="A1450" s="160">
        <v>44162</v>
      </c>
      <c r="B1450" s="115">
        <v>729.9</v>
      </c>
      <c r="C1450" s="115">
        <v>716.55</v>
      </c>
      <c r="D1450" s="115">
        <v>710</v>
      </c>
      <c r="E1450" s="115">
        <v>720</v>
      </c>
      <c r="F1450" s="115">
        <v>716.55</v>
      </c>
      <c r="G1450">
        <v>605</v>
      </c>
      <c r="H1450" s="115"/>
      <c r="I1450" s="115"/>
      <c r="L1450" s="160">
        <v>44139</v>
      </c>
      <c r="M1450" s="115">
        <v>720.9</v>
      </c>
      <c r="N1450" s="115">
        <v>733</v>
      </c>
      <c r="O1450" s="115">
        <v>716</v>
      </c>
      <c r="P1450" s="115">
        <v>730.75</v>
      </c>
      <c r="Q1450" s="115">
        <v>720.9</v>
      </c>
      <c r="R1450">
        <v>23261</v>
      </c>
    </row>
    <row r="1451" spans="1:18" x14ac:dyDescent="0.25">
      <c r="A1451" s="160">
        <v>44166</v>
      </c>
      <c r="B1451" s="115">
        <v>743</v>
      </c>
      <c r="C1451" s="115">
        <v>737.8</v>
      </c>
      <c r="D1451" s="115">
        <v>705</v>
      </c>
      <c r="E1451" s="115">
        <v>743</v>
      </c>
      <c r="F1451" s="115">
        <v>737.8</v>
      </c>
      <c r="G1451">
        <v>2073</v>
      </c>
      <c r="H1451" s="115"/>
      <c r="I1451" s="115"/>
      <c r="L1451" s="160">
        <v>44140</v>
      </c>
      <c r="M1451" s="115">
        <v>731.25</v>
      </c>
      <c r="N1451" s="115">
        <v>735</v>
      </c>
      <c r="O1451" s="115">
        <v>718.25</v>
      </c>
      <c r="P1451" s="115">
        <v>723</v>
      </c>
      <c r="Q1451" s="115">
        <v>731.25</v>
      </c>
      <c r="R1451">
        <v>35263</v>
      </c>
    </row>
    <row r="1452" spans="1:18" x14ac:dyDescent="0.25">
      <c r="A1452" s="160">
        <v>44167</v>
      </c>
      <c r="B1452" s="115">
        <v>745</v>
      </c>
      <c r="C1452" s="115">
        <v>719.55</v>
      </c>
      <c r="D1452" s="115">
        <v>710.7</v>
      </c>
      <c r="E1452" s="115">
        <v>739.9</v>
      </c>
      <c r="F1452" s="115">
        <v>719.55</v>
      </c>
      <c r="G1452">
        <v>2183</v>
      </c>
      <c r="H1452" s="115"/>
      <c r="I1452" s="115"/>
      <c r="L1452" s="160">
        <v>44141</v>
      </c>
      <c r="M1452" s="115">
        <v>733.35</v>
      </c>
      <c r="N1452" s="115">
        <v>739</v>
      </c>
      <c r="O1452" s="115">
        <v>725</v>
      </c>
      <c r="P1452" s="115">
        <v>735</v>
      </c>
      <c r="Q1452" s="115">
        <v>733.35</v>
      </c>
      <c r="R1452">
        <v>28403</v>
      </c>
    </row>
    <row r="1453" spans="1:18" x14ac:dyDescent="0.25">
      <c r="A1453" s="160">
        <v>44168</v>
      </c>
      <c r="B1453" s="115">
        <v>730</v>
      </c>
      <c r="C1453" s="115">
        <v>717.05</v>
      </c>
      <c r="D1453" s="115">
        <v>711</v>
      </c>
      <c r="E1453" s="115">
        <v>730</v>
      </c>
      <c r="F1453" s="115">
        <v>717.05</v>
      </c>
      <c r="G1453">
        <v>2551</v>
      </c>
      <c r="H1453" s="115"/>
      <c r="I1453" s="115"/>
      <c r="L1453" s="160">
        <v>44144</v>
      </c>
      <c r="M1453" s="115">
        <v>717.9</v>
      </c>
      <c r="N1453" s="115">
        <v>741</v>
      </c>
      <c r="O1453" s="115">
        <v>715</v>
      </c>
      <c r="P1453" s="115">
        <v>741</v>
      </c>
      <c r="Q1453" s="115">
        <v>717.9</v>
      </c>
      <c r="R1453">
        <v>38844</v>
      </c>
    </row>
    <row r="1454" spans="1:18" x14ac:dyDescent="0.25">
      <c r="A1454" s="160">
        <v>44169</v>
      </c>
      <c r="B1454" s="115">
        <v>734.95</v>
      </c>
      <c r="C1454" s="115">
        <v>712.85</v>
      </c>
      <c r="D1454" s="115">
        <v>712.45</v>
      </c>
      <c r="E1454" s="115">
        <v>717.05</v>
      </c>
      <c r="F1454" s="115">
        <v>712.85</v>
      </c>
      <c r="G1454">
        <v>1217</v>
      </c>
      <c r="H1454" s="115"/>
      <c r="I1454" s="115"/>
      <c r="L1454" s="160">
        <v>44145</v>
      </c>
      <c r="M1454" s="115">
        <v>713.6</v>
      </c>
      <c r="N1454" s="115">
        <v>722.2</v>
      </c>
      <c r="O1454" s="115">
        <v>710.05</v>
      </c>
      <c r="P1454" s="115">
        <v>715.2</v>
      </c>
      <c r="Q1454" s="115">
        <v>713.6</v>
      </c>
      <c r="R1454">
        <v>34584</v>
      </c>
    </row>
    <row r="1455" spans="1:18" x14ac:dyDescent="0.25">
      <c r="A1455" s="160">
        <v>44172</v>
      </c>
      <c r="B1455" s="115">
        <v>731.95</v>
      </c>
      <c r="C1455" s="115">
        <v>712.65</v>
      </c>
      <c r="D1455" s="115">
        <v>711</v>
      </c>
      <c r="E1455" s="115">
        <v>731.95</v>
      </c>
      <c r="F1455" s="115">
        <v>712.65</v>
      </c>
      <c r="G1455">
        <v>784</v>
      </c>
      <c r="H1455" s="115"/>
      <c r="I1455" s="115"/>
      <c r="L1455" s="160">
        <v>44146</v>
      </c>
      <c r="M1455" s="115">
        <v>710.3</v>
      </c>
      <c r="N1455" s="115">
        <v>719.75</v>
      </c>
      <c r="O1455" s="115">
        <v>707</v>
      </c>
      <c r="P1455" s="115">
        <v>719.75</v>
      </c>
      <c r="Q1455" s="115">
        <v>710.3</v>
      </c>
      <c r="R1455">
        <v>36304</v>
      </c>
    </row>
    <row r="1456" spans="1:18" x14ac:dyDescent="0.25">
      <c r="A1456" s="160">
        <v>44173</v>
      </c>
      <c r="B1456" s="115">
        <v>757</v>
      </c>
      <c r="C1456" s="115">
        <v>756</v>
      </c>
      <c r="D1456" s="115">
        <v>700</v>
      </c>
      <c r="E1456" s="115">
        <v>718</v>
      </c>
      <c r="F1456" s="115">
        <v>756</v>
      </c>
      <c r="G1456">
        <v>1533</v>
      </c>
      <c r="H1456" s="115"/>
      <c r="I1456" s="115"/>
      <c r="L1456" s="160">
        <v>44147</v>
      </c>
      <c r="M1456" s="115">
        <v>704.35</v>
      </c>
      <c r="N1456" s="115">
        <v>710.25</v>
      </c>
      <c r="O1456" s="115">
        <v>701</v>
      </c>
      <c r="P1456" s="115">
        <v>705</v>
      </c>
      <c r="Q1456" s="115">
        <v>704.35</v>
      </c>
      <c r="R1456">
        <v>55403</v>
      </c>
    </row>
    <row r="1457" spans="1:18" x14ac:dyDescent="0.25">
      <c r="A1457" s="160">
        <v>44174</v>
      </c>
      <c r="B1457" s="115">
        <v>759.95</v>
      </c>
      <c r="C1457" s="115">
        <v>748.8</v>
      </c>
      <c r="D1457" s="115">
        <v>738</v>
      </c>
      <c r="E1457" s="115">
        <v>755</v>
      </c>
      <c r="F1457" s="115">
        <v>748.8</v>
      </c>
      <c r="G1457">
        <v>1167</v>
      </c>
      <c r="H1457" s="115"/>
      <c r="I1457" s="115"/>
      <c r="L1457" s="160">
        <v>44148</v>
      </c>
      <c r="M1457" s="115">
        <v>700.15</v>
      </c>
      <c r="N1457" s="115">
        <v>709.1</v>
      </c>
      <c r="O1457" s="115">
        <v>695</v>
      </c>
      <c r="P1457" s="115">
        <v>705.9</v>
      </c>
      <c r="Q1457" s="115">
        <v>700.15</v>
      </c>
      <c r="R1457">
        <v>60493</v>
      </c>
    </row>
    <row r="1458" spans="1:18" x14ac:dyDescent="0.25">
      <c r="A1458" s="160">
        <v>44175</v>
      </c>
      <c r="B1458" s="115">
        <v>764.9</v>
      </c>
      <c r="C1458" s="115">
        <v>745.1</v>
      </c>
      <c r="D1458" s="115">
        <v>730.4</v>
      </c>
      <c r="E1458" s="115">
        <v>745</v>
      </c>
      <c r="F1458" s="115">
        <v>745.1</v>
      </c>
      <c r="G1458">
        <v>424</v>
      </c>
      <c r="H1458" s="115"/>
      <c r="I1458" s="115"/>
      <c r="L1458" s="160">
        <v>44149</v>
      </c>
      <c r="M1458" s="115">
        <v>709.95</v>
      </c>
      <c r="N1458" s="115">
        <v>718</v>
      </c>
      <c r="O1458" s="115">
        <v>702</v>
      </c>
      <c r="P1458" s="115">
        <v>710</v>
      </c>
      <c r="Q1458" s="115">
        <v>709.95</v>
      </c>
      <c r="R1458">
        <v>11432</v>
      </c>
    </row>
    <row r="1459" spans="1:18" x14ac:dyDescent="0.25">
      <c r="A1459" s="160">
        <v>44176</v>
      </c>
      <c r="B1459" s="115">
        <v>783</v>
      </c>
      <c r="C1459" s="115">
        <v>776.5</v>
      </c>
      <c r="D1459" s="115">
        <v>719.5</v>
      </c>
      <c r="E1459" s="115">
        <v>775</v>
      </c>
      <c r="F1459" s="115">
        <v>776.5</v>
      </c>
      <c r="G1459">
        <v>4541</v>
      </c>
      <c r="H1459" s="115"/>
      <c r="I1459" s="115"/>
      <c r="L1459" s="160">
        <v>44152</v>
      </c>
      <c r="M1459" s="115">
        <v>704.15</v>
      </c>
      <c r="N1459" s="115">
        <v>716.7</v>
      </c>
      <c r="O1459" s="115">
        <v>699.05</v>
      </c>
      <c r="P1459" s="115">
        <v>714</v>
      </c>
      <c r="Q1459" s="115">
        <v>704.15</v>
      </c>
      <c r="R1459">
        <v>40002</v>
      </c>
    </row>
    <row r="1460" spans="1:18" x14ac:dyDescent="0.25">
      <c r="A1460" s="160">
        <v>44179</v>
      </c>
      <c r="B1460" s="115">
        <v>800</v>
      </c>
      <c r="C1460" s="115">
        <v>747.1</v>
      </c>
      <c r="D1460" s="115">
        <v>740.05</v>
      </c>
      <c r="E1460" s="115">
        <v>796</v>
      </c>
      <c r="F1460" s="115">
        <v>747.1</v>
      </c>
      <c r="G1460">
        <v>1718</v>
      </c>
      <c r="H1460" s="115"/>
      <c r="I1460" s="115"/>
      <c r="L1460" s="160">
        <v>44153</v>
      </c>
      <c r="M1460" s="115">
        <v>705.25</v>
      </c>
      <c r="N1460" s="115">
        <v>713.5</v>
      </c>
      <c r="O1460" s="115">
        <v>699.1</v>
      </c>
      <c r="P1460" s="115">
        <v>703.6</v>
      </c>
      <c r="Q1460" s="115">
        <v>705.25</v>
      </c>
      <c r="R1460">
        <v>65609</v>
      </c>
    </row>
    <row r="1461" spans="1:18" x14ac:dyDescent="0.25">
      <c r="A1461" s="160">
        <v>44180</v>
      </c>
      <c r="B1461" s="115">
        <v>759</v>
      </c>
      <c r="C1461" s="115">
        <v>741.15</v>
      </c>
      <c r="D1461" s="115">
        <v>740</v>
      </c>
      <c r="E1461" s="115">
        <v>742</v>
      </c>
      <c r="F1461" s="115">
        <v>741.15</v>
      </c>
      <c r="G1461">
        <v>733</v>
      </c>
      <c r="H1461" s="115"/>
      <c r="I1461" s="115"/>
      <c r="L1461" s="160">
        <v>44154</v>
      </c>
      <c r="M1461" s="115">
        <v>713.8</v>
      </c>
      <c r="N1461" s="115">
        <v>718.6</v>
      </c>
      <c r="O1461" s="115">
        <v>705.05</v>
      </c>
      <c r="P1461" s="115">
        <v>709</v>
      </c>
      <c r="Q1461" s="115">
        <v>713.8</v>
      </c>
      <c r="R1461">
        <v>45609</v>
      </c>
    </row>
    <row r="1462" spans="1:18" x14ac:dyDescent="0.25">
      <c r="A1462" s="160">
        <v>44181</v>
      </c>
      <c r="B1462" s="115">
        <v>779.8</v>
      </c>
      <c r="C1462" s="115">
        <v>775.6</v>
      </c>
      <c r="D1462" s="115">
        <v>740.1</v>
      </c>
      <c r="E1462" s="115">
        <v>740.1</v>
      </c>
      <c r="F1462" s="115">
        <v>775.6</v>
      </c>
      <c r="G1462">
        <v>3152</v>
      </c>
      <c r="H1462" s="115"/>
      <c r="I1462" s="115"/>
      <c r="L1462" s="160">
        <v>44155</v>
      </c>
      <c r="M1462" s="115">
        <v>706.4</v>
      </c>
      <c r="N1462" s="115">
        <v>714.4</v>
      </c>
      <c r="O1462" s="115">
        <v>705</v>
      </c>
      <c r="P1462" s="115">
        <v>714.4</v>
      </c>
      <c r="Q1462" s="115">
        <v>706.4</v>
      </c>
      <c r="R1462">
        <v>21913</v>
      </c>
    </row>
    <row r="1463" spans="1:18" x14ac:dyDescent="0.25">
      <c r="A1463" s="160">
        <v>44182</v>
      </c>
      <c r="B1463" s="115">
        <v>781.95</v>
      </c>
      <c r="C1463" s="115">
        <v>775</v>
      </c>
      <c r="D1463" s="115">
        <v>752.05</v>
      </c>
      <c r="E1463" s="115">
        <v>775</v>
      </c>
      <c r="F1463" s="115">
        <v>775</v>
      </c>
      <c r="G1463">
        <v>1207</v>
      </c>
      <c r="H1463" s="115"/>
      <c r="I1463" s="115"/>
      <c r="L1463" s="160">
        <v>44158</v>
      </c>
      <c r="M1463" s="115">
        <v>697.45</v>
      </c>
      <c r="N1463" s="115">
        <v>714.95</v>
      </c>
      <c r="O1463" s="115">
        <v>688.05</v>
      </c>
      <c r="P1463" s="115">
        <v>711</v>
      </c>
      <c r="Q1463" s="115">
        <v>697.45</v>
      </c>
      <c r="R1463">
        <v>71688</v>
      </c>
    </row>
    <row r="1464" spans="1:18" x14ac:dyDescent="0.25">
      <c r="A1464" s="160">
        <v>44183</v>
      </c>
      <c r="B1464" s="115">
        <v>782.8</v>
      </c>
      <c r="C1464" s="115">
        <v>775</v>
      </c>
      <c r="D1464" s="115">
        <v>755.05</v>
      </c>
      <c r="E1464" s="115">
        <v>755.05</v>
      </c>
      <c r="F1464" s="115">
        <v>775</v>
      </c>
      <c r="G1464">
        <v>1711</v>
      </c>
      <c r="H1464" s="115"/>
      <c r="I1464" s="115"/>
      <c r="L1464" s="160">
        <v>44159</v>
      </c>
      <c r="M1464" s="115">
        <v>704.2</v>
      </c>
      <c r="N1464" s="115">
        <v>709</v>
      </c>
      <c r="O1464" s="115">
        <v>697.45</v>
      </c>
      <c r="P1464" s="115">
        <v>702.7</v>
      </c>
      <c r="Q1464" s="115">
        <v>704.2</v>
      </c>
      <c r="R1464">
        <v>53364</v>
      </c>
    </row>
    <row r="1465" spans="1:18" x14ac:dyDescent="0.25">
      <c r="A1465" s="160">
        <v>44186</v>
      </c>
      <c r="B1465" s="115">
        <v>785</v>
      </c>
      <c r="C1465" s="115">
        <v>775.75</v>
      </c>
      <c r="D1465" s="115">
        <v>745</v>
      </c>
      <c r="E1465" s="115">
        <v>753.5</v>
      </c>
      <c r="F1465" s="115">
        <v>775.75</v>
      </c>
      <c r="G1465">
        <v>4074</v>
      </c>
      <c r="H1465" s="115"/>
      <c r="I1465" s="115"/>
      <c r="L1465" s="160">
        <v>44160</v>
      </c>
      <c r="M1465" s="115">
        <v>699.35</v>
      </c>
      <c r="N1465" s="115">
        <v>710</v>
      </c>
      <c r="O1465" s="115">
        <v>695</v>
      </c>
      <c r="P1465" s="115">
        <v>710</v>
      </c>
      <c r="Q1465" s="115">
        <v>699.35</v>
      </c>
      <c r="R1465">
        <v>36392</v>
      </c>
    </row>
    <row r="1466" spans="1:18" x14ac:dyDescent="0.25">
      <c r="A1466" s="160">
        <v>44187</v>
      </c>
      <c r="B1466" s="115">
        <v>796</v>
      </c>
      <c r="C1466" s="115">
        <v>759.95</v>
      </c>
      <c r="D1466" s="115">
        <v>731.55</v>
      </c>
      <c r="E1466" s="115">
        <v>755.25</v>
      </c>
      <c r="F1466" s="115">
        <v>759.95</v>
      </c>
      <c r="G1466">
        <v>843</v>
      </c>
      <c r="H1466" s="115"/>
      <c r="I1466" s="115"/>
      <c r="L1466" s="160">
        <v>44161</v>
      </c>
      <c r="M1466" s="115">
        <v>728.8</v>
      </c>
      <c r="N1466" s="115">
        <v>731</v>
      </c>
      <c r="O1466" s="115">
        <v>700.05</v>
      </c>
      <c r="P1466" s="115">
        <v>702</v>
      </c>
      <c r="Q1466" s="115">
        <v>728.8</v>
      </c>
      <c r="R1466">
        <v>116559</v>
      </c>
    </row>
    <row r="1467" spans="1:18" x14ac:dyDescent="0.25">
      <c r="A1467" s="160">
        <v>44188</v>
      </c>
      <c r="B1467" s="115">
        <v>769.95</v>
      </c>
      <c r="C1467" s="115">
        <v>755.05</v>
      </c>
      <c r="D1467" s="115">
        <v>750</v>
      </c>
      <c r="E1467" s="115">
        <v>769.95</v>
      </c>
      <c r="F1467" s="115">
        <v>755.05</v>
      </c>
      <c r="G1467">
        <v>291</v>
      </c>
      <c r="H1467" s="115"/>
      <c r="I1467" s="115"/>
      <c r="L1467" s="160">
        <v>44162</v>
      </c>
      <c r="M1467" s="115">
        <v>751.05</v>
      </c>
      <c r="N1467" s="115">
        <v>766.35</v>
      </c>
      <c r="O1467" s="115">
        <v>735.75</v>
      </c>
      <c r="P1467" s="115">
        <v>743.75</v>
      </c>
      <c r="Q1467" s="115">
        <v>751.05</v>
      </c>
      <c r="R1467">
        <v>168141</v>
      </c>
    </row>
    <row r="1468" spans="1:18" x14ac:dyDescent="0.25">
      <c r="A1468" s="160">
        <v>44189</v>
      </c>
      <c r="B1468" s="115">
        <v>769.95</v>
      </c>
      <c r="C1468" s="115">
        <v>746.5</v>
      </c>
      <c r="D1468" s="115">
        <v>746.1</v>
      </c>
      <c r="E1468" s="115">
        <v>763.45</v>
      </c>
      <c r="F1468" s="115">
        <v>746.5</v>
      </c>
      <c r="G1468">
        <v>548</v>
      </c>
      <c r="H1468" s="115"/>
      <c r="I1468" s="115"/>
      <c r="L1468" s="160">
        <v>44166</v>
      </c>
      <c r="M1468" s="115">
        <v>778.2</v>
      </c>
      <c r="N1468" s="115">
        <v>780</v>
      </c>
      <c r="O1468" s="115">
        <v>756.95</v>
      </c>
      <c r="P1468" s="115">
        <v>765</v>
      </c>
      <c r="Q1468" s="115">
        <v>778.2</v>
      </c>
      <c r="R1468">
        <v>123106</v>
      </c>
    </row>
    <row r="1469" spans="1:18" x14ac:dyDescent="0.25">
      <c r="A1469" s="160">
        <v>44193</v>
      </c>
      <c r="B1469" s="115">
        <v>802</v>
      </c>
      <c r="C1469" s="115">
        <v>793.45</v>
      </c>
      <c r="D1469" s="115">
        <v>746.1</v>
      </c>
      <c r="E1469" s="115">
        <v>746.1</v>
      </c>
      <c r="F1469" s="115">
        <v>793.45</v>
      </c>
      <c r="G1469">
        <v>2651</v>
      </c>
      <c r="H1469" s="115"/>
      <c r="I1469" s="115"/>
      <c r="L1469" s="160">
        <v>44167</v>
      </c>
      <c r="M1469" s="115">
        <v>768.85</v>
      </c>
      <c r="N1469" s="115">
        <v>789</v>
      </c>
      <c r="O1469" s="115">
        <v>755</v>
      </c>
      <c r="P1469" s="115">
        <v>789</v>
      </c>
      <c r="Q1469" s="115">
        <v>768.85</v>
      </c>
      <c r="R1469">
        <v>75223</v>
      </c>
    </row>
    <row r="1470" spans="1:18" x14ac:dyDescent="0.25">
      <c r="A1470" s="160">
        <v>44194</v>
      </c>
      <c r="B1470" s="115">
        <v>805</v>
      </c>
      <c r="C1470" s="115">
        <v>798.05</v>
      </c>
      <c r="D1470" s="115">
        <v>786.55</v>
      </c>
      <c r="E1470" s="115">
        <v>793</v>
      </c>
      <c r="F1470" s="115">
        <v>798.05</v>
      </c>
      <c r="G1470">
        <v>498</v>
      </c>
      <c r="H1470" s="115"/>
      <c r="I1470" s="115"/>
      <c r="L1470" s="160">
        <v>44168</v>
      </c>
      <c r="M1470" s="115">
        <v>767</v>
      </c>
      <c r="N1470" s="115">
        <v>775.85</v>
      </c>
      <c r="O1470" s="115">
        <v>764.5</v>
      </c>
      <c r="P1470" s="115">
        <v>772.7</v>
      </c>
      <c r="Q1470" s="115">
        <v>767</v>
      </c>
      <c r="R1470">
        <v>35448</v>
      </c>
    </row>
    <row r="1471" spans="1:18" x14ac:dyDescent="0.25">
      <c r="A1471" s="160">
        <v>44195</v>
      </c>
      <c r="B1471" s="115">
        <v>800</v>
      </c>
      <c r="C1471" s="115">
        <v>788.35</v>
      </c>
      <c r="D1471" s="115">
        <v>781.9</v>
      </c>
      <c r="E1471" s="115">
        <v>781.9</v>
      </c>
      <c r="F1471" s="115">
        <v>788.35</v>
      </c>
      <c r="G1471">
        <v>178</v>
      </c>
      <c r="H1471" s="115"/>
      <c r="I1471" s="115"/>
      <c r="L1471" s="160">
        <v>44169</v>
      </c>
      <c r="M1471" s="115">
        <v>762.15</v>
      </c>
      <c r="N1471" s="115">
        <v>771.9</v>
      </c>
      <c r="O1471" s="115">
        <v>755.55</v>
      </c>
      <c r="P1471" s="115">
        <v>771.9</v>
      </c>
      <c r="Q1471" s="115">
        <v>762.15</v>
      </c>
      <c r="R1471">
        <v>36374</v>
      </c>
    </row>
    <row r="1472" spans="1:18" x14ac:dyDescent="0.25">
      <c r="A1472" s="160">
        <v>44196</v>
      </c>
      <c r="B1472" s="115">
        <v>813</v>
      </c>
      <c r="C1472" s="115">
        <v>787.5</v>
      </c>
      <c r="D1472" s="115">
        <v>774.5</v>
      </c>
      <c r="E1472" s="115">
        <v>813</v>
      </c>
      <c r="F1472" s="115">
        <v>787.5</v>
      </c>
      <c r="G1472">
        <v>336</v>
      </c>
      <c r="H1472" s="115"/>
      <c r="I1472" s="115"/>
      <c r="L1472" s="160">
        <v>44172</v>
      </c>
      <c r="M1472" s="115">
        <v>753.95</v>
      </c>
      <c r="N1472" s="115">
        <v>766.5</v>
      </c>
      <c r="O1472" s="115">
        <v>750</v>
      </c>
      <c r="P1472" s="115">
        <v>766.5</v>
      </c>
      <c r="Q1472" s="115">
        <v>753.95</v>
      </c>
      <c r="R1472">
        <v>48012</v>
      </c>
    </row>
    <row r="1473" spans="1:18" x14ac:dyDescent="0.25">
      <c r="A1473" s="160">
        <v>44197</v>
      </c>
      <c r="B1473" s="115">
        <v>820</v>
      </c>
      <c r="C1473" s="115">
        <v>808.55</v>
      </c>
      <c r="D1473" s="115">
        <v>783.5</v>
      </c>
      <c r="E1473" s="115">
        <v>790</v>
      </c>
      <c r="F1473" s="115">
        <v>808.55</v>
      </c>
      <c r="G1473">
        <v>1963</v>
      </c>
      <c r="H1473" s="115"/>
      <c r="I1473" s="115"/>
      <c r="L1473" s="160">
        <v>44173</v>
      </c>
      <c r="M1473" s="115">
        <v>751</v>
      </c>
      <c r="N1473" s="115">
        <v>770</v>
      </c>
      <c r="O1473" s="115">
        <v>741.65</v>
      </c>
      <c r="P1473" s="115">
        <v>754.9</v>
      </c>
      <c r="Q1473" s="115">
        <v>751</v>
      </c>
      <c r="R1473">
        <v>51490</v>
      </c>
    </row>
    <row r="1474" spans="1:18" x14ac:dyDescent="0.25">
      <c r="A1474" s="160">
        <v>44200</v>
      </c>
      <c r="B1474" s="115">
        <v>845</v>
      </c>
      <c r="C1474" s="115">
        <v>833.55</v>
      </c>
      <c r="D1474" s="115">
        <v>795.1</v>
      </c>
      <c r="E1474" s="115">
        <v>829.95</v>
      </c>
      <c r="F1474" s="115">
        <v>833.55</v>
      </c>
      <c r="G1474">
        <v>1699</v>
      </c>
      <c r="H1474" s="115"/>
      <c r="I1474" s="115"/>
      <c r="L1474" s="160">
        <v>44174</v>
      </c>
      <c r="M1474" s="115">
        <v>739.2</v>
      </c>
      <c r="N1474" s="115">
        <v>758</v>
      </c>
      <c r="O1474" s="115">
        <v>734</v>
      </c>
      <c r="P1474" s="115">
        <v>754.8</v>
      </c>
      <c r="Q1474" s="115">
        <v>739.2</v>
      </c>
      <c r="R1474">
        <v>59249</v>
      </c>
    </row>
    <row r="1475" spans="1:18" x14ac:dyDescent="0.25">
      <c r="A1475" s="160">
        <v>44201</v>
      </c>
      <c r="B1475" s="115">
        <v>850</v>
      </c>
      <c r="C1475" s="115">
        <v>841.7</v>
      </c>
      <c r="D1475" s="115">
        <v>811.8</v>
      </c>
      <c r="E1475" s="115">
        <v>835.25</v>
      </c>
      <c r="F1475" s="115">
        <v>841.7</v>
      </c>
      <c r="G1475">
        <v>726</v>
      </c>
      <c r="H1475" s="115"/>
      <c r="I1475" s="115"/>
      <c r="L1475" s="160">
        <v>44175</v>
      </c>
      <c r="M1475" s="115">
        <v>759.85</v>
      </c>
      <c r="N1475" s="115">
        <v>763.1</v>
      </c>
      <c r="O1475" s="115">
        <v>728.5</v>
      </c>
      <c r="P1475" s="115">
        <v>740</v>
      </c>
      <c r="Q1475" s="115">
        <v>759.85</v>
      </c>
      <c r="R1475">
        <v>73428</v>
      </c>
    </row>
    <row r="1476" spans="1:18" x14ac:dyDescent="0.25">
      <c r="A1476" s="160">
        <v>44202</v>
      </c>
      <c r="B1476" s="115">
        <v>840</v>
      </c>
      <c r="C1476" s="115">
        <v>827.9</v>
      </c>
      <c r="D1476" s="115">
        <v>803</v>
      </c>
      <c r="E1476" s="115">
        <v>840</v>
      </c>
      <c r="F1476" s="115">
        <v>827.9</v>
      </c>
      <c r="G1476">
        <v>691</v>
      </c>
      <c r="H1476" s="115"/>
      <c r="I1476" s="115"/>
      <c r="L1476" s="160">
        <v>44176</v>
      </c>
      <c r="M1476" s="115">
        <v>745.6</v>
      </c>
      <c r="N1476" s="115">
        <v>769</v>
      </c>
      <c r="O1476" s="115">
        <v>738</v>
      </c>
      <c r="P1476" s="115">
        <v>765</v>
      </c>
      <c r="Q1476" s="115">
        <v>745.6</v>
      </c>
      <c r="R1476">
        <v>42964</v>
      </c>
    </row>
    <row r="1477" spans="1:18" x14ac:dyDescent="0.25">
      <c r="A1477" s="160">
        <v>44203</v>
      </c>
      <c r="B1477" s="115">
        <v>836</v>
      </c>
      <c r="C1477" s="115">
        <v>831.2</v>
      </c>
      <c r="D1477" s="115">
        <v>817.05</v>
      </c>
      <c r="E1477" s="115">
        <v>817.05</v>
      </c>
      <c r="F1477" s="115">
        <v>831.2</v>
      </c>
      <c r="G1477">
        <v>1289</v>
      </c>
      <c r="H1477" s="115"/>
      <c r="I1477" s="115"/>
      <c r="L1477" s="160">
        <v>44179</v>
      </c>
      <c r="M1477" s="115">
        <v>746.95</v>
      </c>
      <c r="N1477" s="115">
        <v>753.9</v>
      </c>
      <c r="O1477" s="115">
        <v>742</v>
      </c>
      <c r="P1477" s="115">
        <v>745.7</v>
      </c>
      <c r="Q1477" s="115">
        <v>746.95</v>
      </c>
      <c r="R1477">
        <v>38928</v>
      </c>
    </row>
    <row r="1478" spans="1:18" x14ac:dyDescent="0.25">
      <c r="A1478" s="160">
        <v>44204</v>
      </c>
      <c r="B1478" s="115">
        <v>859.95</v>
      </c>
      <c r="C1478" s="115">
        <v>832.7</v>
      </c>
      <c r="D1478" s="115">
        <v>818.05</v>
      </c>
      <c r="E1478" s="115">
        <v>843</v>
      </c>
      <c r="F1478" s="115">
        <v>832.7</v>
      </c>
      <c r="G1478">
        <v>2235</v>
      </c>
      <c r="H1478" s="115"/>
      <c r="I1478" s="115"/>
      <c r="L1478" s="160">
        <v>44180</v>
      </c>
      <c r="M1478" s="115">
        <v>733.85</v>
      </c>
      <c r="N1478" s="115">
        <v>750</v>
      </c>
      <c r="O1478" s="115">
        <v>728.5</v>
      </c>
      <c r="P1478" s="115">
        <v>748</v>
      </c>
      <c r="Q1478" s="115">
        <v>733.85</v>
      </c>
      <c r="R1478">
        <v>43225</v>
      </c>
    </row>
    <row r="1479" spans="1:18" x14ac:dyDescent="0.25">
      <c r="A1479" s="160">
        <v>44207</v>
      </c>
      <c r="B1479" s="115">
        <v>854</v>
      </c>
      <c r="C1479" s="115">
        <v>847.9</v>
      </c>
      <c r="D1479" s="115">
        <v>803.45</v>
      </c>
      <c r="E1479" s="115">
        <v>825</v>
      </c>
      <c r="F1479" s="115">
        <v>847.9</v>
      </c>
      <c r="G1479">
        <v>5349</v>
      </c>
      <c r="H1479" s="115"/>
      <c r="I1479" s="115"/>
      <c r="L1479" s="160">
        <v>44181</v>
      </c>
      <c r="M1479" s="115">
        <v>740.7</v>
      </c>
      <c r="N1479" s="115">
        <v>744.25</v>
      </c>
      <c r="O1479" s="115">
        <v>731.15</v>
      </c>
      <c r="P1479" s="115">
        <v>738</v>
      </c>
      <c r="Q1479" s="115">
        <v>740.7</v>
      </c>
      <c r="R1479">
        <v>46512</v>
      </c>
    </row>
    <row r="1480" spans="1:18" x14ac:dyDescent="0.25">
      <c r="A1480" s="160">
        <v>44208</v>
      </c>
      <c r="B1480" s="115">
        <v>850</v>
      </c>
      <c r="C1480" s="115">
        <v>828</v>
      </c>
      <c r="D1480" s="115">
        <v>820</v>
      </c>
      <c r="E1480" s="115">
        <v>833.05</v>
      </c>
      <c r="F1480" s="115">
        <v>828</v>
      </c>
      <c r="G1480">
        <v>1966</v>
      </c>
      <c r="H1480" s="115"/>
      <c r="I1480" s="115"/>
      <c r="L1480" s="160">
        <v>44182</v>
      </c>
      <c r="M1480" s="115">
        <v>745.8</v>
      </c>
      <c r="N1480" s="115">
        <v>752</v>
      </c>
      <c r="O1480" s="115">
        <v>736.9</v>
      </c>
      <c r="P1480" s="115">
        <v>745</v>
      </c>
      <c r="Q1480" s="115">
        <v>745.8</v>
      </c>
      <c r="R1480">
        <v>56919</v>
      </c>
    </row>
    <row r="1481" spans="1:18" x14ac:dyDescent="0.25">
      <c r="A1481" s="160">
        <v>44209</v>
      </c>
      <c r="B1481" s="115">
        <v>820</v>
      </c>
      <c r="C1481" s="115">
        <v>794.95</v>
      </c>
      <c r="D1481" s="115">
        <v>793</v>
      </c>
      <c r="E1481" s="115">
        <v>820</v>
      </c>
      <c r="F1481" s="115">
        <v>794.95</v>
      </c>
      <c r="G1481">
        <v>770</v>
      </c>
      <c r="H1481" s="115"/>
      <c r="I1481" s="115"/>
      <c r="L1481" s="160">
        <v>44183</v>
      </c>
      <c r="M1481" s="115">
        <v>741.5</v>
      </c>
      <c r="N1481" s="115">
        <v>750</v>
      </c>
      <c r="O1481" s="115">
        <v>733</v>
      </c>
      <c r="P1481" s="115">
        <v>750</v>
      </c>
      <c r="Q1481" s="115">
        <v>741.5</v>
      </c>
      <c r="R1481">
        <v>38785</v>
      </c>
    </row>
    <row r="1482" spans="1:18" x14ac:dyDescent="0.25">
      <c r="A1482" s="160">
        <v>44210</v>
      </c>
      <c r="B1482" s="115">
        <v>832.7</v>
      </c>
      <c r="C1482" s="115">
        <v>805.45</v>
      </c>
      <c r="D1482" s="115">
        <v>792.1</v>
      </c>
      <c r="E1482" s="115">
        <v>809.8</v>
      </c>
      <c r="F1482" s="115">
        <v>805.45</v>
      </c>
      <c r="G1482">
        <v>848</v>
      </c>
      <c r="H1482" s="115"/>
      <c r="I1482" s="115"/>
      <c r="L1482" s="160">
        <v>44186</v>
      </c>
      <c r="M1482" s="115">
        <v>705.2</v>
      </c>
      <c r="N1482" s="115">
        <v>750</v>
      </c>
      <c r="O1482" s="115">
        <v>700</v>
      </c>
      <c r="P1482" s="115">
        <v>739.2</v>
      </c>
      <c r="Q1482" s="115">
        <v>705.2</v>
      </c>
      <c r="R1482">
        <v>73905</v>
      </c>
    </row>
    <row r="1483" spans="1:18" x14ac:dyDescent="0.25">
      <c r="A1483" s="160">
        <v>44211</v>
      </c>
      <c r="B1483" s="115">
        <v>815</v>
      </c>
      <c r="C1483" s="115">
        <v>801.6</v>
      </c>
      <c r="D1483" s="115">
        <v>800</v>
      </c>
      <c r="E1483" s="115">
        <v>800.05</v>
      </c>
      <c r="F1483" s="115">
        <v>801.6</v>
      </c>
      <c r="G1483">
        <v>156</v>
      </c>
      <c r="H1483" s="115"/>
      <c r="I1483" s="115"/>
      <c r="L1483" s="160">
        <v>44187</v>
      </c>
      <c r="M1483" s="115">
        <v>718.3</v>
      </c>
      <c r="N1483" s="115">
        <v>730</v>
      </c>
      <c r="O1483" s="115">
        <v>700</v>
      </c>
      <c r="P1483" s="115">
        <v>706</v>
      </c>
      <c r="Q1483" s="115">
        <v>718.3</v>
      </c>
      <c r="R1483">
        <v>80096</v>
      </c>
    </row>
    <row r="1484" spans="1:18" x14ac:dyDescent="0.25">
      <c r="A1484" s="160">
        <v>44214</v>
      </c>
      <c r="B1484" s="115">
        <v>801.6</v>
      </c>
      <c r="C1484" s="115">
        <v>798.9</v>
      </c>
      <c r="D1484" s="115">
        <v>780</v>
      </c>
      <c r="E1484" s="115">
        <v>801.6</v>
      </c>
      <c r="F1484" s="115">
        <v>798.9</v>
      </c>
      <c r="G1484">
        <v>515</v>
      </c>
      <c r="H1484" s="115"/>
      <c r="I1484" s="115"/>
      <c r="L1484" s="160">
        <v>44188</v>
      </c>
      <c r="M1484" s="115">
        <v>737.9</v>
      </c>
      <c r="N1484" s="115">
        <v>740</v>
      </c>
      <c r="O1484" s="115">
        <v>718.5</v>
      </c>
      <c r="P1484" s="115">
        <v>721.8</v>
      </c>
      <c r="Q1484" s="115">
        <v>737.9</v>
      </c>
      <c r="R1484">
        <v>45167</v>
      </c>
    </row>
    <row r="1485" spans="1:18" x14ac:dyDescent="0.25">
      <c r="A1485" s="160">
        <v>44215</v>
      </c>
      <c r="B1485" s="115">
        <v>831.5</v>
      </c>
      <c r="C1485" s="115">
        <v>805</v>
      </c>
      <c r="D1485" s="115">
        <v>784.05</v>
      </c>
      <c r="E1485" s="115">
        <v>784.1</v>
      </c>
      <c r="F1485" s="115">
        <v>805</v>
      </c>
      <c r="G1485">
        <v>672</v>
      </c>
      <c r="H1485" s="115"/>
      <c r="I1485" s="115"/>
      <c r="L1485" s="160">
        <v>44189</v>
      </c>
      <c r="M1485" s="115">
        <v>737.2</v>
      </c>
      <c r="N1485" s="115">
        <v>747.9</v>
      </c>
      <c r="O1485" s="115">
        <v>733.55</v>
      </c>
      <c r="P1485" s="115">
        <v>747.9</v>
      </c>
      <c r="Q1485" s="115">
        <v>737.2</v>
      </c>
      <c r="R1485">
        <v>39412</v>
      </c>
    </row>
    <row r="1486" spans="1:18" x14ac:dyDescent="0.25">
      <c r="A1486" s="160">
        <v>44216</v>
      </c>
      <c r="B1486" s="115">
        <v>848.95</v>
      </c>
      <c r="C1486" s="115">
        <v>840</v>
      </c>
      <c r="D1486" s="115">
        <v>819</v>
      </c>
      <c r="E1486" s="115">
        <v>819.95</v>
      </c>
      <c r="F1486" s="115">
        <v>840</v>
      </c>
      <c r="G1486">
        <v>2385</v>
      </c>
      <c r="H1486" s="115"/>
      <c r="I1486" s="115"/>
      <c r="L1486" s="160">
        <v>44193</v>
      </c>
      <c r="M1486" s="115">
        <v>815</v>
      </c>
      <c r="N1486" s="115">
        <v>825</v>
      </c>
      <c r="O1486" s="115">
        <v>735</v>
      </c>
      <c r="P1486" s="115">
        <v>740.9</v>
      </c>
      <c r="Q1486" s="115">
        <v>815</v>
      </c>
      <c r="R1486">
        <v>756798</v>
      </c>
    </row>
    <row r="1487" spans="1:18" x14ac:dyDescent="0.25">
      <c r="A1487" s="160">
        <v>44217</v>
      </c>
      <c r="B1487" s="115">
        <v>840</v>
      </c>
      <c r="C1487" s="115">
        <v>816.9</v>
      </c>
      <c r="D1487" s="115">
        <v>802.5</v>
      </c>
      <c r="E1487" s="115">
        <v>831.2</v>
      </c>
      <c r="F1487" s="115">
        <v>816.9</v>
      </c>
      <c r="G1487">
        <v>616</v>
      </c>
      <c r="H1487" s="115"/>
      <c r="I1487" s="115"/>
      <c r="L1487" s="160">
        <v>44194</v>
      </c>
      <c r="M1487" s="115">
        <v>795.05</v>
      </c>
      <c r="N1487" s="115">
        <v>827.1</v>
      </c>
      <c r="O1487" s="115">
        <v>782.5</v>
      </c>
      <c r="P1487" s="115">
        <v>821.7</v>
      </c>
      <c r="Q1487" s="115">
        <v>795.05</v>
      </c>
      <c r="R1487">
        <v>299498</v>
      </c>
    </row>
    <row r="1488" spans="1:18" x14ac:dyDescent="0.25">
      <c r="A1488" s="160">
        <v>44218</v>
      </c>
      <c r="B1488" s="115">
        <v>837.55</v>
      </c>
      <c r="C1488" s="115">
        <v>822.85</v>
      </c>
      <c r="D1488" s="115">
        <v>781</v>
      </c>
      <c r="E1488" s="115">
        <v>785.1</v>
      </c>
      <c r="F1488" s="115">
        <v>822.85</v>
      </c>
      <c r="G1488">
        <v>420</v>
      </c>
      <c r="H1488" s="115"/>
      <c r="I1488" s="115"/>
      <c r="L1488" s="160">
        <v>44195</v>
      </c>
      <c r="M1488" s="115">
        <v>784.95</v>
      </c>
      <c r="N1488" s="115">
        <v>802.4</v>
      </c>
      <c r="O1488" s="115">
        <v>782</v>
      </c>
      <c r="P1488" s="115">
        <v>800</v>
      </c>
      <c r="Q1488" s="115">
        <v>784.95</v>
      </c>
      <c r="R1488">
        <v>95502</v>
      </c>
    </row>
    <row r="1489" spans="1:18" x14ac:dyDescent="0.25">
      <c r="A1489" s="160">
        <v>44221</v>
      </c>
      <c r="B1489" s="115">
        <v>815</v>
      </c>
      <c r="C1489" s="115">
        <v>800</v>
      </c>
      <c r="D1489" s="115">
        <v>790.55</v>
      </c>
      <c r="E1489" s="115">
        <v>800.25</v>
      </c>
      <c r="F1489" s="115">
        <v>800</v>
      </c>
      <c r="G1489">
        <v>320</v>
      </c>
      <c r="H1489" s="115"/>
      <c r="I1489" s="115"/>
      <c r="L1489" s="160">
        <v>44196</v>
      </c>
      <c r="M1489" s="115">
        <v>769.1</v>
      </c>
      <c r="N1489" s="115">
        <v>791.3</v>
      </c>
      <c r="O1489" s="115">
        <v>765.55</v>
      </c>
      <c r="P1489" s="115">
        <v>791.3</v>
      </c>
      <c r="Q1489" s="115">
        <v>769.1</v>
      </c>
      <c r="R1489">
        <v>76628</v>
      </c>
    </row>
    <row r="1490" spans="1:18" x14ac:dyDescent="0.25">
      <c r="A1490" s="160">
        <v>44223</v>
      </c>
      <c r="B1490" s="115">
        <v>814.95</v>
      </c>
      <c r="C1490" s="115">
        <v>784.1</v>
      </c>
      <c r="D1490" s="115">
        <v>779</v>
      </c>
      <c r="E1490" s="115">
        <v>779</v>
      </c>
      <c r="F1490" s="115">
        <v>784.1</v>
      </c>
      <c r="G1490">
        <v>155</v>
      </c>
      <c r="H1490" s="115"/>
      <c r="I1490" s="115"/>
      <c r="L1490" s="160">
        <v>44197</v>
      </c>
      <c r="M1490" s="115">
        <v>781.65</v>
      </c>
      <c r="N1490" s="115">
        <v>798.5</v>
      </c>
      <c r="O1490" s="115">
        <v>772.95</v>
      </c>
      <c r="P1490" s="115">
        <v>772.95</v>
      </c>
      <c r="Q1490" s="115">
        <v>781.65</v>
      </c>
      <c r="R1490">
        <v>193600</v>
      </c>
    </row>
    <row r="1491" spans="1:18" x14ac:dyDescent="0.25">
      <c r="A1491" s="160">
        <v>44224</v>
      </c>
      <c r="B1491" s="115">
        <v>833</v>
      </c>
      <c r="C1491" s="115">
        <v>781.7</v>
      </c>
      <c r="D1491" s="115">
        <v>781</v>
      </c>
      <c r="E1491" s="115">
        <v>790</v>
      </c>
      <c r="F1491" s="115">
        <v>781.7</v>
      </c>
      <c r="G1491">
        <v>1598</v>
      </c>
      <c r="H1491" s="115"/>
      <c r="I1491" s="115"/>
      <c r="L1491" s="160">
        <v>44200</v>
      </c>
      <c r="M1491" s="115">
        <v>779.85</v>
      </c>
      <c r="N1491" s="115">
        <v>796</v>
      </c>
      <c r="O1491" s="115">
        <v>774</v>
      </c>
      <c r="P1491" s="115">
        <v>796</v>
      </c>
      <c r="Q1491" s="115">
        <v>779.85</v>
      </c>
      <c r="R1491">
        <v>67343</v>
      </c>
    </row>
    <row r="1492" spans="1:18" x14ac:dyDescent="0.25">
      <c r="A1492" s="160">
        <v>44225</v>
      </c>
      <c r="B1492" s="115">
        <v>802</v>
      </c>
      <c r="C1492" s="115">
        <v>784.9</v>
      </c>
      <c r="D1492" s="115">
        <v>783</v>
      </c>
      <c r="E1492" s="115">
        <v>783.35</v>
      </c>
      <c r="F1492" s="115">
        <v>784.9</v>
      </c>
      <c r="G1492">
        <v>3035</v>
      </c>
      <c r="H1492" s="115"/>
      <c r="I1492" s="115"/>
      <c r="L1492" s="160">
        <v>44201</v>
      </c>
      <c r="M1492" s="115">
        <v>784.8</v>
      </c>
      <c r="N1492" s="115">
        <v>787.15</v>
      </c>
      <c r="O1492" s="115">
        <v>773.85</v>
      </c>
      <c r="P1492" s="115">
        <v>779.85</v>
      </c>
      <c r="Q1492" s="115">
        <v>784.8</v>
      </c>
      <c r="R1492">
        <v>71394</v>
      </c>
    </row>
    <row r="1493" spans="1:18" x14ac:dyDescent="0.25">
      <c r="A1493" s="160">
        <v>44228</v>
      </c>
      <c r="B1493" s="115">
        <v>799.95</v>
      </c>
      <c r="C1493" s="115">
        <v>792.9</v>
      </c>
      <c r="D1493" s="115">
        <v>780.55</v>
      </c>
      <c r="E1493" s="115">
        <v>799.9</v>
      </c>
      <c r="F1493" s="115">
        <v>792.9</v>
      </c>
      <c r="G1493">
        <v>120</v>
      </c>
      <c r="H1493" s="115"/>
      <c r="I1493" s="115"/>
      <c r="L1493" s="160">
        <v>44202</v>
      </c>
      <c r="M1493" s="115">
        <v>793.4</v>
      </c>
      <c r="N1493" s="115">
        <v>815.95</v>
      </c>
      <c r="O1493" s="115">
        <v>784.8</v>
      </c>
      <c r="P1493" s="115">
        <v>788</v>
      </c>
      <c r="Q1493" s="115">
        <v>793.4</v>
      </c>
      <c r="R1493">
        <v>175486</v>
      </c>
    </row>
    <row r="1494" spans="1:18" x14ac:dyDescent="0.25">
      <c r="A1494" s="160">
        <v>44229</v>
      </c>
      <c r="B1494" s="115">
        <v>835</v>
      </c>
      <c r="C1494" s="115">
        <v>807.1</v>
      </c>
      <c r="D1494" s="115">
        <v>791.05</v>
      </c>
      <c r="E1494" s="115">
        <v>814.9</v>
      </c>
      <c r="F1494" s="115">
        <v>807.1</v>
      </c>
      <c r="G1494">
        <v>924</v>
      </c>
      <c r="H1494" s="115"/>
      <c r="I1494" s="115"/>
      <c r="L1494" s="160">
        <v>44203</v>
      </c>
      <c r="M1494" s="115">
        <v>799.2</v>
      </c>
      <c r="N1494" s="115">
        <v>815</v>
      </c>
      <c r="O1494" s="115">
        <v>795.3</v>
      </c>
      <c r="P1494" s="115">
        <v>805</v>
      </c>
      <c r="Q1494" s="115">
        <v>799.2</v>
      </c>
      <c r="R1494">
        <v>81821</v>
      </c>
    </row>
    <row r="1495" spans="1:18" x14ac:dyDescent="0.25">
      <c r="A1495" s="160">
        <v>44230</v>
      </c>
      <c r="B1495" s="115">
        <v>850</v>
      </c>
      <c r="C1495" s="115">
        <v>847.2</v>
      </c>
      <c r="D1495" s="115">
        <v>806.05</v>
      </c>
      <c r="E1495" s="115">
        <v>843.95</v>
      </c>
      <c r="F1495" s="115">
        <v>847.2</v>
      </c>
      <c r="G1495">
        <v>6336</v>
      </c>
      <c r="H1495" s="115"/>
      <c r="I1495" s="115"/>
      <c r="L1495" s="160">
        <v>44204</v>
      </c>
      <c r="M1495" s="115">
        <v>792.4</v>
      </c>
      <c r="N1495" s="115">
        <v>810</v>
      </c>
      <c r="O1495" s="115">
        <v>780</v>
      </c>
      <c r="P1495" s="115">
        <v>799.5</v>
      </c>
      <c r="Q1495" s="115">
        <v>792.4</v>
      </c>
      <c r="R1495">
        <v>111997</v>
      </c>
    </row>
    <row r="1496" spans="1:18" x14ac:dyDescent="0.25">
      <c r="A1496" s="160">
        <v>44231</v>
      </c>
      <c r="B1496" s="115">
        <v>857.95</v>
      </c>
      <c r="C1496" s="115">
        <v>847.35</v>
      </c>
      <c r="D1496" s="115">
        <v>828.7</v>
      </c>
      <c r="E1496" s="115">
        <v>828.7</v>
      </c>
      <c r="F1496" s="115">
        <v>847.35</v>
      </c>
      <c r="G1496">
        <v>375</v>
      </c>
      <c r="H1496" s="115"/>
      <c r="I1496" s="115"/>
      <c r="L1496" s="160">
        <v>44207</v>
      </c>
      <c r="M1496" s="115">
        <v>791</v>
      </c>
      <c r="N1496" s="115">
        <v>809</v>
      </c>
      <c r="O1496" s="115">
        <v>785.05</v>
      </c>
      <c r="P1496" s="115">
        <v>809</v>
      </c>
      <c r="Q1496" s="115">
        <v>791</v>
      </c>
      <c r="R1496">
        <v>49825</v>
      </c>
    </row>
    <row r="1497" spans="1:18" x14ac:dyDescent="0.25">
      <c r="A1497" s="160">
        <v>44232</v>
      </c>
      <c r="B1497" s="115">
        <v>850</v>
      </c>
      <c r="C1497" s="115">
        <v>830.6</v>
      </c>
      <c r="D1497" s="115">
        <v>828.7</v>
      </c>
      <c r="E1497" s="115">
        <v>850</v>
      </c>
      <c r="F1497" s="115">
        <v>830.6</v>
      </c>
      <c r="G1497">
        <v>439</v>
      </c>
      <c r="H1497" s="115"/>
      <c r="I1497" s="115"/>
      <c r="L1497" s="160">
        <v>44208</v>
      </c>
      <c r="M1497" s="115">
        <v>790.65</v>
      </c>
      <c r="N1497" s="115">
        <v>801.55</v>
      </c>
      <c r="O1497" s="115">
        <v>788</v>
      </c>
      <c r="P1497" s="115">
        <v>794.8</v>
      </c>
      <c r="Q1497" s="115">
        <v>790.65</v>
      </c>
      <c r="R1497">
        <v>51093</v>
      </c>
    </row>
    <row r="1498" spans="1:18" x14ac:dyDescent="0.25">
      <c r="A1498" s="160">
        <v>44235</v>
      </c>
      <c r="B1498" s="115">
        <v>830</v>
      </c>
      <c r="C1498" s="115">
        <v>804.8</v>
      </c>
      <c r="D1498" s="115">
        <v>800</v>
      </c>
      <c r="E1498" s="115">
        <v>829.05</v>
      </c>
      <c r="F1498" s="115">
        <v>804.8</v>
      </c>
      <c r="G1498">
        <v>1546</v>
      </c>
      <c r="H1498" s="115"/>
      <c r="I1498" s="115"/>
      <c r="L1498" s="160">
        <v>44209</v>
      </c>
      <c r="M1498" s="115">
        <v>779.45</v>
      </c>
      <c r="N1498" s="115">
        <v>798.5</v>
      </c>
      <c r="O1498" s="115">
        <v>770</v>
      </c>
      <c r="P1498" s="115">
        <v>792</v>
      </c>
      <c r="Q1498" s="115">
        <v>779.45</v>
      </c>
      <c r="R1498">
        <v>68090</v>
      </c>
    </row>
    <row r="1499" spans="1:18" x14ac:dyDescent="0.25">
      <c r="A1499" s="160">
        <v>44236</v>
      </c>
      <c r="B1499" s="115">
        <v>830.05</v>
      </c>
      <c r="C1499" s="115">
        <v>821.05</v>
      </c>
      <c r="D1499" s="115">
        <v>799.8</v>
      </c>
      <c r="E1499" s="115">
        <v>825.8</v>
      </c>
      <c r="F1499" s="115">
        <v>821.05</v>
      </c>
      <c r="G1499">
        <v>1609</v>
      </c>
      <c r="H1499" s="115"/>
      <c r="I1499" s="115"/>
      <c r="L1499" s="160">
        <v>44210</v>
      </c>
      <c r="M1499" s="115">
        <v>784.4</v>
      </c>
      <c r="N1499" s="115">
        <v>792</v>
      </c>
      <c r="O1499" s="115">
        <v>779</v>
      </c>
      <c r="P1499" s="115">
        <v>782.3</v>
      </c>
      <c r="Q1499" s="115">
        <v>784.4</v>
      </c>
      <c r="R1499">
        <v>34114</v>
      </c>
    </row>
    <row r="1500" spans="1:18" x14ac:dyDescent="0.25">
      <c r="A1500" s="160">
        <v>44237</v>
      </c>
      <c r="B1500" s="115">
        <v>825</v>
      </c>
      <c r="C1500" s="115">
        <v>808.35</v>
      </c>
      <c r="D1500" s="115">
        <v>804</v>
      </c>
      <c r="E1500" s="115">
        <v>825</v>
      </c>
      <c r="F1500" s="115">
        <v>808.35</v>
      </c>
      <c r="G1500">
        <v>38</v>
      </c>
      <c r="H1500" s="115"/>
      <c r="I1500" s="115"/>
      <c r="L1500" s="160">
        <v>44211</v>
      </c>
      <c r="M1500" s="115">
        <v>783.75</v>
      </c>
      <c r="N1500" s="115">
        <v>795</v>
      </c>
      <c r="O1500" s="115">
        <v>778</v>
      </c>
      <c r="P1500" s="115">
        <v>788.25</v>
      </c>
      <c r="Q1500" s="115">
        <v>783.75</v>
      </c>
      <c r="R1500">
        <v>43467</v>
      </c>
    </row>
    <row r="1501" spans="1:18" x14ac:dyDescent="0.25">
      <c r="A1501" s="160">
        <v>44238</v>
      </c>
      <c r="B1501" s="115">
        <v>845</v>
      </c>
      <c r="C1501" s="115">
        <v>825</v>
      </c>
      <c r="D1501" s="115">
        <v>804.05</v>
      </c>
      <c r="E1501" s="115">
        <v>824.95</v>
      </c>
      <c r="F1501" s="115">
        <v>825</v>
      </c>
      <c r="G1501">
        <v>942</v>
      </c>
      <c r="H1501" s="115"/>
      <c r="I1501" s="115"/>
      <c r="L1501" s="160">
        <v>44214</v>
      </c>
      <c r="M1501" s="115">
        <v>774.75</v>
      </c>
      <c r="N1501" s="115">
        <v>792</v>
      </c>
      <c r="O1501" s="115">
        <v>770</v>
      </c>
      <c r="P1501" s="115">
        <v>785</v>
      </c>
      <c r="Q1501" s="115">
        <v>774.75</v>
      </c>
      <c r="R1501">
        <v>45283</v>
      </c>
    </row>
    <row r="1502" spans="1:18" x14ac:dyDescent="0.25">
      <c r="A1502" s="160">
        <v>44239</v>
      </c>
      <c r="B1502" s="115">
        <v>850</v>
      </c>
      <c r="C1502" s="115">
        <v>832.4</v>
      </c>
      <c r="D1502" s="115">
        <v>810.5</v>
      </c>
      <c r="E1502" s="115">
        <v>829</v>
      </c>
      <c r="F1502" s="115">
        <v>832.4</v>
      </c>
      <c r="G1502">
        <v>1609</v>
      </c>
      <c r="H1502" s="115"/>
      <c r="I1502" s="115"/>
      <c r="L1502" s="160">
        <v>44215</v>
      </c>
      <c r="M1502" s="115">
        <v>783</v>
      </c>
      <c r="N1502" s="115">
        <v>794</v>
      </c>
      <c r="O1502" s="115">
        <v>775.05</v>
      </c>
      <c r="P1502" s="115">
        <v>775.05</v>
      </c>
      <c r="Q1502" s="115">
        <v>783</v>
      </c>
      <c r="R1502">
        <v>29400</v>
      </c>
    </row>
    <row r="1503" spans="1:18" x14ac:dyDescent="0.25">
      <c r="A1503" s="160">
        <v>44242</v>
      </c>
      <c r="B1503" s="115">
        <v>838.95</v>
      </c>
      <c r="C1503" s="115">
        <v>811.05</v>
      </c>
      <c r="D1503" s="115">
        <v>811.05</v>
      </c>
      <c r="E1503" s="115">
        <v>825</v>
      </c>
      <c r="F1503" s="115">
        <v>811.05</v>
      </c>
      <c r="G1503">
        <v>339</v>
      </c>
      <c r="H1503" s="115"/>
      <c r="I1503" s="115"/>
      <c r="L1503" s="160">
        <v>44216</v>
      </c>
      <c r="M1503" s="115">
        <v>777.05</v>
      </c>
      <c r="N1503" s="115">
        <v>798</v>
      </c>
      <c r="O1503" s="115">
        <v>773</v>
      </c>
      <c r="P1503" s="115">
        <v>789.2</v>
      </c>
      <c r="Q1503" s="115">
        <v>777.05</v>
      </c>
      <c r="R1503">
        <v>72453</v>
      </c>
    </row>
    <row r="1504" spans="1:18" x14ac:dyDescent="0.25">
      <c r="A1504" s="160">
        <v>44243</v>
      </c>
      <c r="B1504" s="115">
        <v>834.9</v>
      </c>
      <c r="C1504" s="115">
        <v>818.65</v>
      </c>
      <c r="D1504" s="115">
        <v>800.05</v>
      </c>
      <c r="E1504" s="115">
        <v>812.05</v>
      </c>
      <c r="F1504" s="115">
        <v>818.65</v>
      </c>
      <c r="G1504">
        <v>1739</v>
      </c>
      <c r="H1504" s="115"/>
      <c r="I1504" s="115"/>
      <c r="L1504" s="160">
        <v>44217</v>
      </c>
      <c r="M1504" s="115">
        <v>760.2</v>
      </c>
      <c r="N1504" s="115">
        <v>790.25</v>
      </c>
      <c r="O1504" s="115">
        <v>755.05</v>
      </c>
      <c r="P1504" s="115">
        <v>777.05</v>
      </c>
      <c r="Q1504" s="115">
        <v>760.2</v>
      </c>
      <c r="R1504">
        <v>50022</v>
      </c>
    </row>
    <row r="1505" spans="1:18" x14ac:dyDescent="0.25">
      <c r="A1505" s="160">
        <v>44244</v>
      </c>
      <c r="B1505" s="115">
        <v>818.9</v>
      </c>
      <c r="C1505" s="115">
        <v>813.25</v>
      </c>
      <c r="D1505" s="115">
        <v>803.55</v>
      </c>
      <c r="E1505" s="115">
        <v>808.1</v>
      </c>
      <c r="F1505" s="115">
        <v>813.25</v>
      </c>
      <c r="G1505">
        <v>1114</v>
      </c>
      <c r="H1505" s="115"/>
      <c r="I1505" s="115"/>
      <c r="L1505" s="160">
        <v>44218</v>
      </c>
      <c r="M1505" s="115">
        <v>742.9</v>
      </c>
      <c r="N1505" s="115">
        <v>768.5</v>
      </c>
      <c r="O1505" s="115">
        <v>734</v>
      </c>
      <c r="P1505" s="115">
        <v>764.05</v>
      </c>
      <c r="Q1505" s="115">
        <v>742.9</v>
      </c>
      <c r="R1505">
        <v>53698</v>
      </c>
    </row>
    <row r="1506" spans="1:18" x14ac:dyDescent="0.25">
      <c r="A1506" s="160">
        <v>44245</v>
      </c>
      <c r="B1506" s="115">
        <v>849.9</v>
      </c>
      <c r="C1506" s="115">
        <v>825.55</v>
      </c>
      <c r="D1506" s="115">
        <v>803.5</v>
      </c>
      <c r="E1506" s="115">
        <v>803.5</v>
      </c>
      <c r="F1506" s="115">
        <v>825.55</v>
      </c>
      <c r="G1506">
        <v>807</v>
      </c>
      <c r="H1506" s="115"/>
      <c r="I1506" s="115"/>
      <c r="L1506" s="160">
        <v>44221</v>
      </c>
      <c r="M1506" s="115">
        <v>731.3</v>
      </c>
      <c r="N1506" s="115">
        <v>750</v>
      </c>
      <c r="O1506" s="115">
        <v>715</v>
      </c>
      <c r="P1506" s="115">
        <v>742.05</v>
      </c>
      <c r="Q1506" s="115">
        <v>731.3</v>
      </c>
      <c r="R1506">
        <v>60067</v>
      </c>
    </row>
    <row r="1507" spans="1:18" x14ac:dyDescent="0.25">
      <c r="A1507" s="160">
        <v>44246</v>
      </c>
      <c r="B1507" s="115">
        <v>847.5</v>
      </c>
      <c r="C1507" s="115">
        <v>820.8</v>
      </c>
      <c r="D1507" s="115">
        <v>820.6</v>
      </c>
      <c r="E1507" s="115">
        <v>820.6</v>
      </c>
      <c r="F1507" s="115">
        <v>820.8</v>
      </c>
      <c r="G1507">
        <v>1045</v>
      </c>
      <c r="H1507" s="115"/>
      <c r="I1507" s="115"/>
      <c r="L1507" s="160">
        <v>44223</v>
      </c>
      <c r="M1507" s="115">
        <v>730.7</v>
      </c>
      <c r="N1507" s="115">
        <v>740</v>
      </c>
      <c r="O1507" s="115">
        <v>722.8</v>
      </c>
      <c r="P1507" s="115">
        <v>735</v>
      </c>
      <c r="Q1507" s="115">
        <v>730.7</v>
      </c>
      <c r="R1507">
        <v>35897</v>
      </c>
    </row>
    <row r="1508" spans="1:18" x14ac:dyDescent="0.25">
      <c r="A1508" s="160">
        <v>44249</v>
      </c>
      <c r="B1508" s="115">
        <v>833.95</v>
      </c>
      <c r="C1508" s="115">
        <v>822.9</v>
      </c>
      <c r="D1508" s="115">
        <v>810</v>
      </c>
      <c r="E1508" s="115">
        <v>811.2</v>
      </c>
      <c r="F1508" s="115">
        <v>822.9</v>
      </c>
      <c r="G1508">
        <v>162</v>
      </c>
      <c r="H1508" s="115"/>
      <c r="I1508" s="115"/>
      <c r="L1508" s="160">
        <v>44224</v>
      </c>
      <c r="M1508" s="115">
        <v>725.85</v>
      </c>
      <c r="N1508" s="115">
        <v>734.3</v>
      </c>
      <c r="O1508" s="115">
        <v>719.5</v>
      </c>
      <c r="P1508" s="115">
        <v>730</v>
      </c>
      <c r="Q1508" s="115">
        <v>725.85</v>
      </c>
      <c r="R1508">
        <v>31148</v>
      </c>
    </row>
    <row r="1509" spans="1:18" x14ac:dyDescent="0.25">
      <c r="A1509" s="160">
        <v>44250</v>
      </c>
      <c r="B1509" s="115">
        <v>829.95</v>
      </c>
      <c r="C1509" s="115">
        <v>829</v>
      </c>
      <c r="D1509" s="115">
        <v>807.6</v>
      </c>
      <c r="E1509" s="115">
        <v>826</v>
      </c>
      <c r="F1509" s="115">
        <v>829</v>
      </c>
      <c r="G1509">
        <v>67</v>
      </c>
      <c r="H1509" s="115"/>
      <c r="I1509" s="115"/>
      <c r="L1509" s="160">
        <v>44225</v>
      </c>
      <c r="M1509" s="115">
        <v>738.95</v>
      </c>
      <c r="N1509" s="115">
        <v>742.75</v>
      </c>
      <c r="O1509" s="115">
        <v>729.45</v>
      </c>
      <c r="P1509" s="115">
        <v>729.45</v>
      </c>
      <c r="Q1509" s="115">
        <v>738.95</v>
      </c>
      <c r="R1509">
        <v>34539</v>
      </c>
    </row>
    <row r="1510" spans="1:18" x14ac:dyDescent="0.25">
      <c r="A1510" s="160">
        <v>44251</v>
      </c>
      <c r="B1510" s="115">
        <v>849.85</v>
      </c>
      <c r="C1510" s="115">
        <v>800.5</v>
      </c>
      <c r="D1510" s="115">
        <v>800.5</v>
      </c>
      <c r="E1510" s="115">
        <v>849.85</v>
      </c>
      <c r="F1510" s="115">
        <v>800.5</v>
      </c>
      <c r="G1510">
        <v>187</v>
      </c>
      <c r="H1510" s="115"/>
      <c r="I1510" s="115"/>
      <c r="L1510" s="160">
        <v>44228</v>
      </c>
      <c r="M1510" s="115">
        <v>739.8</v>
      </c>
      <c r="N1510" s="115">
        <v>756</v>
      </c>
      <c r="O1510" s="115">
        <v>727.45</v>
      </c>
      <c r="P1510" s="115">
        <v>747.9</v>
      </c>
      <c r="Q1510" s="115">
        <v>739.8</v>
      </c>
      <c r="R1510">
        <v>62760</v>
      </c>
    </row>
    <row r="1511" spans="1:18" x14ac:dyDescent="0.25">
      <c r="A1511" s="160">
        <v>44252</v>
      </c>
      <c r="B1511" s="115">
        <v>831.45</v>
      </c>
      <c r="C1511" s="115">
        <v>804.75</v>
      </c>
      <c r="D1511" s="115">
        <v>801.1</v>
      </c>
      <c r="E1511" s="115">
        <v>810</v>
      </c>
      <c r="F1511" s="115">
        <v>804.75</v>
      </c>
      <c r="G1511">
        <v>1440</v>
      </c>
      <c r="H1511" s="115"/>
      <c r="I1511" s="115"/>
      <c r="L1511" s="160">
        <v>44229</v>
      </c>
      <c r="M1511" s="115">
        <v>737.05</v>
      </c>
      <c r="N1511" s="115">
        <v>749</v>
      </c>
      <c r="O1511" s="115">
        <v>722.45</v>
      </c>
      <c r="P1511" s="115">
        <v>744.95</v>
      </c>
      <c r="Q1511" s="115">
        <v>737.05</v>
      </c>
      <c r="R1511">
        <v>403261</v>
      </c>
    </row>
    <row r="1512" spans="1:18" x14ac:dyDescent="0.25">
      <c r="A1512" s="160">
        <v>44253</v>
      </c>
      <c r="B1512" s="115">
        <v>814.35</v>
      </c>
      <c r="C1512" s="115">
        <v>792.55</v>
      </c>
      <c r="D1512" s="115">
        <v>790</v>
      </c>
      <c r="E1512" s="115">
        <v>805</v>
      </c>
      <c r="F1512" s="115">
        <v>792.55</v>
      </c>
      <c r="G1512">
        <v>1063</v>
      </c>
      <c r="H1512" s="115"/>
      <c r="I1512" s="115"/>
      <c r="L1512" s="160">
        <v>44230</v>
      </c>
      <c r="M1512" s="115">
        <v>739.2</v>
      </c>
      <c r="N1512" s="115">
        <v>746</v>
      </c>
      <c r="O1512" s="115">
        <v>723.25</v>
      </c>
      <c r="P1512" s="115">
        <v>740</v>
      </c>
      <c r="Q1512" s="115">
        <v>739.2</v>
      </c>
      <c r="R1512">
        <v>149086</v>
      </c>
    </row>
    <row r="1513" spans="1:18" x14ac:dyDescent="0.25">
      <c r="A1513" s="160">
        <v>44256</v>
      </c>
      <c r="B1513" s="115">
        <v>825.95</v>
      </c>
      <c r="C1513" s="115">
        <v>792</v>
      </c>
      <c r="D1513" s="115">
        <v>790.05</v>
      </c>
      <c r="E1513" s="115">
        <v>825.95</v>
      </c>
      <c r="F1513" s="115">
        <v>792</v>
      </c>
      <c r="G1513">
        <v>436</v>
      </c>
      <c r="H1513" s="115"/>
      <c r="I1513" s="115"/>
      <c r="L1513" s="160">
        <v>44231</v>
      </c>
      <c r="M1513" s="115">
        <v>745.6</v>
      </c>
      <c r="N1513" s="115">
        <v>760.55</v>
      </c>
      <c r="O1513" s="115">
        <v>739.2</v>
      </c>
      <c r="P1513" s="115">
        <v>745.9</v>
      </c>
      <c r="Q1513" s="115">
        <v>745.6</v>
      </c>
      <c r="R1513">
        <v>102178</v>
      </c>
    </row>
    <row r="1514" spans="1:18" x14ac:dyDescent="0.25">
      <c r="A1514" s="160">
        <v>44257</v>
      </c>
      <c r="B1514" s="115">
        <v>810</v>
      </c>
      <c r="C1514" s="115">
        <v>794</v>
      </c>
      <c r="D1514" s="115">
        <v>794</v>
      </c>
      <c r="E1514" s="115">
        <v>809.8</v>
      </c>
      <c r="F1514" s="115">
        <v>794</v>
      </c>
      <c r="G1514">
        <v>185</v>
      </c>
      <c r="H1514" s="115"/>
      <c r="I1514" s="115"/>
      <c r="L1514" s="160">
        <v>44232</v>
      </c>
      <c r="M1514" s="115">
        <v>754.3</v>
      </c>
      <c r="N1514" s="115">
        <v>763</v>
      </c>
      <c r="O1514" s="115">
        <v>740</v>
      </c>
      <c r="P1514" s="115">
        <v>740</v>
      </c>
      <c r="Q1514" s="115">
        <v>754.3</v>
      </c>
      <c r="R1514">
        <v>72939</v>
      </c>
    </row>
    <row r="1515" spans="1:18" x14ac:dyDescent="0.25">
      <c r="A1515" s="160">
        <v>44258</v>
      </c>
      <c r="B1515" s="115">
        <v>835</v>
      </c>
      <c r="C1515" s="115">
        <v>814.3</v>
      </c>
      <c r="D1515" s="115">
        <v>795.05</v>
      </c>
      <c r="E1515" s="115">
        <v>813.95</v>
      </c>
      <c r="F1515" s="115">
        <v>814.3</v>
      </c>
      <c r="G1515">
        <v>993</v>
      </c>
      <c r="H1515" s="115"/>
      <c r="I1515" s="115"/>
      <c r="L1515" s="160">
        <v>44235</v>
      </c>
      <c r="M1515" s="115">
        <v>776.85</v>
      </c>
      <c r="N1515" s="115">
        <v>780</v>
      </c>
      <c r="O1515" s="115">
        <v>756</v>
      </c>
      <c r="P1515" s="115">
        <v>767</v>
      </c>
      <c r="Q1515" s="115">
        <v>776.85</v>
      </c>
      <c r="R1515">
        <v>115456</v>
      </c>
    </row>
    <row r="1516" spans="1:18" x14ac:dyDescent="0.25">
      <c r="A1516" s="160">
        <v>44259</v>
      </c>
      <c r="B1516" s="115">
        <v>825</v>
      </c>
      <c r="C1516" s="115">
        <v>808.5</v>
      </c>
      <c r="D1516" s="115">
        <v>790</v>
      </c>
      <c r="E1516" s="115">
        <v>824.95</v>
      </c>
      <c r="F1516" s="115">
        <v>808.5</v>
      </c>
      <c r="G1516">
        <v>1069</v>
      </c>
      <c r="H1516" s="115"/>
      <c r="I1516" s="115"/>
      <c r="L1516" s="160">
        <v>44236</v>
      </c>
      <c r="M1516" s="115">
        <v>782.75</v>
      </c>
      <c r="N1516" s="115">
        <v>798.9</v>
      </c>
      <c r="O1516" s="115">
        <v>765.3</v>
      </c>
      <c r="P1516" s="115">
        <v>774.1</v>
      </c>
      <c r="Q1516" s="115">
        <v>782.75</v>
      </c>
      <c r="R1516">
        <v>166287</v>
      </c>
    </row>
    <row r="1517" spans="1:18" x14ac:dyDescent="0.25">
      <c r="A1517" s="160">
        <v>44260</v>
      </c>
      <c r="B1517" s="115">
        <v>834</v>
      </c>
      <c r="C1517" s="115">
        <v>799.2</v>
      </c>
      <c r="D1517" s="115">
        <v>750</v>
      </c>
      <c r="E1517" s="115">
        <v>788.1</v>
      </c>
      <c r="F1517" s="115">
        <v>799.2</v>
      </c>
      <c r="G1517">
        <v>2457</v>
      </c>
      <c r="H1517" s="115"/>
      <c r="I1517" s="115"/>
      <c r="L1517" s="160">
        <v>44237</v>
      </c>
      <c r="M1517" s="115">
        <v>773.05</v>
      </c>
      <c r="N1517" s="115">
        <v>785.95</v>
      </c>
      <c r="O1517" s="115">
        <v>764.7</v>
      </c>
      <c r="P1517" s="115">
        <v>782.75</v>
      </c>
      <c r="Q1517" s="115">
        <v>773.05</v>
      </c>
      <c r="R1517">
        <v>50318</v>
      </c>
    </row>
    <row r="1518" spans="1:18" x14ac:dyDescent="0.25">
      <c r="A1518" s="160">
        <v>44263</v>
      </c>
      <c r="B1518" s="115">
        <v>815</v>
      </c>
      <c r="C1518" s="115">
        <v>815</v>
      </c>
      <c r="D1518" s="115">
        <v>782.7</v>
      </c>
      <c r="E1518" s="115">
        <v>799.95</v>
      </c>
      <c r="F1518" s="115">
        <v>815</v>
      </c>
      <c r="G1518">
        <v>2063</v>
      </c>
      <c r="H1518" s="115"/>
      <c r="I1518" s="115"/>
      <c r="L1518" s="160">
        <v>44238</v>
      </c>
      <c r="M1518" s="115">
        <v>772.45</v>
      </c>
      <c r="N1518" s="115">
        <v>780</v>
      </c>
      <c r="O1518" s="115">
        <v>765</v>
      </c>
      <c r="P1518" s="115">
        <v>773.05</v>
      </c>
      <c r="Q1518" s="115">
        <v>772.45</v>
      </c>
      <c r="R1518">
        <v>33484</v>
      </c>
    </row>
    <row r="1519" spans="1:18" x14ac:dyDescent="0.25">
      <c r="A1519" s="160">
        <v>44264</v>
      </c>
      <c r="B1519" s="115">
        <v>845</v>
      </c>
      <c r="C1519" s="115">
        <v>813.6</v>
      </c>
      <c r="D1519" s="115">
        <v>785.1</v>
      </c>
      <c r="E1519" s="115">
        <v>845</v>
      </c>
      <c r="F1519" s="115">
        <v>813.6</v>
      </c>
      <c r="G1519">
        <v>1823</v>
      </c>
      <c r="H1519" s="115"/>
      <c r="I1519" s="115"/>
      <c r="L1519" s="160">
        <v>44239</v>
      </c>
      <c r="M1519" s="115">
        <v>761.1</v>
      </c>
      <c r="N1519" s="115">
        <v>776.9</v>
      </c>
      <c r="O1519" s="115">
        <v>758</v>
      </c>
      <c r="P1519" s="115">
        <v>776.5</v>
      </c>
      <c r="Q1519" s="115">
        <v>761.1</v>
      </c>
      <c r="R1519">
        <v>36246</v>
      </c>
    </row>
    <row r="1520" spans="1:18" x14ac:dyDescent="0.25">
      <c r="A1520" s="160">
        <v>44265</v>
      </c>
      <c r="B1520" s="115">
        <v>849</v>
      </c>
      <c r="C1520" s="115">
        <v>830</v>
      </c>
      <c r="D1520" s="115">
        <v>815</v>
      </c>
      <c r="E1520" s="115">
        <v>816</v>
      </c>
      <c r="F1520" s="115">
        <v>830</v>
      </c>
      <c r="G1520">
        <v>2263</v>
      </c>
      <c r="H1520" s="115"/>
      <c r="I1520" s="115"/>
      <c r="L1520" s="160">
        <v>44242</v>
      </c>
      <c r="M1520" s="115">
        <v>761.9</v>
      </c>
      <c r="N1520" s="115">
        <v>774</v>
      </c>
      <c r="O1520" s="115">
        <v>760</v>
      </c>
      <c r="P1520" s="115">
        <v>774</v>
      </c>
      <c r="Q1520" s="115">
        <v>761.9</v>
      </c>
      <c r="R1520">
        <v>31579</v>
      </c>
    </row>
    <row r="1521" spans="1:18" x14ac:dyDescent="0.25">
      <c r="A1521" s="160">
        <v>44267</v>
      </c>
      <c r="B1521" s="115">
        <v>851</v>
      </c>
      <c r="C1521" s="115">
        <v>821.1</v>
      </c>
      <c r="D1521" s="115">
        <v>821</v>
      </c>
      <c r="E1521" s="115">
        <v>850</v>
      </c>
      <c r="F1521" s="115">
        <v>821.1</v>
      </c>
      <c r="G1521">
        <v>252</v>
      </c>
      <c r="H1521" s="115"/>
      <c r="I1521" s="115"/>
      <c r="L1521" s="160">
        <v>44243</v>
      </c>
      <c r="M1521" s="115">
        <v>753.2</v>
      </c>
      <c r="N1521" s="115">
        <v>770</v>
      </c>
      <c r="O1521" s="115">
        <v>750</v>
      </c>
      <c r="P1521" s="115">
        <v>756</v>
      </c>
      <c r="Q1521" s="115">
        <v>753.2</v>
      </c>
      <c r="R1521">
        <v>40133</v>
      </c>
    </row>
    <row r="1522" spans="1:18" x14ac:dyDescent="0.25">
      <c r="A1522" s="160">
        <v>44270</v>
      </c>
      <c r="B1522" s="115">
        <v>820</v>
      </c>
      <c r="C1522" s="115">
        <v>813</v>
      </c>
      <c r="D1522" s="115">
        <v>810</v>
      </c>
      <c r="E1522" s="115">
        <v>820</v>
      </c>
      <c r="F1522" s="115">
        <v>813</v>
      </c>
      <c r="G1522">
        <v>159</v>
      </c>
      <c r="H1522" s="115"/>
      <c r="I1522" s="115"/>
      <c r="L1522" s="160">
        <v>44244</v>
      </c>
      <c r="M1522" s="115">
        <v>746.25</v>
      </c>
      <c r="N1522" s="115">
        <v>757</v>
      </c>
      <c r="O1522" s="115">
        <v>742.3</v>
      </c>
      <c r="P1522" s="115">
        <v>750.15</v>
      </c>
      <c r="Q1522" s="115">
        <v>746.25</v>
      </c>
      <c r="R1522">
        <v>29832</v>
      </c>
    </row>
    <row r="1523" spans="1:18" x14ac:dyDescent="0.25">
      <c r="A1523" s="160">
        <v>44271</v>
      </c>
      <c r="B1523" s="115">
        <v>845.95</v>
      </c>
      <c r="C1523" s="115">
        <v>829.6</v>
      </c>
      <c r="D1523" s="115">
        <v>814.4</v>
      </c>
      <c r="E1523" s="115">
        <v>838.2</v>
      </c>
      <c r="F1523" s="115">
        <v>829.6</v>
      </c>
      <c r="G1523">
        <v>3222</v>
      </c>
      <c r="H1523" s="115"/>
      <c r="I1523" s="115"/>
      <c r="L1523" s="160">
        <v>44245</v>
      </c>
      <c r="M1523" s="115">
        <v>738.75</v>
      </c>
      <c r="N1523" s="115">
        <v>758.35</v>
      </c>
      <c r="O1523" s="115">
        <v>734</v>
      </c>
      <c r="P1523" s="115">
        <v>742.25</v>
      </c>
      <c r="Q1523" s="115">
        <v>738.75</v>
      </c>
      <c r="R1523">
        <v>54094</v>
      </c>
    </row>
    <row r="1524" spans="1:18" x14ac:dyDescent="0.25">
      <c r="A1524" s="160">
        <v>44272</v>
      </c>
      <c r="B1524" s="115">
        <v>839</v>
      </c>
      <c r="C1524" s="115">
        <v>817.05</v>
      </c>
      <c r="D1524" s="115">
        <v>817</v>
      </c>
      <c r="E1524" s="115">
        <v>839</v>
      </c>
      <c r="F1524" s="115">
        <v>817.05</v>
      </c>
      <c r="G1524">
        <v>74</v>
      </c>
      <c r="H1524" s="115"/>
      <c r="I1524" s="115"/>
      <c r="L1524" s="160">
        <v>44246</v>
      </c>
      <c r="M1524" s="115">
        <v>728.2</v>
      </c>
      <c r="N1524" s="115">
        <v>739.95</v>
      </c>
      <c r="O1524" s="115">
        <v>722.25</v>
      </c>
      <c r="P1524" s="115">
        <v>739.95</v>
      </c>
      <c r="Q1524" s="115">
        <v>728.2</v>
      </c>
      <c r="R1524">
        <v>85372</v>
      </c>
    </row>
    <row r="1525" spans="1:18" x14ac:dyDescent="0.25">
      <c r="A1525" s="160">
        <v>44273</v>
      </c>
      <c r="B1525" s="115">
        <v>839.9</v>
      </c>
      <c r="C1525" s="115">
        <v>827.95</v>
      </c>
      <c r="D1525" s="115">
        <v>807.8</v>
      </c>
      <c r="E1525" s="115">
        <v>839.9</v>
      </c>
      <c r="F1525" s="115">
        <v>827.95</v>
      </c>
      <c r="G1525">
        <v>113</v>
      </c>
      <c r="H1525" s="115"/>
      <c r="I1525" s="115"/>
      <c r="L1525" s="160">
        <v>44249</v>
      </c>
      <c r="M1525" s="115">
        <v>740.9</v>
      </c>
      <c r="N1525" s="115">
        <v>750</v>
      </c>
      <c r="O1525" s="115">
        <v>725.2</v>
      </c>
      <c r="P1525" s="115">
        <v>725.2</v>
      </c>
      <c r="Q1525" s="115">
        <v>740.9</v>
      </c>
      <c r="R1525">
        <v>41928</v>
      </c>
    </row>
    <row r="1526" spans="1:18" x14ac:dyDescent="0.25">
      <c r="A1526" s="160">
        <v>44274</v>
      </c>
      <c r="B1526" s="115">
        <v>838</v>
      </c>
      <c r="C1526" s="115">
        <v>837.7</v>
      </c>
      <c r="D1526" s="115">
        <v>800</v>
      </c>
      <c r="E1526" s="115">
        <v>800</v>
      </c>
      <c r="F1526" s="115">
        <v>837.7</v>
      </c>
      <c r="G1526">
        <v>736</v>
      </c>
      <c r="H1526" s="115"/>
      <c r="I1526" s="115"/>
      <c r="L1526" s="160">
        <v>44250</v>
      </c>
      <c r="M1526" s="115">
        <v>737.05</v>
      </c>
      <c r="N1526" s="115">
        <v>750</v>
      </c>
      <c r="O1526" s="115">
        <v>731</v>
      </c>
      <c r="P1526" s="115">
        <v>750</v>
      </c>
      <c r="Q1526" s="115">
        <v>737.05</v>
      </c>
      <c r="R1526">
        <v>27068</v>
      </c>
    </row>
    <row r="1527" spans="1:18" x14ac:dyDescent="0.25">
      <c r="A1527" s="160">
        <v>44277</v>
      </c>
      <c r="B1527" s="115">
        <v>849</v>
      </c>
      <c r="C1527" s="115">
        <v>842.5</v>
      </c>
      <c r="D1527" s="115">
        <v>793.1</v>
      </c>
      <c r="E1527" s="115">
        <v>845</v>
      </c>
      <c r="F1527" s="115">
        <v>842.5</v>
      </c>
      <c r="G1527">
        <v>598</v>
      </c>
      <c r="H1527" s="115"/>
      <c r="I1527" s="115"/>
      <c r="L1527" s="160">
        <v>44251</v>
      </c>
      <c r="M1527" s="115">
        <v>732.3</v>
      </c>
      <c r="N1527" s="115">
        <v>742</v>
      </c>
      <c r="O1527" s="115">
        <v>720</v>
      </c>
      <c r="P1527" s="115">
        <v>733.65</v>
      </c>
      <c r="Q1527" s="115">
        <v>732.3</v>
      </c>
      <c r="R1527">
        <v>13077</v>
      </c>
    </row>
    <row r="1528" spans="1:18" x14ac:dyDescent="0.25">
      <c r="A1528" s="160">
        <v>44278</v>
      </c>
      <c r="B1528" s="115">
        <v>845</v>
      </c>
      <c r="C1528" s="115">
        <v>821.7</v>
      </c>
      <c r="D1528" s="115">
        <v>817.25</v>
      </c>
      <c r="E1528" s="115">
        <v>842.5</v>
      </c>
      <c r="F1528" s="115">
        <v>821.7</v>
      </c>
      <c r="G1528">
        <v>306</v>
      </c>
      <c r="H1528" s="115"/>
      <c r="I1528" s="115"/>
      <c r="L1528" s="160">
        <v>44252</v>
      </c>
      <c r="M1528" s="115">
        <v>729.65</v>
      </c>
      <c r="N1528" s="115">
        <v>742</v>
      </c>
      <c r="O1528" s="115">
        <v>725</v>
      </c>
      <c r="P1528" s="115">
        <v>736.2</v>
      </c>
      <c r="Q1528" s="115">
        <v>729.65</v>
      </c>
      <c r="R1528">
        <v>68570</v>
      </c>
    </row>
    <row r="1529" spans="1:18" x14ac:dyDescent="0.25">
      <c r="A1529" s="160">
        <v>44279</v>
      </c>
      <c r="B1529" s="115">
        <v>843</v>
      </c>
      <c r="C1529" s="115">
        <v>808.3</v>
      </c>
      <c r="D1529" s="115">
        <v>802.05</v>
      </c>
      <c r="E1529" s="115">
        <v>843</v>
      </c>
      <c r="F1529" s="115">
        <v>808.3</v>
      </c>
      <c r="G1529">
        <v>596</v>
      </c>
      <c r="H1529" s="115"/>
      <c r="I1529" s="115"/>
      <c r="L1529" s="160">
        <v>44253</v>
      </c>
      <c r="M1529" s="115">
        <v>726</v>
      </c>
      <c r="N1529" s="115">
        <v>740</v>
      </c>
      <c r="O1529" s="115">
        <v>725</v>
      </c>
      <c r="P1529" s="115">
        <v>732</v>
      </c>
      <c r="Q1529" s="115">
        <v>726</v>
      </c>
      <c r="R1529">
        <v>28925</v>
      </c>
    </row>
    <row r="1530" spans="1:18" x14ac:dyDescent="0.25">
      <c r="A1530" s="160">
        <v>44280</v>
      </c>
      <c r="B1530" s="115">
        <v>840</v>
      </c>
      <c r="C1530" s="115">
        <v>825</v>
      </c>
      <c r="D1530" s="115">
        <v>805.1</v>
      </c>
      <c r="E1530" s="115">
        <v>840</v>
      </c>
      <c r="F1530" s="115">
        <v>825</v>
      </c>
      <c r="G1530">
        <v>260</v>
      </c>
      <c r="H1530" s="115"/>
      <c r="I1530" s="115"/>
      <c r="L1530" s="160">
        <v>44256</v>
      </c>
      <c r="M1530" s="115">
        <v>726.95</v>
      </c>
      <c r="N1530" s="115">
        <v>747.55</v>
      </c>
      <c r="O1530" s="115">
        <v>723.25</v>
      </c>
      <c r="P1530" s="115">
        <v>727.1</v>
      </c>
      <c r="Q1530" s="115">
        <v>726.95</v>
      </c>
      <c r="R1530">
        <v>31406</v>
      </c>
    </row>
    <row r="1531" spans="1:18" x14ac:dyDescent="0.25">
      <c r="A1531" s="160">
        <v>44281</v>
      </c>
      <c r="B1531" s="115">
        <v>839</v>
      </c>
      <c r="C1531" s="115">
        <v>811.1</v>
      </c>
      <c r="D1531" s="115">
        <v>796</v>
      </c>
      <c r="E1531" s="115">
        <v>839</v>
      </c>
      <c r="F1531" s="115">
        <v>811.1</v>
      </c>
      <c r="G1531">
        <v>913</v>
      </c>
      <c r="H1531" s="115"/>
      <c r="I1531" s="115"/>
      <c r="L1531" s="160">
        <v>44257</v>
      </c>
      <c r="M1531" s="115">
        <v>729.25</v>
      </c>
      <c r="N1531" s="115">
        <v>740</v>
      </c>
      <c r="O1531" s="115">
        <v>727</v>
      </c>
      <c r="P1531" s="115">
        <v>738</v>
      </c>
      <c r="Q1531" s="115">
        <v>729.25</v>
      </c>
      <c r="R1531">
        <v>24618</v>
      </c>
    </row>
    <row r="1532" spans="1:18" x14ac:dyDescent="0.25">
      <c r="A1532" s="160">
        <v>44285</v>
      </c>
      <c r="B1532" s="115">
        <v>849.9</v>
      </c>
      <c r="C1532" s="115">
        <v>842.95</v>
      </c>
      <c r="D1532" s="115">
        <v>801.1</v>
      </c>
      <c r="E1532" s="115">
        <v>812.1</v>
      </c>
      <c r="F1532" s="115">
        <v>842.95</v>
      </c>
      <c r="G1532">
        <v>761</v>
      </c>
      <c r="H1532" s="115"/>
      <c r="I1532" s="115"/>
      <c r="L1532" s="160">
        <v>44258</v>
      </c>
      <c r="M1532" s="115">
        <v>733.85</v>
      </c>
      <c r="N1532" s="115">
        <v>756.55</v>
      </c>
      <c r="O1532" s="115">
        <v>728.75</v>
      </c>
      <c r="P1532" s="115">
        <v>735</v>
      </c>
      <c r="Q1532" s="115">
        <v>733.85</v>
      </c>
      <c r="R1532">
        <v>46988</v>
      </c>
    </row>
    <row r="1533" spans="1:18" x14ac:dyDescent="0.25">
      <c r="A1533" s="160">
        <v>44286</v>
      </c>
      <c r="B1533" s="115">
        <v>862</v>
      </c>
      <c r="C1533" s="115">
        <v>833.1</v>
      </c>
      <c r="D1533" s="115">
        <v>814</v>
      </c>
      <c r="E1533" s="115">
        <v>814</v>
      </c>
      <c r="F1533" s="115">
        <v>833.1</v>
      </c>
      <c r="G1533">
        <v>611</v>
      </c>
      <c r="H1533" s="115"/>
      <c r="I1533" s="115"/>
      <c r="L1533" s="160">
        <v>44259</v>
      </c>
      <c r="M1533" s="115">
        <v>741.3</v>
      </c>
      <c r="N1533" s="115">
        <v>748.85</v>
      </c>
      <c r="O1533" s="115">
        <v>732.8</v>
      </c>
      <c r="P1533" s="115">
        <v>733</v>
      </c>
      <c r="Q1533" s="115">
        <v>741.3</v>
      </c>
      <c r="R1533">
        <v>31153</v>
      </c>
    </row>
    <row r="1534" spans="1:18" x14ac:dyDescent="0.25">
      <c r="A1534" s="160">
        <v>44287</v>
      </c>
      <c r="B1534" s="115">
        <v>845</v>
      </c>
      <c r="C1534" s="115">
        <v>845</v>
      </c>
      <c r="D1534" s="115">
        <v>827</v>
      </c>
      <c r="E1534" s="115">
        <v>833.1</v>
      </c>
      <c r="F1534" s="115">
        <v>845</v>
      </c>
      <c r="G1534">
        <v>119</v>
      </c>
      <c r="H1534" s="115"/>
      <c r="I1534" s="115"/>
      <c r="L1534" s="160">
        <v>44260</v>
      </c>
      <c r="M1534" s="115">
        <v>730.65</v>
      </c>
      <c r="N1534" s="115">
        <v>746</v>
      </c>
      <c r="O1534" s="115">
        <v>729</v>
      </c>
      <c r="P1534" s="115">
        <v>745</v>
      </c>
      <c r="Q1534" s="115">
        <v>730.65</v>
      </c>
      <c r="R1534">
        <v>42117</v>
      </c>
    </row>
    <row r="1535" spans="1:18" x14ac:dyDescent="0.25">
      <c r="A1535" s="160">
        <v>44291</v>
      </c>
      <c r="B1535" s="115">
        <v>840</v>
      </c>
      <c r="C1535" s="115">
        <v>811.05</v>
      </c>
      <c r="D1535" s="115">
        <v>808.5</v>
      </c>
      <c r="E1535" s="115">
        <v>840</v>
      </c>
      <c r="F1535" s="115">
        <v>811.05</v>
      </c>
      <c r="G1535">
        <v>68</v>
      </c>
      <c r="H1535" s="115"/>
      <c r="I1535" s="115"/>
      <c r="L1535" s="160">
        <v>44263</v>
      </c>
      <c r="M1535" s="115">
        <v>727.9</v>
      </c>
      <c r="N1535" s="115">
        <v>741</v>
      </c>
      <c r="O1535" s="115">
        <v>725</v>
      </c>
      <c r="P1535" s="115">
        <v>734.5</v>
      </c>
      <c r="Q1535" s="115">
        <v>727.9</v>
      </c>
      <c r="R1535">
        <v>36943</v>
      </c>
    </row>
    <row r="1536" spans="1:18" x14ac:dyDescent="0.25">
      <c r="A1536" s="160">
        <v>44292</v>
      </c>
      <c r="B1536" s="115">
        <v>875</v>
      </c>
      <c r="C1536" s="115">
        <v>855</v>
      </c>
      <c r="D1536" s="115">
        <v>811</v>
      </c>
      <c r="E1536" s="115">
        <v>839</v>
      </c>
      <c r="F1536" s="115">
        <v>855</v>
      </c>
      <c r="G1536">
        <v>2921</v>
      </c>
      <c r="H1536" s="115"/>
      <c r="I1536" s="115"/>
      <c r="L1536" s="160">
        <v>44264</v>
      </c>
      <c r="M1536" s="115">
        <v>719.35</v>
      </c>
      <c r="N1536" s="115">
        <v>739.95</v>
      </c>
      <c r="O1536" s="115">
        <v>717.35</v>
      </c>
      <c r="P1536" s="115">
        <v>731.55</v>
      </c>
      <c r="Q1536" s="115">
        <v>719.35</v>
      </c>
      <c r="R1536">
        <v>28366</v>
      </c>
    </row>
    <row r="1537" spans="1:18" x14ac:dyDescent="0.25">
      <c r="A1537" s="160">
        <v>44293</v>
      </c>
      <c r="B1537" s="115">
        <v>870.95</v>
      </c>
      <c r="C1537" s="115">
        <v>847.55</v>
      </c>
      <c r="D1537" s="115">
        <v>825.5</v>
      </c>
      <c r="E1537" s="115">
        <v>825.5</v>
      </c>
      <c r="F1537" s="115">
        <v>847.55</v>
      </c>
      <c r="G1537">
        <v>711</v>
      </c>
      <c r="H1537" s="115"/>
      <c r="I1537" s="115"/>
      <c r="L1537" s="160">
        <v>44265</v>
      </c>
      <c r="M1537" s="115">
        <v>720.95</v>
      </c>
      <c r="N1537" s="115">
        <v>727.2</v>
      </c>
      <c r="O1537" s="115">
        <v>713.2</v>
      </c>
      <c r="P1537" s="115">
        <v>719.35</v>
      </c>
      <c r="Q1537" s="115">
        <v>720.95</v>
      </c>
      <c r="R1537">
        <v>49110</v>
      </c>
    </row>
    <row r="1538" spans="1:18" x14ac:dyDescent="0.25">
      <c r="A1538" s="160">
        <v>44294</v>
      </c>
      <c r="B1538" s="115">
        <v>838</v>
      </c>
      <c r="C1538" s="115">
        <v>835.4</v>
      </c>
      <c r="D1538" s="115">
        <v>815.1</v>
      </c>
      <c r="E1538" s="115">
        <v>835</v>
      </c>
      <c r="F1538" s="115">
        <v>835.4</v>
      </c>
      <c r="G1538">
        <v>1960</v>
      </c>
      <c r="H1538" s="115"/>
      <c r="I1538" s="115"/>
      <c r="L1538" s="160">
        <v>44267</v>
      </c>
      <c r="M1538" s="115">
        <v>721.2</v>
      </c>
      <c r="N1538" s="115">
        <v>725.95</v>
      </c>
      <c r="O1538" s="115">
        <v>720</v>
      </c>
      <c r="P1538" s="115">
        <v>725.95</v>
      </c>
      <c r="Q1538" s="115">
        <v>721.2</v>
      </c>
      <c r="R1538">
        <v>28026</v>
      </c>
    </row>
    <row r="1539" spans="1:18" x14ac:dyDescent="0.25">
      <c r="A1539" s="160">
        <v>44295</v>
      </c>
      <c r="B1539" s="115">
        <v>849.9</v>
      </c>
      <c r="C1539" s="115">
        <v>841.15</v>
      </c>
      <c r="D1539" s="115">
        <v>841</v>
      </c>
      <c r="E1539" s="115">
        <v>844.9</v>
      </c>
      <c r="F1539" s="115">
        <v>841.15</v>
      </c>
      <c r="G1539">
        <v>189</v>
      </c>
      <c r="H1539" s="115"/>
      <c r="I1539" s="115"/>
      <c r="L1539" s="160">
        <v>44270</v>
      </c>
      <c r="M1539" s="115">
        <v>717.35</v>
      </c>
      <c r="N1539" s="115">
        <v>729</v>
      </c>
      <c r="O1539" s="115">
        <v>712.1</v>
      </c>
      <c r="P1539" s="115">
        <v>728.2</v>
      </c>
      <c r="Q1539" s="115">
        <v>717.35</v>
      </c>
      <c r="R1539">
        <v>25565</v>
      </c>
    </row>
    <row r="1540" spans="1:18" x14ac:dyDescent="0.25">
      <c r="A1540" s="160">
        <v>44298</v>
      </c>
      <c r="B1540" s="115">
        <v>870</v>
      </c>
      <c r="C1540" s="115">
        <v>809.6</v>
      </c>
      <c r="D1540" s="115">
        <v>803.05</v>
      </c>
      <c r="E1540" s="115">
        <v>870</v>
      </c>
      <c r="F1540" s="115">
        <v>809.6</v>
      </c>
      <c r="G1540">
        <v>284</v>
      </c>
      <c r="H1540" s="115"/>
      <c r="I1540" s="115"/>
      <c r="L1540" s="160">
        <v>44271</v>
      </c>
      <c r="M1540" s="115">
        <v>727.3</v>
      </c>
      <c r="N1540" s="115">
        <v>740</v>
      </c>
      <c r="O1540" s="115">
        <v>715.1</v>
      </c>
      <c r="P1540" s="115">
        <v>717.35</v>
      </c>
      <c r="Q1540" s="115">
        <v>727.3</v>
      </c>
      <c r="R1540">
        <v>83082</v>
      </c>
    </row>
    <row r="1541" spans="1:18" x14ac:dyDescent="0.25">
      <c r="A1541" s="160">
        <v>44299</v>
      </c>
      <c r="B1541" s="115">
        <v>828.8</v>
      </c>
      <c r="C1541" s="115">
        <v>814.1</v>
      </c>
      <c r="D1541" s="115">
        <v>805.5</v>
      </c>
      <c r="E1541" s="115">
        <v>811</v>
      </c>
      <c r="F1541" s="115">
        <v>814.1</v>
      </c>
      <c r="G1541">
        <v>242</v>
      </c>
      <c r="H1541" s="115"/>
      <c r="I1541" s="115"/>
      <c r="L1541" s="160">
        <v>44272</v>
      </c>
      <c r="M1541" s="115">
        <v>723.4</v>
      </c>
      <c r="N1541" s="115">
        <v>728.95</v>
      </c>
      <c r="O1541" s="115">
        <v>717</v>
      </c>
      <c r="P1541" s="115">
        <v>727.15</v>
      </c>
      <c r="Q1541" s="115">
        <v>723.4</v>
      </c>
      <c r="R1541">
        <v>34227</v>
      </c>
    </row>
    <row r="1542" spans="1:18" x14ac:dyDescent="0.25">
      <c r="A1542" s="160">
        <v>44301</v>
      </c>
      <c r="B1542" s="115">
        <v>816</v>
      </c>
      <c r="C1542" s="115">
        <v>804.8</v>
      </c>
      <c r="D1542" s="115">
        <v>801</v>
      </c>
      <c r="E1542" s="115">
        <v>816</v>
      </c>
      <c r="F1542" s="115">
        <v>804.8</v>
      </c>
      <c r="G1542">
        <v>227</v>
      </c>
      <c r="H1542" s="115"/>
      <c r="I1542" s="115"/>
      <c r="L1542" s="160">
        <v>44273</v>
      </c>
      <c r="M1542" s="115">
        <v>707.85</v>
      </c>
      <c r="N1542" s="115">
        <v>730</v>
      </c>
      <c r="O1542" s="115">
        <v>704.95</v>
      </c>
      <c r="P1542" s="115">
        <v>730</v>
      </c>
      <c r="Q1542" s="115">
        <v>707.85</v>
      </c>
      <c r="R1542">
        <v>35145</v>
      </c>
    </row>
    <row r="1543" spans="1:18" x14ac:dyDescent="0.25">
      <c r="A1543" s="160">
        <v>44302</v>
      </c>
      <c r="B1543" s="115">
        <v>826.4</v>
      </c>
      <c r="C1543" s="115">
        <v>813.05</v>
      </c>
      <c r="D1543" s="115">
        <v>802.5</v>
      </c>
      <c r="E1543" s="115">
        <v>826.4</v>
      </c>
      <c r="F1543" s="115">
        <v>813.05</v>
      </c>
      <c r="G1543">
        <v>202</v>
      </c>
      <c r="H1543" s="115"/>
      <c r="I1543" s="115"/>
      <c r="L1543" s="160">
        <v>44274</v>
      </c>
      <c r="M1543" s="115">
        <v>706</v>
      </c>
      <c r="N1543" s="115">
        <v>708</v>
      </c>
      <c r="O1543" s="115">
        <v>690.75</v>
      </c>
      <c r="P1543" s="115">
        <v>701</v>
      </c>
      <c r="Q1543" s="115">
        <v>706</v>
      </c>
      <c r="R1543">
        <v>29670</v>
      </c>
    </row>
    <row r="1544" spans="1:18" x14ac:dyDescent="0.25">
      <c r="A1544" s="160">
        <v>44305</v>
      </c>
      <c r="B1544" s="115">
        <v>822.35</v>
      </c>
      <c r="C1544" s="115">
        <v>812.5</v>
      </c>
      <c r="D1544" s="115">
        <v>795.05</v>
      </c>
      <c r="E1544" s="115">
        <v>813.05</v>
      </c>
      <c r="F1544" s="115">
        <v>812.5</v>
      </c>
      <c r="G1544">
        <v>61</v>
      </c>
      <c r="H1544" s="115"/>
      <c r="I1544" s="115"/>
      <c r="L1544" s="160">
        <v>44277</v>
      </c>
      <c r="M1544" s="115">
        <v>704.3</v>
      </c>
      <c r="N1544" s="115">
        <v>713</v>
      </c>
      <c r="O1544" s="115">
        <v>700</v>
      </c>
      <c r="P1544" s="115">
        <v>708</v>
      </c>
      <c r="Q1544" s="115">
        <v>704.3</v>
      </c>
      <c r="R1544">
        <v>30270</v>
      </c>
    </row>
    <row r="1545" spans="1:18" x14ac:dyDescent="0.25">
      <c r="A1545" s="160">
        <v>44306</v>
      </c>
      <c r="B1545" s="115">
        <v>814</v>
      </c>
      <c r="C1545" s="115">
        <v>795.4</v>
      </c>
      <c r="D1545" s="115">
        <v>795.05</v>
      </c>
      <c r="E1545" s="115">
        <v>809</v>
      </c>
      <c r="F1545" s="115">
        <v>795.4</v>
      </c>
      <c r="G1545">
        <v>477</v>
      </c>
      <c r="H1545" s="115"/>
      <c r="I1545" s="115"/>
      <c r="L1545" s="160">
        <v>44278</v>
      </c>
      <c r="M1545" s="115">
        <v>704.5</v>
      </c>
      <c r="N1545" s="115">
        <v>710.1</v>
      </c>
      <c r="O1545" s="115">
        <v>700.2</v>
      </c>
      <c r="P1545" s="115">
        <v>709.8</v>
      </c>
      <c r="Q1545" s="115">
        <v>704.5</v>
      </c>
      <c r="R1545">
        <v>21005</v>
      </c>
    </row>
    <row r="1546" spans="1:18" x14ac:dyDescent="0.25">
      <c r="A1546" s="160">
        <v>44308</v>
      </c>
      <c r="B1546" s="115">
        <v>825</v>
      </c>
      <c r="C1546" s="115">
        <v>824.65</v>
      </c>
      <c r="D1546" s="115">
        <v>800.5</v>
      </c>
      <c r="E1546" s="115">
        <v>800.5</v>
      </c>
      <c r="F1546" s="115">
        <v>824.65</v>
      </c>
      <c r="G1546">
        <v>1394</v>
      </c>
      <c r="H1546" s="115"/>
      <c r="I1546" s="115"/>
      <c r="L1546" s="160">
        <v>44279</v>
      </c>
      <c r="M1546" s="115">
        <v>700.6</v>
      </c>
      <c r="N1546" s="115">
        <v>709</v>
      </c>
      <c r="O1546" s="115">
        <v>690</v>
      </c>
      <c r="P1546" s="115">
        <v>705</v>
      </c>
      <c r="Q1546" s="115">
        <v>700.6</v>
      </c>
      <c r="R1546">
        <v>38806</v>
      </c>
    </row>
    <row r="1547" spans="1:18" x14ac:dyDescent="0.25">
      <c r="A1547" s="160">
        <v>44309</v>
      </c>
      <c r="B1547" s="115">
        <v>825</v>
      </c>
      <c r="C1547" s="115">
        <v>817.45</v>
      </c>
      <c r="D1547" s="115">
        <v>814</v>
      </c>
      <c r="E1547" s="115">
        <v>821</v>
      </c>
      <c r="F1547" s="115">
        <v>817.45</v>
      </c>
      <c r="G1547">
        <v>353</v>
      </c>
      <c r="H1547" s="115"/>
      <c r="I1547" s="115"/>
      <c r="L1547" s="160">
        <v>44280</v>
      </c>
      <c r="M1547" s="115">
        <v>681.65</v>
      </c>
      <c r="N1547" s="115">
        <v>704</v>
      </c>
      <c r="O1547" s="115">
        <v>678</v>
      </c>
      <c r="P1547" s="115">
        <v>704</v>
      </c>
      <c r="Q1547" s="115">
        <v>681.65</v>
      </c>
      <c r="R1547">
        <v>35288</v>
      </c>
    </row>
    <row r="1548" spans="1:18" x14ac:dyDescent="0.25">
      <c r="A1548" s="160">
        <v>44312</v>
      </c>
      <c r="B1548" s="115">
        <v>825</v>
      </c>
      <c r="C1548" s="115">
        <v>802.15</v>
      </c>
      <c r="D1548" s="115">
        <v>802.15</v>
      </c>
      <c r="E1548" s="115">
        <v>815.1</v>
      </c>
      <c r="F1548" s="115">
        <v>802.15</v>
      </c>
      <c r="G1548">
        <v>346</v>
      </c>
      <c r="H1548" s="115"/>
      <c r="I1548" s="115"/>
      <c r="L1548" s="160">
        <v>44281</v>
      </c>
      <c r="M1548" s="115">
        <v>688.15</v>
      </c>
      <c r="N1548" s="115">
        <v>693.65</v>
      </c>
      <c r="O1548" s="115">
        <v>677.4</v>
      </c>
      <c r="P1548" s="115">
        <v>685.2</v>
      </c>
      <c r="Q1548" s="115">
        <v>688.15</v>
      </c>
      <c r="R1548">
        <v>44192</v>
      </c>
    </row>
    <row r="1549" spans="1:18" x14ac:dyDescent="0.25">
      <c r="A1549" s="160">
        <v>44313</v>
      </c>
      <c r="B1549" s="115">
        <v>819.95</v>
      </c>
      <c r="C1549" s="115">
        <v>819.95</v>
      </c>
      <c r="D1549" s="115">
        <v>800.05</v>
      </c>
      <c r="E1549" s="115">
        <v>800.1</v>
      </c>
      <c r="F1549" s="115">
        <v>819.95</v>
      </c>
      <c r="G1549">
        <v>365</v>
      </c>
      <c r="H1549" s="115"/>
      <c r="I1549" s="115"/>
      <c r="L1549" s="160">
        <v>44285</v>
      </c>
      <c r="M1549" s="115">
        <v>679.05</v>
      </c>
      <c r="N1549" s="115">
        <v>696</v>
      </c>
      <c r="O1549" s="115">
        <v>672.1</v>
      </c>
      <c r="P1549" s="115">
        <v>689</v>
      </c>
      <c r="Q1549" s="115">
        <v>679.05</v>
      </c>
      <c r="R1549">
        <v>56449</v>
      </c>
    </row>
    <row r="1550" spans="1:18" x14ac:dyDescent="0.25">
      <c r="A1550" s="160">
        <v>44314</v>
      </c>
      <c r="B1550" s="115">
        <v>822</v>
      </c>
      <c r="C1550" s="115">
        <v>821</v>
      </c>
      <c r="D1550" s="115">
        <v>815</v>
      </c>
      <c r="E1550" s="115">
        <v>818.5</v>
      </c>
      <c r="F1550" s="115">
        <v>821</v>
      </c>
      <c r="G1550">
        <v>171</v>
      </c>
      <c r="H1550" s="115"/>
      <c r="I1550" s="115"/>
      <c r="L1550" s="160">
        <v>44286</v>
      </c>
      <c r="M1550" s="115">
        <v>689.7</v>
      </c>
      <c r="N1550" s="115">
        <v>698.55</v>
      </c>
      <c r="O1550" s="115">
        <v>658</v>
      </c>
      <c r="P1550" s="115">
        <v>689</v>
      </c>
      <c r="Q1550" s="115">
        <v>689.7</v>
      </c>
      <c r="R1550">
        <v>55773</v>
      </c>
    </row>
    <row r="1551" spans="1:18" x14ac:dyDescent="0.25">
      <c r="A1551" s="160">
        <v>44315</v>
      </c>
      <c r="B1551" s="115">
        <v>830.3</v>
      </c>
      <c r="C1551" s="115">
        <v>829</v>
      </c>
      <c r="D1551" s="115">
        <v>810.05</v>
      </c>
      <c r="E1551" s="115">
        <v>810.05</v>
      </c>
      <c r="F1551" s="115">
        <v>829</v>
      </c>
      <c r="G1551">
        <v>233</v>
      </c>
      <c r="H1551" s="115"/>
      <c r="I1551" s="115"/>
      <c r="L1551" s="160">
        <v>44287</v>
      </c>
      <c r="M1551" s="115">
        <v>717.15</v>
      </c>
      <c r="N1551" s="115">
        <v>722.4</v>
      </c>
      <c r="O1551" s="115">
        <v>690</v>
      </c>
      <c r="P1551" s="115">
        <v>695.95</v>
      </c>
      <c r="Q1551" s="115">
        <v>717.15</v>
      </c>
      <c r="R1551">
        <v>90080</v>
      </c>
    </row>
    <row r="1552" spans="1:18" x14ac:dyDescent="0.25">
      <c r="A1552" s="160">
        <v>44316</v>
      </c>
      <c r="B1552" s="115">
        <v>866.4</v>
      </c>
      <c r="C1552" s="115">
        <v>850</v>
      </c>
      <c r="D1552" s="115">
        <v>830</v>
      </c>
      <c r="E1552" s="115">
        <v>830</v>
      </c>
      <c r="F1552" s="115">
        <v>850</v>
      </c>
      <c r="G1552">
        <v>3226</v>
      </c>
      <c r="H1552" s="115"/>
      <c r="I1552" s="115"/>
      <c r="L1552" s="160">
        <v>44291</v>
      </c>
      <c r="M1552" s="115">
        <v>733.05</v>
      </c>
      <c r="N1552" s="115">
        <v>736</v>
      </c>
      <c r="O1552" s="115">
        <v>695.45</v>
      </c>
      <c r="P1552" s="115">
        <v>717.15</v>
      </c>
      <c r="Q1552" s="115">
        <v>733.05</v>
      </c>
      <c r="R1552">
        <v>62019</v>
      </c>
    </row>
    <row r="1553" spans="1:18" x14ac:dyDescent="0.25">
      <c r="A1553" s="160">
        <v>44319</v>
      </c>
      <c r="B1553" s="115">
        <v>859</v>
      </c>
      <c r="C1553" s="115">
        <v>840.05</v>
      </c>
      <c r="D1553" s="115">
        <v>832</v>
      </c>
      <c r="E1553" s="115">
        <v>848</v>
      </c>
      <c r="F1553" s="115">
        <v>840.05</v>
      </c>
      <c r="G1553">
        <v>2244</v>
      </c>
      <c r="H1553" s="115"/>
      <c r="I1553" s="115"/>
      <c r="L1553" s="160">
        <v>44292</v>
      </c>
      <c r="M1553" s="115">
        <v>737.1</v>
      </c>
      <c r="N1553" s="115">
        <v>760</v>
      </c>
      <c r="O1553" s="115">
        <v>720.6</v>
      </c>
      <c r="P1553" s="115">
        <v>736.3</v>
      </c>
      <c r="Q1553" s="115">
        <v>737.1</v>
      </c>
      <c r="R1553">
        <v>133112</v>
      </c>
    </row>
    <row r="1554" spans="1:18" x14ac:dyDescent="0.25">
      <c r="A1554" s="160">
        <v>44320</v>
      </c>
      <c r="B1554" s="115">
        <v>855</v>
      </c>
      <c r="C1554" s="115">
        <v>846</v>
      </c>
      <c r="D1554" s="115">
        <v>843</v>
      </c>
      <c r="E1554" s="115">
        <v>850</v>
      </c>
      <c r="F1554" s="115">
        <v>846</v>
      </c>
      <c r="G1554">
        <v>1711</v>
      </c>
      <c r="H1554" s="115"/>
      <c r="I1554" s="115"/>
      <c r="L1554" s="160">
        <v>44293</v>
      </c>
      <c r="M1554" s="115">
        <v>748.45</v>
      </c>
      <c r="N1554" s="115">
        <v>754.9</v>
      </c>
      <c r="O1554" s="115">
        <v>735.7</v>
      </c>
      <c r="P1554" s="115">
        <v>741.95</v>
      </c>
      <c r="Q1554" s="115">
        <v>748.45</v>
      </c>
      <c r="R1554">
        <v>46716</v>
      </c>
    </row>
    <row r="1555" spans="1:18" x14ac:dyDescent="0.25">
      <c r="A1555" s="160">
        <v>44321</v>
      </c>
      <c r="B1555" s="115">
        <v>853</v>
      </c>
      <c r="C1555" s="115">
        <v>852.35</v>
      </c>
      <c r="D1555" s="115">
        <v>828.05</v>
      </c>
      <c r="E1555" s="115">
        <v>828.05</v>
      </c>
      <c r="F1555" s="115">
        <v>852.35</v>
      </c>
      <c r="G1555">
        <v>1234</v>
      </c>
      <c r="H1555" s="115"/>
      <c r="I1555" s="115"/>
      <c r="L1555" s="160">
        <v>44294</v>
      </c>
      <c r="M1555" s="115">
        <v>748.65</v>
      </c>
      <c r="N1555" s="115">
        <v>761</v>
      </c>
      <c r="O1555" s="115">
        <v>745</v>
      </c>
      <c r="P1555" s="115">
        <v>752.4</v>
      </c>
      <c r="Q1555" s="115">
        <v>748.65</v>
      </c>
      <c r="R1555">
        <v>52796</v>
      </c>
    </row>
    <row r="1556" spans="1:18" x14ac:dyDescent="0.25">
      <c r="A1556" s="160">
        <v>44322</v>
      </c>
      <c r="B1556" s="115">
        <v>869.95</v>
      </c>
      <c r="C1556" s="115">
        <v>850.9</v>
      </c>
      <c r="D1556" s="115">
        <v>850</v>
      </c>
      <c r="E1556" s="115">
        <v>860</v>
      </c>
      <c r="F1556" s="115">
        <v>850.9</v>
      </c>
      <c r="G1556">
        <v>4403</v>
      </c>
      <c r="H1556" s="115"/>
      <c r="I1556" s="115"/>
      <c r="L1556" s="160">
        <v>44295</v>
      </c>
      <c r="M1556" s="115">
        <v>745.35</v>
      </c>
      <c r="N1556" s="115">
        <v>760</v>
      </c>
      <c r="O1556" s="115">
        <v>734.1</v>
      </c>
      <c r="P1556" s="115">
        <v>750</v>
      </c>
      <c r="Q1556" s="115">
        <v>745.35</v>
      </c>
      <c r="R1556">
        <v>47631</v>
      </c>
    </row>
    <row r="1557" spans="1:18" x14ac:dyDescent="0.25">
      <c r="A1557" s="160">
        <v>44323</v>
      </c>
      <c r="B1557" s="115">
        <v>868.5</v>
      </c>
      <c r="C1557" s="115">
        <v>849.85</v>
      </c>
      <c r="D1557" s="115">
        <v>840.1</v>
      </c>
      <c r="E1557" s="115">
        <v>840.1</v>
      </c>
      <c r="F1557" s="115">
        <v>849.85</v>
      </c>
      <c r="G1557">
        <v>2319</v>
      </c>
      <c r="H1557" s="115"/>
      <c r="I1557" s="115"/>
      <c r="L1557" s="160">
        <v>44298</v>
      </c>
      <c r="M1557" s="115">
        <v>719.75</v>
      </c>
      <c r="N1557" s="115">
        <v>741.35</v>
      </c>
      <c r="O1557" s="115">
        <v>704.25</v>
      </c>
      <c r="P1557" s="115">
        <v>726</v>
      </c>
      <c r="Q1557" s="115">
        <v>719.75</v>
      </c>
      <c r="R1557">
        <v>97586</v>
      </c>
    </row>
    <row r="1558" spans="1:18" x14ac:dyDescent="0.25">
      <c r="A1558" s="160">
        <v>44326</v>
      </c>
      <c r="B1558" s="115">
        <v>926</v>
      </c>
      <c r="C1558" s="115">
        <v>903.05</v>
      </c>
      <c r="D1558" s="115">
        <v>850</v>
      </c>
      <c r="E1558" s="115">
        <v>855</v>
      </c>
      <c r="F1558" s="115">
        <v>903.05</v>
      </c>
      <c r="G1558">
        <v>5868</v>
      </c>
      <c r="H1558" s="115"/>
      <c r="I1558" s="115"/>
      <c r="L1558" s="160">
        <v>44299</v>
      </c>
      <c r="M1558" s="115">
        <v>728.3</v>
      </c>
      <c r="N1558" s="115">
        <v>732.8</v>
      </c>
      <c r="O1558" s="115">
        <v>692</v>
      </c>
      <c r="P1558" s="115">
        <v>713.2</v>
      </c>
      <c r="Q1558" s="115">
        <v>728.3</v>
      </c>
      <c r="R1558">
        <v>38119</v>
      </c>
    </row>
    <row r="1559" spans="1:18" x14ac:dyDescent="0.25">
      <c r="A1559" s="160">
        <v>44327</v>
      </c>
      <c r="B1559" s="115">
        <v>935</v>
      </c>
      <c r="C1559" s="115">
        <v>919.5</v>
      </c>
      <c r="D1559" s="115">
        <v>901.85</v>
      </c>
      <c r="E1559" s="115">
        <v>935</v>
      </c>
      <c r="F1559" s="115">
        <v>919.5</v>
      </c>
      <c r="G1559">
        <v>3534</v>
      </c>
      <c r="H1559" s="115"/>
      <c r="I1559" s="115"/>
      <c r="L1559" s="160">
        <v>44301</v>
      </c>
      <c r="M1559" s="115">
        <v>720.75</v>
      </c>
      <c r="N1559" s="115">
        <v>727.8</v>
      </c>
      <c r="O1559" s="115">
        <v>707.45</v>
      </c>
      <c r="P1559" s="115">
        <v>727.8</v>
      </c>
      <c r="Q1559" s="115">
        <v>720.75</v>
      </c>
      <c r="R1559">
        <v>33707</v>
      </c>
    </row>
    <row r="1560" spans="1:18" x14ac:dyDescent="0.25">
      <c r="A1560" s="160">
        <v>44328</v>
      </c>
      <c r="B1560" s="115">
        <v>973</v>
      </c>
      <c r="C1560" s="115">
        <v>945.25</v>
      </c>
      <c r="D1560" s="115">
        <v>911.5</v>
      </c>
      <c r="E1560" s="115">
        <v>931</v>
      </c>
      <c r="F1560" s="115">
        <v>945.25</v>
      </c>
      <c r="G1560">
        <v>6115</v>
      </c>
      <c r="H1560" s="115"/>
      <c r="I1560" s="115"/>
      <c r="L1560" s="160">
        <v>44302</v>
      </c>
      <c r="M1560" s="115">
        <v>727.75</v>
      </c>
      <c r="N1560" s="115">
        <v>731.85</v>
      </c>
      <c r="O1560" s="115">
        <v>715.95</v>
      </c>
      <c r="P1560" s="115">
        <v>720.75</v>
      </c>
      <c r="Q1560" s="115">
        <v>727.75</v>
      </c>
      <c r="R1560">
        <v>19705</v>
      </c>
    </row>
    <row r="1561" spans="1:18" x14ac:dyDescent="0.25">
      <c r="A1561" s="160">
        <v>44330</v>
      </c>
      <c r="B1561" s="115">
        <v>968</v>
      </c>
      <c r="C1561" s="115">
        <v>956.4</v>
      </c>
      <c r="D1561" s="115">
        <v>934.15</v>
      </c>
      <c r="E1561" s="115">
        <v>949</v>
      </c>
      <c r="F1561" s="115">
        <v>956.4</v>
      </c>
      <c r="G1561">
        <v>1866</v>
      </c>
      <c r="H1561" s="115"/>
      <c r="I1561" s="115"/>
      <c r="L1561" s="160">
        <v>44305</v>
      </c>
      <c r="M1561" s="115">
        <v>710.75</v>
      </c>
      <c r="N1561" s="115">
        <v>721.1</v>
      </c>
      <c r="O1561" s="115">
        <v>697.1</v>
      </c>
      <c r="P1561" s="115">
        <v>721.1</v>
      </c>
      <c r="Q1561" s="115">
        <v>710.75</v>
      </c>
      <c r="R1561">
        <v>38848</v>
      </c>
    </row>
    <row r="1562" spans="1:18" x14ac:dyDescent="0.25">
      <c r="A1562" s="160">
        <v>44333</v>
      </c>
      <c r="B1562" s="115">
        <v>960</v>
      </c>
      <c r="C1562" s="115">
        <v>947.55</v>
      </c>
      <c r="D1562" s="115">
        <v>946.45</v>
      </c>
      <c r="E1562" s="115">
        <v>960</v>
      </c>
      <c r="F1562" s="115">
        <v>947.55</v>
      </c>
      <c r="G1562">
        <v>360</v>
      </c>
      <c r="H1562" s="115"/>
      <c r="I1562" s="115"/>
      <c r="L1562" s="160">
        <v>44306</v>
      </c>
      <c r="M1562" s="115">
        <v>714.3</v>
      </c>
      <c r="N1562" s="115">
        <v>730</v>
      </c>
      <c r="O1562" s="115">
        <v>706.1</v>
      </c>
      <c r="P1562" s="115">
        <v>710</v>
      </c>
      <c r="Q1562" s="115">
        <v>714.3</v>
      </c>
      <c r="R1562">
        <v>52316</v>
      </c>
    </row>
    <row r="1563" spans="1:18" x14ac:dyDescent="0.25">
      <c r="A1563" s="160">
        <v>44334</v>
      </c>
      <c r="B1563" s="115">
        <v>959.9</v>
      </c>
      <c r="C1563" s="115">
        <v>951.05</v>
      </c>
      <c r="D1563" s="115">
        <v>947.55</v>
      </c>
      <c r="E1563" s="115">
        <v>947.55</v>
      </c>
      <c r="F1563" s="115">
        <v>951.05</v>
      </c>
      <c r="G1563">
        <v>1561</v>
      </c>
      <c r="H1563" s="115"/>
      <c r="I1563" s="115"/>
      <c r="L1563" s="160">
        <v>44308</v>
      </c>
      <c r="M1563" s="115">
        <v>740.35</v>
      </c>
      <c r="N1563" s="115">
        <v>748.8</v>
      </c>
      <c r="O1563" s="115">
        <v>718</v>
      </c>
      <c r="P1563" s="115">
        <v>719.9</v>
      </c>
      <c r="Q1563" s="115">
        <v>740.35</v>
      </c>
      <c r="R1563">
        <v>46973</v>
      </c>
    </row>
    <row r="1564" spans="1:18" x14ac:dyDescent="0.25">
      <c r="A1564" s="160">
        <v>44335</v>
      </c>
      <c r="B1564" s="115">
        <v>969</v>
      </c>
      <c r="C1564" s="115">
        <v>948.1</v>
      </c>
      <c r="D1564" s="115">
        <v>944.15</v>
      </c>
      <c r="E1564" s="115">
        <v>969</v>
      </c>
      <c r="F1564" s="115">
        <v>948.1</v>
      </c>
      <c r="G1564">
        <v>617</v>
      </c>
      <c r="H1564" s="115"/>
      <c r="I1564" s="115"/>
      <c r="L1564" s="160">
        <v>44309</v>
      </c>
      <c r="M1564" s="115">
        <v>767.9</v>
      </c>
      <c r="N1564" s="115">
        <v>792</v>
      </c>
      <c r="O1564" s="115">
        <v>740</v>
      </c>
      <c r="P1564" s="115">
        <v>751.5</v>
      </c>
      <c r="Q1564" s="115">
        <v>767.9</v>
      </c>
      <c r="R1564">
        <v>242262</v>
      </c>
    </row>
    <row r="1565" spans="1:18" x14ac:dyDescent="0.25">
      <c r="A1565" s="160">
        <v>44336</v>
      </c>
      <c r="B1565" s="115">
        <v>970</v>
      </c>
      <c r="C1565" s="115">
        <v>956.25</v>
      </c>
      <c r="D1565" s="115">
        <v>942</v>
      </c>
      <c r="E1565" s="115">
        <v>962</v>
      </c>
      <c r="F1565" s="115">
        <v>956.25</v>
      </c>
      <c r="G1565">
        <v>1785</v>
      </c>
      <c r="H1565" s="115"/>
      <c r="I1565" s="115"/>
      <c r="L1565" s="160">
        <v>44312</v>
      </c>
      <c r="M1565" s="115">
        <v>777.45</v>
      </c>
      <c r="N1565" s="115">
        <v>790</v>
      </c>
      <c r="O1565" s="115">
        <v>770.05</v>
      </c>
      <c r="P1565" s="115">
        <v>780.95</v>
      </c>
      <c r="Q1565" s="115">
        <v>777.45</v>
      </c>
      <c r="R1565">
        <v>89997</v>
      </c>
    </row>
    <row r="1566" spans="1:18" x14ac:dyDescent="0.25">
      <c r="A1566" s="160">
        <v>44337</v>
      </c>
      <c r="B1566" s="115">
        <v>965</v>
      </c>
      <c r="C1566" s="115">
        <v>960.05</v>
      </c>
      <c r="D1566" s="115">
        <v>915</v>
      </c>
      <c r="E1566" s="115">
        <v>915</v>
      </c>
      <c r="F1566" s="115">
        <v>960.05</v>
      </c>
      <c r="G1566">
        <v>1263</v>
      </c>
      <c r="H1566" s="115"/>
      <c r="I1566" s="115"/>
      <c r="L1566" s="160">
        <v>44313</v>
      </c>
      <c r="M1566" s="115">
        <v>766.2</v>
      </c>
      <c r="N1566" s="115">
        <v>785.7</v>
      </c>
      <c r="O1566" s="115">
        <v>753.4</v>
      </c>
      <c r="P1566" s="115">
        <v>785</v>
      </c>
      <c r="Q1566" s="115">
        <v>766.2</v>
      </c>
      <c r="R1566">
        <v>56241</v>
      </c>
    </row>
    <row r="1567" spans="1:18" x14ac:dyDescent="0.25">
      <c r="A1567" s="160">
        <v>44340</v>
      </c>
      <c r="B1567" s="115">
        <v>975</v>
      </c>
      <c r="C1567" s="115">
        <v>967.65</v>
      </c>
      <c r="D1567" s="115">
        <v>945</v>
      </c>
      <c r="E1567" s="115">
        <v>945</v>
      </c>
      <c r="F1567" s="115">
        <v>967.65</v>
      </c>
      <c r="G1567">
        <v>810</v>
      </c>
      <c r="H1567" s="115"/>
      <c r="I1567" s="115"/>
      <c r="L1567" s="160">
        <v>44314</v>
      </c>
      <c r="M1567" s="115">
        <v>748.95</v>
      </c>
      <c r="N1567" s="115">
        <v>775</v>
      </c>
      <c r="O1567" s="115">
        <v>741</v>
      </c>
      <c r="P1567" s="115">
        <v>775</v>
      </c>
      <c r="Q1567" s="115">
        <v>748.95</v>
      </c>
      <c r="R1567">
        <v>67651</v>
      </c>
    </row>
    <row r="1568" spans="1:18" x14ac:dyDescent="0.25">
      <c r="A1568" s="160">
        <v>44341</v>
      </c>
      <c r="B1568" s="115">
        <v>989</v>
      </c>
      <c r="C1568" s="115">
        <v>977.05</v>
      </c>
      <c r="D1568" s="115">
        <v>960.05</v>
      </c>
      <c r="E1568" s="115">
        <v>975</v>
      </c>
      <c r="F1568" s="115">
        <v>977.05</v>
      </c>
      <c r="G1568">
        <v>1426</v>
      </c>
      <c r="H1568" s="115"/>
      <c r="I1568" s="115"/>
      <c r="L1568" s="160">
        <v>44315</v>
      </c>
      <c r="M1568" s="115">
        <v>756.75</v>
      </c>
      <c r="N1568" s="115">
        <v>765</v>
      </c>
      <c r="O1568" s="115">
        <v>745</v>
      </c>
      <c r="P1568" s="115">
        <v>757</v>
      </c>
      <c r="Q1568" s="115">
        <v>756.75</v>
      </c>
      <c r="R1568">
        <v>47239</v>
      </c>
    </row>
    <row r="1569" spans="1:18" x14ac:dyDescent="0.25">
      <c r="A1569" s="160">
        <v>44342</v>
      </c>
      <c r="B1569" s="115">
        <v>990</v>
      </c>
      <c r="C1569" s="115">
        <v>951.95</v>
      </c>
      <c r="D1569" s="115">
        <v>939</v>
      </c>
      <c r="E1569" s="115">
        <v>985</v>
      </c>
      <c r="F1569" s="115">
        <v>951.95</v>
      </c>
      <c r="G1569">
        <v>940</v>
      </c>
      <c r="H1569" s="115"/>
      <c r="I1569" s="115"/>
      <c r="L1569" s="160">
        <v>44316</v>
      </c>
      <c r="M1569" s="115">
        <v>768.85</v>
      </c>
      <c r="N1569" s="115">
        <v>786.5</v>
      </c>
      <c r="O1569" s="115">
        <v>750.05</v>
      </c>
      <c r="P1569" s="115">
        <v>761</v>
      </c>
      <c r="Q1569" s="115">
        <v>768.85</v>
      </c>
      <c r="R1569">
        <v>91100</v>
      </c>
    </row>
    <row r="1570" spans="1:18" x14ac:dyDescent="0.25">
      <c r="A1570" s="160">
        <v>44343</v>
      </c>
      <c r="B1570" s="115">
        <v>988</v>
      </c>
      <c r="C1570" s="115">
        <v>974.2</v>
      </c>
      <c r="D1570" s="115">
        <v>953.1</v>
      </c>
      <c r="E1570" s="115">
        <v>969.95</v>
      </c>
      <c r="F1570" s="115">
        <v>974.2</v>
      </c>
      <c r="G1570">
        <v>674</v>
      </c>
      <c r="H1570" s="115"/>
      <c r="I1570" s="115"/>
      <c r="L1570" s="160">
        <v>44319</v>
      </c>
      <c r="M1570" s="115">
        <v>810.9</v>
      </c>
      <c r="N1570" s="115">
        <v>848</v>
      </c>
      <c r="O1570" s="115">
        <v>764</v>
      </c>
      <c r="P1570" s="115">
        <v>768.85</v>
      </c>
      <c r="Q1570" s="115">
        <v>810.9</v>
      </c>
      <c r="R1570">
        <v>909177</v>
      </c>
    </row>
    <row r="1571" spans="1:18" x14ac:dyDescent="0.25">
      <c r="A1571" s="160">
        <v>44344</v>
      </c>
      <c r="B1571" s="115">
        <v>909</v>
      </c>
      <c r="C1571" s="115">
        <v>839.3</v>
      </c>
      <c r="D1571" s="115">
        <v>830</v>
      </c>
      <c r="E1571" s="115">
        <v>909</v>
      </c>
      <c r="F1571" s="115">
        <v>839.3</v>
      </c>
      <c r="G1571">
        <v>10943</v>
      </c>
      <c r="H1571" s="115"/>
      <c r="I1571" s="115"/>
      <c r="L1571" s="160">
        <v>44320</v>
      </c>
      <c r="M1571" s="115">
        <v>794.2</v>
      </c>
      <c r="N1571" s="115">
        <v>837.25</v>
      </c>
      <c r="O1571" s="115">
        <v>778</v>
      </c>
      <c r="P1571" s="115">
        <v>827.15</v>
      </c>
      <c r="Q1571" s="115">
        <v>794.2</v>
      </c>
      <c r="R1571">
        <v>257279</v>
      </c>
    </row>
    <row r="1572" spans="1:18" x14ac:dyDescent="0.25">
      <c r="A1572" s="160">
        <v>44347</v>
      </c>
      <c r="B1572" s="115">
        <v>840</v>
      </c>
      <c r="C1572" s="115">
        <v>810.8</v>
      </c>
      <c r="D1572" s="115">
        <v>800</v>
      </c>
      <c r="E1572" s="115">
        <v>840</v>
      </c>
      <c r="F1572" s="115">
        <v>810.8</v>
      </c>
      <c r="G1572">
        <v>1837</v>
      </c>
      <c r="H1572" s="115"/>
      <c r="I1572" s="115"/>
      <c r="L1572" s="160">
        <v>44321</v>
      </c>
      <c r="M1572" s="115">
        <v>801.8</v>
      </c>
      <c r="N1572" s="115">
        <v>817.15</v>
      </c>
      <c r="O1572" s="115">
        <v>794.2</v>
      </c>
      <c r="P1572" s="115">
        <v>805</v>
      </c>
      <c r="Q1572" s="115">
        <v>801.8</v>
      </c>
      <c r="R1572">
        <v>78667</v>
      </c>
    </row>
    <row r="1573" spans="1:18" x14ac:dyDescent="0.25">
      <c r="A1573" s="160">
        <v>44348</v>
      </c>
      <c r="B1573" s="115">
        <v>839.9</v>
      </c>
      <c r="C1573" s="115">
        <v>783.55</v>
      </c>
      <c r="D1573" s="115">
        <v>771</v>
      </c>
      <c r="E1573" s="115">
        <v>839.9</v>
      </c>
      <c r="F1573" s="115">
        <v>783.55</v>
      </c>
      <c r="G1573">
        <v>1804</v>
      </c>
      <c r="H1573" s="115"/>
      <c r="I1573" s="115"/>
      <c r="L1573" s="160">
        <v>44322</v>
      </c>
      <c r="M1573" s="115">
        <v>807</v>
      </c>
      <c r="N1573" s="115">
        <v>813.95</v>
      </c>
      <c r="O1573" s="115">
        <v>788.9</v>
      </c>
      <c r="P1573" s="115">
        <v>804</v>
      </c>
      <c r="Q1573" s="115">
        <v>807</v>
      </c>
      <c r="R1573">
        <v>56435</v>
      </c>
    </row>
    <row r="1574" spans="1:18" x14ac:dyDescent="0.25">
      <c r="A1574" s="160">
        <v>44349</v>
      </c>
      <c r="B1574" s="115">
        <v>790</v>
      </c>
      <c r="C1574" s="115">
        <v>772.4</v>
      </c>
      <c r="D1574" s="115">
        <v>765</v>
      </c>
      <c r="E1574" s="115">
        <v>790</v>
      </c>
      <c r="F1574" s="115">
        <v>772.4</v>
      </c>
      <c r="G1574">
        <v>871</v>
      </c>
      <c r="H1574" s="115"/>
      <c r="I1574" s="115"/>
      <c r="L1574" s="160">
        <v>44323</v>
      </c>
      <c r="M1574" s="115">
        <v>801.15</v>
      </c>
      <c r="N1574" s="115">
        <v>820</v>
      </c>
      <c r="O1574" s="115">
        <v>789.95</v>
      </c>
      <c r="P1574" s="115">
        <v>807</v>
      </c>
      <c r="Q1574" s="115">
        <v>801.15</v>
      </c>
      <c r="R1574">
        <v>111953</v>
      </c>
    </row>
    <row r="1575" spans="1:18" x14ac:dyDescent="0.25">
      <c r="A1575" s="160">
        <v>44350</v>
      </c>
      <c r="B1575" s="115">
        <v>794.95</v>
      </c>
      <c r="C1575" s="115">
        <v>785</v>
      </c>
      <c r="D1575" s="115">
        <v>767.1</v>
      </c>
      <c r="E1575" s="115">
        <v>794.95</v>
      </c>
      <c r="F1575" s="115">
        <v>785</v>
      </c>
      <c r="G1575">
        <v>895</v>
      </c>
      <c r="H1575" s="115"/>
      <c r="I1575" s="115"/>
      <c r="L1575" s="160">
        <v>44326</v>
      </c>
      <c r="M1575" s="115">
        <v>847.6</v>
      </c>
      <c r="N1575" s="115">
        <v>866</v>
      </c>
      <c r="O1575" s="115">
        <v>808.9</v>
      </c>
      <c r="P1575" s="115">
        <v>808.9</v>
      </c>
      <c r="Q1575" s="115">
        <v>847.6</v>
      </c>
      <c r="R1575">
        <v>949838</v>
      </c>
    </row>
    <row r="1576" spans="1:18" x14ac:dyDescent="0.25">
      <c r="A1576" s="160">
        <v>44351</v>
      </c>
      <c r="B1576" s="115">
        <v>849.95</v>
      </c>
      <c r="C1576" s="115">
        <v>828.6</v>
      </c>
      <c r="D1576" s="115">
        <v>780</v>
      </c>
      <c r="E1576" s="115">
        <v>789.8</v>
      </c>
      <c r="F1576" s="115">
        <v>828.6</v>
      </c>
      <c r="G1576">
        <v>4396</v>
      </c>
      <c r="H1576" s="115"/>
      <c r="I1576" s="115"/>
      <c r="L1576" s="160">
        <v>44327</v>
      </c>
      <c r="M1576" s="115">
        <v>855.65</v>
      </c>
      <c r="N1576" s="115">
        <v>873</v>
      </c>
      <c r="O1576" s="115">
        <v>832.6</v>
      </c>
      <c r="P1576" s="115">
        <v>843</v>
      </c>
      <c r="Q1576" s="115">
        <v>855.65</v>
      </c>
      <c r="R1576">
        <v>324211</v>
      </c>
    </row>
    <row r="1577" spans="1:18" x14ac:dyDescent="0.25">
      <c r="A1577" s="160">
        <v>44354</v>
      </c>
      <c r="B1577" s="115">
        <v>848</v>
      </c>
      <c r="C1577" s="115">
        <v>820.4</v>
      </c>
      <c r="D1577" s="115">
        <v>780.35</v>
      </c>
      <c r="E1577" s="115">
        <v>825</v>
      </c>
      <c r="F1577" s="115">
        <v>820.4</v>
      </c>
      <c r="G1577">
        <v>6244</v>
      </c>
      <c r="H1577" s="115"/>
      <c r="I1577" s="115"/>
      <c r="L1577" s="160">
        <v>44328</v>
      </c>
      <c r="M1577" s="115">
        <v>866.3</v>
      </c>
      <c r="N1577" s="115">
        <v>899</v>
      </c>
      <c r="O1577" s="115">
        <v>856.45</v>
      </c>
      <c r="P1577" s="115">
        <v>862.85</v>
      </c>
      <c r="Q1577" s="115">
        <v>866.3</v>
      </c>
      <c r="R1577">
        <v>417389</v>
      </c>
    </row>
    <row r="1578" spans="1:18" x14ac:dyDescent="0.25">
      <c r="A1578" s="160">
        <v>44355</v>
      </c>
      <c r="B1578" s="115">
        <v>832</v>
      </c>
      <c r="C1578" s="115">
        <v>813.3</v>
      </c>
      <c r="D1578" s="115">
        <v>810</v>
      </c>
      <c r="E1578" s="115">
        <v>824.95</v>
      </c>
      <c r="F1578" s="115">
        <v>813.3</v>
      </c>
      <c r="G1578">
        <v>449</v>
      </c>
      <c r="H1578" s="115"/>
      <c r="I1578" s="115"/>
      <c r="L1578" s="160">
        <v>44330</v>
      </c>
      <c r="M1578" s="115">
        <v>886.85</v>
      </c>
      <c r="N1578" s="115">
        <v>929.4</v>
      </c>
      <c r="O1578" s="115">
        <v>877</v>
      </c>
      <c r="P1578" s="115">
        <v>878.9</v>
      </c>
      <c r="Q1578" s="115">
        <v>886.85</v>
      </c>
      <c r="R1578">
        <v>952298</v>
      </c>
    </row>
    <row r="1579" spans="1:18" x14ac:dyDescent="0.25">
      <c r="A1579" s="160">
        <v>44356</v>
      </c>
      <c r="B1579" s="115">
        <v>855</v>
      </c>
      <c r="C1579" s="115">
        <v>823.55</v>
      </c>
      <c r="D1579" s="115">
        <v>802</v>
      </c>
      <c r="E1579" s="115">
        <v>802.05</v>
      </c>
      <c r="F1579" s="115">
        <v>823.55</v>
      </c>
      <c r="G1579">
        <v>3535</v>
      </c>
      <c r="H1579" s="115"/>
      <c r="I1579" s="115"/>
      <c r="L1579" s="160">
        <v>44333</v>
      </c>
      <c r="M1579" s="115">
        <v>907.55</v>
      </c>
      <c r="N1579" s="115">
        <v>952.05</v>
      </c>
      <c r="O1579" s="115">
        <v>895.25</v>
      </c>
      <c r="P1579" s="115">
        <v>903.7</v>
      </c>
      <c r="Q1579" s="115">
        <v>907.55</v>
      </c>
      <c r="R1579">
        <v>630638</v>
      </c>
    </row>
    <row r="1580" spans="1:18" x14ac:dyDescent="0.25">
      <c r="A1580" s="160">
        <v>44357</v>
      </c>
      <c r="B1580" s="115">
        <v>860</v>
      </c>
      <c r="C1580" s="115">
        <v>847.65</v>
      </c>
      <c r="D1580" s="115">
        <v>825</v>
      </c>
      <c r="E1580" s="115">
        <v>843.95</v>
      </c>
      <c r="F1580" s="115">
        <v>847.65</v>
      </c>
      <c r="G1580">
        <v>4728</v>
      </c>
      <c r="H1580" s="115"/>
      <c r="I1580" s="115"/>
      <c r="L1580" s="160">
        <v>44334</v>
      </c>
      <c r="M1580" s="115">
        <v>907.05</v>
      </c>
      <c r="N1580" s="115">
        <v>930</v>
      </c>
      <c r="O1580" s="115">
        <v>901</v>
      </c>
      <c r="P1580" s="115">
        <v>920.7</v>
      </c>
      <c r="Q1580" s="115">
        <v>907.05</v>
      </c>
      <c r="R1580">
        <v>184026</v>
      </c>
    </row>
    <row r="1581" spans="1:18" x14ac:dyDescent="0.25">
      <c r="A1581" s="160">
        <v>44358</v>
      </c>
      <c r="B1581" s="115">
        <v>868</v>
      </c>
      <c r="C1581" s="115">
        <v>831.95</v>
      </c>
      <c r="D1581" s="115">
        <v>825.3</v>
      </c>
      <c r="E1581" s="115">
        <v>850</v>
      </c>
      <c r="F1581" s="115">
        <v>831.95</v>
      </c>
      <c r="G1581">
        <v>5186</v>
      </c>
      <c r="H1581" s="115"/>
      <c r="I1581" s="115"/>
      <c r="L1581" s="160">
        <v>44335</v>
      </c>
      <c r="M1581" s="115">
        <v>891.55</v>
      </c>
      <c r="N1581" s="115">
        <v>911</v>
      </c>
      <c r="O1581" s="115">
        <v>880.25</v>
      </c>
      <c r="P1581" s="115">
        <v>911</v>
      </c>
      <c r="Q1581" s="115">
        <v>891.55</v>
      </c>
      <c r="R1581">
        <v>122120</v>
      </c>
    </row>
    <row r="1582" spans="1:18" x14ac:dyDescent="0.25">
      <c r="A1582" s="160">
        <v>44361</v>
      </c>
      <c r="B1582" s="115">
        <v>915</v>
      </c>
      <c r="C1582" s="115">
        <v>904.2</v>
      </c>
      <c r="D1582" s="115">
        <v>825</v>
      </c>
      <c r="E1582" s="115">
        <v>864.95</v>
      </c>
      <c r="F1582" s="115">
        <v>904.2</v>
      </c>
      <c r="G1582">
        <v>4200</v>
      </c>
      <c r="H1582" s="115"/>
      <c r="I1582" s="115"/>
      <c r="L1582" s="160">
        <v>44336</v>
      </c>
      <c r="M1582" s="115">
        <v>901.85</v>
      </c>
      <c r="N1582" s="115">
        <v>919</v>
      </c>
      <c r="O1582" s="115">
        <v>894.25</v>
      </c>
      <c r="P1582" s="115">
        <v>897.8</v>
      </c>
      <c r="Q1582" s="115">
        <v>901.85</v>
      </c>
      <c r="R1582">
        <v>130165</v>
      </c>
    </row>
    <row r="1583" spans="1:18" x14ac:dyDescent="0.25">
      <c r="A1583" s="160">
        <v>44362</v>
      </c>
      <c r="B1583" s="115">
        <v>905</v>
      </c>
      <c r="C1583" s="115">
        <v>867.35</v>
      </c>
      <c r="D1583" s="115">
        <v>863.5</v>
      </c>
      <c r="E1583" s="115">
        <v>863.5</v>
      </c>
      <c r="F1583" s="115">
        <v>867.35</v>
      </c>
      <c r="G1583">
        <v>3247</v>
      </c>
      <c r="H1583" s="115"/>
      <c r="I1583" s="115"/>
      <c r="L1583" s="160">
        <v>44337</v>
      </c>
      <c r="M1583" s="115">
        <v>892.45</v>
      </c>
      <c r="N1583" s="115">
        <v>944</v>
      </c>
      <c r="O1583" s="115">
        <v>881.65</v>
      </c>
      <c r="P1583" s="115">
        <v>903.25</v>
      </c>
      <c r="Q1583" s="115">
        <v>892.45</v>
      </c>
      <c r="R1583">
        <v>744030</v>
      </c>
    </row>
    <row r="1584" spans="1:18" x14ac:dyDescent="0.25">
      <c r="A1584" s="160">
        <v>44363</v>
      </c>
      <c r="B1584" s="115">
        <v>913</v>
      </c>
      <c r="C1584" s="115">
        <v>868.95</v>
      </c>
      <c r="D1584" s="115">
        <v>851.55</v>
      </c>
      <c r="E1584" s="115">
        <v>856</v>
      </c>
      <c r="F1584" s="115">
        <v>868.95</v>
      </c>
      <c r="G1584">
        <v>3045</v>
      </c>
      <c r="H1584" s="115"/>
      <c r="I1584" s="115"/>
      <c r="L1584" s="160">
        <v>44340</v>
      </c>
      <c r="M1584" s="115">
        <v>865.95</v>
      </c>
      <c r="N1584" s="115">
        <v>910</v>
      </c>
      <c r="O1584" s="115">
        <v>858.05</v>
      </c>
      <c r="P1584" s="115">
        <v>893.2</v>
      </c>
      <c r="Q1584" s="115">
        <v>865.95</v>
      </c>
      <c r="R1584">
        <v>244336</v>
      </c>
    </row>
    <row r="1585" spans="1:18" x14ac:dyDescent="0.25">
      <c r="A1585" s="160">
        <v>44364</v>
      </c>
      <c r="B1585" s="115">
        <v>877</v>
      </c>
      <c r="C1585" s="115">
        <v>834.55</v>
      </c>
      <c r="D1585" s="115">
        <v>820</v>
      </c>
      <c r="E1585" s="115">
        <v>860.05</v>
      </c>
      <c r="F1585" s="115">
        <v>834.55</v>
      </c>
      <c r="G1585">
        <v>1770</v>
      </c>
      <c r="H1585" s="115"/>
      <c r="I1585" s="115"/>
      <c r="L1585" s="160">
        <v>44341</v>
      </c>
      <c r="M1585" s="115">
        <v>864.35</v>
      </c>
      <c r="N1585" s="115">
        <v>881</v>
      </c>
      <c r="O1585" s="115">
        <v>852</v>
      </c>
      <c r="P1585" s="115">
        <v>870.15</v>
      </c>
      <c r="Q1585" s="115">
        <v>864.35</v>
      </c>
      <c r="R1585">
        <v>211035</v>
      </c>
    </row>
    <row r="1586" spans="1:18" x14ac:dyDescent="0.25">
      <c r="A1586" s="160">
        <v>44365</v>
      </c>
      <c r="B1586" s="115">
        <v>842</v>
      </c>
      <c r="C1586" s="115">
        <v>818.1</v>
      </c>
      <c r="D1586" s="115">
        <v>801.05</v>
      </c>
      <c r="E1586" s="115">
        <v>801.1</v>
      </c>
      <c r="F1586" s="115">
        <v>818.1</v>
      </c>
      <c r="G1586">
        <v>1069</v>
      </c>
      <c r="H1586" s="115"/>
      <c r="I1586" s="115"/>
      <c r="L1586" s="160">
        <v>44342</v>
      </c>
      <c r="M1586" s="115">
        <v>864.35</v>
      </c>
      <c r="N1586" s="115">
        <v>872.75</v>
      </c>
      <c r="O1586" s="115">
        <v>852</v>
      </c>
      <c r="P1586" s="115">
        <v>870.9</v>
      </c>
      <c r="Q1586" s="115">
        <v>864.35</v>
      </c>
      <c r="R1586">
        <v>142910</v>
      </c>
    </row>
    <row r="1587" spans="1:18" x14ac:dyDescent="0.25">
      <c r="A1587" s="160">
        <v>44368</v>
      </c>
      <c r="B1587" s="115">
        <v>844</v>
      </c>
      <c r="C1587" s="115">
        <v>822.25</v>
      </c>
      <c r="D1587" s="115">
        <v>802.5</v>
      </c>
      <c r="E1587" s="115">
        <v>844</v>
      </c>
      <c r="F1587" s="115">
        <v>822.25</v>
      </c>
      <c r="G1587">
        <v>840</v>
      </c>
      <c r="H1587" s="115"/>
      <c r="I1587" s="115"/>
      <c r="L1587" s="160">
        <v>44343</v>
      </c>
      <c r="M1587" s="115">
        <v>859.35</v>
      </c>
      <c r="N1587" s="115">
        <v>868.9</v>
      </c>
      <c r="O1587" s="115">
        <v>850</v>
      </c>
      <c r="P1587" s="115">
        <v>868.9</v>
      </c>
      <c r="Q1587" s="115">
        <v>859.35</v>
      </c>
      <c r="R1587">
        <v>64756</v>
      </c>
    </row>
    <row r="1588" spans="1:18" x14ac:dyDescent="0.25">
      <c r="A1588" s="160">
        <v>44369</v>
      </c>
      <c r="B1588" s="115">
        <v>841.85</v>
      </c>
      <c r="C1588" s="115">
        <v>823.05</v>
      </c>
      <c r="D1588" s="115">
        <v>817.15</v>
      </c>
      <c r="E1588" s="115">
        <v>841.85</v>
      </c>
      <c r="F1588" s="115">
        <v>823.05</v>
      </c>
      <c r="G1588">
        <v>350</v>
      </c>
      <c r="H1588" s="115"/>
      <c r="I1588" s="115"/>
      <c r="L1588" s="160">
        <v>44344</v>
      </c>
      <c r="M1588" s="115">
        <v>905.65</v>
      </c>
      <c r="N1588" s="115">
        <v>935</v>
      </c>
      <c r="O1588" s="115">
        <v>872</v>
      </c>
      <c r="P1588" s="115">
        <v>872</v>
      </c>
      <c r="Q1588" s="115">
        <v>905.65</v>
      </c>
      <c r="R1588">
        <v>901913</v>
      </c>
    </row>
    <row r="1589" spans="1:18" x14ac:dyDescent="0.25">
      <c r="A1589" s="160">
        <v>44370</v>
      </c>
      <c r="B1589" s="115">
        <v>822</v>
      </c>
      <c r="C1589" s="115">
        <v>817.05</v>
      </c>
      <c r="D1589" s="115">
        <v>815</v>
      </c>
      <c r="E1589" s="115">
        <v>815.05</v>
      </c>
      <c r="F1589" s="115">
        <v>817.05</v>
      </c>
      <c r="G1589">
        <v>391</v>
      </c>
      <c r="H1589" s="115"/>
      <c r="I1589" s="115"/>
      <c r="L1589" s="160">
        <v>44347</v>
      </c>
      <c r="M1589" s="115">
        <v>937.65</v>
      </c>
      <c r="N1589" s="115">
        <v>959</v>
      </c>
      <c r="O1589" s="115">
        <v>892.6</v>
      </c>
      <c r="P1589" s="115">
        <v>909.95</v>
      </c>
      <c r="Q1589" s="115">
        <v>937.65</v>
      </c>
      <c r="R1589">
        <v>686714</v>
      </c>
    </row>
    <row r="1590" spans="1:18" x14ac:dyDescent="0.25">
      <c r="A1590" s="160">
        <v>44371</v>
      </c>
      <c r="B1590" s="115">
        <v>822.7</v>
      </c>
      <c r="C1590" s="115">
        <v>812.05</v>
      </c>
      <c r="D1590" s="115">
        <v>812.05</v>
      </c>
      <c r="E1590" s="115">
        <v>820</v>
      </c>
      <c r="F1590" s="115">
        <v>812.05</v>
      </c>
      <c r="G1590">
        <v>517</v>
      </c>
      <c r="H1590" s="115"/>
      <c r="I1590" s="115"/>
      <c r="L1590" s="160">
        <v>44348</v>
      </c>
      <c r="M1590" s="115">
        <v>931.1</v>
      </c>
      <c r="N1590" s="115">
        <v>967</v>
      </c>
      <c r="O1590" s="115">
        <v>915</v>
      </c>
      <c r="P1590" s="115">
        <v>958.8</v>
      </c>
      <c r="Q1590" s="115">
        <v>931.1</v>
      </c>
      <c r="R1590">
        <v>322625</v>
      </c>
    </row>
    <row r="1591" spans="1:18" x14ac:dyDescent="0.25">
      <c r="A1591" s="160">
        <v>44372</v>
      </c>
      <c r="B1591" s="115">
        <v>840</v>
      </c>
      <c r="C1591" s="115">
        <v>825.2</v>
      </c>
      <c r="D1591" s="115">
        <v>818.45</v>
      </c>
      <c r="E1591" s="115">
        <v>840</v>
      </c>
      <c r="F1591" s="115">
        <v>825.2</v>
      </c>
      <c r="G1591">
        <v>1755</v>
      </c>
      <c r="H1591" s="115"/>
      <c r="I1591" s="115"/>
      <c r="L1591" s="160">
        <v>44349</v>
      </c>
      <c r="M1591" s="115">
        <v>937.3</v>
      </c>
      <c r="N1591" s="115">
        <v>945.45</v>
      </c>
      <c r="O1591" s="115">
        <v>915.2</v>
      </c>
      <c r="P1591" s="115">
        <v>934</v>
      </c>
      <c r="Q1591" s="115">
        <v>937.3</v>
      </c>
      <c r="R1591">
        <v>158258</v>
      </c>
    </row>
    <row r="1592" spans="1:18" x14ac:dyDescent="0.25">
      <c r="A1592" s="160">
        <v>44375</v>
      </c>
      <c r="B1592" s="115">
        <v>873.95</v>
      </c>
      <c r="C1592" s="115">
        <v>869.85</v>
      </c>
      <c r="D1592" s="115">
        <v>819.1</v>
      </c>
      <c r="E1592" s="115">
        <v>819.1</v>
      </c>
      <c r="F1592" s="115">
        <v>869.85</v>
      </c>
      <c r="G1592">
        <v>3351</v>
      </c>
      <c r="H1592" s="115"/>
      <c r="I1592" s="115"/>
      <c r="L1592" s="160">
        <v>44350</v>
      </c>
      <c r="M1592" s="115">
        <v>942.25</v>
      </c>
      <c r="N1592" s="115">
        <v>956.75</v>
      </c>
      <c r="O1592" s="115">
        <v>935.15</v>
      </c>
      <c r="P1592" s="115">
        <v>948.5</v>
      </c>
      <c r="Q1592" s="115">
        <v>942.25</v>
      </c>
      <c r="R1592">
        <v>174196</v>
      </c>
    </row>
    <row r="1593" spans="1:18" x14ac:dyDescent="0.25">
      <c r="A1593" s="160">
        <v>44376</v>
      </c>
      <c r="B1593" s="115">
        <v>965</v>
      </c>
      <c r="C1593" s="115">
        <v>923.55</v>
      </c>
      <c r="D1593" s="115">
        <v>860.05</v>
      </c>
      <c r="E1593" s="115">
        <v>880</v>
      </c>
      <c r="F1593" s="115">
        <v>923.55</v>
      </c>
      <c r="G1593">
        <v>5046</v>
      </c>
      <c r="H1593" s="115"/>
      <c r="I1593" s="115"/>
      <c r="L1593" s="160">
        <v>44351</v>
      </c>
      <c r="M1593" s="115">
        <v>931.65</v>
      </c>
      <c r="N1593" s="115">
        <v>948</v>
      </c>
      <c r="O1593" s="115">
        <v>923</v>
      </c>
      <c r="P1593" s="115">
        <v>937</v>
      </c>
      <c r="Q1593" s="115">
        <v>931.65</v>
      </c>
      <c r="R1593">
        <v>99573</v>
      </c>
    </row>
    <row r="1594" spans="1:18" x14ac:dyDescent="0.25">
      <c r="A1594" s="160">
        <v>44377</v>
      </c>
      <c r="B1594" s="115">
        <v>930</v>
      </c>
      <c r="C1594" s="115">
        <v>925.05</v>
      </c>
      <c r="D1594" s="115">
        <v>870</v>
      </c>
      <c r="E1594" s="115">
        <v>889.05</v>
      </c>
      <c r="F1594" s="115">
        <v>925.05</v>
      </c>
      <c r="G1594">
        <v>1889</v>
      </c>
      <c r="H1594" s="115"/>
      <c r="I1594" s="115"/>
      <c r="L1594" s="160">
        <v>44354</v>
      </c>
      <c r="M1594" s="115">
        <v>935.4</v>
      </c>
      <c r="N1594" s="115">
        <v>945.9</v>
      </c>
      <c r="O1594" s="115">
        <v>926</v>
      </c>
      <c r="P1594" s="115">
        <v>939.9</v>
      </c>
      <c r="Q1594" s="115">
        <v>935.4</v>
      </c>
      <c r="R1594">
        <v>99065</v>
      </c>
    </row>
    <row r="1595" spans="1:18" x14ac:dyDescent="0.25">
      <c r="A1595" s="160">
        <v>44378</v>
      </c>
      <c r="B1595" s="115">
        <v>925.05</v>
      </c>
      <c r="C1595" s="115">
        <v>922.95</v>
      </c>
      <c r="D1595" s="115">
        <v>891.55</v>
      </c>
      <c r="E1595" s="115">
        <v>925.05</v>
      </c>
      <c r="F1595" s="115">
        <v>922.95</v>
      </c>
      <c r="G1595">
        <v>1948</v>
      </c>
      <c r="H1595" s="115"/>
      <c r="I1595" s="115"/>
      <c r="L1595" s="160">
        <v>44355</v>
      </c>
      <c r="M1595" s="115">
        <v>939.9</v>
      </c>
      <c r="N1595" s="115">
        <v>945</v>
      </c>
      <c r="O1595" s="115">
        <v>925.5</v>
      </c>
      <c r="P1595" s="115">
        <v>942.7</v>
      </c>
      <c r="Q1595" s="115">
        <v>939.9</v>
      </c>
      <c r="R1595">
        <v>82238</v>
      </c>
    </row>
    <row r="1596" spans="1:18" x14ac:dyDescent="0.25">
      <c r="A1596" s="160">
        <v>44379</v>
      </c>
      <c r="B1596" s="115">
        <v>935</v>
      </c>
      <c r="C1596" s="115">
        <v>909</v>
      </c>
      <c r="D1596" s="115">
        <v>900</v>
      </c>
      <c r="E1596" s="115">
        <v>929.95</v>
      </c>
      <c r="F1596" s="115">
        <v>909</v>
      </c>
      <c r="G1596">
        <v>5284</v>
      </c>
      <c r="H1596" s="115"/>
      <c r="I1596" s="115"/>
      <c r="L1596" s="160">
        <v>44356</v>
      </c>
      <c r="M1596" s="115">
        <v>927.75</v>
      </c>
      <c r="N1596" s="115">
        <v>974.8</v>
      </c>
      <c r="O1596" s="115">
        <v>853</v>
      </c>
      <c r="P1596" s="115">
        <v>940.05</v>
      </c>
      <c r="Q1596" s="115">
        <v>927.75</v>
      </c>
      <c r="R1596">
        <v>3369074</v>
      </c>
    </row>
    <row r="1597" spans="1:18" x14ac:dyDescent="0.25">
      <c r="A1597" s="160">
        <v>44382</v>
      </c>
      <c r="B1597" s="115">
        <v>920</v>
      </c>
      <c r="C1597" s="115">
        <v>916.65</v>
      </c>
      <c r="D1597" s="115">
        <v>900.65</v>
      </c>
      <c r="E1597" s="115">
        <v>920</v>
      </c>
      <c r="F1597" s="115">
        <v>916.65</v>
      </c>
      <c r="G1597">
        <v>3082</v>
      </c>
      <c r="H1597" s="115"/>
      <c r="I1597" s="115"/>
      <c r="L1597" s="160">
        <v>44357</v>
      </c>
      <c r="M1597" s="115">
        <v>930.85</v>
      </c>
      <c r="N1597" s="115">
        <v>946.6</v>
      </c>
      <c r="O1597" s="115">
        <v>921</v>
      </c>
      <c r="P1597" s="115">
        <v>939</v>
      </c>
      <c r="Q1597" s="115">
        <v>930.85</v>
      </c>
      <c r="R1597">
        <v>449488</v>
      </c>
    </row>
    <row r="1598" spans="1:18" x14ac:dyDescent="0.25">
      <c r="A1598" s="160">
        <v>44383</v>
      </c>
      <c r="B1598" s="115">
        <v>915</v>
      </c>
      <c r="C1598" s="115">
        <v>890.6</v>
      </c>
      <c r="D1598" s="115">
        <v>888.8</v>
      </c>
      <c r="E1598" s="115">
        <v>905.3</v>
      </c>
      <c r="F1598" s="115">
        <v>890.6</v>
      </c>
      <c r="G1598">
        <v>2139</v>
      </c>
      <c r="H1598" s="115"/>
      <c r="I1598" s="115"/>
      <c r="L1598" s="160">
        <v>44358</v>
      </c>
      <c r="M1598" s="115">
        <v>957.4</v>
      </c>
      <c r="N1598" s="115">
        <v>964</v>
      </c>
      <c r="O1598" s="115">
        <v>932.5</v>
      </c>
      <c r="P1598" s="115">
        <v>935</v>
      </c>
      <c r="Q1598" s="115">
        <v>957.4</v>
      </c>
      <c r="R1598">
        <v>279584</v>
      </c>
    </row>
    <row r="1599" spans="1:18" x14ac:dyDescent="0.25">
      <c r="A1599" s="160">
        <v>44384</v>
      </c>
      <c r="B1599" s="115">
        <v>915</v>
      </c>
      <c r="C1599" s="115">
        <v>889.55</v>
      </c>
      <c r="D1599" s="115">
        <v>872.1</v>
      </c>
      <c r="E1599" s="115">
        <v>890</v>
      </c>
      <c r="F1599" s="115">
        <v>889.55</v>
      </c>
      <c r="G1599">
        <v>1796</v>
      </c>
      <c r="H1599" s="115"/>
      <c r="I1599" s="115"/>
      <c r="L1599" s="160">
        <v>44361</v>
      </c>
      <c r="M1599" s="115">
        <v>979.95</v>
      </c>
      <c r="N1599" s="115">
        <v>1019.9</v>
      </c>
      <c r="O1599" s="115">
        <v>946.6</v>
      </c>
      <c r="P1599" s="115">
        <v>968</v>
      </c>
      <c r="Q1599" s="115">
        <v>979.95</v>
      </c>
      <c r="R1599">
        <v>1159379</v>
      </c>
    </row>
    <row r="1600" spans="1:18" x14ac:dyDescent="0.25">
      <c r="A1600" s="160">
        <v>44385</v>
      </c>
      <c r="B1600" s="115">
        <v>919.95</v>
      </c>
      <c r="C1600" s="115">
        <v>888.9</v>
      </c>
      <c r="D1600" s="115">
        <v>880</v>
      </c>
      <c r="E1600" s="115">
        <v>919.95</v>
      </c>
      <c r="F1600" s="115">
        <v>888.9</v>
      </c>
      <c r="G1600">
        <v>510</v>
      </c>
      <c r="H1600" s="115"/>
      <c r="I1600" s="115"/>
      <c r="L1600" s="160">
        <v>44362</v>
      </c>
      <c r="M1600" s="115">
        <v>979.6</v>
      </c>
      <c r="N1600" s="115">
        <v>999.55</v>
      </c>
      <c r="O1600" s="115">
        <v>968.6</v>
      </c>
      <c r="P1600" s="115">
        <v>988</v>
      </c>
      <c r="Q1600" s="115">
        <v>979.6</v>
      </c>
      <c r="R1600">
        <v>261313</v>
      </c>
    </row>
    <row r="1601" spans="1:18" x14ac:dyDescent="0.25">
      <c r="A1601" s="160">
        <v>44386</v>
      </c>
      <c r="B1601" s="115">
        <v>894.8</v>
      </c>
      <c r="C1601" s="115">
        <v>885.8</v>
      </c>
      <c r="D1601" s="115">
        <v>876</v>
      </c>
      <c r="E1601" s="115">
        <v>882.1</v>
      </c>
      <c r="F1601" s="115">
        <v>885.8</v>
      </c>
      <c r="G1601">
        <v>656</v>
      </c>
      <c r="H1601" s="115"/>
      <c r="I1601" s="115"/>
      <c r="L1601" s="160">
        <v>44363</v>
      </c>
      <c r="M1601" s="115">
        <v>983.7</v>
      </c>
      <c r="N1601" s="115">
        <v>998.7</v>
      </c>
      <c r="O1601" s="115">
        <v>956</v>
      </c>
      <c r="P1601" s="115">
        <v>981</v>
      </c>
      <c r="Q1601" s="115">
        <v>983.7</v>
      </c>
      <c r="R1601">
        <v>308331</v>
      </c>
    </row>
    <row r="1602" spans="1:18" x14ac:dyDescent="0.25">
      <c r="A1602" s="160">
        <v>44389</v>
      </c>
      <c r="B1602" s="115">
        <v>919.9</v>
      </c>
      <c r="C1602" s="115">
        <v>890</v>
      </c>
      <c r="D1602" s="115">
        <v>875.3</v>
      </c>
      <c r="E1602" s="115">
        <v>919.9</v>
      </c>
      <c r="F1602" s="115">
        <v>890</v>
      </c>
      <c r="G1602">
        <v>387</v>
      </c>
      <c r="H1602" s="115"/>
      <c r="I1602" s="115"/>
      <c r="L1602" s="160">
        <v>44364</v>
      </c>
      <c r="M1602" s="115">
        <v>969.95</v>
      </c>
      <c r="N1602" s="115">
        <v>985.95</v>
      </c>
      <c r="O1602" s="115">
        <v>961.55</v>
      </c>
      <c r="P1602" s="115">
        <v>975</v>
      </c>
      <c r="Q1602" s="115">
        <v>969.95</v>
      </c>
      <c r="R1602">
        <v>191796</v>
      </c>
    </row>
    <row r="1603" spans="1:18" x14ac:dyDescent="0.25">
      <c r="A1603" s="160">
        <v>44390</v>
      </c>
      <c r="B1603" s="115">
        <v>890</v>
      </c>
      <c r="C1603" s="115">
        <v>887.95</v>
      </c>
      <c r="D1603" s="115">
        <v>875.5</v>
      </c>
      <c r="E1603" s="115">
        <v>890</v>
      </c>
      <c r="F1603" s="115">
        <v>887.95</v>
      </c>
      <c r="G1603">
        <v>541</v>
      </c>
      <c r="H1603" s="115"/>
      <c r="I1603" s="115"/>
      <c r="L1603" s="160">
        <v>44365</v>
      </c>
      <c r="M1603" s="115">
        <v>968.65</v>
      </c>
      <c r="N1603" s="115">
        <v>977.7</v>
      </c>
      <c r="O1603" s="115">
        <v>920.9</v>
      </c>
      <c r="P1603" s="115">
        <v>976.7</v>
      </c>
      <c r="Q1603" s="115">
        <v>968.65</v>
      </c>
      <c r="R1603">
        <v>167477</v>
      </c>
    </row>
    <row r="1604" spans="1:18" x14ac:dyDescent="0.25">
      <c r="A1604" s="160">
        <v>44391</v>
      </c>
      <c r="B1604" s="115">
        <v>900</v>
      </c>
      <c r="C1604" s="115">
        <v>894.3</v>
      </c>
      <c r="D1604" s="115">
        <v>863</v>
      </c>
      <c r="E1604" s="115">
        <v>875.1</v>
      </c>
      <c r="F1604" s="115">
        <v>894.3</v>
      </c>
      <c r="G1604">
        <v>7949</v>
      </c>
      <c r="H1604" s="115"/>
      <c r="I1604" s="115"/>
      <c r="L1604" s="160">
        <v>44368</v>
      </c>
      <c r="M1604" s="115">
        <v>955.65</v>
      </c>
      <c r="N1604" s="115">
        <v>960</v>
      </c>
      <c r="O1604" s="115">
        <v>941.35</v>
      </c>
      <c r="P1604" s="115">
        <v>956.4</v>
      </c>
      <c r="Q1604" s="115">
        <v>955.65</v>
      </c>
      <c r="R1604">
        <v>140317</v>
      </c>
    </row>
    <row r="1605" spans="1:18" x14ac:dyDescent="0.25">
      <c r="A1605" s="160">
        <v>44392</v>
      </c>
      <c r="B1605" s="115">
        <v>950</v>
      </c>
      <c r="C1605" s="115">
        <v>937.55</v>
      </c>
      <c r="D1605" s="115">
        <v>875.6</v>
      </c>
      <c r="E1605" s="115">
        <v>875.6</v>
      </c>
      <c r="F1605" s="115">
        <v>937.55</v>
      </c>
      <c r="G1605">
        <v>17962</v>
      </c>
      <c r="H1605" s="115"/>
      <c r="I1605" s="115"/>
      <c r="L1605" s="160">
        <v>44369</v>
      </c>
      <c r="M1605" s="115">
        <v>947.55</v>
      </c>
      <c r="N1605" s="115">
        <v>968</v>
      </c>
      <c r="O1605" s="115">
        <v>943.15</v>
      </c>
      <c r="P1605" s="115">
        <v>967</v>
      </c>
      <c r="Q1605" s="115">
        <v>947.55</v>
      </c>
      <c r="R1605">
        <v>93185</v>
      </c>
    </row>
    <row r="1606" spans="1:18" x14ac:dyDescent="0.25">
      <c r="A1606" s="160">
        <v>44393</v>
      </c>
      <c r="B1606" s="115">
        <v>949.95</v>
      </c>
      <c r="C1606" s="115">
        <v>940.75</v>
      </c>
      <c r="D1606" s="115">
        <v>909</v>
      </c>
      <c r="E1606" s="115">
        <v>949.95</v>
      </c>
      <c r="F1606" s="115">
        <v>940.75</v>
      </c>
      <c r="G1606">
        <v>3643</v>
      </c>
      <c r="H1606" s="115"/>
      <c r="I1606" s="115"/>
      <c r="L1606" s="160">
        <v>44370</v>
      </c>
      <c r="M1606" s="115">
        <v>960.25</v>
      </c>
      <c r="N1606" s="115">
        <v>974.9</v>
      </c>
      <c r="O1606" s="115">
        <v>943</v>
      </c>
      <c r="P1606" s="115">
        <v>948</v>
      </c>
      <c r="Q1606" s="115">
        <v>960.25</v>
      </c>
      <c r="R1606">
        <v>120570</v>
      </c>
    </row>
    <row r="1607" spans="1:18" x14ac:dyDescent="0.25">
      <c r="A1607" s="160">
        <v>44396</v>
      </c>
      <c r="B1607" s="115">
        <v>938</v>
      </c>
      <c r="C1607" s="115">
        <v>926.65</v>
      </c>
      <c r="D1607" s="115">
        <v>912.3</v>
      </c>
      <c r="E1607" s="115">
        <v>938</v>
      </c>
      <c r="F1607" s="115">
        <v>926.65</v>
      </c>
      <c r="G1607">
        <v>346</v>
      </c>
      <c r="H1607" s="115"/>
      <c r="I1607" s="115"/>
      <c r="L1607" s="160">
        <v>44371</v>
      </c>
      <c r="M1607" s="115">
        <v>960.85</v>
      </c>
      <c r="N1607" s="115">
        <v>966</v>
      </c>
      <c r="O1607" s="115">
        <v>945</v>
      </c>
      <c r="P1607" s="115">
        <v>966</v>
      </c>
      <c r="Q1607" s="115">
        <v>960.85</v>
      </c>
      <c r="R1607">
        <v>85544</v>
      </c>
    </row>
    <row r="1608" spans="1:18" x14ac:dyDescent="0.25">
      <c r="A1608" s="160">
        <v>44397</v>
      </c>
      <c r="B1608" s="115">
        <v>925</v>
      </c>
      <c r="C1608" s="115">
        <v>881.1</v>
      </c>
      <c r="D1608" s="115">
        <v>860.1</v>
      </c>
      <c r="E1608" s="115">
        <v>925</v>
      </c>
      <c r="F1608" s="115">
        <v>881.1</v>
      </c>
      <c r="G1608">
        <v>1571</v>
      </c>
      <c r="H1608" s="115"/>
      <c r="I1608" s="115"/>
      <c r="L1608" s="160">
        <v>44372</v>
      </c>
      <c r="M1608" s="115">
        <v>960.55</v>
      </c>
      <c r="N1608" s="115">
        <v>965.95</v>
      </c>
      <c r="O1608" s="115">
        <v>950</v>
      </c>
      <c r="P1608" s="115">
        <v>960.85</v>
      </c>
      <c r="Q1608" s="115">
        <v>960.55</v>
      </c>
      <c r="R1608">
        <v>62925</v>
      </c>
    </row>
    <row r="1609" spans="1:18" x14ac:dyDescent="0.25">
      <c r="A1609" s="160">
        <v>44399</v>
      </c>
      <c r="B1609" s="115">
        <v>903</v>
      </c>
      <c r="C1609" s="115">
        <v>872.8</v>
      </c>
      <c r="D1609" s="115">
        <v>852.05</v>
      </c>
      <c r="E1609" s="115">
        <v>880.1</v>
      </c>
      <c r="F1609" s="115">
        <v>872.8</v>
      </c>
      <c r="G1609">
        <v>1209</v>
      </c>
      <c r="H1609" s="115"/>
      <c r="I1609" s="115"/>
      <c r="L1609" s="160">
        <v>44375</v>
      </c>
      <c r="M1609" s="115">
        <v>962.8</v>
      </c>
      <c r="N1609" s="115">
        <v>979</v>
      </c>
      <c r="O1609" s="115">
        <v>952</v>
      </c>
      <c r="P1609" s="115">
        <v>960.85</v>
      </c>
      <c r="Q1609" s="115">
        <v>962.8</v>
      </c>
      <c r="R1609">
        <v>68897</v>
      </c>
    </row>
    <row r="1610" spans="1:18" x14ac:dyDescent="0.25">
      <c r="A1610" s="160">
        <v>44400</v>
      </c>
      <c r="B1610" s="115">
        <v>894.9</v>
      </c>
      <c r="C1610" s="115">
        <v>891.75</v>
      </c>
      <c r="D1610" s="115">
        <v>856</v>
      </c>
      <c r="E1610" s="115">
        <v>872</v>
      </c>
      <c r="F1610" s="115">
        <v>891.75</v>
      </c>
      <c r="G1610">
        <v>987</v>
      </c>
      <c r="H1610" s="115"/>
      <c r="I1610" s="115"/>
      <c r="L1610" s="160">
        <v>44376</v>
      </c>
      <c r="M1610" s="115">
        <v>954.1</v>
      </c>
      <c r="N1610" s="115">
        <v>972</v>
      </c>
      <c r="O1610" s="115">
        <v>951</v>
      </c>
      <c r="P1610" s="115">
        <v>967</v>
      </c>
      <c r="Q1610" s="115">
        <v>954.1</v>
      </c>
      <c r="R1610">
        <v>74493</v>
      </c>
    </row>
    <row r="1611" spans="1:18" x14ac:dyDescent="0.25">
      <c r="A1611" s="160">
        <v>44403</v>
      </c>
      <c r="B1611" s="115">
        <v>900</v>
      </c>
      <c r="C1611" s="115">
        <v>868.45</v>
      </c>
      <c r="D1611" s="115">
        <v>865</v>
      </c>
      <c r="E1611" s="115">
        <v>900</v>
      </c>
      <c r="F1611" s="115">
        <v>868.45</v>
      </c>
      <c r="G1611">
        <v>21910</v>
      </c>
      <c r="H1611" s="115"/>
      <c r="I1611" s="115"/>
      <c r="L1611" s="160">
        <v>44377</v>
      </c>
      <c r="M1611" s="115">
        <v>960.3</v>
      </c>
      <c r="N1611" s="115">
        <v>979</v>
      </c>
      <c r="O1611" s="115">
        <v>954.1</v>
      </c>
      <c r="P1611" s="115">
        <v>964</v>
      </c>
      <c r="Q1611" s="115">
        <v>960.3</v>
      </c>
      <c r="R1611">
        <v>60139</v>
      </c>
    </row>
    <row r="1612" spans="1:18" x14ac:dyDescent="0.25">
      <c r="A1612" s="160">
        <v>44404</v>
      </c>
      <c r="B1612" s="115">
        <v>900</v>
      </c>
      <c r="C1612" s="115">
        <v>880.1</v>
      </c>
      <c r="D1612" s="115">
        <v>872.05</v>
      </c>
      <c r="E1612" s="115">
        <v>888</v>
      </c>
      <c r="F1612" s="115">
        <v>880.1</v>
      </c>
      <c r="G1612">
        <v>22226</v>
      </c>
      <c r="H1612" s="115"/>
      <c r="I1612" s="115"/>
      <c r="L1612" s="160">
        <v>44378</v>
      </c>
      <c r="M1612" s="115">
        <v>974</v>
      </c>
      <c r="N1612" s="115">
        <v>1009.25</v>
      </c>
      <c r="O1612" s="115">
        <v>957.9</v>
      </c>
      <c r="P1612" s="115">
        <v>965.15</v>
      </c>
      <c r="Q1612" s="115">
        <v>974</v>
      </c>
      <c r="R1612">
        <v>318777</v>
      </c>
    </row>
    <row r="1613" spans="1:18" x14ac:dyDescent="0.25">
      <c r="A1613" s="160">
        <v>44405</v>
      </c>
      <c r="B1613" s="115">
        <v>898</v>
      </c>
      <c r="C1613" s="115">
        <v>886.25</v>
      </c>
      <c r="D1613" s="115">
        <v>875</v>
      </c>
      <c r="E1613" s="115">
        <v>876.5</v>
      </c>
      <c r="F1613" s="115">
        <v>886.25</v>
      </c>
      <c r="G1613">
        <v>768</v>
      </c>
      <c r="H1613" s="115"/>
      <c r="I1613" s="115"/>
      <c r="L1613" s="160">
        <v>44379</v>
      </c>
      <c r="M1613" s="115">
        <v>993.65</v>
      </c>
      <c r="N1613" s="115">
        <v>1014.95</v>
      </c>
      <c r="O1613" s="115">
        <v>981.5</v>
      </c>
      <c r="P1613" s="115">
        <v>991</v>
      </c>
      <c r="Q1613" s="115">
        <v>993.65</v>
      </c>
      <c r="R1613">
        <v>303146</v>
      </c>
    </row>
    <row r="1614" spans="1:18" x14ac:dyDescent="0.25">
      <c r="A1614" s="160">
        <v>44406</v>
      </c>
      <c r="B1614" s="115">
        <v>920</v>
      </c>
      <c r="C1614" s="115">
        <v>914.8</v>
      </c>
      <c r="D1614" s="115">
        <v>885</v>
      </c>
      <c r="E1614" s="115">
        <v>895.95</v>
      </c>
      <c r="F1614" s="115">
        <v>914.8</v>
      </c>
      <c r="G1614">
        <v>20779</v>
      </c>
      <c r="H1614" s="115"/>
      <c r="I1614" s="115"/>
      <c r="L1614" s="160">
        <v>44382</v>
      </c>
      <c r="M1614" s="115">
        <v>1013.85</v>
      </c>
      <c r="N1614" s="115">
        <v>1033</v>
      </c>
      <c r="O1614" s="115">
        <v>983</v>
      </c>
      <c r="P1614" s="115">
        <v>1000.9</v>
      </c>
      <c r="Q1614" s="115">
        <v>1013.85</v>
      </c>
      <c r="R1614">
        <v>302856</v>
      </c>
    </row>
    <row r="1615" spans="1:18" x14ac:dyDescent="0.25">
      <c r="A1615" s="160">
        <v>44407</v>
      </c>
      <c r="B1615" s="115">
        <v>960</v>
      </c>
      <c r="C1615" s="115">
        <v>931.95</v>
      </c>
      <c r="D1615" s="115">
        <v>905</v>
      </c>
      <c r="E1615" s="115">
        <v>932</v>
      </c>
      <c r="F1615" s="115">
        <v>931.95</v>
      </c>
      <c r="G1615">
        <v>31721</v>
      </c>
      <c r="H1615" s="115"/>
      <c r="I1615" s="115"/>
      <c r="L1615" s="160">
        <v>44383</v>
      </c>
      <c r="M1615" s="115">
        <v>1004.55</v>
      </c>
      <c r="N1615" s="115">
        <v>1053.9000000000001</v>
      </c>
      <c r="O1615" s="115">
        <v>995.45</v>
      </c>
      <c r="P1615" s="115">
        <v>1018.85</v>
      </c>
      <c r="Q1615" s="115">
        <v>1004.55</v>
      </c>
      <c r="R1615">
        <v>452290</v>
      </c>
    </row>
    <row r="1616" spans="1:18" x14ac:dyDescent="0.25">
      <c r="A1616" s="160">
        <v>44410</v>
      </c>
      <c r="B1616" s="115">
        <v>1115</v>
      </c>
      <c r="C1616" s="115">
        <v>1097.55</v>
      </c>
      <c r="D1616" s="115">
        <v>901.5</v>
      </c>
      <c r="E1616" s="115">
        <v>932</v>
      </c>
      <c r="F1616" s="115">
        <v>1097.55</v>
      </c>
      <c r="G1616">
        <v>18803</v>
      </c>
      <c r="H1616" s="115"/>
      <c r="I1616" s="115"/>
      <c r="L1616" s="160">
        <v>44384</v>
      </c>
      <c r="M1616" s="115">
        <v>1001.1</v>
      </c>
      <c r="N1616" s="115">
        <v>1012.65</v>
      </c>
      <c r="O1616" s="115">
        <v>988</v>
      </c>
      <c r="P1616" s="115">
        <v>1005</v>
      </c>
      <c r="Q1616" s="115">
        <v>1001.1</v>
      </c>
      <c r="R1616">
        <v>97940</v>
      </c>
    </row>
    <row r="1617" spans="1:18" x14ac:dyDescent="0.25">
      <c r="A1617" s="160">
        <v>44411</v>
      </c>
      <c r="B1617" s="115">
        <v>1160</v>
      </c>
      <c r="C1617" s="115">
        <v>1033.25</v>
      </c>
      <c r="D1617" s="115">
        <v>1012</v>
      </c>
      <c r="E1617" s="115">
        <v>1158</v>
      </c>
      <c r="F1617" s="115">
        <v>1033.25</v>
      </c>
      <c r="G1617">
        <v>4643</v>
      </c>
      <c r="H1617" s="115"/>
      <c r="I1617" s="115"/>
      <c r="L1617" s="160">
        <v>44385</v>
      </c>
      <c r="M1617" s="115">
        <v>1002.7</v>
      </c>
      <c r="N1617" s="115">
        <v>1008</v>
      </c>
      <c r="O1617" s="115">
        <v>991.55</v>
      </c>
      <c r="P1617" s="115">
        <v>1008</v>
      </c>
      <c r="Q1617" s="115">
        <v>1002.7</v>
      </c>
      <c r="R1617">
        <v>73463</v>
      </c>
    </row>
    <row r="1618" spans="1:18" x14ac:dyDescent="0.25">
      <c r="A1618" s="160">
        <v>44412</v>
      </c>
      <c r="B1618" s="115">
        <v>1049.7</v>
      </c>
      <c r="C1618" s="115">
        <v>977.95</v>
      </c>
      <c r="D1618" s="115">
        <v>966</v>
      </c>
      <c r="E1618" s="115">
        <v>1049.7</v>
      </c>
      <c r="F1618" s="115">
        <v>977.95</v>
      </c>
      <c r="G1618">
        <v>6109</v>
      </c>
      <c r="H1618" s="115"/>
      <c r="I1618" s="115"/>
      <c r="L1618" s="160">
        <v>44386</v>
      </c>
      <c r="M1618" s="115">
        <v>1000.1</v>
      </c>
      <c r="N1618" s="115">
        <v>1016.8</v>
      </c>
      <c r="O1618" s="115">
        <v>993.55</v>
      </c>
      <c r="P1618" s="115">
        <v>1016.8</v>
      </c>
      <c r="Q1618" s="115">
        <v>1000.1</v>
      </c>
      <c r="R1618">
        <v>65703</v>
      </c>
    </row>
    <row r="1619" spans="1:18" x14ac:dyDescent="0.25">
      <c r="A1619" s="160">
        <v>44413</v>
      </c>
      <c r="B1619" s="115">
        <v>1025</v>
      </c>
      <c r="C1619" s="115">
        <v>959</v>
      </c>
      <c r="D1619" s="115">
        <v>947.05</v>
      </c>
      <c r="E1619" s="115">
        <v>1025</v>
      </c>
      <c r="F1619" s="115">
        <v>959</v>
      </c>
      <c r="G1619">
        <v>2762</v>
      </c>
      <c r="H1619" s="115"/>
      <c r="I1619" s="115"/>
      <c r="L1619" s="160">
        <v>44389</v>
      </c>
      <c r="M1619" s="115">
        <v>1001.1</v>
      </c>
      <c r="N1619" s="115">
        <v>1016</v>
      </c>
      <c r="O1619" s="115">
        <v>995</v>
      </c>
      <c r="P1619" s="115">
        <v>1010</v>
      </c>
      <c r="Q1619" s="115">
        <v>1001.1</v>
      </c>
      <c r="R1619">
        <v>78095</v>
      </c>
    </row>
    <row r="1620" spans="1:18" x14ac:dyDescent="0.25">
      <c r="A1620" s="160">
        <v>44414</v>
      </c>
      <c r="B1620" s="115">
        <v>1050.95</v>
      </c>
      <c r="C1620" s="115">
        <v>1021.9</v>
      </c>
      <c r="D1620" s="115">
        <v>950.05</v>
      </c>
      <c r="E1620" s="115">
        <v>969.95</v>
      </c>
      <c r="F1620" s="115">
        <v>1021.9</v>
      </c>
      <c r="G1620">
        <v>6441</v>
      </c>
      <c r="H1620" s="115"/>
      <c r="I1620" s="115"/>
      <c r="L1620" s="160">
        <v>44390</v>
      </c>
      <c r="M1620" s="115">
        <v>1000.25</v>
      </c>
      <c r="N1620" s="115">
        <v>1014.6</v>
      </c>
      <c r="O1620" s="115">
        <v>995</v>
      </c>
      <c r="P1620" s="115">
        <v>1001</v>
      </c>
      <c r="Q1620" s="115">
        <v>1000.25</v>
      </c>
      <c r="R1620">
        <v>51132</v>
      </c>
    </row>
    <row r="1621" spans="1:18" x14ac:dyDescent="0.25">
      <c r="A1621" s="160">
        <v>44417</v>
      </c>
      <c r="B1621" s="115">
        <v>1015</v>
      </c>
      <c r="C1621" s="115">
        <v>1001.4</v>
      </c>
      <c r="D1621" s="115">
        <v>986.5</v>
      </c>
      <c r="E1621" s="115">
        <v>1001.55</v>
      </c>
      <c r="F1621" s="115">
        <v>1001.4</v>
      </c>
      <c r="G1621">
        <v>773</v>
      </c>
      <c r="H1621" s="115"/>
      <c r="I1621" s="115"/>
      <c r="L1621" s="160">
        <v>44391</v>
      </c>
      <c r="M1621" s="115">
        <v>1000.15</v>
      </c>
      <c r="N1621" s="115">
        <v>1010</v>
      </c>
      <c r="O1621" s="115">
        <v>993.05</v>
      </c>
      <c r="P1621" s="115">
        <v>1000.25</v>
      </c>
      <c r="Q1621" s="115">
        <v>1000.15</v>
      </c>
      <c r="R1621">
        <v>55227</v>
      </c>
    </row>
    <row r="1622" spans="1:18" x14ac:dyDescent="0.25">
      <c r="A1622" s="160">
        <v>44418</v>
      </c>
      <c r="B1622" s="115">
        <v>1017.8</v>
      </c>
      <c r="C1622" s="115">
        <v>967.5</v>
      </c>
      <c r="D1622" s="115">
        <v>965</v>
      </c>
      <c r="E1622" s="115">
        <v>1013.75</v>
      </c>
      <c r="F1622" s="115">
        <v>967.5</v>
      </c>
      <c r="G1622">
        <v>3231</v>
      </c>
      <c r="H1622" s="115"/>
      <c r="I1622" s="115"/>
      <c r="L1622" s="160">
        <v>44392</v>
      </c>
      <c r="M1622" s="115">
        <v>991.15</v>
      </c>
      <c r="N1622" s="115">
        <v>1009</v>
      </c>
      <c r="O1622" s="115">
        <v>978.95</v>
      </c>
      <c r="P1622" s="115">
        <v>1009</v>
      </c>
      <c r="Q1622" s="115">
        <v>991.15</v>
      </c>
      <c r="R1622">
        <v>108790</v>
      </c>
    </row>
    <row r="1623" spans="1:18" x14ac:dyDescent="0.25">
      <c r="A1623" s="160">
        <v>44419</v>
      </c>
      <c r="B1623" s="115">
        <v>986.85</v>
      </c>
      <c r="C1623" s="115">
        <v>957.45</v>
      </c>
      <c r="D1623" s="115">
        <v>909</v>
      </c>
      <c r="E1623" s="115">
        <v>986.85</v>
      </c>
      <c r="F1623" s="115">
        <v>957.45</v>
      </c>
      <c r="G1623">
        <v>745</v>
      </c>
      <c r="H1623" s="115"/>
      <c r="I1623" s="115"/>
      <c r="L1623" s="160">
        <v>44393</v>
      </c>
      <c r="M1623" s="115">
        <v>1001.15</v>
      </c>
      <c r="N1623" s="115">
        <v>1007.95</v>
      </c>
      <c r="O1623" s="115">
        <v>985.85</v>
      </c>
      <c r="P1623" s="115">
        <v>991</v>
      </c>
      <c r="Q1623" s="115">
        <v>1001.15</v>
      </c>
      <c r="R1623">
        <v>73328</v>
      </c>
    </row>
    <row r="1624" spans="1:18" x14ac:dyDescent="0.25">
      <c r="A1624" s="160">
        <v>44420</v>
      </c>
      <c r="B1624" s="115">
        <v>993.95</v>
      </c>
      <c r="C1624" s="115">
        <v>961.7</v>
      </c>
      <c r="D1624" s="115">
        <v>960.1</v>
      </c>
      <c r="E1624" s="115">
        <v>993.95</v>
      </c>
      <c r="F1624" s="115">
        <v>961.7</v>
      </c>
      <c r="G1624">
        <v>1355</v>
      </c>
      <c r="H1624" s="115"/>
      <c r="I1624" s="115"/>
      <c r="L1624" s="160">
        <v>44396</v>
      </c>
      <c r="M1624" s="115">
        <v>998.3</v>
      </c>
      <c r="N1624" s="115">
        <v>1012</v>
      </c>
      <c r="O1624" s="115">
        <v>979.9</v>
      </c>
      <c r="P1624" s="115">
        <v>993</v>
      </c>
      <c r="Q1624" s="115">
        <v>998.3</v>
      </c>
      <c r="R1624">
        <v>125214</v>
      </c>
    </row>
    <row r="1625" spans="1:18" x14ac:dyDescent="0.25">
      <c r="A1625" s="160">
        <v>44421</v>
      </c>
      <c r="B1625" s="115">
        <v>996</v>
      </c>
      <c r="C1625" s="115">
        <v>989.8</v>
      </c>
      <c r="D1625" s="115">
        <v>967</v>
      </c>
      <c r="E1625" s="115">
        <v>991</v>
      </c>
      <c r="F1625" s="115">
        <v>989.8</v>
      </c>
      <c r="G1625">
        <v>1275</v>
      </c>
      <c r="H1625" s="115"/>
      <c r="I1625" s="115"/>
      <c r="L1625" s="160">
        <v>44397</v>
      </c>
      <c r="M1625" s="115">
        <v>993.3</v>
      </c>
      <c r="N1625" s="115">
        <v>1006.15</v>
      </c>
      <c r="O1625" s="115">
        <v>974.6</v>
      </c>
      <c r="P1625" s="115">
        <v>998</v>
      </c>
      <c r="Q1625" s="115">
        <v>993.3</v>
      </c>
      <c r="R1625">
        <v>73247</v>
      </c>
    </row>
    <row r="1626" spans="1:18" x14ac:dyDescent="0.25">
      <c r="A1626" s="160">
        <v>44424</v>
      </c>
      <c r="B1626" s="115">
        <v>1031</v>
      </c>
      <c r="C1626" s="115">
        <v>1014.05</v>
      </c>
      <c r="D1626" s="115">
        <v>977</v>
      </c>
      <c r="E1626" s="115">
        <v>998.95</v>
      </c>
      <c r="F1626" s="115">
        <v>1014.05</v>
      </c>
      <c r="G1626">
        <v>2473</v>
      </c>
      <c r="H1626" s="115"/>
      <c r="I1626" s="115"/>
      <c r="L1626" s="160">
        <v>44399</v>
      </c>
      <c r="M1626" s="115">
        <v>1000.3</v>
      </c>
      <c r="N1626" s="115">
        <v>1004.6</v>
      </c>
      <c r="O1626" s="115">
        <v>985.35</v>
      </c>
      <c r="P1626" s="115">
        <v>1000</v>
      </c>
      <c r="Q1626" s="115">
        <v>1000.3</v>
      </c>
      <c r="R1626">
        <v>67426</v>
      </c>
    </row>
    <row r="1627" spans="1:18" x14ac:dyDescent="0.25">
      <c r="A1627" s="160">
        <v>44425</v>
      </c>
      <c r="B1627" s="115">
        <v>1023.7</v>
      </c>
      <c r="C1627" s="115">
        <v>990.95</v>
      </c>
      <c r="D1627" s="115">
        <v>975</v>
      </c>
      <c r="E1627" s="115">
        <v>975</v>
      </c>
      <c r="F1627" s="115">
        <v>990.95</v>
      </c>
      <c r="G1627">
        <v>373</v>
      </c>
      <c r="H1627" s="115"/>
      <c r="I1627" s="115"/>
      <c r="L1627" s="160">
        <v>44400</v>
      </c>
      <c r="M1627" s="115">
        <v>1004.95</v>
      </c>
      <c r="N1627" s="115">
        <v>1035</v>
      </c>
      <c r="O1627" s="115">
        <v>986.75</v>
      </c>
      <c r="P1627" s="115">
        <v>992.5</v>
      </c>
      <c r="Q1627" s="115">
        <v>1004.95</v>
      </c>
      <c r="R1627">
        <v>104882</v>
      </c>
    </row>
    <row r="1628" spans="1:18" x14ac:dyDescent="0.25">
      <c r="A1628" s="160">
        <v>44426</v>
      </c>
      <c r="B1628" s="115">
        <v>1017.95</v>
      </c>
      <c r="C1628" s="115">
        <v>980.1</v>
      </c>
      <c r="D1628" s="115">
        <v>980.05</v>
      </c>
      <c r="E1628" s="115">
        <v>1017.95</v>
      </c>
      <c r="F1628" s="115">
        <v>980.1</v>
      </c>
      <c r="G1628">
        <v>261</v>
      </c>
      <c r="H1628" s="115"/>
      <c r="I1628" s="115"/>
      <c r="L1628" s="160">
        <v>44403</v>
      </c>
      <c r="M1628" s="115">
        <v>1001.45</v>
      </c>
      <c r="N1628" s="115">
        <v>1022.45</v>
      </c>
      <c r="O1628" s="115">
        <v>993.15</v>
      </c>
      <c r="P1628" s="115">
        <v>1011.9</v>
      </c>
      <c r="Q1628" s="115">
        <v>1001.45</v>
      </c>
      <c r="R1628">
        <v>49093</v>
      </c>
    </row>
    <row r="1629" spans="1:18" x14ac:dyDescent="0.25">
      <c r="A1629" s="160">
        <v>44428</v>
      </c>
      <c r="B1629" s="115">
        <v>999.95</v>
      </c>
      <c r="C1629" s="115">
        <v>974.05</v>
      </c>
      <c r="D1629" s="115">
        <v>969</v>
      </c>
      <c r="E1629" s="115">
        <v>975</v>
      </c>
      <c r="F1629" s="115">
        <v>974.05</v>
      </c>
      <c r="G1629">
        <v>73</v>
      </c>
      <c r="H1629" s="115"/>
      <c r="I1629" s="115"/>
      <c r="L1629" s="160">
        <v>44404</v>
      </c>
      <c r="M1629" s="115">
        <v>1000.25</v>
      </c>
      <c r="N1629" s="115">
        <v>1012</v>
      </c>
      <c r="O1629" s="115">
        <v>995</v>
      </c>
      <c r="P1629" s="115">
        <v>1010</v>
      </c>
      <c r="Q1629" s="115">
        <v>1000.25</v>
      </c>
      <c r="R1629">
        <v>39264</v>
      </c>
    </row>
    <row r="1630" spans="1:18" x14ac:dyDescent="0.25">
      <c r="A1630" s="160">
        <v>44431</v>
      </c>
      <c r="B1630" s="115">
        <v>998</v>
      </c>
      <c r="C1630" s="115">
        <v>983.5</v>
      </c>
      <c r="D1630" s="115">
        <v>934</v>
      </c>
      <c r="E1630" s="115">
        <v>968.95</v>
      </c>
      <c r="F1630" s="115">
        <v>983.5</v>
      </c>
      <c r="G1630">
        <v>2891</v>
      </c>
      <c r="H1630" s="115"/>
      <c r="I1630" s="115"/>
      <c r="L1630" s="160">
        <v>44405</v>
      </c>
      <c r="M1630" s="115">
        <v>1000.85</v>
      </c>
      <c r="N1630" s="115">
        <v>1007</v>
      </c>
      <c r="O1630" s="115">
        <v>975</v>
      </c>
      <c r="P1630" s="115">
        <v>1004</v>
      </c>
      <c r="Q1630" s="115">
        <v>1000.85</v>
      </c>
      <c r="R1630">
        <v>60536</v>
      </c>
    </row>
    <row r="1631" spans="1:18" x14ac:dyDescent="0.25">
      <c r="A1631" s="160">
        <v>44432</v>
      </c>
      <c r="B1631" s="115">
        <v>990</v>
      </c>
      <c r="C1631" s="115">
        <v>978.95</v>
      </c>
      <c r="D1631" s="115">
        <v>966</v>
      </c>
      <c r="E1631" s="115">
        <v>990</v>
      </c>
      <c r="F1631" s="115">
        <v>978.95</v>
      </c>
      <c r="G1631">
        <v>287</v>
      </c>
      <c r="H1631" s="115"/>
      <c r="I1631" s="115"/>
      <c r="L1631" s="160">
        <v>44406</v>
      </c>
      <c r="M1631" s="115">
        <v>1002.85</v>
      </c>
      <c r="N1631" s="115">
        <v>1024</v>
      </c>
      <c r="O1631" s="115">
        <v>992</v>
      </c>
      <c r="P1631" s="115">
        <v>1009</v>
      </c>
      <c r="Q1631" s="115">
        <v>1002.85</v>
      </c>
      <c r="R1631">
        <v>72670</v>
      </c>
    </row>
    <row r="1632" spans="1:18" x14ac:dyDescent="0.25">
      <c r="A1632" s="160">
        <v>44433</v>
      </c>
      <c r="B1632" s="115">
        <v>1004.65</v>
      </c>
      <c r="C1632" s="115">
        <v>996.85</v>
      </c>
      <c r="D1632" s="115">
        <v>970.1</v>
      </c>
      <c r="E1632" s="115">
        <v>1004.65</v>
      </c>
      <c r="F1632" s="115">
        <v>996.85</v>
      </c>
      <c r="G1632">
        <v>125</v>
      </c>
      <c r="H1632" s="115"/>
      <c r="I1632" s="115"/>
      <c r="L1632" s="160">
        <v>44407</v>
      </c>
      <c r="M1632" s="115">
        <v>948.7</v>
      </c>
      <c r="N1632" s="115">
        <v>990.9</v>
      </c>
      <c r="O1632" s="115">
        <v>945</v>
      </c>
      <c r="P1632" s="115">
        <v>990</v>
      </c>
      <c r="Q1632" s="115">
        <v>948.7</v>
      </c>
      <c r="R1632">
        <v>243497</v>
      </c>
    </row>
    <row r="1633" spans="1:18" x14ac:dyDescent="0.25">
      <c r="A1633" s="160">
        <v>44434</v>
      </c>
      <c r="B1633" s="115">
        <v>1010</v>
      </c>
      <c r="C1633" s="115">
        <v>971.25</v>
      </c>
      <c r="D1633" s="115">
        <v>970</v>
      </c>
      <c r="E1633" s="115">
        <v>998.95</v>
      </c>
      <c r="F1633" s="115">
        <v>971.25</v>
      </c>
      <c r="G1633">
        <v>926</v>
      </c>
      <c r="H1633" s="115"/>
      <c r="I1633" s="115"/>
      <c r="L1633" s="160">
        <v>44410</v>
      </c>
      <c r="M1633" s="115">
        <v>927.7</v>
      </c>
      <c r="N1633" s="115">
        <v>960.6</v>
      </c>
      <c r="O1633" s="115">
        <v>912.85</v>
      </c>
      <c r="P1633" s="115">
        <v>950</v>
      </c>
      <c r="Q1633" s="115">
        <v>927.7</v>
      </c>
      <c r="R1633">
        <v>125581</v>
      </c>
    </row>
    <row r="1634" spans="1:18" x14ac:dyDescent="0.25">
      <c r="A1634" s="160">
        <v>44435</v>
      </c>
      <c r="B1634" s="115">
        <v>990</v>
      </c>
      <c r="C1634" s="115">
        <v>974.95</v>
      </c>
      <c r="D1634" s="115">
        <v>967</v>
      </c>
      <c r="E1634" s="115">
        <v>990</v>
      </c>
      <c r="F1634" s="115">
        <v>974.95</v>
      </c>
      <c r="G1634">
        <v>562</v>
      </c>
      <c r="H1634" s="115"/>
      <c r="I1634" s="115"/>
      <c r="L1634" s="160">
        <v>44411</v>
      </c>
      <c r="M1634" s="115">
        <v>946</v>
      </c>
      <c r="N1634" s="115">
        <v>951.5</v>
      </c>
      <c r="O1634" s="115">
        <v>935.8</v>
      </c>
      <c r="P1634" s="115">
        <v>941</v>
      </c>
      <c r="Q1634" s="115">
        <v>946</v>
      </c>
      <c r="R1634">
        <v>73035</v>
      </c>
    </row>
    <row r="1635" spans="1:18" x14ac:dyDescent="0.25">
      <c r="A1635" s="160">
        <v>44438</v>
      </c>
      <c r="B1635" s="115">
        <v>1004.9</v>
      </c>
      <c r="C1635" s="115">
        <v>992.6</v>
      </c>
      <c r="D1635" s="115">
        <v>969.95</v>
      </c>
      <c r="E1635" s="115">
        <v>1002.7</v>
      </c>
      <c r="F1635" s="115">
        <v>992.6</v>
      </c>
      <c r="G1635">
        <v>2928</v>
      </c>
      <c r="H1635" s="115"/>
      <c r="I1635" s="115"/>
      <c r="L1635" s="160">
        <v>44412</v>
      </c>
      <c r="M1635" s="115">
        <v>949.35</v>
      </c>
      <c r="N1635" s="115">
        <v>955</v>
      </c>
      <c r="O1635" s="115">
        <v>925.55</v>
      </c>
      <c r="P1635" s="115">
        <v>946.5</v>
      </c>
      <c r="Q1635" s="115">
        <v>949.35</v>
      </c>
      <c r="R1635">
        <v>132237</v>
      </c>
    </row>
    <row r="1636" spans="1:18" x14ac:dyDescent="0.25">
      <c r="A1636" s="160">
        <v>44439</v>
      </c>
      <c r="B1636" s="115">
        <v>1020.25</v>
      </c>
      <c r="C1636" s="115">
        <v>981.7</v>
      </c>
      <c r="D1636" s="115">
        <v>980</v>
      </c>
      <c r="E1636" s="115">
        <v>1020.25</v>
      </c>
      <c r="F1636" s="115">
        <v>981.7</v>
      </c>
      <c r="G1636">
        <v>1140</v>
      </c>
      <c r="H1636" s="115"/>
      <c r="I1636" s="115"/>
      <c r="L1636" s="160">
        <v>44413</v>
      </c>
      <c r="M1636" s="115">
        <v>933.15</v>
      </c>
      <c r="N1636" s="115">
        <v>951</v>
      </c>
      <c r="O1636" s="115">
        <v>911.3</v>
      </c>
      <c r="P1636" s="115">
        <v>951</v>
      </c>
      <c r="Q1636" s="115">
        <v>933.15</v>
      </c>
      <c r="R1636">
        <v>91691</v>
      </c>
    </row>
    <row r="1637" spans="1:18" x14ac:dyDescent="0.25">
      <c r="A1637" s="160">
        <v>44440</v>
      </c>
      <c r="B1637" s="115">
        <v>999.5</v>
      </c>
      <c r="C1637" s="115">
        <v>991.4</v>
      </c>
      <c r="D1637" s="115">
        <v>971</v>
      </c>
      <c r="E1637" s="115">
        <v>999.5</v>
      </c>
      <c r="F1637" s="115">
        <v>991.4</v>
      </c>
      <c r="G1637">
        <v>344</v>
      </c>
      <c r="H1637" s="115"/>
      <c r="I1637" s="115"/>
      <c r="L1637" s="160">
        <v>44414</v>
      </c>
      <c r="M1637" s="115">
        <v>922.55</v>
      </c>
      <c r="N1637" s="115">
        <v>938.95</v>
      </c>
      <c r="O1637" s="115">
        <v>920</v>
      </c>
      <c r="P1637" s="115">
        <v>926.3</v>
      </c>
      <c r="Q1637" s="115">
        <v>922.55</v>
      </c>
      <c r="R1637">
        <v>32853</v>
      </c>
    </row>
    <row r="1638" spans="1:18" x14ac:dyDescent="0.25">
      <c r="A1638" s="160">
        <v>44441</v>
      </c>
      <c r="B1638" s="115">
        <v>1013</v>
      </c>
      <c r="C1638" s="115">
        <v>982.5</v>
      </c>
      <c r="D1638" s="115">
        <v>959.2</v>
      </c>
      <c r="E1638" s="115">
        <v>959.2</v>
      </c>
      <c r="F1638" s="115">
        <v>982.5</v>
      </c>
      <c r="G1638">
        <v>2509</v>
      </c>
      <c r="H1638" s="115"/>
      <c r="I1638" s="115"/>
      <c r="L1638" s="160">
        <v>44417</v>
      </c>
      <c r="M1638" s="115">
        <v>921.05</v>
      </c>
      <c r="N1638" s="115">
        <v>930</v>
      </c>
      <c r="O1638" s="115">
        <v>886.2</v>
      </c>
      <c r="P1638" s="115">
        <v>920</v>
      </c>
      <c r="Q1638" s="115">
        <v>921.05</v>
      </c>
      <c r="R1638">
        <v>124313</v>
      </c>
    </row>
    <row r="1639" spans="1:18" x14ac:dyDescent="0.25">
      <c r="A1639" s="160">
        <v>44442</v>
      </c>
      <c r="B1639" s="115">
        <v>1000</v>
      </c>
      <c r="C1639" s="115">
        <v>982.05</v>
      </c>
      <c r="D1639" s="115">
        <v>982.05</v>
      </c>
      <c r="E1639" s="115">
        <v>995</v>
      </c>
      <c r="F1639" s="115">
        <v>982.05</v>
      </c>
      <c r="G1639">
        <v>625</v>
      </c>
      <c r="H1639" s="115"/>
      <c r="I1639" s="115"/>
      <c r="L1639" s="160">
        <v>44418</v>
      </c>
      <c r="M1639" s="115">
        <v>901.35</v>
      </c>
      <c r="N1639" s="115">
        <v>925.7</v>
      </c>
      <c r="O1639" s="115">
        <v>886.3</v>
      </c>
      <c r="P1639" s="115">
        <v>920.85</v>
      </c>
      <c r="Q1639" s="115">
        <v>901.35</v>
      </c>
      <c r="R1639">
        <v>112939</v>
      </c>
    </row>
    <row r="1640" spans="1:18" x14ac:dyDescent="0.25">
      <c r="A1640" s="160">
        <v>44445</v>
      </c>
      <c r="B1640" s="115">
        <v>1004</v>
      </c>
      <c r="C1640" s="115">
        <v>966.35</v>
      </c>
      <c r="D1640" s="115">
        <v>958</v>
      </c>
      <c r="E1640" s="115">
        <v>982.05</v>
      </c>
      <c r="F1640" s="115">
        <v>966.35</v>
      </c>
      <c r="G1640">
        <v>1108</v>
      </c>
      <c r="H1640" s="115"/>
      <c r="I1640" s="115"/>
      <c r="L1640" s="160">
        <v>44419</v>
      </c>
      <c r="M1640" s="115">
        <v>881.4</v>
      </c>
      <c r="N1640" s="115">
        <v>900</v>
      </c>
      <c r="O1640" s="115">
        <v>873</v>
      </c>
      <c r="P1640" s="115">
        <v>900</v>
      </c>
      <c r="Q1640" s="115">
        <v>881.4</v>
      </c>
      <c r="R1640">
        <v>61117</v>
      </c>
    </row>
    <row r="1641" spans="1:18" x14ac:dyDescent="0.25">
      <c r="A1641" s="160">
        <v>44446</v>
      </c>
      <c r="B1641" s="115">
        <v>980</v>
      </c>
      <c r="C1641" s="115">
        <v>950</v>
      </c>
      <c r="D1641" s="115">
        <v>930.2</v>
      </c>
      <c r="E1641" s="115">
        <v>980</v>
      </c>
      <c r="F1641" s="115">
        <v>950</v>
      </c>
      <c r="G1641">
        <v>679</v>
      </c>
      <c r="H1641" s="115"/>
      <c r="I1641" s="115"/>
      <c r="L1641" s="160">
        <v>44420</v>
      </c>
      <c r="M1641" s="115">
        <v>895.05</v>
      </c>
      <c r="N1641" s="115">
        <v>899</v>
      </c>
      <c r="O1641" s="115">
        <v>875</v>
      </c>
      <c r="P1641" s="115">
        <v>875</v>
      </c>
      <c r="Q1641" s="115">
        <v>895.05</v>
      </c>
      <c r="R1641">
        <v>35374</v>
      </c>
    </row>
    <row r="1642" spans="1:18" x14ac:dyDescent="0.25">
      <c r="A1642" s="160">
        <v>44447</v>
      </c>
      <c r="B1642" s="115">
        <v>980</v>
      </c>
      <c r="C1642" s="115">
        <v>955</v>
      </c>
      <c r="D1642" s="115">
        <v>944.05</v>
      </c>
      <c r="E1642" s="115">
        <v>950</v>
      </c>
      <c r="F1642" s="115">
        <v>955</v>
      </c>
      <c r="G1642">
        <v>772</v>
      </c>
      <c r="H1642" s="115"/>
      <c r="I1642" s="115"/>
      <c r="L1642" s="160">
        <v>44421</v>
      </c>
      <c r="M1642" s="115">
        <v>899.9</v>
      </c>
      <c r="N1642" s="115">
        <v>904.1</v>
      </c>
      <c r="O1642" s="115">
        <v>883.4</v>
      </c>
      <c r="P1642" s="115">
        <v>888.5</v>
      </c>
      <c r="Q1642" s="115">
        <v>899.9</v>
      </c>
      <c r="R1642">
        <v>35096</v>
      </c>
    </row>
    <row r="1643" spans="1:18" x14ac:dyDescent="0.25">
      <c r="A1643" s="160">
        <v>44448</v>
      </c>
      <c r="B1643" s="115">
        <v>969.5</v>
      </c>
      <c r="C1643" s="115">
        <v>964.95</v>
      </c>
      <c r="D1643" s="115">
        <v>925</v>
      </c>
      <c r="E1643" s="115">
        <v>960</v>
      </c>
      <c r="F1643" s="115">
        <v>964.95</v>
      </c>
      <c r="G1643">
        <v>2615</v>
      </c>
      <c r="H1643" s="115"/>
      <c r="I1643" s="115"/>
      <c r="L1643" s="160">
        <v>44424</v>
      </c>
      <c r="M1643" s="115">
        <v>890.2</v>
      </c>
      <c r="N1643" s="115">
        <v>904.15</v>
      </c>
      <c r="O1643" s="115">
        <v>876.2</v>
      </c>
      <c r="P1643" s="115">
        <v>899.9</v>
      </c>
      <c r="Q1643" s="115">
        <v>890.2</v>
      </c>
      <c r="R1643">
        <v>24406</v>
      </c>
    </row>
    <row r="1644" spans="1:18" x14ac:dyDescent="0.25">
      <c r="A1644" s="160">
        <v>44452</v>
      </c>
      <c r="B1644" s="115">
        <v>999.95</v>
      </c>
      <c r="C1644" s="115">
        <v>965.1</v>
      </c>
      <c r="D1644" s="115">
        <v>937.05</v>
      </c>
      <c r="E1644" s="115">
        <v>999.95</v>
      </c>
      <c r="F1644" s="115">
        <v>965.1</v>
      </c>
      <c r="G1644">
        <v>425</v>
      </c>
      <c r="H1644" s="115"/>
      <c r="I1644" s="115"/>
      <c r="L1644" s="160">
        <v>44425</v>
      </c>
      <c r="M1644" s="115">
        <v>890.75</v>
      </c>
      <c r="N1644" s="115">
        <v>898</v>
      </c>
      <c r="O1644" s="115">
        <v>867.2</v>
      </c>
      <c r="P1644" s="115">
        <v>882</v>
      </c>
      <c r="Q1644" s="115">
        <v>890.75</v>
      </c>
      <c r="R1644">
        <v>68726</v>
      </c>
    </row>
    <row r="1645" spans="1:18" x14ac:dyDescent="0.25">
      <c r="A1645" s="160">
        <v>44453</v>
      </c>
      <c r="B1645" s="115">
        <v>985</v>
      </c>
      <c r="C1645" s="115">
        <v>969.95</v>
      </c>
      <c r="D1645" s="115">
        <v>936</v>
      </c>
      <c r="E1645" s="115">
        <v>939.05</v>
      </c>
      <c r="F1645" s="115">
        <v>969.95</v>
      </c>
      <c r="G1645">
        <v>6546</v>
      </c>
      <c r="H1645" s="115"/>
      <c r="I1645" s="115"/>
      <c r="L1645" s="160">
        <v>44426</v>
      </c>
      <c r="M1645" s="115">
        <v>893.65</v>
      </c>
      <c r="N1645" s="115">
        <v>898.2</v>
      </c>
      <c r="O1645" s="115">
        <v>876</v>
      </c>
      <c r="P1645" s="115">
        <v>876</v>
      </c>
      <c r="Q1645" s="115">
        <v>893.65</v>
      </c>
      <c r="R1645">
        <v>99028</v>
      </c>
    </row>
    <row r="1646" spans="1:18" x14ac:dyDescent="0.25">
      <c r="A1646" s="160">
        <v>44454</v>
      </c>
      <c r="B1646" s="115">
        <v>1038.8</v>
      </c>
      <c r="C1646" s="115">
        <v>1029.95</v>
      </c>
      <c r="D1646" s="115">
        <v>955</v>
      </c>
      <c r="E1646" s="115">
        <v>970</v>
      </c>
      <c r="F1646" s="115">
        <v>1029.95</v>
      </c>
      <c r="G1646">
        <v>7449</v>
      </c>
      <c r="H1646" s="115"/>
      <c r="I1646" s="115"/>
      <c r="L1646" s="160">
        <v>44428</v>
      </c>
      <c r="M1646" s="115">
        <v>869</v>
      </c>
      <c r="N1646" s="115">
        <v>893.65</v>
      </c>
      <c r="O1646" s="115">
        <v>863.9</v>
      </c>
      <c r="P1646" s="115">
        <v>893.65</v>
      </c>
      <c r="Q1646" s="115">
        <v>869</v>
      </c>
      <c r="R1646">
        <v>57667</v>
      </c>
    </row>
    <row r="1647" spans="1:18" x14ac:dyDescent="0.25">
      <c r="A1647" s="160">
        <v>44455</v>
      </c>
      <c r="B1647" s="115">
        <v>1035</v>
      </c>
      <c r="C1647" s="115">
        <v>1000.8</v>
      </c>
      <c r="D1647" s="115">
        <v>1000</v>
      </c>
      <c r="E1647" s="115">
        <v>1001</v>
      </c>
      <c r="F1647" s="115">
        <v>1000.8</v>
      </c>
      <c r="G1647">
        <v>892</v>
      </c>
      <c r="H1647" s="115"/>
      <c r="I1647" s="115"/>
      <c r="L1647" s="160">
        <v>44431</v>
      </c>
      <c r="M1647" s="115">
        <v>852.15</v>
      </c>
      <c r="N1647" s="115">
        <v>872.65</v>
      </c>
      <c r="O1647" s="115">
        <v>835.5</v>
      </c>
      <c r="P1647" s="115">
        <v>869.05</v>
      </c>
      <c r="Q1647" s="115">
        <v>852.15</v>
      </c>
      <c r="R1647">
        <v>43916</v>
      </c>
    </row>
    <row r="1648" spans="1:18" x14ac:dyDescent="0.25">
      <c r="A1648" s="160">
        <v>44456</v>
      </c>
      <c r="B1648" s="115">
        <v>1043</v>
      </c>
      <c r="C1648" s="115">
        <v>1009.7</v>
      </c>
      <c r="D1648" s="115">
        <v>1000</v>
      </c>
      <c r="E1648" s="115">
        <v>1043</v>
      </c>
      <c r="F1648" s="115">
        <v>1009.7</v>
      </c>
      <c r="G1648">
        <v>2012</v>
      </c>
      <c r="H1648" s="115"/>
      <c r="I1648" s="115"/>
      <c r="L1648" s="160">
        <v>44432</v>
      </c>
      <c r="M1648" s="115">
        <v>856.95</v>
      </c>
      <c r="N1648" s="115">
        <v>862</v>
      </c>
      <c r="O1648" s="115">
        <v>837.25</v>
      </c>
      <c r="P1648" s="115">
        <v>862</v>
      </c>
      <c r="Q1648" s="115">
        <v>856.95</v>
      </c>
      <c r="R1648">
        <v>49772</v>
      </c>
    </row>
    <row r="1649" spans="1:18" x14ac:dyDescent="0.25">
      <c r="A1649" s="160">
        <v>44459</v>
      </c>
      <c r="B1649" s="115">
        <v>1040</v>
      </c>
      <c r="C1649" s="115">
        <v>980.2</v>
      </c>
      <c r="D1649" s="115">
        <v>980.2</v>
      </c>
      <c r="E1649" s="115">
        <v>1040</v>
      </c>
      <c r="F1649" s="115">
        <v>980.2</v>
      </c>
      <c r="G1649">
        <v>585</v>
      </c>
      <c r="H1649" s="115"/>
      <c r="I1649" s="115"/>
      <c r="L1649" s="160">
        <v>44433</v>
      </c>
      <c r="M1649" s="115">
        <v>870.75</v>
      </c>
      <c r="N1649" s="115">
        <v>880</v>
      </c>
      <c r="O1649" s="115">
        <v>843.4</v>
      </c>
      <c r="P1649" s="115">
        <v>856.9</v>
      </c>
      <c r="Q1649" s="115">
        <v>870.75</v>
      </c>
      <c r="R1649">
        <v>36281</v>
      </c>
    </row>
    <row r="1650" spans="1:18" x14ac:dyDescent="0.25">
      <c r="A1650" s="160">
        <v>44460</v>
      </c>
      <c r="B1650" s="115">
        <v>1007.95</v>
      </c>
      <c r="C1650" s="115">
        <v>998.9</v>
      </c>
      <c r="D1650" s="115">
        <v>986.15</v>
      </c>
      <c r="E1650" s="115">
        <v>1007.95</v>
      </c>
      <c r="F1650" s="115">
        <v>998.9</v>
      </c>
      <c r="G1650">
        <v>174</v>
      </c>
      <c r="H1650" s="115"/>
      <c r="I1650" s="115"/>
      <c r="L1650" s="160">
        <v>44434</v>
      </c>
      <c r="M1650" s="115">
        <v>855.2</v>
      </c>
      <c r="N1650" s="115">
        <v>875.15</v>
      </c>
      <c r="O1650" s="115">
        <v>842.5</v>
      </c>
      <c r="P1650" s="115">
        <v>875</v>
      </c>
      <c r="Q1650" s="115">
        <v>855.2</v>
      </c>
      <c r="R1650">
        <v>47357</v>
      </c>
    </row>
    <row r="1651" spans="1:18" x14ac:dyDescent="0.25">
      <c r="A1651" s="160">
        <v>44461</v>
      </c>
      <c r="B1651" s="115">
        <v>1007</v>
      </c>
      <c r="C1651" s="115">
        <v>971.15</v>
      </c>
      <c r="D1651" s="115">
        <v>965.05</v>
      </c>
      <c r="E1651" s="115">
        <v>999</v>
      </c>
      <c r="F1651" s="115">
        <v>971.15</v>
      </c>
      <c r="G1651">
        <v>926</v>
      </c>
      <c r="H1651" s="115"/>
      <c r="I1651" s="115"/>
      <c r="L1651" s="160">
        <v>44435</v>
      </c>
      <c r="M1651" s="115">
        <v>865.4</v>
      </c>
      <c r="N1651" s="115">
        <v>868.65</v>
      </c>
      <c r="O1651" s="115">
        <v>847.55</v>
      </c>
      <c r="P1651" s="115">
        <v>865.1</v>
      </c>
      <c r="Q1651" s="115">
        <v>865.4</v>
      </c>
      <c r="R1651">
        <v>33862</v>
      </c>
    </row>
    <row r="1652" spans="1:18" x14ac:dyDescent="0.25">
      <c r="A1652" s="160">
        <v>44462</v>
      </c>
      <c r="B1652" s="115">
        <v>1008</v>
      </c>
      <c r="C1652" s="115">
        <v>988.2</v>
      </c>
      <c r="D1652" s="115">
        <v>961.1</v>
      </c>
      <c r="E1652" s="115">
        <v>961.1</v>
      </c>
      <c r="F1652" s="115">
        <v>988.2</v>
      </c>
      <c r="G1652">
        <v>3682</v>
      </c>
      <c r="H1652" s="115"/>
      <c r="I1652" s="115"/>
      <c r="L1652" s="160">
        <v>44438</v>
      </c>
      <c r="M1652" s="115">
        <v>858.1</v>
      </c>
      <c r="N1652" s="115">
        <v>876</v>
      </c>
      <c r="O1652" s="115">
        <v>847.2</v>
      </c>
      <c r="P1652" s="115">
        <v>865.4</v>
      </c>
      <c r="Q1652" s="115">
        <v>858.1</v>
      </c>
      <c r="R1652">
        <v>31119</v>
      </c>
    </row>
    <row r="1653" spans="1:18" x14ac:dyDescent="0.25">
      <c r="A1653" s="160">
        <v>44463</v>
      </c>
      <c r="B1653" s="115">
        <v>1012.9</v>
      </c>
      <c r="C1653" s="115">
        <v>964.15</v>
      </c>
      <c r="D1653" s="115">
        <v>956.5</v>
      </c>
      <c r="E1653" s="115">
        <v>959.05</v>
      </c>
      <c r="F1653" s="115">
        <v>964.15</v>
      </c>
      <c r="G1653">
        <v>1208</v>
      </c>
      <c r="H1653" s="115"/>
      <c r="I1653" s="115"/>
      <c r="L1653" s="160">
        <v>44439</v>
      </c>
      <c r="M1653" s="115">
        <v>841.55</v>
      </c>
      <c r="N1653" s="115">
        <v>866.75</v>
      </c>
      <c r="O1653" s="115">
        <v>830.05</v>
      </c>
      <c r="P1653" s="115">
        <v>862</v>
      </c>
      <c r="Q1653" s="115">
        <v>841.55</v>
      </c>
      <c r="R1653">
        <v>48583</v>
      </c>
    </row>
    <row r="1654" spans="1:18" x14ac:dyDescent="0.25">
      <c r="A1654" s="160">
        <v>44466</v>
      </c>
      <c r="B1654" s="115">
        <v>1005.9</v>
      </c>
      <c r="C1654" s="115">
        <v>949.1</v>
      </c>
      <c r="D1654" s="115">
        <v>942</v>
      </c>
      <c r="E1654" s="115">
        <v>1005.9</v>
      </c>
      <c r="F1654" s="115">
        <v>949.1</v>
      </c>
      <c r="G1654">
        <v>2664</v>
      </c>
      <c r="H1654" s="115"/>
      <c r="I1654" s="115"/>
      <c r="L1654" s="160">
        <v>44440</v>
      </c>
      <c r="M1654" s="115">
        <v>833.8</v>
      </c>
      <c r="N1654" s="115">
        <v>852</v>
      </c>
      <c r="O1654" s="115">
        <v>826.6</v>
      </c>
      <c r="P1654" s="115">
        <v>841.3</v>
      </c>
      <c r="Q1654" s="115">
        <v>833.8</v>
      </c>
      <c r="R1654">
        <v>43972</v>
      </c>
    </row>
    <row r="1655" spans="1:18" x14ac:dyDescent="0.25">
      <c r="A1655" s="160">
        <v>44467</v>
      </c>
      <c r="B1655" s="115">
        <v>960.5</v>
      </c>
      <c r="C1655" s="115">
        <v>941.7</v>
      </c>
      <c r="D1655" s="115">
        <v>940</v>
      </c>
      <c r="E1655" s="115">
        <v>950</v>
      </c>
      <c r="F1655" s="115">
        <v>941.7</v>
      </c>
      <c r="G1655">
        <v>1174</v>
      </c>
      <c r="H1655" s="115"/>
      <c r="I1655" s="115"/>
      <c r="L1655" s="160">
        <v>44441</v>
      </c>
      <c r="M1655" s="115">
        <v>826.35</v>
      </c>
      <c r="N1655" s="115">
        <v>849.5</v>
      </c>
      <c r="O1655" s="115">
        <v>824</v>
      </c>
      <c r="P1655" s="115">
        <v>834.5</v>
      </c>
      <c r="Q1655" s="115">
        <v>826.35</v>
      </c>
      <c r="R1655">
        <v>52304</v>
      </c>
    </row>
    <row r="1656" spans="1:18" x14ac:dyDescent="0.25">
      <c r="A1656" s="160">
        <v>44468</v>
      </c>
      <c r="B1656" s="115">
        <v>949.9</v>
      </c>
      <c r="C1656" s="115">
        <v>932.05</v>
      </c>
      <c r="D1656" s="115">
        <v>930</v>
      </c>
      <c r="E1656" s="115">
        <v>941.7</v>
      </c>
      <c r="F1656" s="115">
        <v>932.05</v>
      </c>
      <c r="G1656">
        <v>284</v>
      </c>
      <c r="H1656" s="115"/>
      <c r="I1656" s="115"/>
      <c r="L1656" s="160">
        <v>44442</v>
      </c>
      <c r="M1656" s="115">
        <v>821</v>
      </c>
      <c r="N1656" s="115">
        <v>841</v>
      </c>
      <c r="O1656" s="115">
        <v>817.7</v>
      </c>
      <c r="P1656" s="115">
        <v>841</v>
      </c>
      <c r="Q1656" s="115">
        <v>821</v>
      </c>
      <c r="R1656">
        <v>56417</v>
      </c>
    </row>
    <row r="1657" spans="1:18" x14ac:dyDescent="0.25">
      <c r="A1657" s="160">
        <v>44469</v>
      </c>
      <c r="B1657" s="115">
        <v>954.8</v>
      </c>
      <c r="C1657" s="115">
        <v>926.9</v>
      </c>
      <c r="D1657" s="115">
        <v>925.25</v>
      </c>
      <c r="E1657" s="115">
        <v>932.4</v>
      </c>
      <c r="F1657" s="115">
        <v>926.9</v>
      </c>
      <c r="G1657">
        <v>545</v>
      </c>
      <c r="H1657" s="115"/>
      <c r="I1657" s="115"/>
      <c r="L1657" s="160">
        <v>44445</v>
      </c>
      <c r="M1657" s="115">
        <v>817.35</v>
      </c>
      <c r="N1657" s="115">
        <v>832.9</v>
      </c>
      <c r="O1657" s="115">
        <v>813.2</v>
      </c>
      <c r="P1657" s="115">
        <v>825</v>
      </c>
      <c r="Q1657" s="115">
        <v>817.35</v>
      </c>
      <c r="R1657">
        <v>77030</v>
      </c>
    </row>
    <row r="1658" spans="1:18" x14ac:dyDescent="0.25">
      <c r="A1658" s="160">
        <v>44470</v>
      </c>
      <c r="B1658" s="115">
        <v>949.65</v>
      </c>
      <c r="C1658" s="115">
        <v>943.95</v>
      </c>
      <c r="D1658" s="115">
        <v>862.85</v>
      </c>
      <c r="E1658" s="115">
        <v>926.9</v>
      </c>
      <c r="F1658" s="115">
        <v>943.95</v>
      </c>
      <c r="G1658">
        <v>655</v>
      </c>
      <c r="H1658" s="115"/>
      <c r="I1658" s="115"/>
      <c r="L1658" s="160">
        <v>44446</v>
      </c>
      <c r="M1658" s="115">
        <v>816.75</v>
      </c>
      <c r="N1658" s="115">
        <v>827</v>
      </c>
      <c r="O1658" s="115">
        <v>812.05</v>
      </c>
      <c r="P1658" s="115">
        <v>824.95</v>
      </c>
      <c r="Q1658" s="115">
        <v>816.75</v>
      </c>
      <c r="R1658">
        <v>36152</v>
      </c>
    </row>
    <row r="1659" spans="1:18" x14ac:dyDescent="0.25">
      <c r="A1659" s="160">
        <v>44473</v>
      </c>
      <c r="B1659" s="115">
        <v>988.95</v>
      </c>
      <c r="C1659" s="115">
        <v>949.7</v>
      </c>
      <c r="D1659" s="115">
        <v>943.25</v>
      </c>
      <c r="E1659" s="115">
        <v>949.65</v>
      </c>
      <c r="F1659" s="115">
        <v>949.7</v>
      </c>
      <c r="G1659">
        <v>3243</v>
      </c>
      <c r="H1659" s="115"/>
      <c r="I1659" s="115"/>
      <c r="L1659" s="160">
        <v>44447</v>
      </c>
      <c r="M1659" s="115">
        <v>819.9</v>
      </c>
      <c r="N1659" s="115">
        <v>825</v>
      </c>
      <c r="O1659" s="115">
        <v>805.8</v>
      </c>
      <c r="P1659" s="115">
        <v>816.75</v>
      </c>
      <c r="Q1659" s="115">
        <v>819.9</v>
      </c>
      <c r="R1659">
        <v>102755</v>
      </c>
    </row>
    <row r="1660" spans="1:18" x14ac:dyDescent="0.25">
      <c r="A1660" s="160">
        <v>44474</v>
      </c>
      <c r="B1660" s="115">
        <v>989</v>
      </c>
      <c r="C1660" s="115">
        <v>949.95</v>
      </c>
      <c r="D1660" s="115">
        <v>941.55</v>
      </c>
      <c r="E1660" s="115">
        <v>989</v>
      </c>
      <c r="F1660" s="115">
        <v>949.95</v>
      </c>
      <c r="G1660">
        <v>2958</v>
      </c>
      <c r="H1660" s="115"/>
      <c r="I1660" s="115"/>
      <c r="L1660" s="160">
        <v>44448</v>
      </c>
      <c r="M1660" s="115">
        <v>821.95</v>
      </c>
      <c r="N1660" s="115">
        <v>835</v>
      </c>
      <c r="O1660" s="115">
        <v>813</v>
      </c>
      <c r="P1660" s="115">
        <v>825</v>
      </c>
      <c r="Q1660" s="115">
        <v>821.95</v>
      </c>
      <c r="R1660">
        <v>100302</v>
      </c>
    </row>
    <row r="1661" spans="1:18" x14ac:dyDescent="0.25">
      <c r="A1661" s="160">
        <v>44475</v>
      </c>
      <c r="B1661" s="115">
        <v>973</v>
      </c>
      <c r="C1661" s="115">
        <v>943.25</v>
      </c>
      <c r="D1661" s="115">
        <v>943</v>
      </c>
      <c r="E1661" s="115">
        <v>943</v>
      </c>
      <c r="F1661" s="115">
        <v>943.25</v>
      </c>
      <c r="G1661">
        <v>1161</v>
      </c>
      <c r="H1661" s="115"/>
      <c r="I1661" s="115"/>
      <c r="L1661" s="160">
        <v>44452</v>
      </c>
      <c r="M1661" s="115">
        <v>811.9</v>
      </c>
      <c r="N1661" s="115">
        <v>835</v>
      </c>
      <c r="O1661" s="115">
        <v>807.3</v>
      </c>
      <c r="P1661" s="115">
        <v>828.7</v>
      </c>
      <c r="Q1661" s="115">
        <v>811.9</v>
      </c>
      <c r="R1661">
        <v>72828</v>
      </c>
    </row>
    <row r="1662" spans="1:18" x14ac:dyDescent="0.25">
      <c r="A1662" s="160">
        <v>44476</v>
      </c>
      <c r="B1662" s="115">
        <v>959</v>
      </c>
      <c r="C1662" s="115">
        <v>936</v>
      </c>
      <c r="D1662" s="115">
        <v>931.55</v>
      </c>
      <c r="E1662" s="115">
        <v>935</v>
      </c>
      <c r="F1662" s="115">
        <v>936</v>
      </c>
      <c r="G1662">
        <v>1610</v>
      </c>
      <c r="H1662" s="115"/>
      <c r="I1662" s="115"/>
      <c r="L1662" s="160">
        <v>44453</v>
      </c>
      <c r="M1662" s="115">
        <v>816.55</v>
      </c>
      <c r="N1662" s="115">
        <v>826</v>
      </c>
      <c r="O1662" s="115">
        <v>810</v>
      </c>
      <c r="P1662" s="115">
        <v>816</v>
      </c>
      <c r="Q1662" s="115">
        <v>816.55</v>
      </c>
      <c r="R1662">
        <v>51803</v>
      </c>
    </row>
    <row r="1663" spans="1:18" x14ac:dyDescent="0.25">
      <c r="A1663" s="160">
        <v>44477</v>
      </c>
      <c r="B1663" s="115">
        <v>964.35</v>
      </c>
      <c r="C1663" s="115">
        <v>949.7</v>
      </c>
      <c r="D1663" s="115">
        <v>941.1</v>
      </c>
      <c r="E1663" s="115">
        <v>964.35</v>
      </c>
      <c r="F1663" s="115">
        <v>949.7</v>
      </c>
      <c r="G1663">
        <v>2036</v>
      </c>
      <c r="H1663" s="115"/>
      <c r="I1663" s="115"/>
      <c r="L1663" s="160">
        <v>44454</v>
      </c>
      <c r="M1663" s="115">
        <v>829.7</v>
      </c>
      <c r="N1663" s="115">
        <v>832</v>
      </c>
      <c r="O1663" s="115">
        <v>817</v>
      </c>
      <c r="P1663" s="115">
        <v>817</v>
      </c>
      <c r="Q1663" s="115">
        <v>829.7</v>
      </c>
      <c r="R1663">
        <v>107241</v>
      </c>
    </row>
    <row r="1664" spans="1:18" x14ac:dyDescent="0.25">
      <c r="A1664" s="160">
        <v>44480</v>
      </c>
      <c r="B1664" s="115">
        <v>969.95</v>
      </c>
      <c r="C1664" s="115">
        <v>940.35</v>
      </c>
      <c r="D1664" s="115">
        <v>940</v>
      </c>
      <c r="E1664" s="115">
        <v>950</v>
      </c>
      <c r="F1664" s="115">
        <v>940.35</v>
      </c>
      <c r="G1664">
        <v>1729</v>
      </c>
      <c r="H1664" s="115"/>
      <c r="I1664" s="115"/>
      <c r="L1664" s="160">
        <v>44455</v>
      </c>
      <c r="M1664" s="115">
        <v>850.5</v>
      </c>
      <c r="N1664" s="115">
        <v>859.45</v>
      </c>
      <c r="O1664" s="115">
        <v>833</v>
      </c>
      <c r="P1664" s="115">
        <v>845</v>
      </c>
      <c r="Q1664" s="115">
        <v>850.5</v>
      </c>
      <c r="R1664">
        <v>220050</v>
      </c>
    </row>
    <row r="1665" spans="1:18" x14ac:dyDescent="0.25">
      <c r="A1665" s="160">
        <v>44481</v>
      </c>
      <c r="B1665" s="115">
        <v>987.8</v>
      </c>
      <c r="C1665" s="115">
        <v>969.15</v>
      </c>
      <c r="D1665" s="115">
        <v>940</v>
      </c>
      <c r="E1665" s="115">
        <v>940.35</v>
      </c>
      <c r="F1665" s="115">
        <v>969.15</v>
      </c>
      <c r="G1665">
        <v>5426</v>
      </c>
      <c r="H1665" s="115"/>
      <c r="I1665" s="115"/>
      <c r="L1665" s="160">
        <v>44456</v>
      </c>
      <c r="M1665" s="115">
        <v>839.1</v>
      </c>
      <c r="N1665" s="115">
        <v>860</v>
      </c>
      <c r="O1665" s="115">
        <v>830.25</v>
      </c>
      <c r="P1665" s="115">
        <v>860</v>
      </c>
      <c r="Q1665" s="115">
        <v>839.1</v>
      </c>
      <c r="R1665">
        <v>96405</v>
      </c>
    </row>
    <row r="1666" spans="1:18" x14ac:dyDescent="0.25">
      <c r="A1666" s="160">
        <v>44482</v>
      </c>
      <c r="B1666" s="115">
        <v>998.25</v>
      </c>
      <c r="C1666" s="115">
        <v>964</v>
      </c>
      <c r="D1666" s="115">
        <v>950.1</v>
      </c>
      <c r="E1666" s="115">
        <v>998.25</v>
      </c>
      <c r="F1666" s="115">
        <v>964</v>
      </c>
      <c r="G1666">
        <v>817</v>
      </c>
      <c r="H1666" s="115"/>
      <c r="I1666" s="115"/>
      <c r="L1666" s="160">
        <v>44459</v>
      </c>
      <c r="M1666" s="115">
        <v>820.65</v>
      </c>
      <c r="N1666" s="115">
        <v>845</v>
      </c>
      <c r="O1666" s="115">
        <v>815.4</v>
      </c>
      <c r="P1666" s="115">
        <v>845</v>
      </c>
      <c r="Q1666" s="115">
        <v>820.65</v>
      </c>
      <c r="R1666">
        <v>68012</v>
      </c>
    </row>
    <row r="1667" spans="1:18" x14ac:dyDescent="0.25">
      <c r="A1667" s="160">
        <v>44483</v>
      </c>
      <c r="B1667" s="115">
        <v>975.85</v>
      </c>
      <c r="C1667" s="115">
        <v>960.6</v>
      </c>
      <c r="D1667" s="115">
        <v>950</v>
      </c>
      <c r="E1667" s="115">
        <v>975.85</v>
      </c>
      <c r="F1667" s="115">
        <v>960.6</v>
      </c>
      <c r="G1667">
        <v>831</v>
      </c>
      <c r="H1667" s="115"/>
      <c r="I1667" s="115"/>
      <c r="L1667" s="160">
        <v>44460</v>
      </c>
      <c r="M1667" s="115">
        <v>813.45</v>
      </c>
      <c r="N1667" s="115">
        <v>829.85</v>
      </c>
      <c r="O1667" s="115">
        <v>794.1</v>
      </c>
      <c r="P1667" s="115">
        <v>821</v>
      </c>
      <c r="Q1667" s="115">
        <v>813.45</v>
      </c>
      <c r="R1667">
        <v>91617</v>
      </c>
    </row>
    <row r="1668" spans="1:18" x14ac:dyDescent="0.25">
      <c r="A1668" s="160">
        <v>44487</v>
      </c>
      <c r="B1668" s="115">
        <v>1015</v>
      </c>
      <c r="C1668" s="115">
        <v>976.3</v>
      </c>
      <c r="D1668" s="115">
        <v>950.65</v>
      </c>
      <c r="E1668" s="115">
        <v>998.6</v>
      </c>
      <c r="F1668" s="115">
        <v>976.3</v>
      </c>
      <c r="G1668">
        <v>1867</v>
      </c>
      <c r="H1668" s="115"/>
      <c r="I1668" s="115"/>
      <c r="L1668" s="160">
        <v>44461</v>
      </c>
      <c r="M1668" s="115">
        <v>825.85</v>
      </c>
      <c r="N1668" s="115">
        <v>834.8</v>
      </c>
      <c r="O1668" s="115">
        <v>809.5</v>
      </c>
      <c r="P1668" s="115">
        <v>813.45</v>
      </c>
      <c r="Q1668" s="115">
        <v>825.85</v>
      </c>
      <c r="R1668">
        <v>80671</v>
      </c>
    </row>
    <row r="1669" spans="1:18" x14ac:dyDescent="0.25">
      <c r="A1669" s="160">
        <v>44488</v>
      </c>
      <c r="B1669" s="115">
        <v>992.65</v>
      </c>
      <c r="C1669" s="115">
        <v>972.75</v>
      </c>
      <c r="D1669" s="115">
        <v>964.1</v>
      </c>
      <c r="E1669" s="115">
        <v>976.3</v>
      </c>
      <c r="F1669" s="115">
        <v>972.75</v>
      </c>
      <c r="G1669">
        <v>1194</v>
      </c>
      <c r="H1669" s="115"/>
      <c r="I1669" s="115"/>
      <c r="L1669" s="160">
        <v>44462</v>
      </c>
      <c r="M1669" s="115">
        <v>832.55</v>
      </c>
      <c r="N1669" s="115">
        <v>839.85</v>
      </c>
      <c r="O1669" s="115">
        <v>815.85</v>
      </c>
      <c r="P1669" s="115">
        <v>825.85</v>
      </c>
      <c r="Q1669" s="115">
        <v>832.55</v>
      </c>
      <c r="R1669">
        <v>119550</v>
      </c>
    </row>
    <row r="1670" spans="1:18" x14ac:dyDescent="0.25">
      <c r="A1670" s="160">
        <v>44489</v>
      </c>
      <c r="B1670" s="115">
        <v>997.8</v>
      </c>
      <c r="C1670" s="115">
        <v>960</v>
      </c>
      <c r="D1670" s="115">
        <v>960</v>
      </c>
      <c r="E1670" s="115">
        <v>997.8</v>
      </c>
      <c r="F1670" s="115">
        <v>960</v>
      </c>
      <c r="G1670">
        <v>2155</v>
      </c>
      <c r="H1670" s="115"/>
      <c r="I1670" s="115"/>
      <c r="L1670" s="160">
        <v>44463</v>
      </c>
      <c r="M1670" s="115">
        <v>828.05</v>
      </c>
      <c r="N1670" s="115">
        <v>855.45</v>
      </c>
      <c r="O1670" s="115">
        <v>820</v>
      </c>
      <c r="P1670" s="115">
        <v>835</v>
      </c>
      <c r="Q1670" s="115">
        <v>828.05</v>
      </c>
      <c r="R1670">
        <v>139251</v>
      </c>
    </row>
    <row r="1671" spans="1:18" x14ac:dyDescent="0.25">
      <c r="A1671" s="160">
        <v>44490</v>
      </c>
      <c r="B1671" s="115">
        <v>977</v>
      </c>
      <c r="C1671" s="115">
        <v>969</v>
      </c>
      <c r="D1671" s="115">
        <v>955.55</v>
      </c>
      <c r="E1671" s="115">
        <v>955.6</v>
      </c>
      <c r="F1671" s="115">
        <v>969</v>
      </c>
      <c r="G1671">
        <v>131</v>
      </c>
      <c r="H1671" s="115"/>
      <c r="I1671" s="115"/>
      <c r="L1671" s="160">
        <v>44466</v>
      </c>
      <c r="M1671" s="115">
        <v>829.45</v>
      </c>
      <c r="N1671" s="115">
        <v>835</v>
      </c>
      <c r="O1671" s="115">
        <v>818</v>
      </c>
      <c r="P1671" s="115">
        <v>829</v>
      </c>
      <c r="Q1671" s="115">
        <v>829.45</v>
      </c>
      <c r="R1671">
        <v>48029</v>
      </c>
    </row>
    <row r="1672" spans="1:18" x14ac:dyDescent="0.25">
      <c r="A1672" s="160">
        <v>44491</v>
      </c>
      <c r="B1672" s="115">
        <v>997.85</v>
      </c>
      <c r="C1672" s="115">
        <v>965.05</v>
      </c>
      <c r="D1672" s="115">
        <v>965</v>
      </c>
      <c r="E1672" s="115">
        <v>997.85</v>
      </c>
      <c r="F1672" s="115">
        <v>965.05</v>
      </c>
      <c r="G1672">
        <v>238</v>
      </c>
      <c r="H1672" s="115"/>
      <c r="I1672" s="115"/>
      <c r="L1672" s="160">
        <v>44467</v>
      </c>
      <c r="M1672" s="115">
        <v>830.35</v>
      </c>
      <c r="N1672" s="115">
        <v>839.9</v>
      </c>
      <c r="O1672" s="115">
        <v>810.65</v>
      </c>
      <c r="P1672" s="115">
        <v>839.9</v>
      </c>
      <c r="Q1672" s="115">
        <v>830.35</v>
      </c>
      <c r="R1672">
        <v>54904</v>
      </c>
    </row>
    <row r="1673" spans="1:18" x14ac:dyDescent="0.25">
      <c r="A1673" s="160">
        <v>44494</v>
      </c>
      <c r="B1673" s="115">
        <v>974</v>
      </c>
      <c r="C1673" s="115">
        <v>967.7</v>
      </c>
      <c r="D1673" s="115">
        <v>960</v>
      </c>
      <c r="E1673" s="115">
        <v>960</v>
      </c>
      <c r="F1673" s="115">
        <v>967.7</v>
      </c>
      <c r="G1673">
        <v>556</v>
      </c>
      <c r="H1673" s="115"/>
      <c r="I1673" s="115"/>
      <c r="L1673" s="160">
        <v>44468</v>
      </c>
      <c r="M1673" s="115">
        <v>817.3</v>
      </c>
      <c r="N1673" s="115">
        <v>836.45</v>
      </c>
      <c r="O1673" s="115">
        <v>811.05</v>
      </c>
      <c r="P1673" s="115">
        <v>825</v>
      </c>
      <c r="Q1673" s="115">
        <v>817.3</v>
      </c>
      <c r="R1673">
        <v>46061</v>
      </c>
    </row>
    <row r="1674" spans="1:18" x14ac:dyDescent="0.25">
      <c r="A1674" s="160">
        <v>44495</v>
      </c>
      <c r="B1674" s="115">
        <v>989.9</v>
      </c>
      <c r="C1674" s="115">
        <v>983.25</v>
      </c>
      <c r="D1674" s="115">
        <v>965.1</v>
      </c>
      <c r="E1674" s="115">
        <v>974.95</v>
      </c>
      <c r="F1674" s="115">
        <v>983.25</v>
      </c>
      <c r="G1674">
        <v>548</v>
      </c>
      <c r="H1674" s="115"/>
      <c r="I1674" s="115"/>
      <c r="L1674" s="160">
        <v>44469</v>
      </c>
      <c r="M1674" s="115">
        <v>816.9</v>
      </c>
      <c r="N1674" s="115">
        <v>825</v>
      </c>
      <c r="O1674" s="115">
        <v>813.5</v>
      </c>
      <c r="P1674" s="115">
        <v>817.5</v>
      </c>
      <c r="Q1674" s="115">
        <v>816.9</v>
      </c>
      <c r="R1674">
        <v>34116</v>
      </c>
    </row>
    <row r="1675" spans="1:18" x14ac:dyDescent="0.25">
      <c r="A1675" s="160">
        <v>44496</v>
      </c>
      <c r="B1675" s="115">
        <v>990</v>
      </c>
      <c r="C1675" s="115">
        <v>981.1</v>
      </c>
      <c r="D1675" s="115">
        <v>970.15</v>
      </c>
      <c r="E1675" s="115">
        <v>987.95</v>
      </c>
      <c r="F1675" s="115">
        <v>981.1</v>
      </c>
      <c r="G1675">
        <v>780</v>
      </c>
      <c r="H1675" s="115"/>
      <c r="I1675" s="115"/>
      <c r="L1675" s="160">
        <v>44470</v>
      </c>
      <c r="M1675" s="115">
        <v>813.15</v>
      </c>
      <c r="N1675" s="115">
        <v>824.35</v>
      </c>
      <c r="O1675" s="115">
        <v>809.15</v>
      </c>
      <c r="P1675" s="115">
        <v>816.9</v>
      </c>
      <c r="Q1675" s="115">
        <v>813.15</v>
      </c>
      <c r="R1675">
        <v>88884</v>
      </c>
    </row>
    <row r="1676" spans="1:18" x14ac:dyDescent="0.25">
      <c r="A1676" s="160">
        <v>44497</v>
      </c>
      <c r="B1676" s="115">
        <v>992</v>
      </c>
      <c r="C1676" s="115">
        <v>978.85</v>
      </c>
      <c r="D1676" s="115">
        <v>965.1</v>
      </c>
      <c r="E1676" s="115">
        <v>981</v>
      </c>
      <c r="F1676" s="115">
        <v>978.85</v>
      </c>
      <c r="G1676">
        <v>417</v>
      </c>
      <c r="H1676" s="115"/>
      <c r="I1676" s="115"/>
      <c r="L1676" s="160">
        <v>44473</v>
      </c>
      <c r="M1676" s="115">
        <v>812.95</v>
      </c>
      <c r="N1676" s="115">
        <v>821.9</v>
      </c>
      <c r="O1676" s="115">
        <v>810.5</v>
      </c>
      <c r="P1676" s="115">
        <v>816</v>
      </c>
      <c r="Q1676" s="115">
        <v>812.95</v>
      </c>
      <c r="R1676">
        <v>34365</v>
      </c>
    </row>
    <row r="1677" spans="1:18" x14ac:dyDescent="0.25">
      <c r="A1677" s="160">
        <v>44498</v>
      </c>
      <c r="B1677" s="115">
        <v>998</v>
      </c>
      <c r="C1677" s="115">
        <v>966.5</v>
      </c>
      <c r="D1677" s="115">
        <v>963.95</v>
      </c>
      <c r="E1677" s="115">
        <v>988</v>
      </c>
      <c r="F1677" s="115">
        <v>966.5</v>
      </c>
      <c r="G1677">
        <v>2172</v>
      </c>
      <c r="H1677" s="115"/>
      <c r="I1677" s="115"/>
      <c r="L1677" s="160">
        <v>44474</v>
      </c>
      <c r="M1677" s="115">
        <v>819.35</v>
      </c>
      <c r="N1677" s="115">
        <v>823.75</v>
      </c>
      <c r="O1677" s="115">
        <v>810.95</v>
      </c>
      <c r="P1677" s="115">
        <v>813</v>
      </c>
      <c r="Q1677" s="115">
        <v>819.35</v>
      </c>
      <c r="R1677">
        <v>116162</v>
      </c>
    </row>
    <row r="1678" spans="1:18" x14ac:dyDescent="0.25">
      <c r="A1678" s="160">
        <v>44501</v>
      </c>
      <c r="B1678" s="115">
        <v>988.9</v>
      </c>
      <c r="C1678" s="115">
        <v>980</v>
      </c>
      <c r="D1678" s="115">
        <v>961.8</v>
      </c>
      <c r="E1678" s="115">
        <v>975</v>
      </c>
      <c r="F1678" s="115">
        <v>980</v>
      </c>
      <c r="G1678">
        <v>210</v>
      </c>
      <c r="H1678" s="115"/>
      <c r="I1678" s="115"/>
      <c r="L1678" s="160">
        <v>44475</v>
      </c>
      <c r="M1678" s="115">
        <v>813.75</v>
      </c>
      <c r="N1678" s="115">
        <v>834</v>
      </c>
      <c r="O1678" s="115">
        <v>803</v>
      </c>
      <c r="P1678" s="115">
        <v>834</v>
      </c>
      <c r="Q1678" s="115">
        <v>813.75</v>
      </c>
      <c r="R1678">
        <v>52319</v>
      </c>
    </row>
    <row r="1679" spans="1:18" x14ac:dyDescent="0.25">
      <c r="A1679" s="160">
        <v>44502</v>
      </c>
      <c r="B1679" s="115">
        <v>982.9</v>
      </c>
      <c r="C1679" s="115">
        <v>971</v>
      </c>
      <c r="D1679" s="115">
        <v>960.05</v>
      </c>
      <c r="E1679" s="115">
        <v>960.05</v>
      </c>
      <c r="F1679" s="115">
        <v>971</v>
      </c>
      <c r="G1679">
        <v>595</v>
      </c>
      <c r="H1679" s="115"/>
      <c r="I1679" s="115"/>
      <c r="L1679" s="160">
        <v>44476</v>
      </c>
      <c r="M1679" s="115">
        <v>813.4</v>
      </c>
      <c r="N1679" s="115">
        <v>822.35</v>
      </c>
      <c r="O1679" s="115">
        <v>811</v>
      </c>
      <c r="P1679" s="115">
        <v>817</v>
      </c>
      <c r="Q1679" s="115">
        <v>813.4</v>
      </c>
      <c r="R1679">
        <v>37105</v>
      </c>
    </row>
    <row r="1680" spans="1:18" x14ac:dyDescent="0.25">
      <c r="A1680" s="160">
        <v>44503</v>
      </c>
      <c r="B1680" s="115">
        <v>987.4</v>
      </c>
      <c r="C1680" s="115">
        <v>964</v>
      </c>
      <c r="D1680" s="115">
        <v>964</v>
      </c>
      <c r="E1680" s="115">
        <v>987.4</v>
      </c>
      <c r="F1680" s="115">
        <v>964</v>
      </c>
      <c r="G1680">
        <v>678</v>
      </c>
      <c r="H1680" s="115"/>
      <c r="I1680" s="115"/>
      <c r="L1680" s="160">
        <v>44477</v>
      </c>
      <c r="M1680" s="115">
        <v>817.95</v>
      </c>
      <c r="N1680" s="115">
        <v>822</v>
      </c>
      <c r="O1680" s="115">
        <v>807.2</v>
      </c>
      <c r="P1680" s="115">
        <v>817.5</v>
      </c>
      <c r="Q1680" s="115">
        <v>817.95</v>
      </c>
      <c r="R1680">
        <v>68607</v>
      </c>
    </row>
    <row r="1681" spans="1:18" x14ac:dyDescent="0.25">
      <c r="A1681" s="160">
        <v>44504</v>
      </c>
      <c r="B1681" s="115">
        <v>990.5</v>
      </c>
      <c r="C1681" s="115">
        <v>976.25</v>
      </c>
      <c r="D1681" s="115">
        <v>971</v>
      </c>
      <c r="E1681" s="115">
        <v>990.5</v>
      </c>
      <c r="F1681" s="115">
        <v>976.25</v>
      </c>
      <c r="G1681">
        <v>713</v>
      </c>
      <c r="H1681" s="115"/>
      <c r="I1681" s="115"/>
      <c r="L1681" s="160">
        <v>44480</v>
      </c>
      <c r="M1681" s="115">
        <v>830.8</v>
      </c>
      <c r="N1681" s="115">
        <v>844.9</v>
      </c>
      <c r="O1681" s="115">
        <v>820</v>
      </c>
      <c r="P1681" s="115">
        <v>820</v>
      </c>
      <c r="Q1681" s="115">
        <v>830.8</v>
      </c>
      <c r="R1681">
        <v>187481</v>
      </c>
    </row>
    <row r="1682" spans="1:18" x14ac:dyDescent="0.25">
      <c r="A1682" s="160">
        <v>44508</v>
      </c>
      <c r="B1682" s="115">
        <v>981.9</v>
      </c>
      <c r="C1682" s="115">
        <v>960.35</v>
      </c>
      <c r="D1682" s="115">
        <v>955</v>
      </c>
      <c r="E1682" s="115">
        <v>970.1</v>
      </c>
      <c r="F1682" s="115">
        <v>960.35</v>
      </c>
      <c r="G1682">
        <v>727</v>
      </c>
      <c r="H1682" s="115"/>
      <c r="I1682" s="115"/>
      <c r="L1682" s="160">
        <v>44481</v>
      </c>
      <c r="M1682" s="115">
        <v>829.5</v>
      </c>
      <c r="N1682" s="115">
        <v>842</v>
      </c>
      <c r="O1682" s="115">
        <v>815.5</v>
      </c>
      <c r="P1682" s="115">
        <v>838</v>
      </c>
      <c r="Q1682" s="115">
        <v>829.5</v>
      </c>
      <c r="R1682">
        <v>54514</v>
      </c>
    </row>
    <row r="1683" spans="1:18" x14ac:dyDescent="0.25">
      <c r="A1683" s="160">
        <v>44509</v>
      </c>
      <c r="B1683" s="115">
        <v>981</v>
      </c>
      <c r="C1683" s="115">
        <v>977</v>
      </c>
      <c r="D1683" s="115">
        <v>970</v>
      </c>
      <c r="E1683" s="115">
        <v>979.5</v>
      </c>
      <c r="F1683" s="115">
        <v>977</v>
      </c>
      <c r="G1683">
        <v>566</v>
      </c>
      <c r="H1683" s="115"/>
      <c r="I1683" s="115"/>
      <c r="L1683" s="160">
        <v>44482</v>
      </c>
      <c r="M1683" s="115">
        <v>830.55</v>
      </c>
      <c r="N1683" s="115">
        <v>837.4</v>
      </c>
      <c r="O1683" s="115">
        <v>825</v>
      </c>
      <c r="P1683" s="115">
        <v>835</v>
      </c>
      <c r="Q1683" s="115">
        <v>830.55</v>
      </c>
      <c r="R1683">
        <v>56804</v>
      </c>
    </row>
    <row r="1684" spans="1:18" x14ac:dyDescent="0.25">
      <c r="A1684" s="160">
        <v>44510</v>
      </c>
      <c r="B1684" s="115">
        <v>982.7</v>
      </c>
      <c r="C1684" s="115">
        <v>979.75</v>
      </c>
      <c r="D1684" s="115">
        <v>971</v>
      </c>
      <c r="E1684" s="115">
        <v>982.7</v>
      </c>
      <c r="F1684" s="115">
        <v>979.75</v>
      </c>
      <c r="G1684">
        <v>653</v>
      </c>
      <c r="H1684" s="115"/>
      <c r="I1684" s="115"/>
      <c r="L1684" s="160">
        <v>44483</v>
      </c>
      <c r="M1684" s="115">
        <v>825.1</v>
      </c>
      <c r="N1684" s="115">
        <v>839</v>
      </c>
      <c r="O1684" s="115">
        <v>820</v>
      </c>
      <c r="P1684" s="115">
        <v>837</v>
      </c>
      <c r="Q1684" s="115">
        <v>825.1</v>
      </c>
      <c r="R1684">
        <v>48679</v>
      </c>
    </row>
    <row r="1685" spans="1:18" x14ac:dyDescent="0.25">
      <c r="A1685" s="160">
        <v>44511</v>
      </c>
      <c r="B1685" s="115">
        <v>980</v>
      </c>
      <c r="C1685" s="115">
        <v>978.15</v>
      </c>
      <c r="D1685" s="115">
        <v>939</v>
      </c>
      <c r="E1685" s="115">
        <v>939</v>
      </c>
      <c r="F1685" s="115">
        <v>978.15</v>
      </c>
      <c r="G1685">
        <v>828</v>
      </c>
      <c r="H1685" s="115"/>
      <c r="I1685" s="115"/>
      <c r="L1685" s="160">
        <v>44487</v>
      </c>
      <c r="M1685" s="115">
        <v>825.4</v>
      </c>
      <c r="N1685" s="115">
        <v>838</v>
      </c>
      <c r="O1685" s="115">
        <v>822.1</v>
      </c>
      <c r="P1685" s="115">
        <v>838</v>
      </c>
      <c r="Q1685" s="115">
        <v>825.4</v>
      </c>
      <c r="R1685">
        <v>34617</v>
      </c>
    </row>
    <row r="1686" spans="1:18" x14ac:dyDescent="0.25">
      <c r="A1686" s="160">
        <v>44512</v>
      </c>
      <c r="B1686" s="115">
        <v>981.8</v>
      </c>
      <c r="C1686" s="115">
        <v>949</v>
      </c>
      <c r="D1686" s="115">
        <v>934.05</v>
      </c>
      <c r="E1686" s="115">
        <v>981.8</v>
      </c>
      <c r="F1686" s="115">
        <v>949</v>
      </c>
      <c r="G1686">
        <v>1901</v>
      </c>
      <c r="H1686" s="115"/>
      <c r="I1686" s="115"/>
      <c r="L1686" s="160">
        <v>44488</v>
      </c>
      <c r="M1686" s="115">
        <v>818.55</v>
      </c>
      <c r="N1686" s="115">
        <v>834</v>
      </c>
      <c r="O1686" s="115">
        <v>812</v>
      </c>
      <c r="P1686" s="115">
        <v>834</v>
      </c>
      <c r="Q1686" s="115">
        <v>818.55</v>
      </c>
      <c r="R1686">
        <v>43276</v>
      </c>
    </row>
    <row r="1687" spans="1:18" x14ac:dyDescent="0.25">
      <c r="A1687" s="160">
        <v>44515</v>
      </c>
      <c r="B1687" s="115">
        <v>952.1</v>
      </c>
      <c r="C1687" s="115">
        <v>950</v>
      </c>
      <c r="D1687" s="115">
        <v>950</v>
      </c>
      <c r="E1687" s="115">
        <v>950</v>
      </c>
      <c r="F1687" s="115">
        <v>950</v>
      </c>
      <c r="G1687">
        <v>619</v>
      </c>
      <c r="H1687" s="115"/>
      <c r="I1687" s="115"/>
      <c r="L1687" s="160">
        <v>44489</v>
      </c>
      <c r="M1687" s="115">
        <v>801.6</v>
      </c>
      <c r="N1687" s="115">
        <v>827.5</v>
      </c>
      <c r="O1687" s="115">
        <v>797</v>
      </c>
      <c r="P1687" s="115">
        <v>817.8</v>
      </c>
      <c r="Q1687" s="115">
        <v>801.6</v>
      </c>
      <c r="R1687">
        <v>88896</v>
      </c>
    </row>
    <row r="1688" spans="1:18" x14ac:dyDescent="0.25">
      <c r="A1688" s="160">
        <v>44516</v>
      </c>
      <c r="B1688" s="115">
        <v>948.1</v>
      </c>
      <c r="C1688" s="115">
        <v>945.85</v>
      </c>
      <c r="D1688" s="115">
        <v>925.25</v>
      </c>
      <c r="E1688" s="115">
        <v>948.1</v>
      </c>
      <c r="F1688" s="115">
        <v>945.85</v>
      </c>
      <c r="G1688">
        <v>437</v>
      </c>
      <c r="H1688" s="115"/>
      <c r="I1688" s="115"/>
      <c r="L1688" s="160">
        <v>44490</v>
      </c>
      <c r="M1688" s="115">
        <v>809.5</v>
      </c>
      <c r="N1688" s="115">
        <v>817.95</v>
      </c>
      <c r="O1688" s="115">
        <v>791.25</v>
      </c>
      <c r="P1688" s="115">
        <v>801.6</v>
      </c>
      <c r="Q1688" s="115">
        <v>809.5</v>
      </c>
      <c r="R1688">
        <v>77876</v>
      </c>
    </row>
    <row r="1689" spans="1:18" x14ac:dyDescent="0.25">
      <c r="A1689" s="160">
        <v>44517</v>
      </c>
      <c r="B1689" s="115">
        <v>963.9</v>
      </c>
      <c r="C1689" s="115">
        <v>942.05</v>
      </c>
      <c r="D1689" s="115">
        <v>940.05</v>
      </c>
      <c r="E1689" s="115">
        <v>940.05</v>
      </c>
      <c r="F1689" s="115">
        <v>942.05</v>
      </c>
      <c r="G1689">
        <v>371</v>
      </c>
      <c r="H1689" s="115"/>
      <c r="I1689" s="115"/>
      <c r="L1689" s="160">
        <v>44491</v>
      </c>
      <c r="M1689" s="115">
        <v>774.65</v>
      </c>
      <c r="N1689" s="115">
        <v>813.55</v>
      </c>
      <c r="O1689" s="115">
        <v>768.35</v>
      </c>
      <c r="P1689" s="115">
        <v>812</v>
      </c>
      <c r="Q1689" s="115">
        <v>774.65</v>
      </c>
      <c r="R1689">
        <v>60572</v>
      </c>
    </row>
    <row r="1690" spans="1:18" x14ac:dyDescent="0.25">
      <c r="A1690" s="160">
        <v>44518</v>
      </c>
      <c r="B1690" s="115">
        <v>960.9</v>
      </c>
      <c r="C1690" s="115">
        <v>937.25</v>
      </c>
      <c r="D1690" s="115">
        <v>933.5</v>
      </c>
      <c r="E1690" s="115">
        <v>960.9</v>
      </c>
      <c r="F1690" s="115">
        <v>937.25</v>
      </c>
      <c r="G1690">
        <v>342</v>
      </c>
      <c r="H1690" s="115"/>
      <c r="I1690" s="115"/>
      <c r="L1690" s="160">
        <v>44494</v>
      </c>
      <c r="M1690" s="115">
        <v>743.15</v>
      </c>
      <c r="N1690" s="115">
        <v>781.15</v>
      </c>
      <c r="O1690" s="115">
        <v>740</v>
      </c>
      <c r="P1690" s="115">
        <v>774</v>
      </c>
      <c r="Q1690" s="115">
        <v>743.15</v>
      </c>
      <c r="R1690">
        <v>74647</v>
      </c>
    </row>
    <row r="1691" spans="1:18" x14ac:dyDescent="0.25">
      <c r="A1691" s="160">
        <v>44522</v>
      </c>
      <c r="B1691" s="115">
        <v>985</v>
      </c>
      <c r="C1691" s="115">
        <v>977</v>
      </c>
      <c r="D1691" s="115">
        <v>950</v>
      </c>
      <c r="E1691" s="115">
        <v>957.9</v>
      </c>
      <c r="F1691" s="115">
        <v>977</v>
      </c>
      <c r="G1691">
        <v>4165</v>
      </c>
      <c r="H1691" s="115"/>
      <c r="I1691" s="115"/>
      <c r="L1691" s="160">
        <v>44495</v>
      </c>
      <c r="M1691" s="115">
        <v>743.9</v>
      </c>
      <c r="N1691" s="115">
        <v>763.15</v>
      </c>
      <c r="O1691" s="115">
        <v>740.15</v>
      </c>
      <c r="P1691" s="115">
        <v>750</v>
      </c>
      <c r="Q1691" s="115">
        <v>743.9</v>
      </c>
      <c r="R1691">
        <v>75380</v>
      </c>
    </row>
    <row r="1692" spans="1:18" x14ac:dyDescent="0.25">
      <c r="A1692" s="160">
        <v>44523</v>
      </c>
      <c r="B1692" s="115">
        <v>1022.8</v>
      </c>
      <c r="C1692" s="115">
        <v>1004.15</v>
      </c>
      <c r="D1692" s="115">
        <v>955</v>
      </c>
      <c r="E1692" s="115">
        <v>990</v>
      </c>
      <c r="F1692" s="115">
        <v>1004.15</v>
      </c>
      <c r="G1692">
        <v>3672</v>
      </c>
      <c r="H1692" s="115"/>
      <c r="I1692" s="115"/>
      <c r="L1692" s="160">
        <v>44496</v>
      </c>
      <c r="M1692" s="115">
        <v>754.25</v>
      </c>
      <c r="N1692" s="115">
        <v>760.9</v>
      </c>
      <c r="O1692" s="115">
        <v>741.1</v>
      </c>
      <c r="P1692" s="115">
        <v>747.65</v>
      </c>
      <c r="Q1692" s="115">
        <v>754.25</v>
      </c>
      <c r="R1692">
        <v>60273</v>
      </c>
    </row>
    <row r="1693" spans="1:18" x14ac:dyDescent="0.25">
      <c r="A1693" s="160">
        <v>44524</v>
      </c>
      <c r="B1693" s="115">
        <v>1040</v>
      </c>
      <c r="C1693" s="115">
        <v>1007.75</v>
      </c>
      <c r="D1693" s="115">
        <v>975.5</v>
      </c>
      <c r="E1693" s="115">
        <v>1023.7</v>
      </c>
      <c r="F1693" s="115">
        <v>1007.75</v>
      </c>
      <c r="G1693">
        <v>3744</v>
      </c>
      <c r="H1693" s="115"/>
      <c r="I1693" s="115"/>
      <c r="L1693" s="160">
        <v>44497</v>
      </c>
      <c r="M1693" s="115">
        <v>735.4</v>
      </c>
      <c r="N1693" s="115">
        <v>757</v>
      </c>
      <c r="O1693" s="115">
        <v>731.65</v>
      </c>
      <c r="P1693" s="115">
        <v>757</v>
      </c>
      <c r="Q1693" s="115">
        <v>735.4</v>
      </c>
      <c r="R1693">
        <v>41568</v>
      </c>
    </row>
    <row r="1694" spans="1:18" x14ac:dyDescent="0.25">
      <c r="A1694" s="160">
        <v>44525</v>
      </c>
      <c r="B1694" s="115">
        <v>1055.5</v>
      </c>
      <c r="C1694" s="115">
        <v>1019.65</v>
      </c>
      <c r="D1694" s="115">
        <v>1006.15</v>
      </c>
      <c r="E1694" s="115">
        <v>1020</v>
      </c>
      <c r="F1694" s="115">
        <v>1019.65</v>
      </c>
      <c r="G1694">
        <v>9975</v>
      </c>
      <c r="H1694" s="115"/>
      <c r="I1694" s="115"/>
      <c r="L1694" s="160">
        <v>44498</v>
      </c>
      <c r="M1694" s="115">
        <v>731.7</v>
      </c>
      <c r="N1694" s="115">
        <v>738.6</v>
      </c>
      <c r="O1694" s="115">
        <v>704.2</v>
      </c>
      <c r="P1694" s="115">
        <v>730</v>
      </c>
      <c r="Q1694" s="115">
        <v>731.7</v>
      </c>
      <c r="R1694">
        <v>60723</v>
      </c>
    </row>
    <row r="1695" spans="1:18" x14ac:dyDescent="0.25">
      <c r="A1695" s="160">
        <v>44526</v>
      </c>
      <c r="B1695" s="115">
        <v>1032</v>
      </c>
      <c r="C1695" s="115">
        <v>1002.45</v>
      </c>
      <c r="D1695" s="115">
        <v>992.05</v>
      </c>
      <c r="E1695" s="115">
        <v>1031.95</v>
      </c>
      <c r="F1695" s="115">
        <v>1002.45</v>
      </c>
      <c r="G1695">
        <v>542</v>
      </c>
      <c r="H1695" s="115"/>
      <c r="I1695" s="115"/>
      <c r="L1695" s="160">
        <v>44501</v>
      </c>
      <c r="M1695" s="115">
        <v>742.55</v>
      </c>
      <c r="N1695" s="115">
        <v>748</v>
      </c>
      <c r="O1695" s="115">
        <v>720</v>
      </c>
      <c r="P1695" s="115">
        <v>720</v>
      </c>
      <c r="Q1695" s="115">
        <v>742.55</v>
      </c>
      <c r="R1695">
        <v>44761</v>
      </c>
    </row>
    <row r="1696" spans="1:18" x14ac:dyDescent="0.25">
      <c r="A1696" s="160">
        <v>44529</v>
      </c>
      <c r="B1696" s="115">
        <v>1023.8</v>
      </c>
      <c r="C1696" s="115">
        <v>1019.6</v>
      </c>
      <c r="D1696" s="115">
        <v>981</v>
      </c>
      <c r="E1696" s="115">
        <v>981</v>
      </c>
      <c r="F1696" s="115">
        <v>1019.6</v>
      </c>
      <c r="G1696">
        <v>740</v>
      </c>
      <c r="H1696" s="115"/>
      <c r="I1696" s="115"/>
      <c r="L1696" s="160">
        <v>44502</v>
      </c>
      <c r="M1696" s="115">
        <v>751.05</v>
      </c>
      <c r="N1696" s="115">
        <v>763.9</v>
      </c>
      <c r="O1696" s="115">
        <v>737.05</v>
      </c>
      <c r="P1696" s="115">
        <v>745</v>
      </c>
      <c r="Q1696" s="115">
        <v>751.05</v>
      </c>
      <c r="R1696">
        <v>51786</v>
      </c>
    </row>
    <row r="1697" spans="1:18" x14ac:dyDescent="0.25">
      <c r="A1697" s="160">
        <v>44530</v>
      </c>
      <c r="B1697" s="115">
        <v>1019.6</v>
      </c>
      <c r="C1697" s="115">
        <v>1019</v>
      </c>
      <c r="D1697" s="115">
        <v>981</v>
      </c>
      <c r="E1697" s="115">
        <v>1019.6</v>
      </c>
      <c r="F1697" s="115">
        <v>1019</v>
      </c>
      <c r="G1697">
        <v>1377</v>
      </c>
      <c r="H1697" s="115"/>
      <c r="I1697" s="115"/>
      <c r="L1697" s="160">
        <v>44503</v>
      </c>
      <c r="M1697" s="115">
        <v>744.5</v>
      </c>
      <c r="N1697" s="115">
        <v>756</v>
      </c>
      <c r="O1697" s="115">
        <v>721</v>
      </c>
      <c r="P1697" s="115">
        <v>754.85</v>
      </c>
      <c r="Q1697" s="115">
        <v>744.5</v>
      </c>
      <c r="R1697">
        <v>61139</v>
      </c>
    </row>
    <row r="1698" spans="1:18" x14ac:dyDescent="0.25">
      <c r="A1698" s="160">
        <v>44531</v>
      </c>
      <c r="B1698" s="115">
        <v>1018.5</v>
      </c>
      <c r="C1698" s="115">
        <v>995</v>
      </c>
      <c r="D1698" s="115">
        <v>991.85</v>
      </c>
      <c r="E1698" s="115">
        <v>991.85</v>
      </c>
      <c r="F1698" s="115">
        <v>995</v>
      </c>
      <c r="G1698">
        <v>512</v>
      </c>
      <c r="H1698" s="115"/>
      <c r="I1698" s="115"/>
      <c r="L1698" s="160">
        <v>44504</v>
      </c>
      <c r="M1698" s="115">
        <v>756.95</v>
      </c>
      <c r="N1698" s="115">
        <v>760</v>
      </c>
      <c r="O1698" s="115">
        <v>746</v>
      </c>
      <c r="P1698" s="115">
        <v>746</v>
      </c>
      <c r="Q1698" s="115">
        <v>756.95</v>
      </c>
      <c r="R1698">
        <v>7817</v>
      </c>
    </row>
    <row r="1699" spans="1:18" x14ac:dyDescent="0.25">
      <c r="A1699" s="160">
        <v>44532</v>
      </c>
      <c r="B1699" s="115">
        <v>1014.6</v>
      </c>
      <c r="C1699" s="115">
        <v>1005</v>
      </c>
      <c r="D1699" s="115">
        <v>990.05</v>
      </c>
      <c r="E1699" s="115">
        <v>990.05</v>
      </c>
      <c r="F1699" s="115">
        <v>1005</v>
      </c>
      <c r="G1699">
        <v>317</v>
      </c>
      <c r="H1699" s="115"/>
      <c r="I1699" s="115"/>
      <c r="L1699" s="160">
        <v>44508</v>
      </c>
      <c r="M1699" s="115">
        <v>762.55</v>
      </c>
      <c r="N1699" s="115">
        <v>765</v>
      </c>
      <c r="O1699" s="115">
        <v>742.2</v>
      </c>
      <c r="P1699" s="115">
        <v>757.4</v>
      </c>
      <c r="Q1699" s="115">
        <v>762.55</v>
      </c>
      <c r="R1699">
        <v>32977</v>
      </c>
    </row>
    <row r="1700" spans="1:18" x14ac:dyDescent="0.25">
      <c r="A1700" s="160">
        <v>44533</v>
      </c>
      <c r="B1700" s="115">
        <v>1013.8</v>
      </c>
      <c r="C1700" s="115">
        <v>990</v>
      </c>
      <c r="D1700" s="115">
        <v>990</v>
      </c>
      <c r="E1700" s="115">
        <v>995</v>
      </c>
      <c r="F1700" s="115">
        <v>990</v>
      </c>
      <c r="G1700">
        <v>679</v>
      </c>
      <c r="H1700" s="115"/>
      <c r="I1700" s="115"/>
      <c r="L1700" s="160">
        <v>44509</v>
      </c>
      <c r="M1700" s="115">
        <v>774.55</v>
      </c>
      <c r="N1700" s="115">
        <v>778.4</v>
      </c>
      <c r="O1700" s="115">
        <v>750</v>
      </c>
      <c r="P1700" s="115">
        <v>756</v>
      </c>
      <c r="Q1700" s="115">
        <v>774.55</v>
      </c>
      <c r="R1700">
        <v>63637</v>
      </c>
    </row>
    <row r="1701" spans="1:18" x14ac:dyDescent="0.25">
      <c r="A1701" s="160">
        <v>44536</v>
      </c>
      <c r="B1701" s="115">
        <v>1005.95</v>
      </c>
      <c r="C1701" s="115">
        <v>993.95</v>
      </c>
      <c r="D1701" s="115">
        <v>970</v>
      </c>
      <c r="E1701" s="115">
        <v>1005.95</v>
      </c>
      <c r="F1701" s="115">
        <v>993.95</v>
      </c>
      <c r="G1701">
        <v>271</v>
      </c>
      <c r="H1701" s="115"/>
      <c r="I1701" s="115"/>
      <c r="L1701" s="160">
        <v>44510</v>
      </c>
      <c r="M1701" s="115">
        <v>786.7</v>
      </c>
      <c r="N1701" s="115">
        <v>789.1</v>
      </c>
      <c r="O1701" s="115">
        <v>765.95</v>
      </c>
      <c r="P1701" s="115">
        <v>768.5</v>
      </c>
      <c r="Q1701" s="115">
        <v>786.7</v>
      </c>
      <c r="R1701">
        <v>39499</v>
      </c>
    </row>
    <row r="1702" spans="1:18" x14ac:dyDescent="0.25">
      <c r="A1702" s="160">
        <v>44537</v>
      </c>
      <c r="B1702" s="115">
        <v>1019.95</v>
      </c>
      <c r="C1702" s="115">
        <v>990</v>
      </c>
      <c r="D1702" s="115">
        <v>981</v>
      </c>
      <c r="E1702" s="115">
        <v>1019.95</v>
      </c>
      <c r="F1702" s="115">
        <v>990</v>
      </c>
      <c r="G1702">
        <v>224</v>
      </c>
      <c r="H1702" s="115"/>
      <c r="I1702" s="115"/>
      <c r="L1702" s="160">
        <v>44511</v>
      </c>
      <c r="M1702" s="115">
        <v>780.35</v>
      </c>
      <c r="N1702" s="115">
        <v>790.65</v>
      </c>
      <c r="O1702" s="115">
        <v>776.05</v>
      </c>
      <c r="P1702" s="115">
        <v>789</v>
      </c>
      <c r="Q1702" s="115">
        <v>780.35</v>
      </c>
      <c r="R1702">
        <v>35184</v>
      </c>
    </row>
    <row r="1703" spans="1:18" x14ac:dyDescent="0.25">
      <c r="A1703" s="160">
        <v>44538</v>
      </c>
      <c r="B1703" s="115">
        <v>1170</v>
      </c>
      <c r="C1703" s="115">
        <v>1038.6500000000001</v>
      </c>
      <c r="D1703" s="115">
        <v>1000</v>
      </c>
      <c r="E1703" s="115">
        <v>1149</v>
      </c>
      <c r="F1703" s="115">
        <v>1038.6500000000001</v>
      </c>
      <c r="G1703">
        <v>15869</v>
      </c>
      <c r="H1703" s="115"/>
      <c r="I1703" s="115"/>
      <c r="L1703" s="160">
        <v>44512</v>
      </c>
      <c r="M1703" s="115">
        <v>765.8</v>
      </c>
      <c r="N1703" s="115">
        <v>787.95</v>
      </c>
      <c r="O1703" s="115">
        <v>762.7</v>
      </c>
      <c r="P1703" s="115">
        <v>784.3</v>
      </c>
      <c r="Q1703" s="115">
        <v>765.8</v>
      </c>
      <c r="R1703">
        <v>22135</v>
      </c>
    </row>
    <row r="1704" spans="1:18" x14ac:dyDescent="0.25">
      <c r="A1704" s="160">
        <v>44539</v>
      </c>
      <c r="B1704" s="115">
        <v>1050</v>
      </c>
      <c r="C1704" s="115">
        <v>1021.95</v>
      </c>
      <c r="D1704" s="115">
        <v>1010</v>
      </c>
      <c r="E1704" s="115">
        <v>1050</v>
      </c>
      <c r="F1704" s="115">
        <v>1021.95</v>
      </c>
      <c r="G1704">
        <v>5185</v>
      </c>
      <c r="H1704" s="115"/>
      <c r="I1704" s="115"/>
      <c r="L1704" s="160">
        <v>44515</v>
      </c>
      <c r="M1704" s="115">
        <v>757.15</v>
      </c>
      <c r="N1704" s="115">
        <v>774.65</v>
      </c>
      <c r="O1704" s="115">
        <v>752.05</v>
      </c>
      <c r="P1704" s="115">
        <v>766</v>
      </c>
      <c r="Q1704" s="115">
        <v>757.15</v>
      </c>
      <c r="R1704">
        <v>20643</v>
      </c>
    </row>
    <row r="1705" spans="1:18" x14ac:dyDescent="0.25">
      <c r="A1705" s="160">
        <v>44540</v>
      </c>
      <c r="B1705" s="115">
        <v>1048.8</v>
      </c>
      <c r="C1705" s="115">
        <v>1030.0999999999999</v>
      </c>
      <c r="D1705" s="115">
        <v>1020.05</v>
      </c>
      <c r="E1705" s="115">
        <v>1020.05</v>
      </c>
      <c r="F1705" s="115">
        <v>1030.0999999999999</v>
      </c>
      <c r="G1705">
        <v>1498</v>
      </c>
      <c r="H1705" s="115"/>
      <c r="I1705" s="115"/>
      <c r="L1705" s="160">
        <v>44516</v>
      </c>
      <c r="M1705" s="115">
        <v>760.65</v>
      </c>
      <c r="N1705" s="115">
        <v>776.65</v>
      </c>
      <c r="O1705" s="115">
        <v>748</v>
      </c>
      <c r="P1705" s="115">
        <v>757.15</v>
      </c>
      <c r="Q1705" s="115">
        <v>760.65</v>
      </c>
      <c r="R1705">
        <v>36621</v>
      </c>
    </row>
    <row r="1706" spans="1:18" x14ac:dyDescent="0.25">
      <c r="A1706" s="160">
        <v>44543</v>
      </c>
      <c r="B1706" s="115">
        <v>1149</v>
      </c>
      <c r="C1706" s="115">
        <v>1074.9000000000001</v>
      </c>
      <c r="D1706" s="115">
        <v>1046</v>
      </c>
      <c r="E1706" s="115">
        <v>1050.95</v>
      </c>
      <c r="F1706" s="115">
        <v>1074.9000000000001</v>
      </c>
      <c r="G1706">
        <v>17431</v>
      </c>
      <c r="H1706" s="115"/>
      <c r="I1706" s="115"/>
      <c r="L1706" s="160">
        <v>44517</v>
      </c>
      <c r="M1706" s="115">
        <v>754.95</v>
      </c>
      <c r="N1706" s="115">
        <v>785</v>
      </c>
      <c r="O1706" s="115">
        <v>745</v>
      </c>
      <c r="P1706" s="115">
        <v>760</v>
      </c>
      <c r="Q1706" s="115">
        <v>754.95</v>
      </c>
      <c r="R1706">
        <v>44865</v>
      </c>
    </row>
    <row r="1707" spans="1:18" x14ac:dyDescent="0.25">
      <c r="A1707" s="160">
        <v>44544</v>
      </c>
      <c r="B1707" s="115">
        <v>1119</v>
      </c>
      <c r="C1707" s="115">
        <v>1089.9000000000001</v>
      </c>
      <c r="D1707" s="115">
        <v>1041</v>
      </c>
      <c r="E1707" s="115">
        <v>1041</v>
      </c>
      <c r="F1707" s="115">
        <v>1089.9000000000001</v>
      </c>
      <c r="G1707">
        <v>1007</v>
      </c>
      <c r="H1707" s="115"/>
      <c r="I1707" s="115"/>
      <c r="L1707" s="160">
        <v>44518</v>
      </c>
      <c r="M1707" s="115">
        <v>740.5</v>
      </c>
      <c r="N1707" s="115">
        <v>764</v>
      </c>
      <c r="O1707" s="115">
        <v>735.3</v>
      </c>
      <c r="P1707" s="115">
        <v>753</v>
      </c>
      <c r="Q1707" s="115">
        <v>740.5</v>
      </c>
      <c r="R1707">
        <v>27071</v>
      </c>
    </row>
    <row r="1708" spans="1:18" x14ac:dyDescent="0.25">
      <c r="A1708" s="160">
        <v>44545</v>
      </c>
      <c r="B1708" s="115">
        <v>1307.8499999999999</v>
      </c>
      <c r="C1708" s="115">
        <v>1307.8499999999999</v>
      </c>
      <c r="D1708" s="115">
        <v>1091.05</v>
      </c>
      <c r="E1708" s="115">
        <v>1094</v>
      </c>
      <c r="F1708" s="115">
        <v>1307.8499999999999</v>
      </c>
      <c r="G1708">
        <v>26020</v>
      </c>
      <c r="H1708" s="115"/>
      <c r="I1708" s="115"/>
      <c r="L1708" s="160">
        <v>44522</v>
      </c>
      <c r="M1708" s="115">
        <v>743.45</v>
      </c>
      <c r="N1708" s="115">
        <v>751.85</v>
      </c>
      <c r="O1708" s="115">
        <v>726.95</v>
      </c>
      <c r="P1708" s="115">
        <v>733.1</v>
      </c>
      <c r="Q1708" s="115">
        <v>743.45</v>
      </c>
      <c r="R1708">
        <v>39098</v>
      </c>
    </row>
    <row r="1709" spans="1:18" x14ac:dyDescent="0.25">
      <c r="A1709" s="160">
        <v>44546</v>
      </c>
      <c r="B1709" s="115">
        <v>1472.95</v>
      </c>
      <c r="C1709" s="115">
        <v>1289.8</v>
      </c>
      <c r="D1709" s="115">
        <v>1281.05</v>
      </c>
      <c r="E1709" s="115">
        <v>1405</v>
      </c>
      <c r="F1709" s="115">
        <v>1289.8</v>
      </c>
      <c r="G1709">
        <v>13223</v>
      </c>
      <c r="H1709" s="115"/>
      <c r="I1709" s="115"/>
      <c r="L1709" s="160">
        <v>44523</v>
      </c>
      <c r="M1709" s="115">
        <v>736.2</v>
      </c>
      <c r="N1709" s="115">
        <v>748.55</v>
      </c>
      <c r="O1709" s="115">
        <v>728.45</v>
      </c>
      <c r="P1709" s="115">
        <v>738</v>
      </c>
      <c r="Q1709" s="115">
        <v>736.2</v>
      </c>
      <c r="R1709">
        <v>21897</v>
      </c>
    </row>
    <row r="1710" spans="1:18" x14ac:dyDescent="0.25">
      <c r="A1710" s="160">
        <v>44547</v>
      </c>
      <c r="B1710" s="115">
        <v>1285.25</v>
      </c>
      <c r="C1710" s="115">
        <v>1157.25</v>
      </c>
      <c r="D1710" s="115">
        <v>1144</v>
      </c>
      <c r="E1710" s="115">
        <v>1285.25</v>
      </c>
      <c r="F1710" s="115">
        <v>1157.25</v>
      </c>
      <c r="G1710">
        <v>8648</v>
      </c>
      <c r="H1710" s="115"/>
      <c r="I1710" s="115"/>
      <c r="L1710" s="160">
        <v>44524</v>
      </c>
      <c r="M1710" s="115">
        <v>744.05</v>
      </c>
      <c r="N1710" s="115">
        <v>765.5</v>
      </c>
      <c r="O1710" s="115">
        <v>738</v>
      </c>
      <c r="P1710" s="115">
        <v>738</v>
      </c>
      <c r="Q1710" s="115">
        <v>744.05</v>
      </c>
      <c r="R1710">
        <v>16247</v>
      </c>
    </row>
    <row r="1711" spans="1:18" x14ac:dyDescent="0.25">
      <c r="A1711" s="160">
        <v>44550</v>
      </c>
      <c r="B1711" s="115">
        <v>1173.95</v>
      </c>
      <c r="C1711" s="115">
        <v>1106.25</v>
      </c>
      <c r="D1711" s="115">
        <v>1062</v>
      </c>
      <c r="E1711" s="115">
        <v>1147.8</v>
      </c>
      <c r="F1711" s="115">
        <v>1106.25</v>
      </c>
      <c r="G1711">
        <v>3642</v>
      </c>
      <c r="H1711" s="115"/>
      <c r="I1711" s="115"/>
      <c r="L1711" s="160">
        <v>44525</v>
      </c>
      <c r="M1711" s="115">
        <v>749.3</v>
      </c>
      <c r="N1711" s="115">
        <v>753.2</v>
      </c>
      <c r="O1711" s="115">
        <v>740</v>
      </c>
      <c r="P1711" s="115">
        <v>745.05</v>
      </c>
      <c r="Q1711" s="115">
        <v>749.3</v>
      </c>
      <c r="R1711">
        <v>12875</v>
      </c>
    </row>
    <row r="1712" spans="1:18" x14ac:dyDescent="0.25">
      <c r="A1712" s="160">
        <v>44551</v>
      </c>
      <c r="B1712" s="115">
        <v>1155.7</v>
      </c>
      <c r="C1712" s="115">
        <v>1132.05</v>
      </c>
      <c r="D1712" s="115">
        <v>1100</v>
      </c>
      <c r="E1712" s="115">
        <v>1155</v>
      </c>
      <c r="F1712" s="115">
        <v>1132.05</v>
      </c>
      <c r="G1712">
        <v>2722</v>
      </c>
      <c r="H1712" s="115"/>
      <c r="I1712" s="115"/>
      <c r="L1712" s="160">
        <v>44526</v>
      </c>
      <c r="M1712" s="115">
        <v>734.3</v>
      </c>
      <c r="N1712" s="115">
        <v>751.35</v>
      </c>
      <c r="O1712" s="115">
        <v>728</v>
      </c>
      <c r="P1712" s="115">
        <v>744.3</v>
      </c>
      <c r="Q1712" s="115">
        <v>734.3</v>
      </c>
      <c r="R1712">
        <v>16185</v>
      </c>
    </row>
    <row r="1713" spans="1:18" x14ac:dyDescent="0.25">
      <c r="A1713" s="160">
        <v>44552</v>
      </c>
      <c r="B1713" s="115">
        <v>1158.75</v>
      </c>
      <c r="C1713" s="115">
        <v>1135.3</v>
      </c>
      <c r="D1713" s="115">
        <v>1135</v>
      </c>
      <c r="E1713" s="115">
        <v>1158</v>
      </c>
      <c r="F1713" s="115">
        <v>1135.3</v>
      </c>
      <c r="G1713">
        <v>846</v>
      </c>
      <c r="H1713" s="115"/>
      <c r="I1713" s="115"/>
      <c r="L1713" s="160">
        <v>44529</v>
      </c>
      <c r="M1713" s="115">
        <v>739.05</v>
      </c>
      <c r="N1713" s="115">
        <v>745</v>
      </c>
      <c r="O1713" s="115">
        <v>709.3</v>
      </c>
      <c r="P1713" s="115">
        <v>730.05</v>
      </c>
      <c r="Q1713" s="115">
        <v>739.05</v>
      </c>
      <c r="R1713">
        <v>40075</v>
      </c>
    </row>
    <row r="1714" spans="1:18" x14ac:dyDescent="0.25">
      <c r="A1714" s="160">
        <v>44553</v>
      </c>
      <c r="B1714" s="115">
        <v>1210</v>
      </c>
      <c r="C1714" s="115">
        <v>1143.7</v>
      </c>
      <c r="D1714" s="115">
        <v>1140</v>
      </c>
      <c r="E1714" s="115">
        <v>1210</v>
      </c>
      <c r="F1714" s="115">
        <v>1143.7</v>
      </c>
      <c r="G1714">
        <v>1741</v>
      </c>
      <c r="H1714" s="115"/>
      <c r="I1714" s="115"/>
      <c r="L1714" s="160">
        <v>44530</v>
      </c>
      <c r="M1714" s="115">
        <v>739</v>
      </c>
      <c r="N1714" s="115">
        <v>748.05</v>
      </c>
      <c r="O1714" s="115">
        <v>729.95</v>
      </c>
      <c r="P1714" s="115">
        <v>742.75</v>
      </c>
      <c r="Q1714" s="115">
        <v>739</v>
      </c>
      <c r="R1714">
        <v>22471</v>
      </c>
    </row>
    <row r="1715" spans="1:18" x14ac:dyDescent="0.25">
      <c r="A1715" s="160">
        <v>44554</v>
      </c>
      <c r="B1715" s="115">
        <v>1174</v>
      </c>
      <c r="C1715" s="115">
        <v>1149.8499999999999</v>
      </c>
      <c r="D1715" s="115">
        <v>1130.5</v>
      </c>
      <c r="E1715" s="115">
        <v>1132</v>
      </c>
      <c r="F1715" s="115">
        <v>1149.8499999999999</v>
      </c>
      <c r="G1715">
        <v>3899</v>
      </c>
      <c r="H1715" s="115"/>
      <c r="I1715" s="115"/>
      <c r="L1715" s="160">
        <v>44531</v>
      </c>
      <c r="M1715" s="115">
        <v>750.6</v>
      </c>
      <c r="N1715" s="115">
        <v>753</v>
      </c>
      <c r="O1715" s="115">
        <v>732.05</v>
      </c>
      <c r="P1715" s="115">
        <v>740</v>
      </c>
      <c r="Q1715" s="115">
        <v>750.6</v>
      </c>
      <c r="R1715">
        <v>23447</v>
      </c>
    </row>
    <row r="1716" spans="1:18" x14ac:dyDescent="0.25">
      <c r="A1716" s="160">
        <v>44557</v>
      </c>
      <c r="B1716" s="115">
        <v>1200</v>
      </c>
      <c r="C1716" s="115">
        <v>1185.8499999999999</v>
      </c>
      <c r="D1716" s="115">
        <v>1151</v>
      </c>
      <c r="E1716" s="115">
        <v>1184.95</v>
      </c>
      <c r="F1716" s="115">
        <v>1185.8499999999999</v>
      </c>
      <c r="G1716">
        <v>1583</v>
      </c>
      <c r="H1716" s="115"/>
      <c r="I1716" s="115"/>
      <c r="L1716" s="160">
        <v>44532</v>
      </c>
      <c r="M1716" s="115">
        <v>750.1</v>
      </c>
      <c r="N1716" s="115">
        <v>763</v>
      </c>
      <c r="O1716" s="115">
        <v>744.4</v>
      </c>
      <c r="P1716" s="115">
        <v>760</v>
      </c>
      <c r="Q1716" s="115">
        <v>750.1</v>
      </c>
      <c r="R1716">
        <v>21302</v>
      </c>
    </row>
    <row r="1717" spans="1:18" x14ac:dyDescent="0.25">
      <c r="A1717" s="160">
        <v>44558</v>
      </c>
      <c r="B1717" s="115">
        <v>1349.95</v>
      </c>
      <c r="C1717" s="115">
        <v>1152.45</v>
      </c>
      <c r="D1717" s="115">
        <v>1122.5</v>
      </c>
      <c r="E1717" s="115">
        <v>1187.4000000000001</v>
      </c>
      <c r="F1717" s="115">
        <v>1152.45</v>
      </c>
      <c r="G1717">
        <v>16189</v>
      </c>
      <c r="H1717" s="115"/>
      <c r="I1717" s="115"/>
      <c r="L1717" s="160">
        <v>44533</v>
      </c>
      <c r="M1717" s="115">
        <v>740.1</v>
      </c>
      <c r="N1717" s="115">
        <v>755.8</v>
      </c>
      <c r="O1717" s="115">
        <v>736</v>
      </c>
      <c r="P1717" s="115">
        <v>753.9</v>
      </c>
      <c r="Q1717" s="115">
        <v>740.1</v>
      </c>
      <c r="R1717">
        <v>24652</v>
      </c>
    </row>
    <row r="1718" spans="1:18" x14ac:dyDescent="0.25">
      <c r="A1718" s="160">
        <v>44559</v>
      </c>
      <c r="B1718" s="115">
        <v>1199.95</v>
      </c>
      <c r="C1718" s="115">
        <v>1125.8</v>
      </c>
      <c r="D1718" s="115">
        <v>1070</v>
      </c>
      <c r="E1718" s="115">
        <v>1172</v>
      </c>
      <c r="F1718" s="115">
        <v>1125.8</v>
      </c>
      <c r="G1718">
        <v>5758</v>
      </c>
      <c r="H1718" s="115"/>
      <c r="I1718" s="115"/>
      <c r="L1718" s="160">
        <v>44536</v>
      </c>
      <c r="M1718" s="115">
        <v>739.5</v>
      </c>
      <c r="N1718" s="115">
        <v>760.15</v>
      </c>
      <c r="O1718" s="115">
        <v>728.3</v>
      </c>
      <c r="P1718" s="115">
        <v>747</v>
      </c>
      <c r="Q1718" s="115">
        <v>739.5</v>
      </c>
      <c r="R1718">
        <v>23303</v>
      </c>
    </row>
    <row r="1719" spans="1:18" x14ac:dyDescent="0.25">
      <c r="A1719" s="160">
        <v>44560</v>
      </c>
      <c r="B1719" s="115">
        <v>1149</v>
      </c>
      <c r="C1719" s="115">
        <v>1102.1500000000001</v>
      </c>
      <c r="D1719" s="115">
        <v>1090.05</v>
      </c>
      <c r="E1719" s="115">
        <v>1149</v>
      </c>
      <c r="F1719" s="115">
        <v>1102.1500000000001</v>
      </c>
      <c r="G1719">
        <v>3040</v>
      </c>
      <c r="H1719" s="115"/>
      <c r="I1719" s="115"/>
      <c r="L1719" s="160">
        <v>44537</v>
      </c>
      <c r="M1719" s="115">
        <v>738.2</v>
      </c>
      <c r="N1719" s="115">
        <v>748.35</v>
      </c>
      <c r="O1719" s="115">
        <v>733.1</v>
      </c>
      <c r="P1719" s="115">
        <v>739.5</v>
      </c>
      <c r="Q1719" s="115">
        <v>738.2</v>
      </c>
      <c r="R1719">
        <v>17156</v>
      </c>
    </row>
    <row r="1720" spans="1:18" x14ac:dyDescent="0.25">
      <c r="A1720" s="160">
        <v>44561</v>
      </c>
      <c r="B1720" s="115">
        <v>1169.8</v>
      </c>
      <c r="C1720" s="115">
        <v>1029.75</v>
      </c>
      <c r="D1720" s="115">
        <v>1001</v>
      </c>
      <c r="E1720" s="115">
        <v>1149</v>
      </c>
      <c r="F1720" s="115">
        <v>1029.75</v>
      </c>
      <c r="G1720">
        <v>14972</v>
      </c>
      <c r="H1720" s="115"/>
      <c r="I1720" s="115"/>
      <c r="L1720" s="160">
        <v>44538</v>
      </c>
      <c r="M1720" s="115">
        <v>739.45</v>
      </c>
      <c r="N1720" s="115">
        <v>748.9</v>
      </c>
      <c r="O1720" s="115">
        <v>735.05</v>
      </c>
      <c r="P1720" s="115">
        <v>741.9</v>
      </c>
      <c r="Q1720" s="115">
        <v>739.45</v>
      </c>
      <c r="R1720">
        <v>15039</v>
      </c>
    </row>
    <row r="1721" spans="1:18" x14ac:dyDescent="0.25">
      <c r="A1721" s="160">
        <v>44564</v>
      </c>
      <c r="B1721" s="115">
        <v>1108.4000000000001</v>
      </c>
      <c r="C1721" s="115">
        <v>1103.4000000000001</v>
      </c>
      <c r="D1721" s="115">
        <v>1045.05</v>
      </c>
      <c r="E1721" s="115">
        <v>1050</v>
      </c>
      <c r="F1721" s="115">
        <v>1103.4000000000001</v>
      </c>
      <c r="G1721">
        <v>3037</v>
      </c>
      <c r="H1721" s="115"/>
      <c r="I1721" s="115"/>
      <c r="L1721" s="160">
        <v>44539</v>
      </c>
      <c r="M1721" s="115">
        <v>749.55</v>
      </c>
      <c r="N1721" s="115">
        <v>758.45</v>
      </c>
      <c r="O1721" s="115">
        <v>734.45</v>
      </c>
      <c r="P1721" s="115">
        <v>740.05</v>
      </c>
      <c r="Q1721" s="115">
        <v>749.55</v>
      </c>
      <c r="R1721">
        <v>32846</v>
      </c>
    </row>
    <row r="1722" spans="1:18" x14ac:dyDescent="0.25">
      <c r="A1722" s="160">
        <v>44565</v>
      </c>
      <c r="B1722" s="115">
        <v>1324.05</v>
      </c>
      <c r="C1722" s="115">
        <v>1320.9</v>
      </c>
      <c r="D1722" s="115">
        <v>1120</v>
      </c>
      <c r="E1722" s="115">
        <v>1125</v>
      </c>
      <c r="F1722" s="115">
        <v>1320.9</v>
      </c>
      <c r="G1722">
        <v>33078</v>
      </c>
      <c r="H1722" s="115"/>
      <c r="I1722" s="115"/>
      <c r="L1722" s="160">
        <v>44540</v>
      </c>
      <c r="M1722" s="115">
        <v>755.05</v>
      </c>
      <c r="N1722" s="115">
        <v>761.05</v>
      </c>
      <c r="O1722" s="115">
        <v>748.05</v>
      </c>
      <c r="P1722" s="115">
        <v>750</v>
      </c>
      <c r="Q1722" s="115">
        <v>755.05</v>
      </c>
      <c r="R1722">
        <v>23406</v>
      </c>
    </row>
    <row r="1723" spans="1:18" x14ac:dyDescent="0.25">
      <c r="A1723" s="160">
        <v>44566</v>
      </c>
      <c r="B1723" s="115">
        <v>1490</v>
      </c>
      <c r="C1723" s="115">
        <v>1338.95</v>
      </c>
      <c r="D1723" s="115">
        <v>1313</v>
      </c>
      <c r="E1723" s="115">
        <v>1369.9</v>
      </c>
      <c r="F1723" s="115">
        <v>1338.95</v>
      </c>
      <c r="G1723">
        <v>30963</v>
      </c>
      <c r="H1723" s="115"/>
      <c r="I1723" s="115"/>
      <c r="L1723" s="160">
        <v>44543</v>
      </c>
      <c r="M1723" s="115">
        <v>753.95</v>
      </c>
      <c r="N1723" s="115">
        <v>764.9</v>
      </c>
      <c r="O1723" s="115">
        <v>750</v>
      </c>
      <c r="P1723" s="115">
        <v>759</v>
      </c>
      <c r="Q1723" s="115">
        <v>753.95</v>
      </c>
      <c r="R1723">
        <v>25003</v>
      </c>
    </row>
    <row r="1724" spans="1:18" x14ac:dyDescent="0.25">
      <c r="A1724" s="160">
        <v>44567</v>
      </c>
      <c r="B1724" s="115">
        <v>1490</v>
      </c>
      <c r="C1724" s="115">
        <v>1451.05</v>
      </c>
      <c r="D1724" s="115">
        <v>1341.1</v>
      </c>
      <c r="E1724" s="115">
        <v>1380</v>
      </c>
      <c r="F1724" s="115">
        <v>1451.05</v>
      </c>
      <c r="G1724">
        <v>8550</v>
      </c>
      <c r="H1724" s="115"/>
      <c r="I1724" s="115"/>
      <c r="L1724" s="160">
        <v>44544</v>
      </c>
      <c r="M1724" s="115">
        <v>746.45</v>
      </c>
      <c r="N1724" s="115">
        <v>759.85</v>
      </c>
      <c r="O1724" s="115">
        <v>743.15</v>
      </c>
      <c r="P1724" s="115">
        <v>757.5</v>
      </c>
      <c r="Q1724" s="115">
        <v>746.45</v>
      </c>
      <c r="R1724">
        <v>22440</v>
      </c>
    </row>
    <row r="1725" spans="1:18" x14ac:dyDescent="0.25">
      <c r="A1725" s="160">
        <v>44568</v>
      </c>
      <c r="B1725" s="115">
        <v>1525</v>
      </c>
      <c r="C1725" s="115">
        <v>1394.4</v>
      </c>
      <c r="D1725" s="115">
        <v>1375</v>
      </c>
      <c r="E1725" s="115">
        <v>1500</v>
      </c>
      <c r="F1725" s="115">
        <v>1394.4</v>
      </c>
      <c r="G1725">
        <v>34245</v>
      </c>
      <c r="H1725" s="115"/>
      <c r="I1725" s="115"/>
      <c r="L1725" s="160">
        <v>44545</v>
      </c>
      <c r="M1725" s="115">
        <v>753.35</v>
      </c>
      <c r="N1725" s="115">
        <v>765</v>
      </c>
      <c r="O1725" s="115">
        <v>737.3</v>
      </c>
      <c r="P1725" s="115">
        <v>750.2</v>
      </c>
      <c r="Q1725" s="115">
        <v>753.35</v>
      </c>
      <c r="R1725">
        <v>30902</v>
      </c>
    </row>
    <row r="1726" spans="1:18" x14ac:dyDescent="0.25">
      <c r="A1726" s="160">
        <v>44571</v>
      </c>
      <c r="B1726" s="115">
        <v>1468.95</v>
      </c>
      <c r="C1726" s="115">
        <v>1353.1</v>
      </c>
      <c r="D1726" s="115">
        <v>1345</v>
      </c>
      <c r="E1726" s="115">
        <v>1421.4</v>
      </c>
      <c r="F1726" s="115">
        <v>1353.1</v>
      </c>
      <c r="G1726">
        <v>12521</v>
      </c>
      <c r="H1726" s="115"/>
      <c r="I1726" s="115"/>
      <c r="L1726" s="160">
        <v>44546</v>
      </c>
      <c r="M1726" s="115">
        <v>751</v>
      </c>
      <c r="N1726" s="115">
        <v>758.95</v>
      </c>
      <c r="O1726" s="115">
        <v>747.85</v>
      </c>
      <c r="P1726" s="115">
        <v>756</v>
      </c>
      <c r="Q1726" s="115">
        <v>751</v>
      </c>
      <c r="R1726">
        <v>15374</v>
      </c>
    </row>
    <row r="1727" spans="1:18" x14ac:dyDescent="0.25">
      <c r="A1727" s="160">
        <v>44572</v>
      </c>
      <c r="B1727" s="115">
        <v>1430</v>
      </c>
      <c r="C1727" s="115">
        <v>1414.3</v>
      </c>
      <c r="D1727" s="115">
        <v>1331.5</v>
      </c>
      <c r="E1727" s="115">
        <v>1390</v>
      </c>
      <c r="F1727" s="115">
        <v>1414.3</v>
      </c>
      <c r="G1727">
        <v>6635</v>
      </c>
      <c r="H1727" s="115"/>
      <c r="I1727" s="115"/>
      <c r="L1727" s="160">
        <v>44547</v>
      </c>
      <c r="M1727" s="115">
        <v>749.1</v>
      </c>
      <c r="N1727" s="115">
        <v>759</v>
      </c>
      <c r="O1727" s="115">
        <v>746</v>
      </c>
      <c r="P1727" s="115">
        <v>759</v>
      </c>
      <c r="Q1727" s="115">
        <v>749.1</v>
      </c>
      <c r="R1727">
        <v>14911</v>
      </c>
    </row>
    <row r="1728" spans="1:18" x14ac:dyDescent="0.25">
      <c r="A1728" s="160">
        <v>44573</v>
      </c>
      <c r="B1728" s="115">
        <v>1450</v>
      </c>
      <c r="C1728" s="115">
        <v>1389.6</v>
      </c>
      <c r="D1728" s="115">
        <v>1360</v>
      </c>
      <c r="E1728" s="115">
        <v>1449.8</v>
      </c>
      <c r="F1728" s="115">
        <v>1389.6</v>
      </c>
      <c r="G1728">
        <v>11717</v>
      </c>
      <c r="H1728" s="115"/>
      <c r="I1728" s="115"/>
      <c r="L1728" s="160">
        <v>44550</v>
      </c>
      <c r="M1728" s="115">
        <v>751.95</v>
      </c>
      <c r="N1728" s="115">
        <v>757.95</v>
      </c>
      <c r="O1728" s="115">
        <v>725.65</v>
      </c>
      <c r="P1728" s="115">
        <v>745</v>
      </c>
      <c r="Q1728" s="115">
        <v>751.95</v>
      </c>
      <c r="R1728">
        <v>30265</v>
      </c>
    </row>
    <row r="1729" spans="1:18" x14ac:dyDescent="0.25">
      <c r="A1729" s="160">
        <v>44574</v>
      </c>
      <c r="B1729" s="115">
        <v>1400</v>
      </c>
      <c r="C1729" s="115">
        <v>1295.8</v>
      </c>
      <c r="D1729" s="115">
        <v>1255</v>
      </c>
      <c r="E1729" s="115">
        <v>1380</v>
      </c>
      <c r="F1729" s="115">
        <v>1295.8</v>
      </c>
      <c r="G1729">
        <v>8188</v>
      </c>
      <c r="H1729" s="115"/>
      <c r="I1729" s="115"/>
      <c r="L1729" s="160">
        <v>44551</v>
      </c>
      <c r="M1729" s="115">
        <v>733.8</v>
      </c>
      <c r="N1729" s="115">
        <v>755.4</v>
      </c>
      <c r="O1729" s="115">
        <v>730</v>
      </c>
      <c r="P1729" s="115">
        <v>742</v>
      </c>
      <c r="Q1729" s="115">
        <v>733.8</v>
      </c>
      <c r="R1729">
        <v>20207</v>
      </c>
    </row>
    <row r="1730" spans="1:18" x14ac:dyDescent="0.25">
      <c r="A1730" s="160">
        <v>44575</v>
      </c>
      <c r="B1730" s="115">
        <v>1331.3</v>
      </c>
      <c r="C1730" s="115">
        <v>1324.1</v>
      </c>
      <c r="D1730" s="115">
        <v>1260</v>
      </c>
      <c r="E1730" s="115">
        <v>1319</v>
      </c>
      <c r="F1730" s="115">
        <v>1324.1</v>
      </c>
      <c r="G1730">
        <v>9405</v>
      </c>
      <c r="H1730" s="115"/>
      <c r="I1730" s="115"/>
      <c r="L1730" s="160">
        <v>44552</v>
      </c>
      <c r="M1730" s="115">
        <v>731.9</v>
      </c>
      <c r="N1730" s="115">
        <v>740.95</v>
      </c>
      <c r="O1730" s="115">
        <v>725.6</v>
      </c>
      <c r="P1730" s="115">
        <v>734</v>
      </c>
      <c r="Q1730" s="115">
        <v>731.9</v>
      </c>
      <c r="R1730">
        <v>18364</v>
      </c>
    </row>
    <row r="1731" spans="1:18" x14ac:dyDescent="0.25">
      <c r="A1731" s="160">
        <v>44578</v>
      </c>
      <c r="B1731" s="115">
        <v>1366</v>
      </c>
      <c r="C1731" s="115">
        <v>1346.8</v>
      </c>
      <c r="D1731" s="115">
        <v>1330</v>
      </c>
      <c r="E1731" s="115">
        <v>1330</v>
      </c>
      <c r="F1731" s="115">
        <v>1346.8</v>
      </c>
      <c r="G1731">
        <v>3016</v>
      </c>
      <c r="H1731" s="115"/>
      <c r="I1731" s="115"/>
      <c r="L1731" s="160">
        <v>44553</v>
      </c>
      <c r="M1731" s="115">
        <v>728.75</v>
      </c>
      <c r="N1731" s="115">
        <v>735</v>
      </c>
      <c r="O1731" s="115">
        <v>725.5</v>
      </c>
      <c r="P1731" s="115">
        <v>733</v>
      </c>
      <c r="Q1731" s="115">
        <v>728.75</v>
      </c>
      <c r="R1731">
        <v>13024</v>
      </c>
    </row>
    <row r="1732" spans="1:18" x14ac:dyDescent="0.25">
      <c r="A1732" s="160">
        <v>44579</v>
      </c>
      <c r="B1732" s="115">
        <v>1355</v>
      </c>
      <c r="C1732" s="115">
        <v>1339.8</v>
      </c>
      <c r="D1732" s="115">
        <v>1313.25</v>
      </c>
      <c r="E1732" s="115">
        <v>1355</v>
      </c>
      <c r="F1732" s="115">
        <v>1339.8</v>
      </c>
      <c r="G1732">
        <v>2868</v>
      </c>
      <c r="H1732" s="115"/>
      <c r="I1732" s="115"/>
      <c r="L1732" s="160">
        <v>44554</v>
      </c>
      <c r="M1732" s="115">
        <v>734.55</v>
      </c>
      <c r="N1732" s="115">
        <v>739</v>
      </c>
      <c r="O1732" s="115">
        <v>725</v>
      </c>
      <c r="P1732" s="115">
        <v>729.85</v>
      </c>
      <c r="Q1732" s="115">
        <v>734.55</v>
      </c>
      <c r="R1732">
        <v>236856</v>
      </c>
    </row>
    <row r="1733" spans="1:18" x14ac:dyDescent="0.25">
      <c r="A1733" s="160">
        <v>44580</v>
      </c>
      <c r="B1733" s="115">
        <v>1349</v>
      </c>
      <c r="C1733" s="115">
        <v>1315.6</v>
      </c>
      <c r="D1733" s="115">
        <v>1305</v>
      </c>
      <c r="E1733" s="115">
        <v>1349</v>
      </c>
      <c r="F1733" s="115">
        <v>1315.6</v>
      </c>
      <c r="G1733">
        <v>789</v>
      </c>
      <c r="H1733" s="115"/>
      <c r="I1733" s="115"/>
      <c r="L1733" s="160">
        <v>44557</v>
      </c>
      <c r="M1733" s="115">
        <v>726.25</v>
      </c>
      <c r="N1733" s="115">
        <v>745.9</v>
      </c>
      <c r="O1733" s="115">
        <v>719.75</v>
      </c>
      <c r="P1733" s="115">
        <v>742</v>
      </c>
      <c r="Q1733" s="115">
        <v>726.25</v>
      </c>
      <c r="R1733">
        <v>353754</v>
      </c>
    </row>
    <row r="1734" spans="1:18" x14ac:dyDescent="0.25">
      <c r="A1734" s="160">
        <v>44581</v>
      </c>
      <c r="B1734" s="115">
        <v>1332.7</v>
      </c>
      <c r="C1734" s="115">
        <v>1287.3499999999999</v>
      </c>
      <c r="D1734" s="115">
        <v>1280</v>
      </c>
      <c r="E1734" s="115">
        <v>1325</v>
      </c>
      <c r="F1734" s="115">
        <v>1287.3499999999999</v>
      </c>
      <c r="G1734">
        <v>1805</v>
      </c>
      <c r="H1734" s="115"/>
      <c r="I1734" s="115"/>
      <c r="L1734" s="160">
        <v>44558</v>
      </c>
      <c r="M1734" s="115">
        <v>721.4</v>
      </c>
      <c r="N1734" s="115">
        <v>735.45</v>
      </c>
      <c r="O1734" s="115">
        <v>718</v>
      </c>
      <c r="P1734" s="115">
        <v>732</v>
      </c>
      <c r="Q1734" s="115">
        <v>721.4</v>
      </c>
      <c r="R1734">
        <v>34597</v>
      </c>
    </row>
    <row r="1735" spans="1:18" x14ac:dyDescent="0.25">
      <c r="A1735" s="160">
        <v>44582</v>
      </c>
      <c r="B1735" s="115">
        <v>1349</v>
      </c>
      <c r="C1735" s="115">
        <v>1322.95</v>
      </c>
      <c r="D1735" s="115">
        <v>1281</v>
      </c>
      <c r="E1735" s="115">
        <v>1299</v>
      </c>
      <c r="F1735" s="115">
        <v>1322.95</v>
      </c>
      <c r="G1735">
        <v>4510</v>
      </c>
      <c r="H1735" s="115"/>
      <c r="I1735" s="115"/>
      <c r="L1735" s="160">
        <v>44559</v>
      </c>
      <c r="M1735" s="115">
        <v>724.3</v>
      </c>
      <c r="N1735" s="115">
        <v>728.95</v>
      </c>
      <c r="O1735" s="115">
        <v>717.05</v>
      </c>
      <c r="P1735" s="115">
        <v>725</v>
      </c>
      <c r="Q1735" s="115">
        <v>724.3</v>
      </c>
      <c r="R1735">
        <v>21369</v>
      </c>
    </row>
    <row r="1736" spans="1:18" x14ac:dyDescent="0.25">
      <c r="A1736" s="160">
        <v>44585</v>
      </c>
      <c r="B1736" s="115">
        <v>1346.5</v>
      </c>
      <c r="C1736" s="115">
        <v>1199.0999999999999</v>
      </c>
      <c r="D1736" s="115">
        <v>1180</v>
      </c>
      <c r="E1736" s="115">
        <v>1346</v>
      </c>
      <c r="F1736" s="115">
        <v>1199.0999999999999</v>
      </c>
      <c r="G1736">
        <v>9141</v>
      </c>
      <c r="H1736" s="115"/>
      <c r="I1736" s="115"/>
      <c r="L1736" s="160">
        <v>44560</v>
      </c>
      <c r="M1736" s="115">
        <v>724.75</v>
      </c>
      <c r="N1736" s="115">
        <v>727.95</v>
      </c>
      <c r="O1736" s="115">
        <v>722.85</v>
      </c>
      <c r="P1736" s="115">
        <v>727.95</v>
      </c>
      <c r="Q1736" s="115">
        <v>724.75</v>
      </c>
      <c r="R1736">
        <v>12772</v>
      </c>
    </row>
    <row r="1737" spans="1:18" x14ac:dyDescent="0.25">
      <c r="A1737" s="160">
        <v>44586</v>
      </c>
      <c r="B1737" s="115">
        <v>1277</v>
      </c>
      <c r="C1737" s="115">
        <v>1252.05</v>
      </c>
      <c r="D1737" s="115">
        <v>1180</v>
      </c>
      <c r="E1737" s="115">
        <v>1210</v>
      </c>
      <c r="F1737" s="115">
        <v>1252.05</v>
      </c>
      <c r="G1737">
        <v>5296</v>
      </c>
      <c r="H1737" s="115"/>
      <c r="I1737" s="115"/>
      <c r="L1737" s="160">
        <v>44561</v>
      </c>
      <c r="M1737" s="115">
        <v>834.4</v>
      </c>
      <c r="N1737" s="115">
        <v>855</v>
      </c>
      <c r="O1737" s="115">
        <v>720</v>
      </c>
      <c r="P1737" s="115">
        <v>720</v>
      </c>
      <c r="Q1737" s="115">
        <v>834.4</v>
      </c>
      <c r="R1737">
        <v>1503887</v>
      </c>
    </row>
    <row r="1738" spans="1:18" x14ac:dyDescent="0.25">
      <c r="A1738" s="160">
        <v>44588</v>
      </c>
      <c r="B1738" s="115">
        <v>1332</v>
      </c>
      <c r="C1738" s="115">
        <v>1307.25</v>
      </c>
      <c r="D1738" s="115">
        <v>1227.55</v>
      </c>
      <c r="E1738" s="115">
        <v>1298</v>
      </c>
      <c r="F1738" s="115">
        <v>1307.25</v>
      </c>
      <c r="G1738">
        <v>6561</v>
      </c>
      <c r="H1738" s="115"/>
      <c r="I1738" s="115"/>
      <c r="L1738" s="160">
        <v>44564</v>
      </c>
      <c r="M1738" s="115">
        <v>782.6</v>
      </c>
      <c r="N1738" s="115">
        <v>810</v>
      </c>
      <c r="O1738" s="115">
        <v>771.9</v>
      </c>
      <c r="P1738" s="115">
        <v>799</v>
      </c>
      <c r="Q1738" s="115">
        <v>782.6</v>
      </c>
      <c r="R1738">
        <v>382264</v>
      </c>
    </row>
    <row r="1739" spans="1:18" x14ac:dyDescent="0.25">
      <c r="A1739" s="160">
        <v>44589</v>
      </c>
      <c r="B1739" s="115">
        <v>1388</v>
      </c>
      <c r="C1739" s="115">
        <v>1314.2</v>
      </c>
      <c r="D1739" s="115">
        <v>1300</v>
      </c>
      <c r="E1739" s="115">
        <v>1388</v>
      </c>
      <c r="F1739" s="115">
        <v>1314.2</v>
      </c>
      <c r="G1739">
        <v>3644</v>
      </c>
      <c r="H1739" s="115"/>
      <c r="I1739" s="115"/>
      <c r="L1739" s="160">
        <v>44565</v>
      </c>
      <c r="M1739" s="115">
        <v>761.3</v>
      </c>
      <c r="N1739" s="115">
        <v>786</v>
      </c>
      <c r="O1739" s="115">
        <v>760</v>
      </c>
      <c r="P1739" s="115">
        <v>786</v>
      </c>
      <c r="Q1739" s="115">
        <v>761.3</v>
      </c>
      <c r="R1739">
        <v>200073</v>
      </c>
    </row>
    <row r="1740" spans="1:18" x14ac:dyDescent="0.25">
      <c r="A1740" s="160">
        <v>44592</v>
      </c>
      <c r="B1740" s="115">
        <v>1385</v>
      </c>
      <c r="C1740" s="115">
        <v>1322.55</v>
      </c>
      <c r="D1740" s="115">
        <v>1258</v>
      </c>
      <c r="E1740" s="115">
        <v>1385</v>
      </c>
      <c r="F1740" s="115">
        <v>1322.55</v>
      </c>
      <c r="G1740">
        <v>2095</v>
      </c>
      <c r="H1740" s="115"/>
      <c r="I1740" s="115"/>
      <c r="L1740" s="160">
        <v>44566</v>
      </c>
      <c r="M1740" s="115">
        <v>752.15</v>
      </c>
      <c r="N1740" s="115">
        <v>765.75</v>
      </c>
      <c r="O1740" s="115">
        <v>748.25</v>
      </c>
      <c r="P1740" s="115">
        <v>754</v>
      </c>
      <c r="Q1740" s="115">
        <v>752.15</v>
      </c>
      <c r="R1740">
        <v>95073</v>
      </c>
    </row>
    <row r="1741" spans="1:18" x14ac:dyDescent="0.25">
      <c r="A1741" s="160">
        <v>44593</v>
      </c>
      <c r="B1741" s="115">
        <v>1440</v>
      </c>
      <c r="C1741" s="115">
        <v>1416.35</v>
      </c>
      <c r="D1741" s="115">
        <v>1330</v>
      </c>
      <c r="E1741" s="115">
        <v>1399</v>
      </c>
      <c r="F1741" s="115">
        <v>1416.35</v>
      </c>
      <c r="G1741">
        <v>19544</v>
      </c>
      <c r="H1741" s="115"/>
      <c r="I1741" s="115"/>
      <c r="L1741" s="160">
        <v>44567</v>
      </c>
      <c r="M1741" s="115">
        <v>754.5</v>
      </c>
      <c r="N1741" s="115">
        <v>767.9</v>
      </c>
      <c r="O1741" s="115">
        <v>747.8</v>
      </c>
      <c r="P1741" s="115">
        <v>752</v>
      </c>
      <c r="Q1741" s="115">
        <v>754.5</v>
      </c>
      <c r="R1741">
        <v>106981</v>
      </c>
    </row>
    <row r="1742" spans="1:18" x14ac:dyDescent="0.25">
      <c r="A1742" s="160">
        <v>44594</v>
      </c>
      <c r="B1742" s="115">
        <v>1545</v>
      </c>
      <c r="C1742" s="115">
        <v>1531.8</v>
      </c>
      <c r="D1742" s="115">
        <v>1441</v>
      </c>
      <c r="E1742" s="115">
        <v>1465</v>
      </c>
      <c r="F1742" s="115">
        <v>1531.8</v>
      </c>
      <c r="G1742">
        <v>16486</v>
      </c>
      <c r="H1742" s="115"/>
      <c r="I1742" s="115"/>
      <c r="L1742" s="160">
        <v>44568</v>
      </c>
      <c r="M1742" s="115">
        <v>748.35</v>
      </c>
      <c r="N1742" s="115">
        <v>755.8</v>
      </c>
      <c r="O1742" s="115">
        <v>746</v>
      </c>
      <c r="P1742" s="115">
        <v>755.8</v>
      </c>
      <c r="Q1742" s="115">
        <v>748.35</v>
      </c>
      <c r="R1742">
        <v>55503</v>
      </c>
    </row>
    <row r="1743" spans="1:18" x14ac:dyDescent="0.25">
      <c r="A1743" s="160">
        <v>44595</v>
      </c>
      <c r="B1743" s="115">
        <v>1550</v>
      </c>
      <c r="C1743" s="115">
        <v>1543.5</v>
      </c>
      <c r="D1743" s="115">
        <v>1502</v>
      </c>
      <c r="E1743" s="115">
        <v>1549</v>
      </c>
      <c r="F1743" s="115">
        <v>1543.5</v>
      </c>
      <c r="G1743">
        <v>3639</v>
      </c>
      <c r="H1743" s="115"/>
      <c r="I1743" s="115"/>
      <c r="L1743" s="160">
        <v>44571</v>
      </c>
      <c r="M1743" s="115">
        <v>759.25</v>
      </c>
      <c r="N1743" s="115">
        <v>762</v>
      </c>
      <c r="O1743" s="115">
        <v>743.05</v>
      </c>
      <c r="P1743" s="115">
        <v>758.9</v>
      </c>
      <c r="Q1743" s="115">
        <v>759.25</v>
      </c>
      <c r="R1743">
        <v>65128</v>
      </c>
    </row>
    <row r="1744" spans="1:18" x14ac:dyDescent="0.25">
      <c r="A1744" s="160">
        <v>44596</v>
      </c>
      <c r="B1744" s="115">
        <v>1668.5</v>
      </c>
      <c r="C1744" s="115">
        <v>1582.65</v>
      </c>
      <c r="D1744" s="115">
        <v>1545.5</v>
      </c>
      <c r="E1744" s="115">
        <v>1555</v>
      </c>
      <c r="F1744" s="115">
        <v>1582.65</v>
      </c>
      <c r="G1744">
        <v>18434</v>
      </c>
      <c r="H1744" s="115"/>
      <c r="I1744" s="115"/>
      <c r="L1744" s="160">
        <v>44572</v>
      </c>
      <c r="M1744" s="115">
        <v>749.65</v>
      </c>
      <c r="N1744" s="115">
        <v>765</v>
      </c>
      <c r="O1744" s="115">
        <v>745</v>
      </c>
      <c r="P1744" s="115">
        <v>765</v>
      </c>
      <c r="Q1744" s="115">
        <v>749.65</v>
      </c>
      <c r="R1744">
        <v>39083</v>
      </c>
    </row>
    <row r="1745" spans="1:18" x14ac:dyDescent="0.25">
      <c r="A1745" s="160">
        <v>44599</v>
      </c>
      <c r="B1745" s="115">
        <v>1698.6</v>
      </c>
      <c r="C1745" s="115">
        <v>1642.9</v>
      </c>
      <c r="D1745" s="115">
        <v>1583</v>
      </c>
      <c r="E1745" s="115">
        <v>1698.6</v>
      </c>
      <c r="F1745" s="115">
        <v>1642.9</v>
      </c>
      <c r="G1745">
        <v>15292</v>
      </c>
      <c r="H1745" s="115"/>
      <c r="I1745" s="115"/>
      <c r="L1745" s="160">
        <v>44573</v>
      </c>
      <c r="M1745" s="115">
        <v>745.05</v>
      </c>
      <c r="N1745" s="115">
        <v>757.75</v>
      </c>
      <c r="O1745" s="115">
        <v>741</v>
      </c>
      <c r="P1745" s="115">
        <v>756.65</v>
      </c>
      <c r="Q1745" s="115">
        <v>745.05</v>
      </c>
      <c r="R1745">
        <v>41193</v>
      </c>
    </row>
    <row r="1746" spans="1:18" x14ac:dyDescent="0.25">
      <c r="A1746" s="160">
        <v>44600</v>
      </c>
      <c r="B1746" s="115">
        <v>1750</v>
      </c>
      <c r="C1746" s="115">
        <v>1698</v>
      </c>
      <c r="D1746" s="115">
        <v>1625</v>
      </c>
      <c r="E1746" s="115">
        <v>1649</v>
      </c>
      <c r="F1746" s="115">
        <v>1698</v>
      </c>
      <c r="G1746">
        <v>19256</v>
      </c>
      <c r="H1746" s="115"/>
      <c r="I1746" s="115"/>
      <c r="L1746" s="160">
        <v>44574</v>
      </c>
      <c r="M1746" s="115">
        <v>742</v>
      </c>
      <c r="N1746" s="115">
        <v>751.35</v>
      </c>
      <c r="O1746" s="115">
        <v>736</v>
      </c>
      <c r="P1746" s="115">
        <v>746.8</v>
      </c>
      <c r="Q1746" s="115">
        <v>742</v>
      </c>
      <c r="R1746">
        <v>40645</v>
      </c>
    </row>
    <row r="1747" spans="1:18" x14ac:dyDescent="0.25">
      <c r="A1747" s="160">
        <v>44601</v>
      </c>
      <c r="B1747" s="115">
        <v>1729.5</v>
      </c>
      <c r="C1747" s="115">
        <v>1625.55</v>
      </c>
      <c r="D1747" s="115">
        <v>1620</v>
      </c>
      <c r="E1747" s="115">
        <v>1714.9</v>
      </c>
      <c r="F1747" s="115">
        <v>1625.55</v>
      </c>
      <c r="G1747">
        <v>9181</v>
      </c>
      <c r="H1747" s="115"/>
      <c r="I1747" s="115"/>
      <c r="L1747" s="160">
        <v>44575</v>
      </c>
      <c r="M1747" s="115">
        <v>757.05</v>
      </c>
      <c r="N1747" s="115">
        <v>783</v>
      </c>
      <c r="O1747" s="115">
        <v>742</v>
      </c>
      <c r="P1747" s="115">
        <v>742</v>
      </c>
      <c r="Q1747" s="115">
        <v>757.05</v>
      </c>
      <c r="R1747">
        <v>173891</v>
      </c>
    </row>
    <row r="1748" spans="1:18" x14ac:dyDescent="0.25">
      <c r="A1748" s="160">
        <v>44602</v>
      </c>
      <c r="B1748" s="115">
        <v>1650</v>
      </c>
      <c r="C1748" s="115">
        <v>1610.25</v>
      </c>
      <c r="D1748" s="115">
        <v>1545.65</v>
      </c>
      <c r="E1748" s="115">
        <v>1620</v>
      </c>
      <c r="F1748" s="115">
        <v>1610.25</v>
      </c>
      <c r="G1748">
        <v>10226</v>
      </c>
      <c r="H1748" s="115"/>
      <c r="I1748" s="115"/>
      <c r="L1748" s="160">
        <v>44578</v>
      </c>
      <c r="M1748" s="115">
        <v>768.55</v>
      </c>
      <c r="N1748" s="115">
        <v>774.75</v>
      </c>
      <c r="O1748" s="115">
        <v>753.2</v>
      </c>
      <c r="P1748" s="115">
        <v>764.8</v>
      </c>
      <c r="Q1748" s="115">
        <v>768.55</v>
      </c>
      <c r="R1748">
        <v>53700</v>
      </c>
    </row>
    <row r="1749" spans="1:18" x14ac:dyDescent="0.25">
      <c r="A1749" s="160">
        <v>44603</v>
      </c>
      <c r="B1749" s="115">
        <v>1579</v>
      </c>
      <c r="C1749" s="115">
        <v>1555.45</v>
      </c>
      <c r="D1749" s="115">
        <v>1544</v>
      </c>
      <c r="E1749" s="115">
        <v>1570</v>
      </c>
      <c r="F1749" s="115">
        <v>1555.45</v>
      </c>
      <c r="G1749">
        <v>3970</v>
      </c>
      <c r="H1749" s="115"/>
      <c r="I1749" s="115"/>
      <c r="L1749" s="160">
        <v>44579</v>
      </c>
      <c r="M1749" s="115">
        <v>751.65</v>
      </c>
      <c r="N1749" s="115">
        <v>775.8</v>
      </c>
      <c r="O1749" s="115">
        <v>747</v>
      </c>
      <c r="P1749" s="115">
        <v>775.5</v>
      </c>
      <c r="Q1749" s="115">
        <v>751.65</v>
      </c>
      <c r="R1749">
        <v>48503</v>
      </c>
    </row>
    <row r="1750" spans="1:18" x14ac:dyDescent="0.25">
      <c r="A1750" s="160">
        <v>44606</v>
      </c>
      <c r="B1750" s="115">
        <v>1548.7</v>
      </c>
      <c r="C1750" s="115">
        <v>1451.85</v>
      </c>
      <c r="D1750" s="115">
        <v>1425.05</v>
      </c>
      <c r="E1750" s="115">
        <v>1480</v>
      </c>
      <c r="F1750" s="115">
        <v>1451.85</v>
      </c>
      <c r="G1750">
        <v>6272</v>
      </c>
      <c r="H1750" s="115"/>
      <c r="I1750" s="115"/>
      <c r="L1750" s="160">
        <v>44580</v>
      </c>
      <c r="M1750" s="115">
        <v>747.1</v>
      </c>
      <c r="N1750" s="115">
        <v>757.3</v>
      </c>
      <c r="O1750" s="115">
        <v>744.1</v>
      </c>
      <c r="P1750" s="115">
        <v>753</v>
      </c>
      <c r="Q1750" s="115">
        <v>747.1</v>
      </c>
      <c r="R1750">
        <v>27981</v>
      </c>
    </row>
    <row r="1751" spans="1:18" x14ac:dyDescent="0.25">
      <c r="A1751" s="160">
        <v>44607</v>
      </c>
      <c r="B1751" s="115">
        <v>1550</v>
      </c>
      <c r="C1751" s="115">
        <v>1498.25</v>
      </c>
      <c r="D1751" s="115">
        <v>1420</v>
      </c>
      <c r="E1751" s="115">
        <v>1441</v>
      </c>
      <c r="F1751" s="115">
        <v>1498.25</v>
      </c>
      <c r="G1751">
        <v>5512</v>
      </c>
      <c r="H1751" s="115"/>
      <c r="I1751" s="115"/>
      <c r="L1751" s="160">
        <v>44581</v>
      </c>
      <c r="M1751" s="115">
        <v>749.8</v>
      </c>
      <c r="N1751" s="115">
        <v>757</v>
      </c>
      <c r="O1751" s="115">
        <v>745.6</v>
      </c>
      <c r="P1751" s="115">
        <v>749</v>
      </c>
      <c r="Q1751" s="115">
        <v>749.8</v>
      </c>
      <c r="R1751">
        <v>22635</v>
      </c>
    </row>
    <row r="1752" spans="1:18" x14ac:dyDescent="0.25">
      <c r="A1752" s="160">
        <v>44608</v>
      </c>
      <c r="B1752" s="115">
        <v>1589</v>
      </c>
      <c r="C1752" s="115">
        <v>1524.3</v>
      </c>
      <c r="D1752" s="115">
        <v>1517.2</v>
      </c>
      <c r="E1752" s="115">
        <v>1553.3</v>
      </c>
      <c r="F1752" s="115">
        <v>1524.3</v>
      </c>
      <c r="G1752">
        <v>5112</v>
      </c>
      <c r="H1752" s="115"/>
      <c r="I1752" s="115"/>
      <c r="L1752" s="160">
        <v>44582</v>
      </c>
      <c r="M1752" s="115">
        <v>744.7</v>
      </c>
      <c r="N1752" s="115">
        <v>752.15</v>
      </c>
      <c r="O1752" s="115">
        <v>736.95</v>
      </c>
      <c r="P1752" s="115">
        <v>749.55</v>
      </c>
      <c r="Q1752" s="115">
        <v>744.7</v>
      </c>
      <c r="R1752">
        <v>27266</v>
      </c>
    </row>
    <row r="1753" spans="1:18" x14ac:dyDescent="0.25">
      <c r="A1753" s="160">
        <v>44609</v>
      </c>
      <c r="B1753" s="115">
        <v>1550</v>
      </c>
      <c r="C1753" s="115">
        <v>1512.9</v>
      </c>
      <c r="D1753" s="115">
        <v>1461.55</v>
      </c>
      <c r="E1753" s="115">
        <v>1549.7</v>
      </c>
      <c r="F1753" s="115">
        <v>1512.9</v>
      </c>
      <c r="G1753">
        <v>4493</v>
      </c>
      <c r="H1753" s="115"/>
      <c r="I1753" s="115"/>
      <c r="L1753" s="160">
        <v>44585</v>
      </c>
      <c r="M1753" s="115">
        <v>724.4</v>
      </c>
      <c r="N1753" s="115">
        <v>754</v>
      </c>
      <c r="O1753" s="115">
        <v>720</v>
      </c>
      <c r="P1753" s="115">
        <v>754</v>
      </c>
      <c r="Q1753" s="115">
        <v>724.4</v>
      </c>
      <c r="R1753">
        <v>41381</v>
      </c>
    </row>
    <row r="1754" spans="1:18" x14ac:dyDescent="0.25">
      <c r="A1754" s="160">
        <v>44610</v>
      </c>
      <c r="B1754" s="115">
        <v>1544</v>
      </c>
      <c r="C1754" s="115">
        <v>1490.8</v>
      </c>
      <c r="D1754" s="115">
        <v>1460</v>
      </c>
      <c r="E1754" s="115">
        <v>1544</v>
      </c>
      <c r="F1754" s="115">
        <v>1490.8</v>
      </c>
      <c r="G1754">
        <v>2729</v>
      </c>
      <c r="H1754" s="115"/>
      <c r="I1754" s="115"/>
      <c r="L1754" s="160">
        <v>44586</v>
      </c>
      <c r="M1754" s="115">
        <v>716.2</v>
      </c>
      <c r="N1754" s="115">
        <v>731.95</v>
      </c>
      <c r="O1754" s="115">
        <v>710.1</v>
      </c>
      <c r="P1754" s="115">
        <v>721</v>
      </c>
      <c r="Q1754" s="115">
        <v>716.2</v>
      </c>
      <c r="R1754">
        <v>39252</v>
      </c>
    </row>
    <row r="1755" spans="1:18" x14ac:dyDescent="0.25">
      <c r="A1755" s="160">
        <v>44613</v>
      </c>
      <c r="B1755" s="115">
        <v>1540</v>
      </c>
      <c r="C1755" s="115">
        <v>1496.35</v>
      </c>
      <c r="D1755" s="115">
        <v>1450</v>
      </c>
      <c r="E1755" s="115">
        <v>1480</v>
      </c>
      <c r="F1755" s="115">
        <v>1496.35</v>
      </c>
      <c r="G1755">
        <v>7941</v>
      </c>
      <c r="H1755" s="115"/>
      <c r="I1755" s="115"/>
      <c r="L1755" s="160">
        <v>44588</v>
      </c>
      <c r="M1755" s="115">
        <v>733.85</v>
      </c>
      <c r="N1755" s="115">
        <v>745.45</v>
      </c>
      <c r="O1755" s="115">
        <v>716.2</v>
      </c>
      <c r="P1755" s="115">
        <v>716.2</v>
      </c>
      <c r="Q1755" s="115">
        <v>733.85</v>
      </c>
      <c r="R1755">
        <v>69820</v>
      </c>
    </row>
    <row r="1756" spans="1:18" x14ac:dyDescent="0.25">
      <c r="A1756" s="160">
        <v>44614</v>
      </c>
      <c r="B1756" s="115">
        <v>1482.5</v>
      </c>
      <c r="C1756" s="115">
        <v>1432.95</v>
      </c>
      <c r="D1756" s="115">
        <v>1396</v>
      </c>
      <c r="E1756" s="115">
        <v>1466.45</v>
      </c>
      <c r="F1756" s="115">
        <v>1432.95</v>
      </c>
      <c r="G1756">
        <v>9906</v>
      </c>
      <c r="H1756" s="115"/>
      <c r="I1756" s="115"/>
      <c r="L1756" s="160">
        <v>44589</v>
      </c>
      <c r="M1756" s="115">
        <v>755.9</v>
      </c>
      <c r="N1756" s="115">
        <v>760</v>
      </c>
      <c r="O1756" s="115">
        <v>735</v>
      </c>
      <c r="P1756" s="115">
        <v>740</v>
      </c>
      <c r="Q1756" s="115">
        <v>755.9</v>
      </c>
      <c r="R1756">
        <v>101593</v>
      </c>
    </row>
    <row r="1757" spans="1:18" x14ac:dyDescent="0.25">
      <c r="A1757" s="160">
        <v>44615</v>
      </c>
      <c r="B1757" s="115">
        <v>1510</v>
      </c>
      <c r="C1757" s="115">
        <v>1486.1</v>
      </c>
      <c r="D1757" s="115">
        <v>1431</v>
      </c>
      <c r="E1757" s="115">
        <v>1459</v>
      </c>
      <c r="F1757" s="115">
        <v>1486.1</v>
      </c>
      <c r="G1757">
        <v>7496</v>
      </c>
      <c r="H1757" s="115"/>
      <c r="I1757" s="115"/>
      <c r="L1757" s="160">
        <v>44592</v>
      </c>
      <c r="M1757" s="115">
        <v>768.35</v>
      </c>
      <c r="N1757" s="115">
        <v>774</v>
      </c>
      <c r="O1757" s="115">
        <v>755</v>
      </c>
      <c r="P1757" s="115">
        <v>760</v>
      </c>
      <c r="Q1757" s="115">
        <v>768.35</v>
      </c>
      <c r="R1757">
        <v>43076</v>
      </c>
    </row>
    <row r="1758" spans="1:18" x14ac:dyDescent="0.25">
      <c r="A1758" s="160">
        <v>44616</v>
      </c>
      <c r="B1758" s="115">
        <v>1441</v>
      </c>
      <c r="C1758" s="115">
        <v>1371.1</v>
      </c>
      <c r="D1758" s="115">
        <v>1361.5</v>
      </c>
      <c r="E1758" s="115">
        <v>1441</v>
      </c>
      <c r="F1758" s="115">
        <v>1371.1</v>
      </c>
      <c r="G1758">
        <v>7092</v>
      </c>
      <c r="H1758" s="115"/>
      <c r="I1758" s="115"/>
      <c r="L1758" s="160">
        <v>44593</v>
      </c>
      <c r="M1758" s="115">
        <v>754.45</v>
      </c>
      <c r="N1758" s="115">
        <v>777.6</v>
      </c>
      <c r="O1758" s="115">
        <v>750</v>
      </c>
      <c r="P1758" s="115">
        <v>774</v>
      </c>
      <c r="Q1758" s="115">
        <v>754.45</v>
      </c>
      <c r="R1758">
        <v>67736</v>
      </c>
    </row>
    <row r="1759" spans="1:18" x14ac:dyDescent="0.25">
      <c r="A1759" s="160">
        <v>44617</v>
      </c>
      <c r="B1759" s="115">
        <v>1545</v>
      </c>
      <c r="C1759" s="115">
        <v>1518.45</v>
      </c>
      <c r="D1759" s="115">
        <v>1414</v>
      </c>
      <c r="E1759" s="115">
        <v>1493</v>
      </c>
      <c r="F1759" s="115">
        <v>1518.45</v>
      </c>
      <c r="G1759">
        <v>8321</v>
      </c>
      <c r="H1759" s="115"/>
      <c r="I1759" s="115"/>
      <c r="L1759" s="160">
        <v>44594</v>
      </c>
      <c r="M1759" s="115">
        <v>776.8</v>
      </c>
      <c r="N1759" s="115">
        <v>789</v>
      </c>
      <c r="O1759" s="115">
        <v>755.15</v>
      </c>
      <c r="P1759" s="115">
        <v>769</v>
      </c>
      <c r="Q1759" s="115">
        <v>776.8</v>
      </c>
      <c r="R1759">
        <v>259203</v>
      </c>
    </row>
    <row r="1760" spans="1:18" x14ac:dyDescent="0.25">
      <c r="A1760" s="160">
        <v>44620</v>
      </c>
      <c r="B1760" s="115">
        <v>1569.95</v>
      </c>
      <c r="C1760" s="115">
        <v>1547.85</v>
      </c>
      <c r="D1760" s="115">
        <v>1510</v>
      </c>
      <c r="E1760" s="115">
        <v>1533.5</v>
      </c>
      <c r="F1760" s="115">
        <v>1547.85</v>
      </c>
      <c r="G1760">
        <v>7985</v>
      </c>
      <c r="H1760" s="115"/>
      <c r="I1760" s="115"/>
      <c r="L1760" s="160">
        <v>44595</v>
      </c>
      <c r="M1760" s="115">
        <v>780</v>
      </c>
      <c r="N1760" s="115">
        <v>783.75</v>
      </c>
      <c r="O1760" s="115">
        <v>762</v>
      </c>
      <c r="P1760" s="115">
        <v>771</v>
      </c>
      <c r="Q1760" s="115">
        <v>780</v>
      </c>
      <c r="R1760">
        <v>60661</v>
      </c>
    </row>
    <row r="1761" spans="1:18" x14ac:dyDescent="0.25">
      <c r="A1761" s="160">
        <v>44622</v>
      </c>
      <c r="B1761" s="115">
        <v>1560</v>
      </c>
      <c r="C1761" s="115">
        <v>1546.5</v>
      </c>
      <c r="D1761" s="115">
        <v>1487</v>
      </c>
      <c r="E1761" s="115">
        <v>1487</v>
      </c>
      <c r="F1761" s="115">
        <v>1546.5</v>
      </c>
      <c r="G1761">
        <v>4144</v>
      </c>
      <c r="H1761" s="115"/>
      <c r="I1761" s="115"/>
      <c r="L1761" s="160">
        <v>44596</v>
      </c>
      <c r="M1761" s="115">
        <v>800.05</v>
      </c>
      <c r="N1761" s="115">
        <v>815.95</v>
      </c>
      <c r="O1761" s="115">
        <v>788</v>
      </c>
      <c r="P1761" s="115">
        <v>794.3</v>
      </c>
      <c r="Q1761" s="115">
        <v>800.05</v>
      </c>
      <c r="R1761">
        <v>200194</v>
      </c>
    </row>
    <row r="1762" spans="1:18" x14ac:dyDescent="0.25">
      <c r="A1762" s="160">
        <v>44623</v>
      </c>
      <c r="B1762" s="115">
        <v>1619.85</v>
      </c>
      <c r="C1762" s="115">
        <v>1562.65</v>
      </c>
      <c r="D1762" s="115">
        <v>1540.1</v>
      </c>
      <c r="E1762" s="115">
        <v>1574.7</v>
      </c>
      <c r="F1762" s="115">
        <v>1562.65</v>
      </c>
      <c r="G1762">
        <v>11388</v>
      </c>
      <c r="H1762" s="115"/>
      <c r="I1762" s="115"/>
      <c r="L1762" s="160">
        <v>44599</v>
      </c>
      <c r="M1762" s="115">
        <v>785.7</v>
      </c>
      <c r="N1762" s="115">
        <v>812</v>
      </c>
      <c r="O1762" s="115">
        <v>781</v>
      </c>
      <c r="P1762" s="115">
        <v>808</v>
      </c>
      <c r="Q1762" s="115">
        <v>785.7</v>
      </c>
      <c r="R1762">
        <v>39925</v>
      </c>
    </row>
    <row r="1763" spans="1:18" x14ac:dyDescent="0.25">
      <c r="A1763" s="160">
        <v>44624</v>
      </c>
      <c r="B1763" s="115">
        <v>1749.9</v>
      </c>
      <c r="C1763" s="115">
        <v>1713.3</v>
      </c>
      <c r="D1763" s="115">
        <v>1566.3</v>
      </c>
      <c r="E1763" s="115">
        <v>1643</v>
      </c>
      <c r="F1763" s="115">
        <v>1713.3</v>
      </c>
      <c r="G1763">
        <v>26016</v>
      </c>
      <c r="H1763" s="115"/>
      <c r="I1763" s="115"/>
      <c r="L1763" s="160">
        <v>44600</v>
      </c>
      <c r="M1763" s="115">
        <v>775.75</v>
      </c>
      <c r="N1763" s="115">
        <v>804.9</v>
      </c>
      <c r="O1763" s="115">
        <v>765</v>
      </c>
      <c r="P1763" s="115">
        <v>799.9</v>
      </c>
      <c r="Q1763" s="115">
        <v>775.75</v>
      </c>
      <c r="R1763">
        <v>23828</v>
      </c>
    </row>
    <row r="1764" spans="1:18" x14ac:dyDescent="0.25">
      <c r="A1764" s="160">
        <v>44627</v>
      </c>
      <c r="B1764" s="115">
        <v>1691.95</v>
      </c>
      <c r="C1764" s="115">
        <v>1619.35</v>
      </c>
      <c r="D1764" s="115">
        <v>1600</v>
      </c>
      <c r="E1764" s="115">
        <v>1662</v>
      </c>
      <c r="F1764" s="115">
        <v>1619.35</v>
      </c>
      <c r="G1764">
        <v>7555</v>
      </c>
      <c r="H1764" s="115"/>
      <c r="I1764" s="115"/>
      <c r="L1764" s="160">
        <v>44601</v>
      </c>
      <c r="M1764" s="115">
        <v>777.45</v>
      </c>
      <c r="N1764" s="115">
        <v>786.45</v>
      </c>
      <c r="O1764" s="115">
        <v>765.6</v>
      </c>
      <c r="P1764" s="115">
        <v>765.6</v>
      </c>
      <c r="Q1764" s="115">
        <v>777.45</v>
      </c>
      <c r="R1764">
        <v>14153</v>
      </c>
    </row>
    <row r="1765" spans="1:18" x14ac:dyDescent="0.25">
      <c r="A1765" s="160">
        <v>44628</v>
      </c>
      <c r="B1765" s="115">
        <v>1690</v>
      </c>
      <c r="C1765" s="115">
        <v>1654.9</v>
      </c>
      <c r="D1765" s="115">
        <v>1640</v>
      </c>
      <c r="E1765" s="115">
        <v>1658</v>
      </c>
      <c r="F1765" s="115">
        <v>1654.9</v>
      </c>
      <c r="G1765">
        <v>3362</v>
      </c>
      <c r="H1765" s="115"/>
      <c r="I1765" s="115"/>
      <c r="L1765" s="160">
        <v>44602</v>
      </c>
      <c r="M1765" s="115">
        <v>768.25</v>
      </c>
      <c r="N1765" s="115">
        <v>779.9</v>
      </c>
      <c r="O1765" s="115">
        <v>762</v>
      </c>
      <c r="P1765" s="115">
        <v>777.25</v>
      </c>
      <c r="Q1765" s="115">
        <v>768.25</v>
      </c>
      <c r="R1765">
        <v>10168</v>
      </c>
    </row>
    <row r="1766" spans="1:18" x14ac:dyDescent="0.25">
      <c r="A1766" s="160">
        <v>44629</v>
      </c>
      <c r="B1766" s="115">
        <v>1693.95</v>
      </c>
      <c r="C1766" s="115">
        <v>1644.45</v>
      </c>
      <c r="D1766" s="115">
        <v>1637.05</v>
      </c>
      <c r="E1766" s="115">
        <v>1670</v>
      </c>
      <c r="F1766" s="115">
        <v>1644.45</v>
      </c>
      <c r="G1766">
        <v>2964</v>
      </c>
      <c r="H1766" s="115"/>
      <c r="I1766" s="115"/>
      <c r="L1766" s="160">
        <v>44603</v>
      </c>
      <c r="M1766" s="115">
        <v>751.1</v>
      </c>
      <c r="N1766" s="115">
        <v>773.85</v>
      </c>
      <c r="O1766" s="115">
        <v>745</v>
      </c>
      <c r="P1766" s="115">
        <v>756.1</v>
      </c>
      <c r="Q1766" s="115">
        <v>751.1</v>
      </c>
      <c r="R1766">
        <v>18308</v>
      </c>
    </row>
    <row r="1767" spans="1:18" x14ac:dyDescent="0.25">
      <c r="A1767" s="160">
        <v>44630</v>
      </c>
      <c r="B1767" s="115">
        <v>1688</v>
      </c>
      <c r="C1767" s="115">
        <v>1613.1</v>
      </c>
      <c r="D1767" s="115">
        <v>1602.05</v>
      </c>
      <c r="E1767" s="115">
        <v>1688</v>
      </c>
      <c r="F1767" s="115">
        <v>1613.1</v>
      </c>
      <c r="G1767">
        <v>2257</v>
      </c>
      <c r="H1767" s="115"/>
      <c r="I1767" s="115"/>
      <c r="L1767" s="160">
        <v>44606</v>
      </c>
      <c r="M1767" s="115">
        <v>724.9</v>
      </c>
      <c r="N1767" s="115">
        <v>750.95</v>
      </c>
      <c r="O1767" s="115">
        <v>720</v>
      </c>
      <c r="P1767" s="115">
        <v>720</v>
      </c>
      <c r="Q1767" s="115">
        <v>724.9</v>
      </c>
      <c r="R1767">
        <v>17764</v>
      </c>
    </row>
    <row r="1768" spans="1:18" x14ac:dyDescent="0.25">
      <c r="A1768" s="160">
        <v>44631</v>
      </c>
      <c r="B1768" s="115">
        <v>1644</v>
      </c>
      <c r="C1768" s="115">
        <v>1579.55</v>
      </c>
      <c r="D1768" s="115">
        <v>1572.05</v>
      </c>
      <c r="E1768" s="115">
        <v>1613.1</v>
      </c>
      <c r="F1768" s="115">
        <v>1579.55</v>
      </c>
      <c r="G1768">
        <v>2751</v>
      </c>
      <c r="H1768" s="115"/>
      <c r="I1768" s="115"/>
      <c r="L1768" s="160">
        <v>44607</v>
      </c>
      <c r="M1768" s="115">
        <v>723.4</v>
      </c>
      <c r="N1768" s="115">
        <v>732.3</v>
      </c>
      <c r="O1768" s="115">
        <v>708.05</v>
      </c>
      <c r="P1768" s="115">
        <v>730</v>
      </c>
      <c r="Q1768" s="115">
        <v>723.4</v>
      </c>
      <c r="R1768">
        <v>29286</v>
      </c>
    </row>
    <row r="1769" spans="1:18" x14ac:dyDescent="0.25">
      <c r="A1769" s="160">
        <v>44634</v>
      </c>
      <c r="B1769" s="115">
        <v>1584.4</v>
      </c>
      <c r="C1769" s="115">
        <v>1510.2</v>
      </c>
      <c r="D1769" s="115">
        <v>1499.4</v>
      </c>
      <c r="E1769" s="115">
        <v>1575</v>
      </c>
      <c r="F1769" s="115">
        <v>1510.2</v>
      </c>
      <c r="G1769">
        <v>3746</v>
      </c>
      <c r="H1769" s="115"/>
      <c r="I1769" s="115"/>
      <c r="L1769" s="160">
        <v>44608</v>
      </c>
      <c r="M1769" s="115">
        <v>723.95</v>
      </c>
      <c r="N1769" s="115">
        <v>740.95</v>
      </c>
      <c r="O1769" s="115">
        <v>721</v>
      </c>
      <c r="P1769" s="115">
        <v>724.5</v>
      </c>
      <c r="Q1769" s="115">
        <v>723.95</v>
      </c>
      <c r="R1769">
        <v>40381</v>
      </c>
    </row>
    <row r="1770" spans="1:18" x14ac:dyDescent="0.25">
      <c r="A1770" s="160">
        <v>44635</v>
      </c>
      <c r="B1770" s="115">
        <v>1725</v>
      </c>
      <c r="C1770" s="115">
        <v>1622.85</v>
      </c>
      <c r="D1770" s="115">
        <v>1488</v>
      </c>
      <c r="E1770" s="115">
        <v>1510</v>
      </c>
      <c r="F1770" s="115">
        <v>1622.85</v>
      </c>
      <c r="G1770">
        <v>17401</v>
      </c>
      <c r="H1770" s="115"/>
      <c r="I1770" s="115"/>
      <c r="L1770" s="160">
        <v>44609</v>
      </c>
      <c r="M1770" s="115">
        <v>723.35</v>
      </c>
      <c r="N1770" s="115">
        <v>734.9</v>
      </c>
      <c r="O1770" s="115">
        <v>720</v>
      </c>
      <c r="P1770" s="115">
        <v>734.9</v>
      </c>
      <c r="Q1770" s="115">
        <v>723.35</v>
      </c>
      <c r="R1770">
        <v>40046</v>
      </c>
    </row>
    <row r="1771" spans="1:18" x14ac:dyDescent="0.25">
      <c r="A1771" s="160">
        <v>44636</v>
      </c>
      <c r="B1771" s="115">
        <v>1689</v>
      </c>
      <c r="C1771" s="115">
        <v>1580.2</v>
      </c>
      <c r="D1771" s="115">
        <v>1565</v>
      </c>
      <c r="E1771" s="115">
        <v>1689</v>
      </c>
      <c r="F1771" s="115">
        <v>1580.2</v>
      </c>
      <c r="G1771">
        <v>2596</v>
      </c>
      <c r="H1771" s="115"/>
      <c r="I1771" s="115"/>
      <c r="L1771" s="160">
        <v>44610</v>
      </c>
      <c r="M1771" s="115">
        <v>723.5</v>
      </c>
      <c r="N1771" s="115">
        <v>738.2</v>
      </c>
      <c r="O1771" s="115">
        <v>721.25</v>
      </c>
      <c r="P1771" s="115">
        <v>726</v>
      </c>
      <c r="Q1771" s="115">
        <v>723.5</v>
      </c>
      <c r="R1771">
        <v>44796</v>
      </c>
    </row>
    <row r="1772" spans="1:18" x14ac:dyDescent="0.25">
      <c r="A1772" s="160">
        <v>44637</v>
      </c>
      <c r="B1772" s="115">
        <v>1665</v>
      </c>
      <c r="C1772" s="115">
        <v>1605.55</v>
      </c>
      <c r="D1772" s="115">
        <v>1570</v>
      </c>
      <c r="E1772" s="115">
        <v>1610</v>
      </c>
      <c r="F1772" s="115">
        <v>1605.55</v>
      </c>
      <c r="G1772">
        <v>2546</v>
      </c>
      <c r="H1772" s="115"/>
      <c r="I1772" s="115"/>
      <c r="L1772" s="160">
        <v>44613</v>
      </c>
      <c r="M1772" s="115">
        <v>700.15</v>
      </c>
      <c r="N1772" s="115">
        <v>727.15</v>
      </c>
      <c r="O1772" s="115">
        <v>698</v>
      </c>
      <c r="P1772" s="115">
        <v>720</v>
      </c>
      <c r="Q1772" s="115">
        <v>700.15</v>
      </c>
      <c r="R1772">
        <v>75435</v>
      </c>
    </row>
    <row r="1773" spans="1:18" x14ac:dyDescent="0.25">
      <c r="A1773" s="160">
        <v>44641</v>
      </c>
      <c r="B1773" s="115">
        <v>1614.7</v>
      </c>
      <c r="C1773" s="115">
        <v>1583.05</v>
      </c>
      <c r="D1773" s="115">
        <v>1560.05</v>
      </c>
      <c r="E1773" s="115">
        <v>1614.7</v>
      </c>
      <c r="F1773" s="115">
        <v>1583.05</v>
      </c>
      <c r="G1773">
        <v>1691</v>
      </c>
      <c r="H1773" s="115"/>
      <c r="I1773" s="115"/>
      <c r="L1773" s="160">
        <v>44614</v>
      </c>
      <c r="M1773" s="115">
        <v>675.3</v>
      </c>
      <c r="N1773" s="115">
        <v>697.95</v>
      </c>
      <c r="O1773" s="115">
        <v>670</v>
      </c>
      <c r="P1773" s="115">
        <v>691</v>
      </c>
      <c r="Q1773" s="115">
        <v>675.3</v>
      </c>
      <c r="R1773">
        <v>56791</v>
      </c>
    </row>
    <row r="1774" spans="1:18" x14ac:dyDescent="0.25">
      <c r="A1774" s="160">
        <v>44642</v>
      </c>
      <c r="B1774" s="115">
        <v>1598.95</v>
      </c>
      <c r="C1774" s="115">
        <v>1565.2</v>
      </c>
      <c r="D1774" s="115">
        <v>1550</v>
      </c>
      <c r="E1774" s="115">
        <v>1598.95</v>
      </c>
      <c r="F1774" s="115">
        <v>1565.2</v>
      </c>
      <c r="G1774">
        <v>1293</v>
      </c>
      <c r="H1774" s="115"/>
      <c r="I1774" s="115"/>
      <c r="L1774" s="160">
        <v>44615</v>
      </c>
      <c r="M1774" s="115">
        <v>681.5</v>
      </c>
      <c r="N1774" s="115">
        <v>697.95</v>
      </c>
      <c r="O1774" s="115">
        <v>679</v>
      </c>
      <c r="P1774" s="115">
        <v>679</v>
      </c>
      <c r="Q1774" s="115">
        <v>681.5</v>
      </c>
      <c r="R1774">
        <v>37901</v>
      </c>
    </row>
    <row r="1775" spans="1:18" x14ac:dyDescent="0.25">
      <c r="A1775" s="160">
        <v>44643</v>
      </c>
      <c r="B1775" s="115">
        <v>1594.3</v>
      </c>
      <c r="C1775" s="115">
        <v>1559.3</v>
      </c>
      <c r="D1775" s="115">
        <v>1534.15</v>
      </c>
      <c r="E1775" s="115">
        <v>1534.15</v>
      </c>
      <c r="F1775" s="115">
        <v>1559.3</v>
      </c>
      <c r="G1775">
        <v>2259</v>
      </c>
      <c r="H1775" s="115"/>
      <c r="I1775" s="115"/>
      <c r="L1775" s="160">
        <v>44616</v>
      </c>
      <c r="M1775" s="115">
        <v>711.1</v>
      </c>
      <c r="N1775" s="115">
        <v>734</v>
      </c>
      <c r="O1775" s="115">
        <v>662.75</v>
      </c>
      <c r="P1775" s="115">
        <v>665</v>
      </c>
      <c r="Q1775" s="115">
        <v>711.1</v>
      </c>
      <c r="R1775">
        <v>234660</v>
      </c>
    </row>
    <row r="1776" spans="1:18" x14ac:dyDescent="0.25">
      <c r="A1776" s="160">
        <v>44644</v>
      </c>
      <c r="B1776" s="115">
        <v>1616</v>
      </c>
      <c r="C1776" s="115">
        <v>1541.15</v>
      </c>
      <c r="D1776" s="115">
        <v>1500</v>
      </c>
      <c r="E1776" s="115">
        <v>1545.2</v>
      </c>
      <c r="F1776" s="115">
        <v>1541.15</v>
      </c>
      <c r="G1776">
        <v>2720</v>
      </c>
      <c r="H1776" s="115"/>
      <c r="I1776" s="115"/>
      <c r="L1776" s="160">
        <v>44617</v>
      </c>
      <c r="M1776" s="115">
        <v>732.05</v>
      </c>
      <c r="N1776" s="115">
        <v>740</v>
      </c>
      <c r="O1776" s="115">
        <v>695.05</v>
      </c>
      <c r="P1776" s="115">
        <v>699</v>
      </c>
      <c r="Q1776" s="115">
        <v>732.05</v>
      </c>
      <c r="R1776">
        <v>115679</v>
      </c>
    </row>
    <row r="1777" spans="1:18" x14ac:dyDescent="0.25">
      <c r="A1777" s="160">
        <v>44645</v>
      </c>
      <c r="B1777" s="115">
        <v>1570.3</v>
      </c>
      <c r="C1777" s="115">
        <v>1528.25</v>
      </c>
      <c r="D1777" s="115">
        <v>1520</v>
      </c>
      <c r="E1777" s="115">
        <v>1560</v>
      </c>
      <c r="F1777" s="115">
        <v>1528.25</v>
      </c>
      <c r="G1777">
        <v>1452</v>
      </c>
      <c r="H1777" s="115"/>
      <c r="I1777" s="115"/>
      <c r="L1777" s="160">
        <v>44620</v>
      </c>
      <c r="M1777" s="115">
        <v>733.5</v>
      </c>
      <c r="N1777" s="115">
        <v>745</v>
      </c>
      <c r="O1777" s="115">
        <v>722</v>
      </c>
      <c r="P1777" s="115">
        <v>726</v>
      </c>
      <c r="Q1777" s="115">
        <v>733.5</v>
      </c>
      <c r="R1777">
        <v>48492</v>
      </c>
    </row>
    <row r="1778" spans="1:18" x14ac:dyDescent="0.25">
      <c r="A1778" s="160">
        <v>44648</v>
      </c>
      <c r="B1778" s="115">
        <v>1570</v>
      </c>
      <c r="C1778" s="115">
        <v>1522.15</v>
      </c>
      <c r="D1778" s="115">
        <v>1490</v>
      </c>
      <c r="E1778" s="115">
        <v>1570</v>
      </c>
      <c r="F1778" s="115">
        <v>1522.15</v>
      </c>
      <c r="G1778">
        <v>2038</v>
      </c>
      <c r="H1778" s="115"/>
      <c r="I1778" s="115"/>
      <c r="L1778" s="160">
        <v>44622</v>
      </c>
      <c r="M1778" s="115">
        <v>735.15</v>
      </c>
      <c r="N1778" s="115">
        <v>748.75</v>
      </c>
      <c r="O1778" s="115">
        <v>730</v>
      </c>
      <c r="P1778" s="115">
        <v>735</v>
      </c>
      <c r="Q1778" s="115">
        <v>735.15</v>
      </c>
      <c r="R1778">
        <v>56521</v>
      </c>
    </row>
    <row r="1779" spans="1:18" x14ac:dyDescent="0.25">
      <c r="A1779" s="160">
        <v>44649</v>
      </c>
      <c r="B1779" s="115">
        <v>1549</v>
      </c>
      <c r="C1779" s="115">
        <v>1492.75</v>
      </c>
      <c r="D1779" s="115">
        <v>1485.1</v>
      </c>
      <c r="E1779" s="115">
        <v>1525</v>
      </c>
      <c r="F1779" s="115">
        <v>1492.75</v>
      </c>
      <c r="G1779">
        <v>2343</v>
      </c>
      <c r="H1779" s="115"/>
      <c r="I1779" s="115"/>
      <c r="L1779" s="160">
        <v>44623</v>
      </c>
      <c r="M1779" s="115">
        <v>735.55</v>
      </c>
      <c r="N1779" s="115">
        <v>748.5</v>
      </c>
      <c r="O1779" s="115">
        <v>728</v>
      </c>
      <c r="P1779" s="115">
        <v>738.85</v>
      </c>
      <c r="Q1779" s="115">
        <v>735.55</v>
      </c>
      <c r="R1779">
        <v>25208</v>
      </c>
    </row>
    <row r="1780" spans="1:18" x14ac:dyDescent="0.25">
      <c r="A1780" s="160">
        <v>44650</v>
      </c>
      <c r="B1780" s="115">
        <v>1589.95</v>
      </c>
      <c r="C1780" s="115">
        <v>1568.2</v>
      </c>
      <c r="D1780" s="115">
        <v>1500</v>
      </c>
      <c r="E1780" s="115">
        <v>1505</v>
      </c>
      <c r="F1780" s="115">
        <v>1568.2</v>
      </c>
      <c r="G1780">
        <v>2359</v>
      </c>
      <c r="H1780" s="115"/>
      <c r="I1780" s="115"/>
      <c r="L1780" s="160">
        <v>44624</v>
      </c>
      <c r="M1780" s="115">
        <v>712.7</v>
      </c>
      <c r="N1780" s="115">
        <v>734.95</v>
      </c>
      <c r="O1780" s="115">
        <v>709.1</v>
      </c>
      <c r="P1780" s="115">
        <v>725</v>
      </c>
      <c r="Q1780" s="115">
        <v>712.7</v>
      </c>
      <c r="R1780">
        <v>49519</v>
      </c>
    </row>
    <row r="1781" spans="1:18" x14ac:dyDescent="0.25">
      <c r="A1781" s="160">
        <v>44651</v>
      </c>
      <c r="B1781" s="115">
        <v>1598.95</v>
      </c>
      <c r="C1781" s="115">
        <v>1556.9</v>
      </c>
      <c r="D1781" s="115">
        <v>1555.1</v>
      </c>
      <c r="E1781" s="115">
        <v>1592</v>
      </c>
      <c r="F1781" s="115">
        <v>1556.9</v>
      </c>
      <c r="G1781">
        <v>935</v>
      </c>
      <c r="H1781" s="115"/>
      <c r="I1781" s="115"/>
      <c r="L1781" s="160">
        <v>44627</v>
      </c>
      <c r="M1781" s="115">
        <v>729.3</v>
      </c>
      <c r="N1781" s="115">
        <v>741.95</v>
      </c>
      <c r="O1781" s="115">
        <v>696.05</v>
      </c>
      <c r="P1781" s="115">
        <v>712.7</v>
      </c>
      <c r="Q1781" s="115">
        <v>729.3</v>
      </c>
      <c r="R1781">
        <v>51470</v>
      </c>
    </row>
    <row r="1782" spans="1:18" x14ac:dyDescent="0.25">
      <c r="A1782" s="160">
        <v>44652</v>
      </c>
      <c r="B1782" s="115">
        <v>1598</v>
      </c>
      <c r="C1782" s="115">
        <v>1556.25</v>
      </c>
      <c r="D1782" s="115">
        <v>1524</v>
      </c>
      <c r="E1782" s="115">
        <v>1524</v>
      </c>
      <c r="F1782" s="115">
        <v>1556.25</v>
      </c>
      <c r="G1782">
        <v>693</v>
      </c>
      <c r="H1782" s="115"/>
      <c r="I1782" s="115"/>
      <c r="L1782" s="160">
        <v>44628</v>
      </c>
      <c r="M1782" s="115">
        <v>729.3</v>
      </c>
      <c r="N1782" s="115">
        <v>749.85</v>
      </c>
      <c r="O1782" s="115">
        <v>724</v>
      </c>
      <c r="P1782" s="115">
        <v>729.3</v>
      </c>
      <c r="Q1782" s="115">
        <v>729.3</v>
      </c>
      <c r="R1782">
        <v>64366</v>
      </c>
    </row>
    <row r="1783" spans="1:18" x14ac:dyDescent="0.25">
      <c r="A1783" s="160">
        <v>44655</v>
      </c>
      <c r="B1783" s="115">
        <v>1650</v>
      </c>
      <c r="C1783" s="115">
        <v>1625.95</v>
      </c>
      <c r="D1783" s="115">
        <v>1555</v>
      </c>
      <c r="E1783" s="115">
        <v>1555</v>
      </c>
      <c r="F1783" s="115">
        <v>1625.95</v>
      </c>
      <c r="G1783">
        <v>5221</v>
      </c>
      <c r="H1783" s="115"/>
      <c r="I1783" s="115"/>
      <c r="L1783" s="160">
        <v>44629</v>
      </c>
      <c r="M1783" s="115">
        <v>730.2</v>
      </c>
      <c r="N1783" s="115">
        <v>749</v>
      </c>
      <c r="O1783" s="115">
        <v>722</v>
      </c>
      <c r="P1783" s="115">
        <v>732.95</v>
      </c>
      <c r="Q1783" s="115">
        <v>730.2</v>
      </c>
      <c r="R1783">
        <v>44485</v>
      </c>
    </row>
    <row r="1784" spans="1:18" x14ac:dyDescent="0.25">
      <c r="A1784" s="160">
        <v>44656</v>
      </c>
      <c r="B1784" s="115">
        <v>1640</v>
      </c>
      <c r="C1784" s="115">
        <v>1599.15</v>
      </c>
      <c r="D1784" s="115">
        <v>1551.15</v>
      </c>
      <c r="E1784" s="115">
        <v>1625</v>
      </c>
      <c r="F1784" s="115">
        <v>1599.15</v>
      </c>
      <c r="G1784">
        <v>1608</v>
      </c>
      <c r="H1784" s="115"/>
      <c r="I1784" s="115"/>
      <c r="L1784" s="160">
        <v>44630</v>
      </c>
      <c r="M1784" s="115">
        <v>733.2</v>
      </c>
      <c r="N1784" s="115">
        <v>748</v>
      </c>
      <c r="O1784" s="115">
        <v>725</v>
      </c>
      <c r="P1784" s="115">
        <v>748</v>
      </c>
      <c r="Q1784" s="115">
        <v>733.2</v>
      </c>
      <c r="R1784">
        <v>63730</v>
      </c>
    </row>
    <row r="1785" spans="1:18" x14ac:dyDescent="0.25">
      <c r="A1785" s="160">
        <v>44657</v>
      </c>
      <c r="B1785" s="115">
        <v>1620</v>
      </c>
      <c r="C1785" s="115">
        <v>1591.55</v>
      </c>
      <c r="D1785" s="115">
        <v>1576.05</v>
      </c>
      <c r="E1785" s="115">
        <v>1600</v>
      </c>
      <c r="F1785" s="115">
        <v>1591.55</v>
      </c>
      <c r="G1785">
        <v>1008</v>
      </c>
      <c r="H1785" s="115"/>
      <c r="I1785" s="115"/>
      <c r="L1785" s="160">
        <v>44631</v>
      </c>
      <c r="M1785" s="115">
        <v>723.7</v>
      </c>
      <c r="N1785" s="115">
        <v>738.9</v>
      </c>
      <c r="O1785" s="115">
        <v>722</v>
      </c>
      <c r="P1785" s="115">
        <v>733.2</v>
      </c>
      <c r="Q1785" s="115">
        <v>723.7</v>
      </c>
      <c r="R1785">
        <v>19982</v>
      </c>
    </row>
    <row r="1786" spans="1:18" x14ac:dyDescent="0.25">
      <c r="A1786" s="160">
        <v>44658</v>
      </c>
      <c r="B1786" s="115">
        <v>1611</v>
      </c>
      <c r="C1786" s="115">
        <v>1575.65</v>
      </c>
      <c r="D1786" s="115">
        <v>1530.6</v>
      </c>
      <c r="E1786" s="115">
        <v>1604.4</v>
      </c>
      <c r="F1786" s="115">
        <v>1575.65</v>
      </c>
      <c r="G1786">
        <v>3608</v>
      </c>
      <c r="H1786" s="115"/>
      <c r="I1786" s="115"/>
      <c r="L1786" s="160">
        <v>44634</v>
      </c>
      <c r="M1786" s="115">
        <v>725.7</v>
      </c>
      <c r="N1786" s="115">
        <v>744.95</v>
      </c>
      <c r="O1786" s="115">
        <v>718.6</v>
      </c>
      <c r="P1786" s="115">
        <v>718.6</v>
      </c>
      <c r="Q1786" s="115">
        <v>725.7</v>
      </c>
      <c r="R1786">
        <v>23071</v>
      </c>
    </row>
    <row r="1787" spans="1:18" x14ac:dyDescent="0.25">
      <c r="A1787" s="160">
        <v>44659</v>
      </c>
      <c r="B1787" s="115">
        <v>1625</v>
      </c>
      <c r="C1787" s="115">
        <v>1601</v>
      </c>
      <c r="D1787" s="115">
        <v>1560</v>
      </c>
      <c r="E1787" s="115">
        <v>1580</v>
      </c>
      <c r="F1787" s="115">
        <v>1601</v>
      </c>
      <c r="G1787">
        <v>2205</v>
      </c>
      <c r="H1787" s="115"/>
      <c r="I1787" s="115"/>
      <c r="L1787" s="160">
        <v>44635</v>
      </c>
      <c r="M1787" s="115">
        <v>719.7</v>
      </c>
      <c r="N1787" s="115">
        <v>732.5</v>
      </c>
      <c r="O1787" s="115">
        <v>717.05</v>
      </c>
      <c r="P1787" s="115">
        <v>725</v>
      </c>
      <c r="Q1787" s="115">
        <v>719.7</v>
      </c>
      <c r="R1787">
        <v>10978</v>
      </c>
    </row>
    <row r="1788" spans="1:18" x14ac:dyDescent="0.25">
      <c r="A1788" s="160">
        <v>44662</v>
      </c>
      <c r="B1788" s="115">
        <v>1623.95</v>
      </c>
      <c r="C1788" s="115">
        <v>1593.1</v>
      </c>
      <c r="D1788" s="115">
        <v>1590</v>
      </c>
      <c r="E1788" s="115">
        <v>1601</v>
      </c>
      <c r="F1788" s="115">
        <v>1593.1</v>
      </c>
      <c r="G1788">
        <v>1897</v>
      </c>
      <c r="H1788" s="115"/>
      <c r="I1788" s="115"/>
      <c r="L1788" s="160">
        <v>44636</v>
      </c>
      <c r="M1788" s="115">
        <v>720.95</v>
      </c>
      <c r="N1788" s="115">
        <v>730.85</v>
      </c>
      <c r="O1788" s="115">
        <v>712.25</v>
      </c>
      <c r="P1788" s="115">
        <v>725</v>
      </c>
      <c r="Q1788" s="115">
        <v>720.95</v>
      </c>
      <c r="R1788">
        <v>22451</v>
      </c>
    </row>
    <row r="1789" spans="1:18" x14ac:dyDescent="0.25">
      <c r="A1789" s="160">
        <v>44663</v>
      </c>
      <c r="B1789" s="115">
        <v>1649</v>
      </c>
      <c r="C1789" s="115">
        <v>1618.65</v>
      </c>
      <c r="D1789" s="115">
        <v>1610.05</v>
      </c>
      <c r="E1789" s="115">
        <v>1646</v>
      </c>
      <c r="F1789" s="115">
        <v>1618.65</v>
      </c>
      <c r="G1789">
        <v>6983</v>
      </c>
      <c r="H1789" s="115"/>
      <c r="I1789" s="115"/>
      <c r="L1789" s="160">
        <v>44637</v>
      </c>
      <c r="M1789" s="115">
        <v>727.45</v>
      </c>
      <c r="N1789" s="115">
        <v>729.95</v>
      </c>
      <c r="O1789" s="115">
        <v>720.9</v>
      </c>
      <c r="P1789" s="115">
        <v>729.95</v>
      </c>
      <c r="Q1789" s="115">
        <v>727.45</v>
      </c>
      <c r="R1789">
        <v>17784</v>
      </c>
    </row>
    <row r="1790" spans="1:18" x14ac:dyDescent="0.25">
      <c r="A1790" s="160">
        <v>44664</v>
      </c>
      <c r="B1790" s="115">
        <v>1780</v>
      </c>
      <c r="C1790" s="115">
        <v>1751.95</v>
      </c>
      <c r="D1790" s="115">
        <v>1621</v>
      </c>
      <c r="E1790" s="115">
        <v>1646</v>
      </c>
      <c r="F1790" s="115">
        <v>1751.95</v>
      </c>
      <c r="G1790">
        <v>19037</v>
      </c>
      <c r="H1790" s="115"/>
      <c r="I1790" s="115"/>
      <c r="L1790" s="160">
        <v>44641</v>
      </c>
      <c r="M1790" s="115">
        <v>728.45</v>
      </c>
      <c r="N1790" s="115">
        <v>741.6</v>
      </c>
      <c r="O1790" s="115">
        <v>720.05</v>
      </c>
      <c r="P1790" s="115">
        <v>720.05</v>
      </c>
      <c r="Q1790" s="115">
        <v>728.45</v>
      </c>
      <c r="R1790">
        <v>56159</v>
      </c>
    </row>
    <row r="1791" spans="1:18" x14ac:dyDescent="0.25">
      <c r="A1791" s="160">
        <v>44669</v>
      </c>
      <c r="B1791" s="115">
        <v>1835</v>
      </c>
      <c r="C1791" s="115">
        <v>1759.05</v>
      </c>
      <c r="D1791" s="115">
        <v>1710</v>
      </c>
      <c r="E1791" s="115">
        <v>1750</v>
      </c>
      <c r="F1791" s="115">
        <v>1759.05</v>
      </c>
      <c r="G1791">
        <v>11735</v>
      </c>
      <c r="H1791" s="115"/>
      <c r="I1791" s="115"/>
      <c r="L1791" s="160">
        <v>44642</v>
      </c>
      <c r="M1791" s="115">
        <v>720.25</v>
      </c>
      <c r="N1791" s="115">
        <v>736.3</v>
      </c>
      <c r="O1791" s="115">
        <v>714.2</v>
      </c>
      <c r="P1791" s="115">
        <v>732.1</v>
      </c>
      <c r="Q1791" s="115">
        <v>720.25</v>
      </c>
      <c r="R1791">
        <v>19846</v>
      </c>
    </row>
    <row r="1792" spans="1:18" x14ac:dyDescent="0.25">
      <c r="A1792" s="160">
        <v>44670</v>
      </c>
      <c r="B1792" s="115">
        <v>1778.5</v>
      </c>
      <c r="C1792" s="115">
        <v>1710.4</v>
      </c>
      <c r="D1792" s="115">
        <v>1681</v>
      </c>
      <c r="E1792" s="115">
        <v>1760</v>
      </c>
      <c r="F1792" s="115">
        <v>1710.4</v>
      </c>
      <c r="G1792">
        <v>5150</v>
      </c>
      <c r="H1792" s="115"/>
      <c r="I1792" s="115"/>
      <c r="L1792" s="160">
        <v>44643</v>
      </c>
      <c r="M1792" s="115">
        <v>720.25</v>
      </c>
      <c r="N1792" s="115">
        <v>728</v>
      </c>
      <c r="O1792" s="115">
        <v>717.35</v>
      </c>
      <c r="P1792" s="115">
        <v>722</v>
      </c>
      <c r="Q1792" s="115">
        <v>720.25</v>
      </c>
      <c r="R1792">
        <v>30677</v>
      </c>
    </row>
    <row r="1793" spans="1:18" x14ac:dyDescent="0.25">
      <c r="A1793" s="160">
        <v>44671</v>
      </c>
      <c r="B1793" s="115">
        <v>1743.8</v>
      </c>
      <c r="C1793" s="115">
        <v>1713.1</v>
      </c>
      <c r="D1793" s="115">
        <v>1650</v>
      </c>
      <c r="E1793" s="115">
        <v>1700</v>
      </c>
      <c r="F1793" s="115">
        <v>1713.1</v>
      </c>
      <c r="G1793">
        <v>6516</v>
      </c>
      <c r="H1793" s="115"/>
      <c r="I1793" s="115"/>
      <c r="L1793" s="160">
        <v>44644</v>
      </c>
      <c r="M1793" s="115">
        <v>717.4</v>
      </c>
      <c r="N1793" s="115">
        <v>734.95</v>
      </c>
      <c r="O1793" s="115">
        <v>709.3</v>
      </c>
      <c r="P1793" s="115">
        <v>720.95</v>
      </c>
      <c r="Q1793" s="115">
        <v>717.4</v>
      </c>
      <c r="R1793">
        <v>57006</v>
      </c>
    </row>
    <row r="1794" spans="1:18" x14ac:dyDescent="0.25">
      <c r="A1794" s="160">
        <v>44672</v>
      </c>
      <c r="B1794" s="115">
        <v>1737</v>
      </c>
      <c r="C1794" s="115">
        <v>1697.55</v>
      </c>
      <c r="D1794" s="115">
        <v>1693</v>
      </c>
      <c r="E1794" s="115">
        <v>1700</v>
      </c>
      <c r="F1794" s="115">
        <v>1697.55</v>
      </c>
      <c r="G1794">
        <v>2398</v>
      </c>
      <c r="H1794" s="115"/>
      <c r="I1794" s="115"/>
      <c r="L1794" s="160">
        <v>44645</v>
      </c>
      <c r="M1794" s="115">
        <v>706.3</v>
      </c>
      <c r="N1794" s="115">
        <v>727</v>
      </c>
      <c r="O1794" s="115">
        <v>705</v>
      </c>
      <c r="P1794" s="115">
        <v>724</v>
      </c>
      <c r="Q1794" s="115">
        <v>706.3</v>
      </c>
      <c r="R1794">
        <v>41776</v>
      </c>
    </row>
    <row r="1795" spans="1:18" x14ac:dyDescent="0.25">
      <c r="A1795" s="160">
        <v>44673</v>
      </c>
      <c r="B1795" s="115">
        <v>1713.9</v>
      </c>
      <c r="C1795" s="115">
        <v>1687.2</v>
      </c>
      <c r="D1795" s="115">
        <v>1671.25</v>
      </c>
      <c r="E1795" s="115">
        <v>1700</v>
      </c>
      <c r="F1795" s="115">
        <v>1687.2</v>
      </c>
      <c r="G1795">
        <v>1883</v>
      </c>
      <c r="H1795" s="115"/>
      <c r="I1795" s="115"/>
      <c r="L1795" s="160">
        <v>44648</v>
      </c>
      <c r="M1795" s="115">
        <v>706.8</v>
      </c>
      <c r="N1795" s="115">
        <v>726</v>
      </c>
      <c r="O1795" s="115">
        <v>702</v>
      </c>
      <c r="P1795" s="115">
        <v>709.85</v>
      </c>
      <c r="Q1795" s="115">
        <v>706.8</v>
      </c>
      <c r="R1795">
        <v>71346</v>
      </c>
    </row>
    <row r="1796" spans="1:18" x14ac:dyDescent="0.25">
      <c r="A1796" s="160">
        <v>44676</v>
      </c>
      <c r="B1796" s="115">
        <v>1701</v>
      </c>
      <c r="C1796" s="115">
        <v>1656.2</v>
      </c>
      <c r="D1796" s="115">
        <v>1650</v>
      </c>
      <c r="E1796" s="115">
        <v>1680</v>
      </c>
      <c r="F1796" s="115">
        <v>1656.2</v>
      </c>
      <c r="G1796">
        <v>2401</v>
      </c>
      <c r="H1796" s="115"/>
      <c r="I1796" s="115"/>
      <c r="L1796" s="160">
        <v>44649</v>
      </c>
      <c r="M1796" s="115">
        <v>719.3</v>
      </c>
      <c r="N1796" s="115">
        <v>724</v>
      </c>
      <c r="O1796" s="115">
        <v>705</v>
      </c>
      <c r="P1796" s="115">
        <v>710.35</v>
      </c>
      <c r="Q1796" s="115">
        <v>719.3</v>
      </c>
      <c r="R1796">
        <v>45665</v>
      </c>
    </row>
    <row r="1797" spans="1:18" x14ac:dyDescent="0.25">
      <c r="A1797" s="160">
        <v>44677</v>
      </c>
      <c r="B1797" s="115">
        <v>1728.7</v>
      </c>
      <c r="C1797" s="115">
        <v>1681.2</v>
      </c>
      <c r="D1797" s="115">
        <v>1651.25</v>
      </c>
      <c r="E1797" s="115">
        <v>1668</v>
      </c>
      <c r="F1797" s="115">
        <v>1681.2</v>
      </c>
      <c r="G1797">
        <v>3560</v>
      </c>
      <c r="H1797" s="115"/>
      <c r="I1797" s="115"/>
      <c r="L1797" s="160">
        <v>44650</v>
      </c>
      <c r="M1797" s="115">
        <v>709.35</v>
      </c>
      <c r="N1797" s="115">
        <v>728</v>
      </c>
      <c r="O1797" s="115">
        <v>702</v>
      </c>
      <c r="P1797" s="115">
        <v>719.3</v>
      </c>
      <c r="Q1797" s="115">
        <v>709.35</v>
      </c>
      <c r="R1797">
        <v>44903</v>
      </c>
    </row>
    <row r="1798" spans="1:18" x14ac:dyDescent="0.25">
      <c r="A1798" s="160">
        <v>44678</v>
      </c>
      <c r="B1798" s="115">
        <v>1699.8</v>
      </c>
      <c r="C1798" s="115">
        <v>1662.55</v>
      </c>
      <c r="D1798" s="115">
        <v>1650.05</v>
      </c>
      <c r="E1798" s="115">
        <v>1675</v>
      </c>
      <c r="F1798" s="115">
        <v>1662.55</v>
      </c>
      <c r="G1798">
        <v>1365</v>
      </c>
      <c r="H1798" s="115"/>
      <c r="I1798" s="115"/>
      <c r="L1798" s="160">
        <v>44651</v>
      </c>
      <c r="M1798" s="115">
        <v>717.7</v>
      </c>
      <c r="N1798" s="115">
        <v>734.85</v>
      </c>
      <c r="O1798" s="115">
        <v>707</v>
      </c>
      <c r="P1798" s="115">
        <v>711</v>
      </c>
      <c r="Q1798" s="115">
        <v>717.7</v>
      </c>
      <c r="R1798">
        <v>56871</v>
      </c>
    </row>
    <row r="1799" spans="1:18" x14ac:dyDescent="0.25">
      <c r="A1799" s="160">
        <v>44679</v>
      </c>
      <c r="B1799" s="115">
        <v>1684.95</v>
      </c>
      <c r="C1799" s="115">
        <v>1660.3</v>
      </c>
      <c r="D1799" s="115">
        <v>1642</v>
      </c>
      <c r="E1799" s="115">
        <v>1684.95</v>
      </c>
      <c r="F1799" s="115">
        <v>1660.3</v>
      </c>
      <c r="G1799">
        <v>2276</v>
      </c>
      <c r="H1799" s="115"/>
      <c r="I1799" s="115"/>
      <c r="L1799" s="160">
        <v>44652</v>
      </c>
      <c r="M1799" s="115">
        <v>729.05</v>
      </c>
      <c r="N1799" s="115">
        <v>738</v>
      </c>
      <c r="O1799" s="115">
        <v>719.75</v>
      </c>
      <c r="P1799" s="115">
        <v>719.9</v>
      </c>
      <c r="Q1799" s="115">
        <v>729.05</v>
      </c>
      <c r="R1799">
        <v>59963</v>
      </c>
    </row>
    <row r="1800" spans="1:18" x14ac:dyDescent="0.25">
      <c r="A1800" s="160">
        <v>44680</v>
      </c>
      <c r="B1800" s="115">
        <v>1717</v>
      </c>
      <c r="C1800" s="115">
        <v>1679.45</v>
      </c>
      <c r="D1800" s="115">
        <v>1661.05</v>
      </c>
      <c r="E1800" s="115">
        <v>1717</v>
      </c>
      <c r="F1800" s="115">
        <v>1679.45</v>
      </c>
      <c r="G1800">
        <v>1043</v>
      </c>
      <c r="H1800" s="115"/>
      <c r="I1800" s="115"/>
      <c r="L1800" s="160">
        <v>44655</v>
      </c>
      <c r="M1800" s="115">
        <v>750.45</v>
      </c>
      <c r="N1800" s="115">
        <v>754.3</v>
      </c>
      <c r="O1800" s="115">
        <v>732.7</v>
      </c>
      <c r="P1800" s="115">
        <v>732.7</v>
      </c>
      <c r="Q1800" s="115">
        <v>750.45</v>
      </c>
      <c r="R1800">
        <v>80471</v>
      </c>
    </row>
    <row r="1801" spans="1:18" x14ac:dyDescent="0.25">
      <c r="A1801" s="160">
        <v>44683</v>
      </c>
      <c r="B1801" s="115">
        <v>1674</v>
      </c>
      <c r="C1801" s="115">
        <v>1632.45</v>
      </c>
      <c r="D1801" s="115">
        <v>1630.55</v>
      </c>
      <c r="E1801" s="115">
        <v>1650</v>
      </c>
      <c r="F1801" s="115">
        <v>1632.45</v>
      </c>
      <c r="G1801">
        <v>1239</v>
      </c>
      <c r="H1801" s="115"/>
      <c r="I1801" s="115"/>
      <c r="L1801" s="160">
        <v>44656</v>
      </c>
      <c r="M1801" s="115">
        <v>766.45</v>
      </c>
      <c r="N1801" s="115">
        <v>776.8</v>
      </c>
      <c r="O1801" s="115">
        <v>746.25</v>
      </c>
      <c r="P1801" s="115">
        <v>754.45</v>
      </c>
      <c r="Q1801" s="115">
        <v>766.45</v>
      </c>
      <c r="R1801">
        <v>128194</v>
      </c>
    </row>
    <row r="1802" spans="1:18" x14ac:dyDescent="0.25">
      <c r="A1802" s="160">
        <v>44685</v>
      </c>
      <c r="B1802" s="115">
        <v>1674</v>
      </c>
      <c r="C1802" s="115">
        <v>1619.3</v>
      </c>
      <c r="D1802" s="115">
        <v>1530</v>
      </c>
      <c r="E1802" s="115">
        <v>1638</v>
      </c>
      <c r="F1802" s="115">
        <v>1619.3</v>
      </c>
      <c r="G1802">
        <v>3617</v>
      </c>
      <c r="H1802" s="115"/>
      <c r="I1802" s="115"/>
      <c r="L1802" s="160">
        <v>44657</v>
      </c>
      <c r="M1802" s="115">
        <v>766.8</v>
      </c>
      <c r="N1802" s="115">
        <v>784</v>
      </c>
      <c r="O1802" s="115">
        <v>762.4</v>
      </c>
      <c r="P1802" s="115">
        <v>767</v>
      </c>
      <c r="Q1802" s="115">
        <v>766.8</v>
      </c>
      <c r="R1802">
        <v>52502</v>
      </c>
    </row>
    <row r="1803" spans="1:18" x14ac:dyDescent="0.25">
      <c r="A1803" s="160">
        <v>44686</v>
      </c>
      <c r="B1803" s="115">
        <v>1628.95</v>
      </c>
      <c r="C1803" s="115">
        <v>1591.15</v>
      </c>
      <c r="D1803" s="115">
        <v>1575.05</v>
      </c>
      <c r="E1803" s="115">
        <v>1619</v>
      </c>
      <c r="F1803" s="115">
        <v>1591.15</v>
      </c>
      <c r="G1803">
        <v>1656</v>
      </c>
      <c r="H1803" s="115"/>
      <c r="I1803" s="115"/>
      <c r="L1803" s="160">
        <v>44658</v>
      </c>
      <c r="M1803" s="115">
        <v>749.85</v>
      </c>
      <c r="N1803" s="115">
        <v>775.4</v>
      </c>
      <c r="O1803" s="115">
        <v>745</v>
      </c>
      <c r="P1803" s="115">
        <v>770.65</v>
      </c>
      <c r="Q1803" s="115">
        <v>749.85</v>
      </c>
      <c r="R1803">
        <v>63292</v>
      </c>
    </row>
    <row r="1804" spans="1:18" x14ac:dyDescent="0.25">
      <c r="A1804" s="160">
        <v>44687</v>
      </c>
      <c r="B1804" s="115">
        <v>1574</v>
      </c>
      <c r="C1804" s="115">
        <v>1537.15</v>
      </c>
      <c r="D1804" s="115">
        <v>1522</v>
      </c>
      <c r="E1804" s="115">
        <v>1525.55</v>
      </c>
      <c r="F1804" s="115">
        <v>1537.15</v>
      </c>
      <c r="G1804">
        <v>1211</v>
      </c>
      <c r="H1804" s="115"/>
      <c r="I1804" s="115"/>
      <c r="L1804" s="160">
        <v>44659</v>
      </c>
      <c r="M1804" s="115">
        <v>761.7</v>
      </c>
      <c r="N1804" s="115">
        <v>767.85</v>
      </c>
      <c r="O1804" s="115">
        <v>752.65</v>
      </c>
      <c r="P1804" s="115">
        <v>760</v>
      </c>
      <c r="Q1804" s="115">
        <v>761.7</v>
      </c>
      <c r="R1804">
        <v>51211</v>
      </c>
    </row>
    <row r="1805" spans="1:18" x14ac:dyDescent="0.25">
      <c r="A1805" s="160">
        <v>44690</v>
      </c>
      <c r="B1805" s="115">
        <v>1567.9</v>
      </c>
      <c r="C1805" s="115">
        <v>1519.7</v>
      </c>
      <c r="D1805" s="115">
        <v>1465</v>
      </c>
      <c r="E1805" s="115">
        <v>1567.9</v>
      </c>
      <c r="F1805" s="115">
        <v>1519.7</v>
      </c>
      <c r="G1805">
        <v>1792</v>
      </c>
      <c r="H1805" s="115"/>
      <c r="I1805" s="115"/>
      <c r="L1805" s="160">
        <v>44662</v>
      </c>
      <c r="M1805" s="115">
        <v>755.65</v>
      </c>
      <c r="N1805" s="115">
        <v>779</v>
      </c>
      <c r="O1805" s="115">
        <v>753.1</v>
      </c>
      <c r="P1805" s="115">
        <v>764.4</v>
      </c>
      <c r="Q1805" s="115">
        <v>755.65</v>
      </c>
      <c r="R1805">
        <v>70588</v>
      </c>
    </row>
    <row r="1806" spans="1:18" x14ac:dyDescent="0.25">
      <c r="A1806" s="160">
        <v>44691</v>
      </c>
      <c r="B1806" s="115">
        <v>1510</v>
      </c>
      <c r="C1806" s="115">
        <v>1484.05</v>
      </c>
      <c r="D1806" s="115">
        <v>1481</v>
      </c>
      <c r="E1806" s="115">
        <v>1510</v>
      </c>
      <c r="F1806" s="115">
        <v>1484.05</v>
      </c>
      <c r="G1806">
        <v>1043</v>
      </c>
      <c r="H1806" s="115"/>
      <c r="I1806" s="115"/>
      <c r="L1806" s="160">
        <v>44663</v>
      </c>
      <c r="M1806" s="115">
        <v>767.05</v>
      </c>
      <c r="N1806" s="115">
        <v>785</v>
      </c>
      <c r="O1806" s="115">
        <v>744.1</v>
      </c>
      <c r="P1806" s="115">
        <v>753.8</v>
      </c>
      <c r="Q1806" s="115">
        <v>767.05</v>
      </c>
      <c r="R1806">
        <v>57698</v>
      </c>
    </row>
    <row r="1807" spans="1:18" x14ac:dyDescent="0.25">
      <c r="A1807" s="160">
        <v>44692</v>
      </c>
      <c r="B1807" s="115">
        <v>1519</v>
      </c>
      <c r="C1807" s="115">
        <v>1411.6</v>
      </c>
      <c r="D1807" s="115">
        <v>1392.5</v>
      </c>
      <c r="E1807" s="115">
        <v>1519</v>
      </c>
      <c r="F1807" s="115">
        <v>1411.6</v>
      </c>
      <c r="G1807">
        <v>1951</v>
      </c>
      <c r="H1807" s="115"/>
      <c r="I1807" s="115"/>
      <c r="L1807" s="160">
        <v>44664</v>
      </c>
      <c r="M1807" s="115">
        <v>771.7</v>
      </c>
      <c r="N1807" s="115">
        <v>778.85</v>
      </c>
      <c r="O1807" s="115">
        <v>767</v>
      </c>
      <c r="P1807" s="115">
        <v>767.05</v>
      </c>
      <c r="Q1807" s="115">
        <v>771.7</v>
      </c>
      <c r="R1807">
        <v>34967</v>
      </c>
    </row>
    <row r="1808" spans="1:18" x14ac:dyDescent="0.25">
      <c r="A1808" s="160">
        <v>44693</v>
      </c>
      <c r="B1808" s="115">
        <v>1380</v>
      </c>
      <c r="C1808" s="115">
        <v>1261.8</v>
      </c>
      <c r="D1808" s="115">
        <v>1230</v>
      </c>
      <c r="E1808" s="115">
        <v>1380</v>
      </c>
      <c r="F1808" s="115">
        <v>1261.8</v>
      </c>
      <c r="G1808">
        <v>7947</v>
      </c>
      <c r="H1808" s="115"/>
      <c r="I1808" s="115"/>
      <c r="L1808" s="160">
        <v>44669</v>
      </c>
      <c r="M1808" s="115">
        <v>757.85</v>
      </c>
      <c r="N1808" s="115">
        <v>797.2</v>
      </c>
      <c r="O1808" s="115">
        <v>750.05</v>
      </c>
      <c r="P1808" s="115">
        <v>779.7</v>
      </c>
      <c r="Q1808" s="115">
        <v>757.85</v>
      </c>
      <c r="R1808">
        <v>98120</v>
      </c>
    </row>
    <row r="1809" spans="1:18" x14ac:dyDescent="0.25">
      <c r="A1809" s="160">
        <v>44694</v>
      </c>
      <c r="B1809" s="115">
        <v>1324.7</v>
      </c>
      <c r="C1809" s="115">
        <v>1271.4000000000001</v>
      </c>
      <c r="D1809" s="115">
        <v>1260.0999999999999</v>
      </c>
      <c r="E1809" s="115">
        <v>1298.95</v>
      </c>
      <c r="F1809" s="115">
        <v>1271.4000000000001</v>
      </c>
      <c r="G1809">
        <v>2447</v>
      </c>
      <c r="H1809" s="115"/>
      <c r="I1809" s="115"/>
      <c r="L1809" s="160">
        <v>44670</v>
      </c>
      <c r="M1809" s="115">
        <v>746.25</v>
      </c>
      <c r="N1809" s="115">
        <v>772.85</v>
      </c>
      <c r="O1809" s="115">
        <v>732.35</v>
      </c>
      <c r="P1809" s="115">
        <v>765.8</v>
      </c>
      <c r="Q1809" s="115">
        <v>746.25</v>
      </c>
      <c r="R1809">
        <v>30685</v>
      </c>
    </row>
    <row r="1810" spans="1:18" x14ac:dyDescent="0.25">
      <c r="A1810" s="160">
        <v>44697</v>
      </c>
      <c r="B1810" s="115">
        <v>1300</v>
      </c>
      <c r="C1810" s="115">
        <v>1280.7</v>
      </c>
      <c r="D1810" s="115">
        <v>1240</v>
      </c>
      <c r="E1810" s="115">
        <v>1271.4000000000001</v>
      </c>
      <c r="F1810" s="115">
        <v>1280.7</v>
      </c>
      <c r="G1810">
        <v>3068</v>
      </c>
      <c r="H1810" s="115"/>
      <c r="I1810" s="115"/>
      <c r="L1810" s="160">
        <v>44671</v>
      </c>
      <c r="M1810" s="115">
        <v>765.3</v>
      </c>
      <c r="N1810" s="115">
        <v>772</v>
      </c>
      <c r="O1810" s="115">
        <v>750</v>
      </c>
      <c r="P1810" s="115">
        <v>750</v>
      </c>
      <c r="Q1810" s="115">
        <v>765.3</v>
      </c>
      <c r="R1810">
        <v>29814</v>
      </c>
    </row>
    <row r="1811" spans="1:18" x14ac:dyDescent="0.25">
      <c r="A1811" s="160">
        <v>44698</v>
      </c>
      <c r="B1811" s="115">
        <v>1347</v>
      </c>
      <c r="C1811" s="115">
        <v>1316.65</v>
      </c>
      <c r="D1811" s="115">
        <v>1282.3</v>
      </c>
      <c r="E1811" s="115">
        <v>1347</v>
      </c>
      <c r="F1811" s="115">
        <v>1316.65</v>
      </c>
      <c r="G1811">
        <v>3014</v>
      </c>
      <c r="H1811" s="115"/>
      <c r="I1811" s="115"/>
      <c r="L1811" s="160">
        <v>44672</v>
      </c>
      <c r="M1811" s="115">
        <v>751.3</v>
      </c>
      <c r="N1811" s="115">
        <v>773.7</v>
      </c>
      <c r="O1811" s="115">
        <v>748</v>
      </c>
      <c r="P1811" s="115">
        <v>765</v>
      </c>
      <c r="Q1811" s="115">
        <v>751.3</v>
      </c>
      <c r="R1811">
        <v>35361</v>
      </c>
    </row>
    <row r="1812" spans="1:18" x14ac:dyDescent="0.25">
      <c r="A1812" s="160">
        <v>44699</v>
      </c>
      <c r="B1812" s="115">
        <v>1337.85</v>
      </c>
      <c r="C1812" s="115">
        <v>1302.7</v>
      </c>
      <c r="D1812" s="115">
        <v>1290.0999999999999</v>
      </c>
      <c r="E1812" s="115">
        <v>1295</v>
      </c>
      <c r="F1812" s="115">
        <v>1302.7</v>
      </c>
      <c r="G1812">
        <v>2064</v>
      </c>
      <c r="H1812" s="115"/>
      <c r="I1812" s="115"/>
      <c r="L1812" s="160">
        <v>44673</v>
      </c>
      <c r="M1812" s="115">
        <v>741.45</v>
      </c>
      <c r="N1812" s="115">
        <v>758.95</v>
      </c>
      <c r="O1812" s="115">
        <v>740</v>
      </c>
      <c r="P1812" s="115">
        <v>755.1</v>
      </c>
      <c r="Q1812" s="115">
        <v>741.45</v>
      </c>
      <c r="R1812">
        <v>29840</v>
      </c>
    </row>
    <row r="1813" spans="1:18" x14ac:dyDescent="0.25">
      <c r="A1813" s="160">
        <v>44700</v>
      </c>
      <c r="B1813" s="115">
        <v>1308.8</v>
      </c>
      <c r="C1813" s="115">
        <v>1303.8</v>
      </c>
      <c r="D1813" s="115">
        <v>1270</v>
      </c>
      <c r="E1813" s="115">
        <v>1280</v>
      </c>
      <c r="F1813" s="115">
        <v>1303.8</v>
      </c>
      <c r="G1813">
        <v>2600</v>
      </c>
      <c r="H1813" s="115"/>
      <c r="I1813" s="115"/>
      <c r="L1813" s="160">
        <v>44676</v>
      </c>
      <c r="M1813" s="115">
        <v>720.3</v>
      </c>
      <c r="N1813" s="115">
        <v>748.6</v>
      </c>
      <c r="O1813" s="115">
        <v>717</v>
      </c>
      <c r="P1813" s="115">
        <v>745.2</v>
      </c>
      <c r="Q1813" s="115">
        <v>720.3</v>
      </c>
      <c r="R1813">
        <v>29104</v>
      </c>
    </row>
    <row r="1814" spans="1:18" x14ac:dyDescent="0.25">
      <c r="A1814" s="160">
        <v>44701</v>
      </c>
      <c r="B1814" s="115">
        <v>1350</v>
      </c>
      <c r="C1814" s="115">
        <v>1330.6</v>
      </c>
      <c r="D1814" s="115">
        <v>1267</v>
      </c>
      <c r="E1814" s="115">
        <v>1303.8</v>
      </c>
      <c r="F1814" s="115">
        <v>1330.6</v>
      </c>
      <c r="G1814">
        <v>1987</v>
      </c>
      <c r="H1814" s="115"/>
      <c r="I1814" s="115"/>
      <c r="L1814" s="160">
        <v>44677</v>
      </c>
      <c r="M1814" s="115">
        <v>724.25</v>
      </c>
      <c r="N1814" s="115">
        <v>733.15</v>
      </c>
      <c r="O1814" s="115">
        <v>722</v>
      </c>
      <c r="P1814" s="115">
        <v>726.5</v>
      </c>
      <c r="Q1814" s="115">
        <v>724.25</v>
      </c>
      <c r="R1814">
        <v>12327</v>
      </c>
    </row>
    <row r="1815" spans="1:18" x14ac:dyDescent="0.25">
      <c r="A1815" s="160">
        <v>44704</v>
      </c>
      <c r="B1815" s="115">
        <v>1375</v>
      </c>
      <c r="C1815" s="115">
        <v>1329.55</v>
      </c>
      <c r="D1815" s="115">
        <v>1320</v>
      </c>
      <c r="E1815" s="115">
        <v>1351</v>
      </c>
      <c r="F1815" s="115">
        <v>1329.55</v>
      </c>
      <c r="G1815">
        <v>1519</v>
      </c>
      <c r="H1815" s="115"/>
      <c r="I1815" s="115"/>
      <c r="L1815" s="160">
        <v>44678</v>
      </c>
      <c r="M1815" s="115">
        <v>718.2</v>
      </c>
      <c r="N1815" s="115">
        <v>727.9</v>
      </c>
      <c r="O1815" s="115">
        <v>713.75</v>
      </c>
      <c r="P1815" s="115">
        <v>724.95</v>
      </c>
      <c r="Q1815" s="115">
        <v>718.2</v>
      </c>
      <c r="R1815">
        <v>13544</v>
      </c>
    </row>
    <row r="1816" spans="1:18" x14ac:dyDescent="0.25">
      <c r="A1816" s="160">
        <v>44705</v>
      </c>
      <c r="B1816" s="115">
        <v>1338.95</v>
      </c>
      <c r="C1816" s="115">
        <v>1329</v>
      </c>
      <c r="D1816" s="115">
        <v>1317</v>
      </c>
      <c r="E1816" s="115">
        <v>1320</v>
      </c>
      <c r="F1816" s="115">
        <v>1329</v>
      </c>
      <c r="G1816">
        <v>1189</v>
      </c>
      <c r="H1816" s="115"/>
      <c r="I1816" s="115"/>
      <c r="L1816" s="160">
        <v>44679</v>
      </c>
      <c r="M1816" s="115">
        <v>713.85</v>
      </c>
      <c r="N1816" s="115">
        <v>736</v>
      </c>
      <c r="O1816" s="115">
        <v>712</v>
      </c>
      <c r="P1816" s="115">
        <v>723</v>
      </c>
      <c r="Q1816" s="115">
        <v>713.85</v>
      </c>
      <c r="R1816">
        <v>57847</v>
      </c>
    </row>
    <row r="1817" spans="1:18" x14ac:dyDescent="0.25">
      <c r="A1817" s="160">
        <v>44706</v>
      </c>
      <c r="B1817" s="115">
        <v>1311.2</v>
      </c>
      <c r="C1817" s="115">
        <v>1257.25</v>
      </c>
      <c r="D1817" s="115">
        <v>1250</v>
      </c>
      <c r="E1817" s="115">
        <v>1311.2</v>
      </c>
      <c r="F1817" s="115">
        <v>1257.25</v>
      </c>
      <c r="G1817">
        <v>1498</v>
      </c>
      <c r="H1817" s="115"/>
      <c r="I1817" s="115"/>
      <c r="L1817" s="160">
        <v>44680</v>
      </c>
      <c r="M1817" s="115">
        <v>714.05</v>
      </c>
      <c r="N1817" s="115">
        <v>722.7</v>
      </c>
      <c r="O1817" s="115">
        <v>705.6</v>
      </c>
      <c r="P1817" s="115">
        <v>716</v>
      </c>
      <c r="Q1817" s="115">
        <v>714.05</v>
      </c>
      <c r="R1817">
        <v>15142</v>
      </c>
    </row>
    <row r="1818" spans="1:18" x14ac:dyDescent="0.25">
      <c r="A1818" s="160">
        <v>44707</v>
      </c>
      <c r="B1818" s="115">
        <v>1260</v>
      </c>
      <c r="C1818" s="115">
        <v>1202</v>
      </c>
      <c r="D1818" s="115">
        <v>1160.5</v>
      </c>
      <c r="E1818" s="115">
        <v>1260</v>
      </c>
      <c r="F1818" s="115">
        <v>1202</v>
      </c>
      <c r="G1818">
        <v>5591</v>
      </c>
      <c r="H1818" s="115"/>
      <c r="I1818" s="115"/>
      <c r="L1818" s="160">
        <v>44683</v>
      </c>
      <c r="M1818" s="115">
        <v>708</v>
      </c>
      <c r="N1818" s="115">
        <v>717</v>
      </c>
      <c r="O1818" s="115">
        <v>703.2</v>
      </c>
      <c r="P1818" s="115">
        <v>717</v>
      </c>
      <c r="Q1818" s="115">
        <v>708</v>
      </c>
      <c r="R1818">
        <v>16453</v>
      </c>
    </row>
    <row r="1819" spans="1:18" x14ac:dyDescent="0.25">
      <c r="A1819" s="160">
        <v>44708</v>
      </c>
      <c r="B1819" s="115">
        <v>1225</v>
      </c>
      <c r="C1819" s="115">
        <v>1188</v>
      </c>
      <c r="D1819" s="115">
        <v>1181</v>
      </c>
      <c r="E1819" s="115">
        <v>1200</v>
      </c>
      <c r="F1819" s="115">
        <v>1188</v>
      </c>
      <c r="G1819">
        <v>2251</v>
      </c>
      <c r="H1819" s="115"/>
      <c r="I1819" s="115"/>
      <c r="L1819" s="160">
        <v>44685</v>
      </c>
      <c r="M1819" s="115">
        <v>711.1</v>
      </c>
      <c r="N1819" s="115">
        <v>728.7</v>
      </c>
      <c r="O1819" s="115">
        <v>703</v>
      </c>
      <c r="P1819" s="115">
        <v>709</v>
      </c>
      <c r="Q1819" s="115">
        <v>711.1</v>
      </c>
      <c r="R1819">
        <v>24271</v>
      </c>
    </row>
    <row r="1820" spans="1:18" x14ac:dyDescent="0.25">
      <c r="A1820" s="160">
        <v>44711</v>
      </c>
      <c r="B1820" s="115">
        <v>1235</v>
      </c>
      <c r="C1820" s="115">
        <v>1196.1500000000001</v>
      </c>
      <c r="D1820" s="115">
        <v>1185</v>
      </c>
      <c r="E1820" s="115">
        <v>1192</v>
      </c>
      <c r="F1820" s="115">
        <v>1196.1500000000001</v>
      </c>
      <c r="G1820">
        <v>2471</v>
      </c>
      <c r="H1820" s="115"/>
      <c r="I1820" s="115"/>
      <c r="L1820" s="160">
        <v>44686</v>
      </c>
      <c r="M1820" s="115">
        <v>683.6</v>
      </c>
      <c r="N1820" s="115">
        <v>717.7</v>
      </c>
      <c r="O1820" s="115">
        <v>679.15</v>
      </c>
      <c r="P1820" s="115">
        <v>711.1</v>
      </c>
      <c r="Q1820" s="115">
        <v>683.6</v>
      </c>
      <c r="R1820">
        <v>46160</v>
      </c>
    </row>
    <row r="1821" spans="1:18" x14ac:dyDescent="0.25">
      <c r="A1821" s="160">
        <v>44712</v>
      </c>
      <c r="B1821" s="115">
        <v>1235</v>
      </c>
      <c r="C1821" s="115">
        <v>1211.6500000000001</v>
      </c>
      <c r="D1821" s="115">
        <v>1185</v>
      </c>
      <c r="E1821" s="115">
        <v>1234.9000000000001</v>
      </c>
      <c r="F1821" s="115">
        <v>1211.6500000000001</v>
      </c>
      <c r="G1821">
        <v>2090</v>
      </c>
      <c r="H1821" s="115"/>
      <c r="I1821" s="115"/>
      <c r="L1821" s="160">
        <v>44687</v>
      </c>
      <c r="M1821" s="115">
        <v>702.45</v>
      </c>
      <c r="N1821" s="115">
        <v>707.8</v>
      </c>
      <c r="O1821" s="115">
        <v>668.7</v>
      </c>
      <c r="P1821" s="115">
        <v>675</v>
      </c>
      <c r="Q1821" s="115">
        <v>702.45</v>
      </c>
      <c r="R1821">
        <v>77464</v>
      </c>
    </row>
    <row r="1822" spans="1:18" x14ac:dyDescent="0.25">
      <c r="A1822" s="160">
        <v>44713</v>
      </c>
      <c r="B1822" s="115">
        <v>1244.9000000000001</v>
      </c>
      <c r="C1822" s="115">
        <v>1220</v>
      </c>
      <c r="D1822" s="115">
        <v>1210</v>
      </c>
      <c r="E1822" s="115">
        <v>1211.6500000000001</v>
      </c>
      <c r="F1822" s="115">
        <v>1220</v>
      </c>
      <c r="G1822">
        <v>545</v>
      </c>
      <c r="H1822" s="115"/>
      <c r="I1822" s="115"/>
      <c r="L1822" s="160">
        <v>44690</v>
      </c>
      <c r="M1822" s="115">
        <v>711.25</v>
      </c>
      <c r="N1822" s="115">
        <v>715.8</v>
      </c>
      <c r="O1822" s="115">
        <v>691</v>
      </c>
      <c r="P1822" s="115">
        <v>700.5</v>
      </c>
      <c r="Q1822" s="115">
        <v>711.25</v>
      </c>
      <c r="R1822">
        <v>29436</v>
      </c>
    </row>
    <row r="1823" spans="1:18" x14ac:dyDescent="0.25">
      <c r="A1823" s="160">
        <v>44714</v>
      </c>
      <c r="B1823" s="115">
        <v>1250</v>
      </c>
      <c r="C1823" s="115">
        <v>1249.95</v>
      </c>
      <c r="D1823" s="115">
        <v>1243.95</v>
      </c>
      <c r="E1823" s="115">
        <v>1244</v>
      </c>
      <c r="F1823" s="115">
        <v>1249.95</v>
      </c>
      <c r="G1823">
        <v>113</v>
      </c>
      <c r="H1823" s="115"/>
      <c r="I1823" s="115"/>
      <c r="L1823" s="160">
        <v>44691</v>
      </c>
      <c r="M1823" s="115">
        <v>687</v>
      </c>
      <c r="N1823" s="115">
        <v>718</v>
      </c>
      <c r="O1823" s="115">
        <v>675.1</v>
      </c>
      <c r="P1823" s="115">
        <v>705</v>
      </c>
      <c r="Q1823" s="115">
        <v>687</v>
      </c>
      <c r="R1823">
        <v>25645</v>
      </c>
    </row>
    <row r="1824" spans="1:18" x14ac:dyDescent="0.25">
      <c r="A1824" s="160">
        <v>44715</v>
      </c>
      <c r="B1824" s="115">
        <v>1305</v>
      </c>
      <c r="C1824" s="115">
        <v>1227.95</v>
      </c>
      <c r="D1824" s="115">
        <v>1220</v>
      </c>
      <c r="E1824" s="115">
        <v>1290</v>
      </c>
      <c r="F1824" s="115">
        <v>1227.95</v>
      </c>
      <c r="G1824">
        <v>708</v>
      </c>
      <c r="H1824" s="115"/>
      <c r="I1824" s="115"/>
      <c r="L1824" s="160">
        <v>44692</v>
      </c>
      <c r="M1824" s="115">
        <v>693.25</v>
      </c>
      <c r="N1824" s="115">
        <v>711</v>
      </c>
      <c r="O1824" s="115">
        <v>678</v>
      </c>
      <c r="P1824" s="115">
        <v>678</v>
      </c>
      <c r="Q1824" s="115">
        <v>693.25</v>
      </c>
      <c r="R1824">
        <v>29222</v>
      </c>
    </row>
    <row r="1825" spans="1:18" x14ac:dyDescent="0.25">
      <c r="A1825" s="160">
        <v>44718</v>
      </c>
      <c r="B1825" s="115">
        <v>1258.2</v>
      </c>
      <c r="C1825" s="115">
        <v>1230.0999999999999</v>
      </c>
      <c r="D1825" s="115">
        <v>1225</v>
      </c>
      <c r="E1825" s="115">
        <v>1258.2</v>
      </c>
      <c r="F1825" s="115">
        <v>1230.0999999999999</v>
      </c>
      <c r="G1825">
        <v>426</v>
      </c>
      <c r="H1825" s="115"/>
      <c r="I1825" s="115"/>
      <c r="L1825" s="160">
        <v>44693</v>
      </c>
      <c r="M1825" s="115">
        <v>668.8</v>
      </c>
      <c r="N1825" s="115">
        <v>692.55</v>
      </c>
      <c r="O1825" s="115">
        <v>664</v>
      </c>
      <c r="P1825" s="115">
        <v>680.65</v>
      </c>
      <c r="Q1825" s="115">
        <v>668.8</v>
      </c>
      <c r="R1825">
        <v>25788</v>
      </c>
    </row>
    <row r="1826" spans="1:18" x14ac:dyDescent="0.25">
      <c r="A1826" s="160">
        <v>44719</v>
      </c>
      <c r="B1826" s="115">
        <v>1225</v>
      </c>
      <c r="C1826" s="115">
        <v>1197.25</v>
      </c>
      <c r="D1826" s="115">
        <v>1190.05</v>
      </c>
      <c r="E1826" s="115">
        <v>1225</v>
      </c>
      <c r="F1826" s="115">
        <v>1197.25</v>
      </c>
      <c r="G1826">
        <v>629</v>
      </c>
      <c r="H1826" s="115"/>
      <c r="I1826" s="115"/>
      <c r="L1826" s="160">
        <v>44694</v>
      </c>
      <c r="M1826" s="115">
        <v>705.8</v>
      </c>
      <c r="N1826" s="115">
        <v>712.8</v>
      </c>
      <c r="O1826" s="115">
        <v>678</v>
      </c>
      <c r="P1826" s="115">
        <v>678</v>
      </c>
      <c r="Q1826" s="115">
        <v>705.8</v>
      </c>
      <c r="R1826">
        <v>21468</v>
      </c>
    </row>
    <row r="1827" spans="1:18" x14ac:dyDescent="0.25">
      <c r="A1827" s="160">
        <v>44720</v>
      </c>
      <c r="B1827" s="115">
        <v>1219.9000000000001</v>
      </c>
      <c r="C1827" s="115">
        <v>1216.5</v>
      </c>
      <c r="D1827" s="115">
        <v>1185.0999999999999</v>
      </c>
      <c r="E1827" s="115">
        <v>1200</v>
      </c>
      <c r="F1827" s="115">
        <v>1216.5</v>
      </c>
      <c r="G1827">
        <v>311</v>
      </c>
      <c r="H1827" s="115"/>
      <c r="I1827" s="115"/>
      <c r="L1827" s="160">
        <v>44697</v>
      </c>
      <c r="M1827" s="115">
        <v>706.05</v>
      </c>
      <c r="N1827" s="115">
        <v>720.15</v>
      </c>
      <c r="O1827" s="115">
        <v>697.25</v>
      </c>
      <c r="P1827" s="115">
        <v>697.25</v>
      </c>
      <c r="Q1827" s="115">
        <v>706.05</v>
      </c>
      <c r="R1827">
        <v>24196</v>
      </c>
    </row>
    <row r="1828" spans="1:18" x14ac:dyDescent="0.25">
      <c r="A1828" s="160">
        <v>44721</v>
      </c>
      <c r="B1828" s="115">
        <v>1216.5</v>
      </c>
      <c r="C1828" s="115">
        <v>1209.95</v>
      </c>
      <c r="D1828" s="115">
        <v>1171.05</v>
      </c>
      <c r="E1828" s="115">
        <v>1216.5</v>
      </c>
      <c r="F1828" s="115">
        <v>1209.95</v>
      </c>
      <c r="G1828">
        <v>202</v>
      </c>
      <c r="H1828" s="115"/>
      <c r="I1828" s="115"/>
      <c r="L1828" s="160">
        <v>44698</v>
      </c>
      <c r="M1828" s="115">
        <v>712.85</v>
      </c>
      <c r="N1828" s="115">
        <v>718.1</v>
      </c>
      <c r="O1828" s="115">
        <v>696.05</v>
      </c>
      <c r="P1828" s="115">
        <v>709</v>
      </c>
      <c r="Q1828" s="115">
        <v>712.85</v>
      </c>
      <c r="R1828">
        <v>19788</v>
      </c>
    </row>
    <row r="1829" spans="1:18" x14ac:dyDescent="0.25">
      <c r="A1829" s="160">
        <v>44722</v>
      </c>
      <c r="B1829" s="115">
        <v>1207.9000000000001</v>
      </c>
      <c r="C1829" s="115">
        <v>1205.9000000000001</v>
      </c>
      <c r="D1829" s="115">
        <v>1170.5999999999999</v>
      </c>
      <c r="E1829" s="115">
        <v>1195</v>
      </c>
      <c r="F1829" s="115">
        <v>1205.9000000000001</v>
      </c>
      <c r="G1829">
        <v>353</v>
      </c>
      <c r="H1829" s="115"/>
      <c r="I1829" s="115"/>
      <c r="L1829" s="160">
        <v>44699</v>
      </c>
      <c r="M1829" s="115">
        <v>729.15</v>
      </c>
      <c r="N1829" s="115">
        <v>734.35</v>
      </c>
      <c r="O1829" s="115">
        <v>711.55</v>
      </c>
      <c r="P1829" s="115">
        <v>711.55</v>
      </c>
      <c r="Q1829" s="115">
        <v>729.15</v>
      </c>
      <c r="R1829">
        <v>20707</v>
      </c>
    </row>
    <row r="1830" spans="1:18" x14ac:dyDescent="0.25">
      <c r="A1830" s="160">
        <v>44725</v>
      </c>
      <c r="B1830" s="115">
        <v>1218</v>
      </c>
      <c r="C1830" s="115">
        <v>1192.7</v>
      </c>
      <c r="D1830" s="115">
        <v>1160</v>
      </c>
      <c r="E1830" s="115">
        <v>1160</v>
      </c>
      <c r="F1830" s="115">
        <v>1192.7</v>
      </c>
      <c r="G1830">
        <v>276</v>
      </c>
      <c r="H1830" s="115"/>
      <c r="I1830" s="115"/>
      <c r="L1830" s="160">
        <v>44700</v>
      </c>
      <c r="M1830" s="115">
        <v>734.1</v>
      </c>
      <c r="N1830" s="115">
        <v>750.2</v>
      </c>
      <c r="O1830" s="115">
        <v>705</v>
      </c>
      <c r="P1830" s="115">
        <v>705.05</v>
      </c>
      <c r="Q1830" s="115">
        <v>734.1</v>
      </c>
      <c r="R1830">
        <v>51978</v>
      </c>
    </row>
    <row r="1831" spans="1:18" x14ac:dyDescent="0.25">
      <c r="A1831" s="160">
        <v>44726</v>
      </c>
      <c r="B1831" s="115">
        <v>1198</v>
      </c>
      <c r="C1831" s="115">
        <v>1178.05</v>
      </c>
      <c r="D1831" s="115">
        <v>1141.25</v>
      </c>
      <c r="E1831" s="115">
        <v>1150</v>
      </c>
      <c r="F1831" s="115">
        <v>1178.05</v>
      </c>
      <c r="G1831">
        <v>802</v>
      </c>
      <c r="H1831" s="115"/>
      <c r="I1831" s="115"/>
      <c r="L1831" s="160">
        <v>44701</v>
      </c>
      <c r="M1831" s="115">
        <v>727.5</v>
      </c>
      <c r="N1831" s="115">
        <v>748</v>
      </c>
      <c r="O1831" s="115">
        <v>726</v>
      </c>
      <c r="P1831" s="115">
        <v>748</v>
      </c>
      <c r="Q1831" s="115">
        <v>727.5</v>
      </c>
      <c r="R1831">
        <v>15848</v>
      </c>
    </row>
    <row r="1832" spans="1:18" x14ac:dyDescent="0.25">
      <c r="A1832" s="160">
        <v>44727</v>
      </c>
      <c r="B1832" s="115">
        <v>1200</v>
      </c>
      <c r="C1832" s="115">
        <v>1197.3</v>
      </c>
      <c r="D1832" s="115">
        <v>1170.9000000000001</v>
      </c>
      <c r="E1832" s="115">
        <v>1172</v>
      </c>
      <c r="F1832" s="115">
        <v>1197.3</v>
      </c>
      <c r="G1832">
        <v>1941</v>
      </c>
      <c r="H1832" s="115"/>
      <c r="I1832" s="115"/>
      <c r="L1832" s="160">
        <v>44704</v>
      </c>
      <c r="M1832" s="115">
        <v>719.65</v>
      </c>
      <c r="N1832" s="115">
        <v>771</v>
      </c>
      <c r="O1832" s="115">
        <v>698.3</v>
      </c>
      <c r="P1832" s="115">
        <v>732</v>
      </c>
      <c r="Q1832" s="115">
        <v>719.65</v>
      </c>
      <c r="R1832">
        <v>223051</v>
      </c>
    </row>
    <row r="1833" spans="1:18" x14ac:dyDescent="0.25">
      <c r="A1833" s="160">
        <v>44728</v>
      </c>
      <c r="B1833" s="115">
        <v>1217</v>
      </c>
      <c r="C1833" s="115">
        <v>1180</v>
      </c>
      <c r="D1833" s="115">
        <v>1166.05</v>
      </c>
      <c r="E1833" s="115">
        <v>1197.3</v>
      </c>
      <c r="F1833" s="115">
        <v>1180</v>
      </c>
      <c r="G1833">
        <v>358</v>
      </c>
      <c r="H1833" s="115"/>
      <c r="I1833" s="115"/>
      <c r="L1833" s="160">
        <v>44705</v>
      </c>
      <c r="M1833" s="115">
        <v>715.05</v>
      </c>
      <c r="N1833" s="115">
        <v>719</v>
      </c>
      <c r="O1833" s="115">
        <v>706.25</v>
      </c>
      <c r="P1833" s="115">
        <v>713.8</v>
      </c>
      <c r="Q1833" s="115">
        <v>715.05</v>
      </c>
      <c r="R1833">
        <v>18122</v>
      </c>
    </row>
    <row r="1834" spans="1:18" x14ac:dyDescent="0.25">
      <c r="A1834" s="160">
        <v>44729</v>
      </c>
      <c r="B1834" s="115">
        <v>1176.25</v>
      </c>
      <c r="C1834" s="115">
        <v>1151.8499999999999</v>
      </c>
      <c r="D1834" s="115">
        <v>1150</v>
      </c>
      <c r="E1834" s="115">
        <v>1151</v>
      </c>
      <c r="F1834" s="115">
        <v>1151.8499999999999</v>
      </c>
      <c r="G1834">
        <v>1602</v>
      </c>
      <c r="H1834" s="115"/>
      <c r="I1834" s="115"/>
      <c r="L1834" s="160">
        <v>44706</v>
      </c>
      <c r="M1834" s="115">
        <v>707.45</v>
      </c>
      <c r="N1834" s="115">
        <v>745</v>
      </c>
      <c r="O1834" s="115">
        <v>696.2</v>
      </c>
      <c r="P1834" s="115">
        <v>718.65</v>
      </c>
      <c r="Q1834" s="115">
        <v>707.45</v>
      </c>
      <c r="R1834">
        <v>79342</v>
      </c>
    </row>
    <row r="1835" spans="1:18" x14ac:dyDescent="0.25">
      <c r="A1835" s="160">
        <v>44732</v>
      </c>
      <c r="B1835" s="115">
        <v>1171</v>
      </c>
      <c r="C1835" s="115">
        <v>1059.8</v>
      </c>
      <c r="D1835" s="115">
        <v>1052</v>
      </c>
      <c r="E1835" s="115">
        <v>1151</v>
      </c>
      <c r="F1835" s="115">
        <v>1059.8</v>
      </c>
      <c r="G1835">
        <v>1856</v>
      </c>
      <c r="H1835" s="115"/>
      <c r="I1835" s="115"/>
      <c r="L1835" s="160">
        <v>44707</v>
      </c>
      <c r="M1835" s="115">
        <v>704.15</v>
      </c>
      <c r="N1835" s="115">
        <v>722.7</v>
      </c>
      <c r="O1835" s="115">
        <v>695</v>
      </c>
      <c r="P1835" s="115">
        <v>720</v>
      </c>
      <c r="Q1835" s="115">
        <v>704.15</v>
      </c>
      <c r="R1835">
        <v>32418</v>
      </c>
    </row>
    <row r="1836" spans="1:18" x14ac:dyDescent="0.25">
      <c r="A1836" s="160">
        <v>44733</v>
      </c>
      <c r="B1836" s="115">
        <v>1103.9000000000001</v>
      </c>
      <c r="C1836" s="115">
        <v>1062.2</v>
      </c>
      <c r="D1836" s="115">
        <v>1050.05</v>
      </c>
      <c r="E1836" s="115">
        <v>1103.9000000000001</v>
      </c>
      <c r="F1836" s="115">
        <v>1062.2</v>
      </c>
      <c r="G1836">
        <v>748</v>
      </c>
      <c r="H1836" s="115"/>
      <c r="I1836" s="115"/>
      <c r="L1836" s="160">
        <v>44708</v>
      </c>
      <c r="M1836" s="115">
        <v>703.65</v>
      </c>
      <c r="N1836" s="115">
        <v>715</v>
      </c>
      <c r="O1836" s="115">
        <v>694.15</v>
      </c>
      <c r="P1836" s="115">
        <v>711.15</v>
      </c>
      <c r="Q1836" s="115">
        <v>703.65</v>
      </c>
      <c r="R1836">
        <v>15957</v>
      </c>
    </row>
    <row r="1837" spans="1:18" x14ac:dyDescent="0.25">
      <c r="A1837" s="160">
        <v>44734</v>
      </c>
      <c r="B1837" s="115">
        <v>1070</v>
      </c>
      <c r="C1837" s="115">
        <v>1032.2</v>
      </c>
      <c r="D1837" s="115">
        <v>1008</v>
      </c>
      <c r="E1837" s="115">
        <v>1055</v>
      </c>
      <c r="F1837" s="115">
        <v>1032.2</v>
      </c>
      <c r="G1837">
        <v>607</v>
      </c>
      <c r="H1837" s="115"/>
      <c r="I1837" s="115"/>
      <c r="L1837" s="160">
        <v>44711</v>
      </c>
      <c r="M1837" s="115">
        <v>707.45</v>
      </c>
      <c r="N1837" s="115">
        <v>715.05</v>
      </c>
      <c r="O1837" s="115">
        <v>704.7</v>
      </c>
      <c r="P1837" s="115">
        <v>714</v>
      </c>
      <c r="Q1837" s="115">
        <v>707.45</v>
      </c>
      <c r="R1837">
        <v>20192</v>
      </c>
    </row>
    <row r="1838" spans="1:18" x14ac:dyDescent="0.25">
      <c r="A1838" s="160">
        <v>44735</v>
      </c>
      <c r="B1838" s="115">
        <v>1077.75</v>
      </c>
      <c r="C1838" s="115">
        <v>1052.95</v>
      </c>
      <c r="D1838" s="115">
        <v>1000</v>
      </c>
      <c r="E1838" s="115">
        <v>1050</v>
      </c>
      <c r="F1838" s="115">
        <v>1052.95</v>
      </c>
      <c r="G1838">
        <v>946</v>
      </c>
      <c r="H1838" s="115"/>
      <c r="I1838" s="115"/>
      <c r="L1838" s="160">
        <v>44712</v>
      </c>
      <c r="M1838" s="115">
        <v>701.4</v>
      </c>
      <c r="N1838" s="115">
        <v>711.15</v>
      </c>
      <c r="O1838" s="115">
        <v>698.9</v>
      </c>
      <c r="P1838" s="115">
        <v>710</v>
      </c>
      <c r="Q1838" s="115">
        <v>701.4</v>
      </c>
      <c r="R1838">
        <v>20285</v>
      </c>
    </row>
    <row r="1839" spans="1:18" x14ac:dyDescent="0.25">
      <c r="A1839" s="160">
        <v>44736</v>
      </c>
      <c r="B1839" s="115">
        <v>1070.45</v>
      </c>
      <c r="C1839" s="115">
        <v>1042.9000000000001</v>
      </c>
      <c r="D1839" s="115">
        <v>1030</v>
      </c>
      <c r="E1839" s="115">
        <v>1051</v>
      </c>
      <c r="F1839" s="115">
        <v>1042.9000000000001</v>
      </c>
      <c r="G1839">
        <v>537</v>
      </c>
      <c r="H1839" s="115"/>
      <c r="I1839" s="115"/>
      <c r="L1839" s="160">
        <v>44713</v>
      </c>
      <c r="M1839" s="115">
        <v>698.75</v>
      </c>
      <c r="N1839" s="115">
        <v>709.75</v>
      </c>
      <c r="O1839" s="115">
        <v>695</v>
      </c>
      <c r="P1839" s="115">
        <v>704.95</v>
      </c>
      <c r="Q1839" s="115">
        <v>698.75</v>
      </c>
      <c r="R1839">
        <v>18473</v>
      </c>
    </row>
    <row r="1840" spans="1:18" x14ac:dyDescent="0.25">
      <c r="A1840" s="160">
        <v>44739</v>
      </c>
      <c r="B1840" s="115">
        <v>1074.2</v>
      </c>
      <c r="C1840" s="115">
        <v>1051.05</v>
      </c>
      <c r="D1840" s="115">
        <v>1045.5</v>
      </c>
      <c r="E1840" s="115">
        <v>1074.2</v>
      </c>
      <c r="F1840" s="115">
        <v>1051.05</v>
      </c>
      <c r="G1840">
        <v>687</v>
      </c>
      <c r="H1840" s="115"/>
      <c r="I1840" s="115"/>
      <c r="L1840" s="160">
        <v>44714</v>
      </c>
      <c r="M1840" s="115">
        <v>701.25</v>
      </c>
      <c r="N1840" s="115">
        <v>710.5</v>
      </c>
      <c r="O1840" s="115">
        <v>696.1</v>
      </c>
      <c r="P1840" s="115">
        <v>705.65</v>
      </c>
      <c r="Q1840" s="115">
        <v>701.25</v>
      </c>
      <c r="R1840">
        <v>24515</v>
      </c>
    </row>
    <row r="1841" spans="1:18" x14ac:dyDescent="0.25">
      <c r="A1841" s="160">
        <v>44740</v>
      </c>
      <c r="B1841" s="115">
        <v>1138.9000000000001</v>
      </c>
      <c r="C1841" s="115">
        <v>1083.9000000000001</v>
      </c>
      <c r="D1841" s="115">
        <v>1030</v>
      </c>
      <c r="E1841" s="115">
        <v>1050</v>
      </c>
      <c r="F1841" s="115">
        <v>1083.9000000000001</v>
      </c>
      <c r="G1841">
        <v>3287</v>
      </c>
      <c r="H1841" s="115"/>
      <c r="I1841" s="115"/>
      <c r="L1841" s="160">
        <v>44715</v>
      </c>
      <c r="M1841" s="115">
        <v>702.8</v>
      </c>
      <c r="N1841" s="115">
        <v>714.45</v>
      </c>
      <c r="O1841" s="115">
        <v>700.05</v>
      </c>
      <c r="P1841" s="115">
        <v>704.95</v>
      </c>
      <c r="Q1841" s="115">
        <v>702.8</v>
      </c>
      <c r="R1841">
        <v>23226</v>
      </c>
    </row>
    <row r="1842" spans="1:18" x14ac:dyDescent="0.25">
      <c r="A1842" s="160">
        <v>44741</v>
      </c>
      <c r="B1842" s="115">
        <v>1114</v>
      </c>
      <c r="C1842" s="115">
        <v>1108.25</v>
      </c>
      <c r="D1842" s="115">
        <v>1081.75</v>
      </c>
      <c r="E1842" s="115">
        <v>1083.9000000000001</v>
      </c>
      <c r="F1842" s="115">
        <v>1108.25</v>
      </c>
      <c r="G1842">
        <v>564</v>
      </c>
      <c r="H1842" s="115"/>
      <c r="I1842" s="115"/>
      <c r="L1842" s="160">
        <v>44718</v>
      </c>
      <c r="M1842" s="115">
        <v>710.05</v>
      </c>
      <c r="N1842" s="115">
        <v>745.65</v>
      </c>
      <c r="O1842" s="115">
        <v>703</v>
      </c>
      <c r="P1842" s="115">
        <v>719</v>
      </c>
      <c r="Q1842" s="115">
        <v>710.05</v>
      </c>
      <c r="R1842">
        <v>119007</v>
      </c>
    </row>
    <row r="1843" spans="1:18" x14ac:dyDescent="0.25">
      <c r="A1843" s="160">
        <v>44742</v>
      </c>
      <c r="B1843" s="115">
        <v>1197.9000000000001</v>
      </c>
      <c r="C1843" s="115">
        <v>1158.95</v>
      </c>
      <c r="D1843" s="115">
        <v>1125</v>
      </c>
      <c r="E1843" s="115">
        <v>1141</v>
      </c>
      <c r="F1843" s="115">
        <v>1158.95</v>
      </c>
      <c r="G1843">
        <v>3929</v>
      </c>
      <c r="H1843" s="115"/>
      <c r="I1843" s="115"/>
      <c r="L1843" s="160">
        <v>44719</v>
      </c>
      <c r="M1843" s="115">
        <v>713.05</v>
      </c>
      <c r="N1843" s="115">
        <v>716.6</v>
      </c>
      <c r="O1843" s="115">
        <v>706.25</v>
      </c>
      <c r="P1843" s="115">
        <v>713.45</v>
      </c>
      <c r="Q1843" s="115">
        <v>713.05</v>
      </c>
      <c r="R1843">
        <v>21202</v>
      </c>
    </row>
    <row r="1844" spans="1:18" x14ac:dyDescent="0.25">
      <c r="A1844" s="160">
        <v>44743</v>
      </c>
      <c r="B1844" s="115">
        <v>1183.95</v>
      </c>
      <c r="C1844" s="115">
        <v>1158.75</v>
      </c>
      <c r="D1844" s="115">
        <v>1155</v>
      </c>
      <c r="E1844" s="115">
        <v>1181.8499999999999</v>
      </c>
      <c r="F1844" s="115">
        <v>1158.75</v>
      </c>
      <c r="G1844">
        <v>1098</v>
      </c>
      <c r="H1844" s="115"/>
      <c r="I1844" s="115"/>
      <c r="L1844" s="160">
        <v>44720</v>
      </c>
      <c r="M1844" s="115">
        <v>705.6</v>
      </c>
      <c r="N1844" s="115">
        <v>716.6</v>
      </c>
      <c r="O1844" s="115">
        <v>703</v>
      </c>
      <c r="P1844" s="115">
        <v>711</v>
      </c>
      <c r="Q1844" s="115">
        <v>705.6</v>
      </c>
      <c r="R1844">
        <v>17887</v>
      </c>
    </row>
    <row r="1845" spans="1:18" x14ac:dyDescent="0.25">
      <c r="A1845" s="160">
        <v>44746</v>
      </c>
      <c r="B1845" s="115">
        <v>1194.9000000000001</v>
      </c>
      <c r="C1845" s="115">
        <v>1171.7</v>
      </c>
      <c r="D1845" s="115">
        <v>1145</v>
      </c>
      <c r="E1845" s="115">
        <v>1145.05</v>
      </c>
      <c r="F1845" s="115">
        <v>1171.7</v>
      </c>
      <c r="G1845">
        <v>461</v>
      </c>
      <c r="H1845" s="115"/>
      <c r="I1845" s="115"/>
      <c r="L1845" s="160">
        <v>44721</v>
      </c>
      <c r="M1845" s="115">
        <v>712.9</v>
      </c>
      <c r="N1845" s="115">
        <v>714.1</v>
      </c>
      <c r="O1845" s="115">
        <v>701</v>
      </c>
      <c r="P1845" s="115">
        <v>702.05</v>
      </c>
      <c r="Q1845" s="115">
        <v>712.9</v>
      </c>
      <c r="R1845">
        <v>8304</v>
      </c>
    </row>
    <row r="1846" spans="1:18" x14ac:dyDescent="0.25">
      <c r="A1846" s="160">
        <v>44747</v>
      </c>
      <c r="B1846" s="115">
        <v>1210</v>
      </c>
      <c r="C1846" s="115">
        <v>1185.05</v>
      </c>
      <c r="D1846" s="115">
        <v>1170</v>
      </c>
      <c r="E1846" s="115">
        <v>1172</v>
      </c>
      <c r="F1846" s="115">
        <v>1185.05</v>
      </c>
      <c r="G1846">
        <v>914</v>
      </c>
      <c r="H1846" s="115"/>
      <c r="I1846" s="115"/>
      <c r="L1846" s="160">
        <v>44722</v>
      </c>
      <c r="M1846" s="115">
        <v>709</v>
      </c>
      <c r="N1846" s="115">
        <v>719.9</v>
      </c>
      <c r="O1846" s="115">
        <v>701.3</v>
      </c>
      <c r="P1846" s="115">
        <v>712.5</v>
      </c>
      <c r="Q1846" s="115">
        <v>709</v>
      </c>
      <c r="R1846">
        <v>19559</v>
      </c>
    </row>
    <row r="1847" spans="1:18" x14ac:dyDescent="0.25">
      <c r="A1847" s="160">
        <v>44748</v>
      </c>
      <c r="B1847" s="115">
        <v>1199.8</v>
      </c>
      <c r="C1847" s="115">
        <v>1175.0999999999999</v>
      </c>
      <c r="D1847" s="115">
        <v>1175</v>
      </c>
      <c r="E1847" s="115">
        <v>1185</v>
      </c>
      <c r="F1847" s="115">
        <v>1175.0999999999999</v>
      </c>
      <c r="G1847">
        <v>1254</v>
      </c>
      <c r="H1847" s="115"/>
      <c r="I1847" s="115"/>
      <c r="L1847" s="160">
        <v>44725</v>
      </c>
      <c r="M1847" s="115">
        <v>698.1</v>
      </c>
      <c r="N1847" s="115">
        <v>706</v>
      </c>
      <c r="O1847" s="115">
        <v>691.55</v>
      </c>
      <c r="P1847" s="115">
        <v>700.05</v>
      </c>
      <c r="Q1847" s="115">
        <v>698.1</v>
      </c>
      <c r="R1847">
        <v>12288</v>
      </c>
    </row>
    <row r="1848" spans="1:18" x14ac:dyDescent="0.25">
      <c r="A1848" s="160">
        <v>44749</v>
      </c>
      <c r="B1848" s="115">
        <v>1198</v>
      </c>
      <c r="C1848" s="115">
        <v>1193.75</v>
      </c>
      <c r="D1848" s="115">
        <v>1177.5</v>
      </c>
      <c r="E1848" s="115">
        <v>1179</v>
      </c>
      <c r="F1848" s="115">
        <v>1193.75</v>
      </c>
      <c r="G1848">
        <v>902</v>
      </c>
      <c r="H1848" s="115"/>
      <c r="I1848" s="115"/>
      <c r="L1848" s="160">
        <v>44726</v>
      </c>
      <c r="M1848" s="115">
        <v>696.4</v>
      </c>
      <c r="N1848" s="115">
        <v>704.15</v>
      </c>
      <c r="O1848" s="115">
        <v>695.15</v>
      </c>
      <c r="P1848" s="115">
        <v>697.75</v>
      </c>
      <c r="Q1848" s="115">
        <v>696.4</v>
      </c>
      <c r="R1848">
        <v>8982</v>
      </c>
    </row>
    <row r="1849" spans="1:18" x14ac:dyDescent="0.25">
      <c r="A1849" s="160">
        <v>44750</v>
      </c>
      <c r="B1849" s="115">
        <v>1236</v>
      </c>
      <c r="C1849" s="115">
        <v>1180.5999999999999</v>
      </c>
      <c r="D1849" s="115">
        <v>1170</v>
      </c>
      <c r="E1849" s="115">
        <v>1236</v>
      </c>
      <c r="F1849" s="115">
        <v>1180.5999999999999</v>
      </c>
      <c r="G1849">
        <v>906</v>
      </c>
      <c r="H1849" s="115"/>
      <c r="I1849" s="115"/>
      <c r="L1849" s="160">
        <v>44727</v>
      </c>
      <c r="M1849" s="115">
        <v>712.45</v>
      </c>
      <c r="N1849" s="115">
        <v>715</v>
      </c>
      <c r="O1849" s="115">
        <v>691</v>
      </c>
      <c r="P1849" s="115">
        <v>691</v>
      </c>
      <c r="Q1849" s="115">
        <v>712.45</v>
      </c>
      <c r="R1849">
        <v>20966</v>
      </c>
    </row>
    <row r="1850" spans="1:18" x14ac:dyDescent="0.25">
      <c r="A1850" s="160">
        <v>44753</v>
      </c>
      <c r="B1850" s="115">
        <v>1222</v>
      </c>
      <c r="C1850" s="115">
        <v>1187</v>
      </c>
      <c r="D1850" s="115">
        <v>1170</v>
      </c>
      <c r="E1850" s="115">
        <v>1188</v>
      </c>
      <c r="F1850" s="115">
        <v>1187</v>
      </c>
      <c r="G1850">
        <v>388</v>
      </c>
      <c r="H1850" s="115"/>
      <c r="I1850" s="115"/>
      <c r="L1850" s="160">
        <v>44728</v>
      </c>
      <c r="M1850" s="115">
        <v>693.75</v>
      </c>
      <c r="N1850" s="115">
        <v>716</v>
      </c>
      <c r="O1850" s="115">
        <v>690.2</v>
      </c>
      <c r="P1850" s="115">
        <v>715</v>
      </c>
      <c r="Q1850" s="115">
        <v>693.75</v>
      </c>
      <c r="R1850">
        <v>15014</v>
      </c>
    </row>
    <row r="1851" spans="1:18" x14ac:dyDescent="0.25">
      <c r="A1851" s="160">
        <v>44754</v>
      </c>
      <c r="B1851" s="115">
        <v>1199</v>
      </c>
      <c r="C1851" s="115">
        <v>1182.75</v>
      </c>
      <c r="D1851" s="115">
        <v>1180</v>
      </c>
      <c r="E1851" s="115">
        <v>1185</v>
      </c>
      <c r="F1851" s="115">
        <v>1182.75</v>
      </c>
      <c r="G1851">
        <v>279</v>
      </c>
      <c r="H1851" s="115"/>
      <c r="I1851" s="115"/>
      <c r="L1851" s="160">
        <v>44729</v>
      </c>
      <c r="M1851" s="115">
        <v>696.2</v>
      </c>
      <c r="N1851" s="115">
        <v>704</v>
      </c>
      <c r="O1851" s="115">
        <v>683.45</v>
      </c>
      <c r="P1851" s="115">
        <v>697.25</v>
      </c>
      <c r="Q1851" s="115">
        <v>696.2</v>
      </c>
      <c r="R1851">
        <v>24531</v>
      </c>
    </row>
    <row r="1852" spans="1:18" x14ac:dyDescent="0.25">
      <c r="A1852" s="160">
        <v>44755</v>
      </c>
      <c r="B1852" s="115">
        <v>1199.95</v>
      </c>
      <c r="C1852" s="115">
        <v>1180.8</v>
      </c>
      <c r="D1852" s="115">
        <v>1175</v>
      </c>
      <c r="E1852" s="115">
        <v>1190</v>
      </c>
      <c r="F1852" s="115">
        <v>1180.8</v>
      </c>
      <c r="G1852">
        <v>519</v>
      </c>
      <c r="H1852" s="115"/>
      <c r="I1852" s="115"/>
      <c r="L1852" s="160">
        <v>44732</v>
      </c>
      <c r="M1852" s="115">
        <v>672.15</v>
      </c>
      <c r="N1852" s="115">
        <v>699.65</v>
      </c>
      <c r="O1852" s="115">
        <v>671</v>
      </c>
      <c r="P1852" s="115">
        <v>699.65</v>
      </c>
      <c r="Q1852" s="115">
        <v>672.15</v>
      </c>
      <c r="R1852">
        <v>13042</v>
      </c>
    </row>
    <row r="1853" spans="1:18" x14ac:dyDescent="0.25">
      <c r="A1853" s="160">
        <v>44756</v>
      </c>
      <c r="B1853" s="115">
        <v>1190</v>
      </c>
      <c r="C1853" s="115">
        <v>1188.95</v>
      </c>
      <c r="D1853" s="115">
        <v>1180</v>
      </c>
      <c r="E1853" s="115">
        <v>1190</v>
      </c>
      <c r="F1853" s="115">
        <v>1188.95</v>
      </c>
      <c r="G1853">
        <v>702</v>
      </c>
      <c r="H1853" s="115"/>
      <c r="I1853" s="115"/>
      <c r="L1853" s="160">
        <v>44733</v>
      </c>
      <c r="M1853" s="115">
        <v>686.6</v>
      </c>
      <c r="N1853" s="115">
        <v>690</v>
      </c>
      <c r="O1853" s="115">
        <v>670</v>
      </c>
      <c r="P1853" s="115">
        <v>675</v>
      </c>
      <c r="Q1853" s="115">
        <v>686.6</v>
      </c>
      <c r="R1853">
        <v>9679</v>
      </c>
    </row>
    <row r="1854" spans="1:18" x14ac:dyDescent="0.25">
      <c r="A1854" s="160">
        <v>44757</v>
      </c>
      <c r="B1854" s="115">
        <v>1200</v>
      </c>
      <c r="C1854" s="115">
        <v>1189.8</v>
      </c>
      <c r="D1854" s="115">
        <v>1162.2</v>
      </c>
      <c r="E1854" s="115">
        <v>1195</v>
      </c>
      <c r="F1854" s="115">
        <v>1189.8</v>
      </c>
      <c r="G1854">
        <v>1283</v>
      </c>
      <c r="H1854" s="115"/>
      <c r="I1854" s="115"/>
      <c r="L1854" s="160">
        <v>44734</v>
      </c>
      <c r="M1854" s="115">
        <v>670.65</v>
      </c>
      <c r="N1854" s="115">
        <v>688.95</v>
      </c>
      <c r="O1854" s="115">
        <v>666.8</v>
      </c>
      <c r="P1854" s="115">
        <v>676.6</v>
      </c>
      <c r="Q1854" s="115">
        <v>670.65</v>
      </c>
      <c r="R1854">
        <v>12376</v>
      </c>
    </row>
    <row r="1855" spans="1:18" x14ac:dyDescent="0.25">
      <c r="A1855" s="160">
        <v>44760</v>
      </c>
      <c r="B1855" s="115">
        <v>1222.5</v>
      </c>
      <c r="C1855" s="115">
        <v>1194.0999999999999</v>
      </c>
      <c r="D1855" s="115">
        <v>1180</v>
      </c>
      <c r="E1855" s="115">
        <v>1180.05</v>
      </c>
      <c r="F1855" s="115">
        <v>1194.0999999999999</v>
      </c>
      <c r="G1855">
        <v>443</v>
      </c>
      <c r="H1855" s="115"/>
      <c r="I1855" s="115"/>
      <c r="L1855" s="160">
        <v>44735</v>
      </c>
      <c r="M1855" s="115">
        <v>694.2</v>
      </c>
      <c r="N1855" s="115">
        <v>699.9</v>
      </c>
      <c r="O1855" s="115">
        <v>675.75</v>
      </c>
      <c r="P1855" s="115">
        <v>675.75</v>
      </c>
      <c r="Q1855" s="115">
        <v>694.2</v>
      </c>
      <c r="R1855">
        <v>17040</v>
      </c>
    </row>
    <row r="1856" spans="1:18" x14ac:dyDescent="0.25">
      <c r="A1856" s="160">
        <v>44761</v>
      </c>
      <c r="B1856" s="115">
        <v>1200</v>
      </c>
      <c r="C1856" s="115">
        <v>1190</v>
      </c>
      <c r="D1856" s="115">
        <v>1189.95</v>
      </c>
      <c r="E1856" s="115">
        <v>1195</v>
      </c>
      <c r="F1856" s="115">
        <v>1190</v>
      </c>
      <c r="G1856">
        <v>882</v>
      </c>
      <c r="H1856" s="115"/>
      <c r="I1856" s="115"/>
      <c r="L1856" s="160">
        <v>44736</v>
      </c>
      <c r="M1856" s="115">
        <v>693.4</v>
      </c>
      <c r="N1856" s="115">
        <v>709.8</v>
      </c>
      <c r="O1856" s="115">
        <v>690.95</v>
      </c>
      <c r="P1856" s="115">
        <v>709.8</v>
      </c>
      <c r="Q1856" s="115">
        <v>693.4</v>
      </c>
      <c r="R1856">
        <v>16948</v>
      </c>
    </row>
    <row r="1857" spans="1:18" x14ac:dyDescent="0.25">
      <c r="A1857" s="160">
        <v>44762</v>
      </c>
      <c r="B1857" s="115">
        <v>1218.8</v>
      </c>
      <c r="C1857" s="115">
        <v>1193</v>
      </c>
      <c r="D1857" s="115">
        <v>1185.25</v>
      </c>
      <c r="E1857" s="115">
        <v>1185.25</v>
      </c>
      <c r="F1857" s="115">
        <v>1193</v>
      </c>
      <c r="G1857">
        <v>987</v>
      </c>
      <c r="H1857" s="115"/>
      <c r="I1857" s="115"/>
      <c r="L1857" s="160">
        <v>44739</v>
      </c>
      <c r="M1857" s="115">
        <v>701.95</v>
      </c>
      <c r="N1857" s="115">
        <v>718</v>
      </c>
      <c r="O1857" s="115">
        <v>697</v>
      </c>
      <c r="P1857" s="115">
        <v>698</v>
      </c>
      <c r="Q1857" s="115">
        <v>701.95</v>
      </c>
      <c r="R1857">
        <v>9745</v>
      </c>
    </row>
    <row r="1858" spans="1:18" x14ac:dyDescent="0.25">
      <c r="A1858" s="160">
        <v>44763</v>
      </c>
      <c r="B1858" s="115">
        <v>1222</v>
      </c>
      <c r="C1858" s="115">
        <v>1196.5999999999999</v>
      </c>
      <c r="D1858" s="115">
        <v>1190.1500000000001</v>
      </c>
      <c r="E1858" s="115">
        <v>1222</v>
      </c>
      <c r="F1858" s="115">
        <v>1196.5999999999999</v>
      </c>
      <c r="G1858">
        <v>446</v>
      </c>
      <c r="H1858" s="115"/>
      <c r="I1858" s="115"/>
      <c r="L1858" s="160">
        <v>44740</v>
      </c>
      <c r="M1858" s="115">
        <v>704.5</v>
      </c>
      <c r="N1858" s="115">
        <v>709.95</v>
      </c>
      <c r="O1858" s="115">
        <v>695</v>
      </c>
      <c r="P1858" s="115">
        <v>705.5</v>
      </c>
      <c r="Q1858" s="115">
        <v>704.5</v>
      </c>
      <c r="R1858">
        <v>6790</v>
      </c>
    </row>
    <row r="1859" spans="1:18" x14ac:dyDescent="0.25">
      <c r="A1859" s="160">
        <v>44764</v>
      </c>
      <c r="B1859" s="115">
        <v>1214.7</v>
      </c>
      <c r="C1859" s="115">
        <v>1194.9000000000001</v>
      </c>
      <c r="D1859" s="115">
        <v>1192.25</v>
      </c>
      <c r="E1859" s="115">
        <v>1200</v>
      </c>
      <c r="F1859" s="115">
        <v>1194.9000000000001</v>
      </c>
      <c r="G1859">
        <v>575</v>
      </c>
      <c r="H1859" s="115"/>
      <c r="I1859" s="115"/>
      <c r="L1859" s="160">
        <v>44741</v>
      </c>
      <c r="M1859" s="115">
        <v>696.2</v>
      </c>
      <c r="N1859" s="115">
        <v>708</v>
      </c>
      <c r="O1859" s="115">
        <v>693.05</v>
      </c>
      <c r="P1859" s="115">
        <v>705</v>
      </c>
      <c r="Q1859" s="115">
        <v>696.2</v>
      </c>
      <c r="R1859">
        <v>16715</v>
      </c>
    </row>
    <row r="1860" spans="1:18" x14ac:dyDescent="0.25">
      <c r="A1860" s="160">
        <v>44767</v>
      </c>
      <c r="B1860" s="115">
        <v>1235</v>
      </c>
      <c r="C1860" s="115">
        <v>1227.7</v>
      </c>
      <c r="D1860" s="115">
        <v>1200</v>
      </c>
      <c r="E1860" s="115">
        <v>1205</v>
      </c>
      <c r="F1860" s="115">
        <v>1227.7</v>
      </c>
      <c r="G1860">
        <v>2934</v>
      </c>
      <c r="H1860" s="115"/>
      <c r="I1860" s="115"/>
      <c r="L1860" s="160">
        <v>44742</v>
      </c>
      <c r="M1860" s="115">
        <v>695</v>
      </c>
      <c r="N1860" s="115">
        <v>704.9</v>
      </c>
      <c r="O1860" s="115">
        <v>688</v>
      </c>
      <c r="P1860" s="115">
        <v>688</v>
      </c>
      <c r="Q1860" s="115">
        <v>695</v>
      </c>
      <c r="R1860">
        <v>15981</v>
      </c>
    </row>
    <row r="1861" spans="1:18" x14ac:dyDescent="0.25">
      <c r="A1861" s="160">
        <v>44768</v>
      </c>
      <c r="B1861" s="115">
        <v>1239.8</v>
      </c>
      <c r="C1861" s="115">
        <v>1219.4000000000001</v>
      </c>
      <c r="D1861" s="115">
        <v>1214</v>
      </c>
      <c r="E1861" s="115">
        <v>1225</v>
      </c>
      <c r="F1861" s="115">
        <v>1219.4000000000001</v>
      </c>
      <c r="G1861">
        <v>1008</v>
      </c>
      <c r="H1861" s="115"/>
      <c r="I1861" s="115"/>
      <c r="L1861" s="160">
        <v>44743</v>
      </c>
      <c r="M1861" s="115">
        <v>688.4</v>
      </c>
      <c r="N1861" s="115">
        <v>698.45</v>
      </c>
      <c r="O1861" s="115">
        <v>686.05</v>
      </c>
      <c r="P1861" s="115">
        <v>697.95</v>
      </c>
      <c r="Q1861" s="115">
        <v>688.4</v>
      </c>
      <c r="R1861">
        <v>7741</v>
      </c>
    </row>
    <row r="1862" spans="1:18" x14ac:dyDescent="0.25">
      <c r="A1862" s="160">
        <v>44769</v>
      </c>
      <c r="B1862" s="115">
        <v>1225</v>
      </c>
      <c r="C1862" s="115">
        <v>1200.25</v>
      </c>
      <c r="D1862" s="115">
        <v>1200</v>
      </c>
      <c r="E1862" s="115">
        <v>1205</v>
      </c>
      <c r="F1862" s="115">
        <v>1200.25</v>
      </c>
      <c r="G1862">
        <v>1209</v>
      </c>
      <c r="H1862" s="115"/>
      <c r="I1862" s="115"/>
      <c r="L1862" s="160">
        <v>44746</v>
      </c>
      <c r="M1862" s="115">
        <v>689.25</v>
      </c>
      <c r="N1862" s="115">
        <v>697</v>
      </c>
      <c r="O1862" s="115">
        <v>686.2</v>
      </c>
      <c r="P1862" s="115">
        <v>688.4</v>
      </c>
      <c r="Q1862" s="115">
        <v>689.25</v>
      </c>
      <c r="R1862">
        <v>9412</v>
      </c>
    </row>
    <row r="1863" spans="1:18" x14ac:dyDescent="0.25">
      <c r="A1863" s="160">
        <v>44770</v>
      </c>
      <c r="B1863" s="115">
        <v>1229</v>
      </c>
      <c r="C1863" s="115">
        <v>1197.25</v>
      </c>
      <c r="D1863" s="115">
        <v>1171</v>
      </c>
      <c r="E1863" s="115">
        <v>1171</v>
      </c>
      <c r="F1863" s="115">
        <v>1197.25</v>
      </c>
      <c r="G1863">
        <v>585</v>
      </c>
      <c r="H1863" s="115"/>
      <c r="I1863" s="115"/>
      <c r="L1863" s="160">
        <v>44747</v>
      </c>
      <c r="M1863" s="115">
        <v>694.8</v>
      </c>
      <c r="N1863" s="115">
        <v>704.85</v>
      </c>
      <c r="O1863" s="115">
        <v>689.6</v>
      </c>
      <c r="P1863" s="115">
        <v>689.6</v>
      </c>
      <c r="Q1863" s="115">
        <v>694.8</v>
      </c>
      <c r="R1863">
        <v>14001</v>
      </c>
    </row>
    <row r="1864" spans="1:18" x14ac:dyDescent="0.25">
      <c r="A1864" s="160">
        <v>44771</v>
      </c>
      <c r="B1864" s="115">
        <v>1236</v>
      </c>
      <c r="C1864" s="115">
        <v>1214.4000000000001</v>
      </c>
      <c r="D1864" s="115">
        <v>1205.05</v>
      </c>
      <c r="E1864" s="115">
        <v>1214.8</v>
      </c>
      <c r="F1864" s="115">
        <v>1214.4000000000001</v>
      </c>
      <c r="G1864">
        <v>1189</v>
      </c>
      <c r="H1864" s="115"/>
      <c r="I1864" s="115"/>
      <c r="L1864" s="160">
        <v>44748</v>
      </c>
      <c r="M1864" s="115">
        <v>689.9</v>
      </c>
      <c r="N1864" s="115">
        <v>703.75</v>
      </c>
      <c r="O1864" s="115">
        <v>685.5</v>
      </c>
      <c r="P1864" s="115">
        <v>694.8</v>
      </c>
      <c r="Q1864" s="115">
        <v>689.9</v>
      </c>
      <c r="R1864">
        <v>23236</v>
      </c>
    </row>
    <row r="1865" spans="1:18" x14ac:dyDescent="0.25">
      <c r="A1865" s="160">
        <v>44774</v>
      </c>
      <c r="B1865" s="115">
        <v>1268.75</v>
      </c>
      <c r="C1865" s="115">
        <v>1255.95</v>
      </c>
      <c r="D1865" s="115">
        <v>1220.05</v>
      </c>
      <c r="E1865" s="115">
        <v>1230</v>
      </c>
      <c r="F1865" s="115">
        <v>1255.95</v>
      </c>
      <c r="G1865">
        <v>3955</v>
      </c>
      <c r="H1865" s="115"/>
      <c r="I1865" s="115"/>
      <c r="L1865" s="160">
        <v>44749</v>
      </c>
      <c r="M1865" s="115">
        <v>696.65</v>
      </c>
      <c r="N1865" s="115">
        <v>701.8</v>
      </c>
      <c r="O1865" s="115">
        <v>691</v>
      </c>
      <c r="P1865" s="115">
        <v>693.35</v>
      </c>
      <c r="Q1865" s="115">
        <v>696.65</v>
      </c>
      <c r="R1865">
        <v>10813</v>
      </c>
    </row>
    <row r="1866" spans="1:18" x14ac:dyDescent="0.25">
      <c r="A1866" s="160">
        <v>44775</v>
      </c>
      <c r="B1866" s="115">
        <v>1299</v>
      </c>
      <c r="C1866" s="115">
        <v>1269</v>
      </c>
      <c r="D1866" s="115">
        <v>1256.2</v>
      </c>
      <c r="E1866" s="115">
        <v>1299</v>
      </c>
      <c r="F1866" s="115">
        <v>1269</v>
      </c>
      <c r="G1866">
        <v>959</v>
      </c>
      <c r="H1866" s="115"/>
      <c r="I1866" s="115"/>
      <c r="L1866" s="160">
        <v>44750</v>
      </c>
      <c r="M1866" s="115">
        <v>701.5</v>
      </c>
      <c r="N1866" s="115">
        <v>710</v>
      </c>
      <c r="O1866" s="115">
        <v>696.05</v>
      </c>
      <c r="P1866" s="115">
        <v>696.95</v>
      </c>
      <c r="Q1866" s="115">
        <v>701.5</v>
      </c>
      <c r="R1866">
        <v>17568</v>
      </c>
    </row>
    <row r="1867" spans="1:18" x14ac:dyDescent="0.25">
      <c r="A1867" s="160">
        <v>44776</v>
      </c>
      <c r="B1867" s="115">
        <v>1185</v>
      </c>
      <c r="C1867" s="115">
        <v>1099.0999999999999</v>
      </c>
      <c r="D1867" s="115">
        <v>1090.1500000000001</v>
      </c>
      <c r="E1867" s="115">
        <v>1184</v>
      </c>
      <c r="F1867" s="115">
        <v>1099.0999999999999</v>
      </c>
      <c r="G1867">
        <v>10170</v>
      </c>
      <c r="H1867" s="115"/>
      <c r="I1867" s="115"/>
      <c r="L1867" s="160">
        <v>44753</v>
      </c>
      <c r="M1867" s="115">
        <v>703.25</v>
      </c>
      <c r="N1867" s="115">
        <v>709.85</v>
      </c>
      <c r="O1867" s="115">
        <v>698.15</v>
      </c>
      <c r="P1867" s="115">
        <v>705.05</v>
      </c>
      <c r="Q1867" s="115">
        <v>703.25</v>
      </c>
      <c r="R1867">
        <v>10960</v>
      </c>
    </row>
    <row r="1868" spans="1:18" x14ac:dyDescent="0.25">
      <c r="A1868" s="160">
        <v>44777</v>
      </c>
      <c r="B1868" s="115">
        <v>1118</v>
      </c>
      <c r="C1868" s="115">
        <v>1068.75</v>
      </c>
      <c r="D1868" s="115">
        <v>1055.8499999999999</v>
      </c>
      <c r="E1868" s="115">
        <v>1104.7</v>
      </c>
      <c r="F1868" s="115">
        <v>1068.75</v>
      </c>
      <c r="G1868">
        <v>4262</v>
      </c>
      <c r="H1868" s="115"/>
      <c r="I1868" s="115"/>
      <c r="L1868" s="160">
        <v>44754</v>
      </c>
      <c r="M1868" s="115">
        <v>702.35</v>
      </c>
      <c r="N1868" s="115">
        <v>709</v>
      </c>
      <c r="O1868" s="115">
        <v>695</v>
      </c>
      <c r="P1868" s="115">
        <v>703.65</v>
      </c>
      <c r="Q1868" s="115">
        <v>702.35</v>
      </c>
      <c r="R1868">
        <v>16002</v>
      </c>
    </row>
    <row r="1869" spans="1:18" x14ac:dyDescent="0.25">
      <c r="A1869" s="160">
        <v>44778</v>
      </c>
      <c r="B1869" s="115">
        <v>1105</v>
      </c>
      <c r="C1869" s="115">
        <v>1101.95</v>
      </c>
      <c r="D1869" s="115">
        <v>1050</v>
      </c>
      <c r="E1869" s="115">
        <v>1070</v>
      </c>
      <c r="F1869" s="115">
        <v>1101.95</v>
      </c>
      <c r="G1869">
        <v>1052</v>
      </c>
      <c r="H1869" s="115"/>
      <c r="I1869" s="115"/>
      <c r="L1869" s="160">
        <v>44755</v>
      </c>
      <c r="M1869" s="115">
        <v>699</v>
      </c>
      <c r="N1869" s="115">
        <v>707.6</v>
      </c>
      <c r="O1869" s="115">
        <v>694.95</v>
      </c>
      <c r="P1869" s="115">
        <v>702.35</v>
      </c>
      <c r="Q1869" s="115">
        <v>699</v>
      </c>
      <c r="R1869">
        <v>7011</v>
      </c>
    </row>
    <row r="1870" spans="1:18" x14ac:dyDescent="0.25">
      <c r="A1870" s="160">
        <v>44781</v>
      </c>
      <c r="B1870" s="115">
        <v>1120.9000000000001</v>
      </c>
      <c r="C1870" s="115">
        <v>1097.8</v>
      </c>
      <c r="D1870" s="115">
        <v>1090.05</v>
      </c>
      <c r="E1870" s="115">
        <v>1120.9000000000001</v>
      </c>
      <c r="F1870" s="115">
        <v>1097.8</v>
      </c>
      <c r="G1870">
        <v>451</v>
      </c>
      <c r="H1870" s="115"/>
      <c r="I1870" s="115"/>
      <c r="L1870" s="160">
        <v>44756</v>
      </c>
      <c r="M1870" s="115">
        <v>689</v>
      </c>
      <c r="N1870" s="115">
        <v>704</v>
      </c>
      <c r="O1870" s="115">
        <v>687.2</v>
      </c>
      <c r="P1870" s="115">
        <v>699.2</v>
      </c>
      <c r="Q1870" s="115">
        <v>689</v>
      </c>
      <c r="R1870">
        <v>14112</v>
      </c>
    </row>
    <row r="1871" spans="1:18" x14ac:dyDescent="0.25">
      <c r="A1871" s="160">
        <v>44783</v>
      </c>
      <c r="B1871" s="115">
        <v>1124</v>
      </c>
      <c r="C1871" s="115">
        <v>1082.9000000000001</v>
      </c>
      <c r="D1871" s="115">
        <v>1043.05</v>
      </c>
      <c r="E1871" s="115">
        <v>1095</v>
      </c>
      <c r="F1871" s="115">
        <v>1082.9000000000001</v>
      </c>
      <c r="G1871">
        <v>1928</v>
      </c>
      <c r="H1871" s="115"/>
      <c r="I1871" s="115"/>
      <c r="L1871" s="160">
        <v>44757</v>
      </c>
      <c r="M1871" s="115">
        <v>698.2</v>
      </c>
      <c r="N1871" s="115">
        <v>700.65</v>
      </c>
      <c r="O1871" s="115">
        <v>691</v>
      </c>
      <c r="P1871" s="115">
        <v>692.45</v>
      </c>
      <c r="Q1871" s="115">
        <v>698.2</v>
      </c>
      <c r="R1871">
        <v>8920</v>
      </c>
    </row>
    <row r="1872" spans="1:18" x14ac:dyDescent="0.25">
      <c r="A1872" s="160">
        <v>44784</v>
      </c>
      <c r="B1872" s="115">
        <v>1100</v>
      </c>
      <c r="C1872" s="115">
        <v>1097.8499999999999</v>
      </c>
      <c r="D1872" s="115">
        <v>1081</v>
      </c>
      <c r="E1872" s="115">
        <v>1099.9000000000001</v>
      </c>
      <c r="F1872" s="115">
        <v>1097.8499999999999</v>
      </c>
      <c r="G1872">
        <v>317</v>
      </c>
      <c r="H1872" s="115"/>
      <c r="I1872" s="115"/>
      <c r="L1872" s="160">
        <v>44760</v>
      </c>
      <c r="M1872" s="115">
        <v>698.55</v>
      </c>
      <c r="N1872" s="115">
        <v>705</v>
      </c>
      <c r="O1872" s="115">
        <v>695.7</v>
      </c>
      <c r="P1872" s="115">
        <v>701.7</v>
      </c>
      <c r="Q1872" s="115">
        <v>698.55</v>
      </c>
      <c r="R1872">
        <v>6959</v>
      </c>
    </row>
    <row r="1873" spans="1:18" x14ac:dyDescent="0.25">
      <c r="A1873" s="160">
        <v>44785</v>
      </c>
      <c r="B1873" s="115">
        <v>1100</v>
      </c>
      <c r="C1873" s="115">
        <v>1089.25</v>
      </c>
      <c r="D1873" s="115">
        <v>1081</v>
      </c>
      <c r="E1873" s="115">
        <v>1099</v>
      </c>
      <c r="F1873" s="115">
        <v>1089.25</v>
      </c>
      <c r="G1873">
        <v>518</v>
      </c>
      <c r="H1873" s="115"/>
      <c r="I1873" s="115"/>
      <c r="L1873" s="160">
        <v>44761</v>
      </c>
      <c r="M1873" s="115">
        <v>700.25</v>
      </c>
      <c r="N1873" s="115">
        <v>704.9</v>
      </c>
      <c r="O1873" s="115">
        <v>694.05</v>
      </c>
      <c r="P1873" s="115">
        <v>702</v>
      </c>
      <c r="Q1873" s="115">
        <v>700.25</v>
      </c>
      <c r="R1873">
        <v>15087</v>
      </c>
    </row>
    <row r="1874" spans="1:18" x14ac:dyDescent="0.25">
      <c r="A1874" s="160">
        <v>44789</v>
      </c>
      <c r="B1874" s="115">
        <v>1117.7</v>
      </c>
      <c r="C1874" s="115">
        <v>1099.6500000000001</v>
      </c>
      <c r="D1874" s="115">
        <v>1064</v>
      </c>
      <c r="E1874" s="115">
        <v>1100</v>
      </c>
      <c r="F1874" s="115">
        <v>1099.6500000000001</v>
      </c>
      <c r="G1874">
        <v>1688</v>
      </c>
      <c r="H1874" s="115"/>
      <c r="I1874" s="115"/>
      <c r="L1874" s="160">
        <v>44762</v>
      </c>
      <c r="M1874" s="115">
        <v>702.75</v>
      </c>
      <c r="N1874" s="115">
        <v>707</v>
      </c>
      <c r="O1874" s="115">
        <v>698.2</v>
      </c>
      <c r="P1874" s="115">
        <v>707</v>
      </c>
      <c r="Q1874" s="115">
        <v>702.75</v>
      </c>
      <c r="R1874">
        <v>16403</v>
      </c>
    </row>
    <row r="1875" spans="1:18" x14ac:dyDescent="0.25">
      <c r="A1875" s="160">
        <v>44790</v>
      </c>
      <c r="B1875" s="115">
        <v>1135</v>
      </c>
      <c r="C1875" s="115">
        <v>1102</v>
      </c>
      <c r="D1875" s="115">
        <v>1099</v>
      </c>
      <c r="E1875" s="115">
        <v>1099.6500000000001</v>
      </c>
      <c r="F1875" s="115">
        <v>1102</v>
      </c>
      <c r="G1875">
        <v>2642</v>
      </c>
      <c r="H1875" s="115"/>
      <c r="I1875" s="115"/>
      <c r="L1875" s="160">
        <v>44763</v>
      </c>
      <c r="M1875" s="115">
        <v>703.2</v>
      </c>
      <c r="N1875" s="115">
        <v>706</v>
      </c>
      <c r="O1875" s="115">
        <v>699.5</v>
      </c>
      <c r="P1875" s="115">
        <v>701.9</v>
      </c>
      <c r="Q1875" s="115">
        <v>703.2</v>
      </c>
      <c r="R1875">
        <v>24565</v>
      </c>
    </row>
    <row r="1876" spans="1:18" x14ac:dyDescent="0.25">
      <c r="A1876" s="160">
        <v>44791</v>
      </c>
      <c r="B1876" s="115">
        <v>1191</v>
      </c>
      <c r="C1876" s="115">
        <v>1166.9000000000001</v>
      </c>
      <c r="D1876" s="115">
        <v>1106.9000000000001</v>
      </c>
      <c r="E1876" s="115">
        <v>1124</v>
      </c>
      <c r="F1876" s="115">
        <v>1166.9000000000001</v>
      </c>
      <c r="G1876">
        <v>5407</v>
      </c>
      <c r="H1876" s="115"/>
      <c r="I1876" s="115"/>
      <c r="L1876" s="160">
        <v>44764</v>
      </c>
      <c r="M1876" s="115">
        <v>701.9</v>
      </c>
      <c r="N1876" s="115">
        <v>709.75</v>
      </c>
      <c r="O1876" s="115">
        <v>699</v>
      </c>
      <c r="P1876" s="115">
        <v>703.5</v>
      </c>
      <c r="Q1876" s="115">
        <v>701.9</v>
      </c>
      <c r="R1876">
        <v>13088</v>
      </c>
    </row>
    <row r="1877" spans="1:18" x14ac:dyDescent="0.25">
      <c r="A1877" s="160">
        <v>44792</v>
      </c>
      <c r="B1877" s="115">
        <v>1200</v>
      </c>
      <c r="C1877" s="115">
        <v>1173.9000000000001</v>
      </c>
      <c r="D1877" s="115">
        <v>1167.05</v>
      </c>
      <c r="E1877" s="115">
        <v>1200</v>
      </c>
      <c r="F1877" s="115">
        <v>1173.9000000000001</v>
      </c>
      <c r="G1877">
        <v>1540</v>
      </c>
      <c r="H1877" s="115"/>
      <c r="I1877" s="115"/>
      <c r="L1877" s="160">
        <v>44767</v>
      </c>
      <c r="M1877" s="115">
        <v>697.05</v>
      </c>
      <c r="N1877" s="115">
        <v>705</v>
      </c>
      <c r="O1877" s="115">
        <v>692.05</v>
      </c>
      <c r="P1877" s="115">
        <v>705</v>
      </c>
      <c r="Q1877" s="115">
        <v>697.05</v>
      </c>
      <c r="R1877">
        <v>12641</v>
      </c>
    </row>
    <row r="1878" spans="1:18" x14ac:dyDescent="0.25">
      <c r="A1878" s="160">
        <v>44795</v>
      </c>
      <c r="B1878" s="115">
        <v>1200</v>
      </c>
      <c r="C1878" s="115">
        <v>1158.9000000000001</v>
      </c>
      <c r="D1878" s="115">
        <v>1140.05</v>
      </c>
      <c r="E1878" s="115">
        <v>1200</v>
      </c>
      <c r="F1878" s="115">
        <v>1158.9000000000001</v>
      </c>
      <c r="G1878">
        <v>1063</v>
      </c>
      <c r="H1878" s="115"/>
      <c r="I1878" s="115"/>
      <c r="L1878" s="160">
        <v>44768</v>
      </c>
      <c r="M1878" s="115">
        <v>685.75</v>
      </c>
      <c r="N1878" s="115">
        <v>700.55</v>
      </c>
      <c r="O1878" s="115">
        <v>685</v>
      </c>
      <c r="P1878" s="115">
        <v>697.05</v>
      </c>
      <c r="Q1878" s="115">
        <v>685.75</v>
      </c>
      <c r="R1878">
        <v>13468</v>
      </c>
    </row>
    <row r="1879" spans="1:18" x14ac:dyDescent="0.25">
      <c r="A1879" s="160">
        <v>44796</v>
      </c>
      <c r="B1879" s="115">
        <v>1199</v>
      </c>
      <c r="C1879" s="115">
        <v>1153.05</v>
      </c>
      <c r="D1879" s="115">
        <v>1130.05</v>
      </c>
      <c r="E1879" s="115">
        <v>1130.05</v>
      </c>
      <c r="F1879" s="115">
        <v>1153.05</v>
      </c>
      <c r="G1879">
        <v>6842</v>
      </c>
      <c r="H1879" s="115"/>
      <c r="I1879" s="115"/>
      <c r="L1879" s="160">
        <v>44769</v>
      </c>
      <c r="M1879" s="115">
        <v>685.3</v>
      </c>
      <c r="N1879" s="115">
        <v>692</v>
      </c>
      <c r="O1879" s="115">
        <v>680</v>
      </c>
      <c r="P1879" s="115">
        <v>680</v>
      </c>
      <c r="Q1879" s="115">
        <v>685.3</v>
      </c>
      <c r="R1879">
        <v>7911</v>
      </c>
    </row>
    <row r="1880" spans="1:18" x14ac:dyDescent="0.25">
      <c r="A1880" s="160">
        <v>44797</v>
      </c>
      <c r="B1880" s="115">
        <v>1282</v>
      </c>
      <c r="C1880" s="115">
        <v>1247.5</v>
      </c>
      <c r="D1880" s="115">
        <v>1175.05</v>
      </c>
      <c r="E1880" s="115">
        <v>1188</v>
      </c>
      <c r="F1880" s="115">
        <v>1247.5</v>
      </c>
      <c r="G1880">
        <v>3841</v>
      </c>
      <c r="H1880" s="115"/>
      <c r="I1880" s="115"/>
      <c r="L1880" s="160">
        <v>44770</v>
      </c>
      <c r="M1880" s="115">
        <v>691.4</v>
      </c>
      <c r="N1880" s="115">
        <v>695.65</v>
      </c>
      <c r="O1880" s="115">
        <v>686.6</v>
      </c>
      <c r="P1880" s="115">
        <v>688.75</v>
      </c>
      <c r="Q1880" s="115">
        <v>691.4</v>
      </c>
      <c r="R1880">
        <v>6147</v>
      </c>
    </row>
    <row r="1881" spans="1:18" x14ac:dyDescent="0.25">
      <c r="A1881" s="160">
        <v>44798</v>
      </c>
      <c r="B1881" s="115">
        <v>1292</v>
      </c>
      <c r="C1881" s="115">
        <v>1262.0999999999999</v>
      </c>
      <c r="D1881" s="115">
        <v>1211.5</v>
      </c>
      <c r="E1881" s="115">
        <v>1292</v>
      </c>
      <c r="F1881" s="115">
        <v>1262.0999999999999</v>
      </c>
      <c r="G1881">
        <v>3698</v>
      </c>
      <c r="H1881" s="115"/>
      <c r="I1881" s="115"/>
      <c r="L1881" s="160">
        <v>44771</v>
      </c>
      <c r="M1881" s="115">
        <v>693.3</v>
      </c>
      <c r="N1881" s="115">
        <v>698</v>
      </c>
      <c r="O1881" s="115">
        <v>691.6</v>
      </c>
      <c r="P1881" s="115">
        <v>694.65</v>
      </c>
      <c r="Q1881" s="115">
        <v>693.3</v>
      </c>
      <c r="R1881">
        <v>8430</v>
      </c>
    </row>
    <row r="1882" spans="1:18" x14ac:dyDescent="0.25">
      <c r="A1882" s="160">
        <v>44799</v>
      </c>
      <c r="B1882" s="115">
        <v>1300</v>
      </c>
      <c r="C1882" s="115">
        <v>1262.8</v>
      </c>
      <c r="D1882" s="115">
        <v>1245</v>
      </c>
      <c r="E1882" s="115">
        <v>1297</v>
      </c>
      <c r="F1882" s="115">
        <v>1262.8</v>
      </c>
      <c r="G1882">
        <v>1660</v>
      </c>
      <c r="H1882" s="115"/>
      <c r="I1882" s="115"/>
      <c r="L1882" s="160">
        <v>44774</v>
      </c>
      <c r="M1882" s="115">
        <v>707.45</v>
      </c>
      <c r="N1882" s="115">
        <v>714.65</v>
      </c>
      <c r="O1882" s="115">
        <v>694.5</v>
      </c>
      <c r="P1882" s="115">
        <v>695</v>
      </c>
      <c r="Q1882" s="115">
        <v>707.45</v>
      </c>
      <c r="R1882">
        <v>36078</v>
      </c>
    </row>
    <row r="1883" spans="1:18" x14ac:dyDescent="0.25">
      <c r="A1883" s="160">
        <v>44802</v>
      </c>
      <c r="B1883" s="115">
        <v>1276</v>
      </c>
      <c r="C1883" s="115">
        <v>1264.7</v>
      </c>
      <c r="D1883" s="115">
        <v>1240.05</v>
      </c>
      <c r="E1883" s="115">
        <v>1240.05</v>
      </c>
      <c r="F1883" s="115">
        <v>1264.7</v>
      </c>
      <c r="G1883">
        <v>580</v>
      </c>
      <c r="H1883" s="115"/>
      <c r="I1883" s="115"/>
      <c r="L1883" s="160">
        <v>44775</v>
      </c>
      <c r="M1883" s="115">
        <v>697</v>
      </c>
      <c r="N1883" s="115">
        <v>724.7</v>
      </c>
      <c r="O1883" s="115">
        <v>687.5</v>
      </c>
      <c r="P1883" s="115">
        <v>707.45</v>
      </c>
      <c r="Q1883" s="115">
        <v>697</v>
      </c>
      <c r="R1883">
        <v>96544</v>
      </c>
    </row>
    <row r="1884" spans="1:18" x14ac:dyDescent="0.25">
      <c r="A1884" s="160">
        <v>44803</v>
      </c>
      <c r="B1884" s="115">
        <v>1308</v>
      </c>
      <c r="C1884" s="115">
        <v>1287</v>
      </c>
      <c r="D1884" s="115">
        <v>1252.8499999999999</v>
      </c>
      <c r="E1884" s="115">
        <v>1273.0999999999999</v>
      </c>
      <c r="F1884" s="115">
        <v>1287</v>
      </c>
      <c r="G1884">
        <v>3107</v>
      </c>
      <c r="H1884" s="115"/>
      <c r="I1884" s="115"/>
      <c r="L1884" s="160">
        <v>44776</v>
      </c>
      <c r="M1884" s="115">
        <v>702.1</v>
      </c>
      <c r="N1884" s="115">
        <v>704</v>
      </c>
      <c r="O1884" s="115">
        <v>686.75</v>
      </c>
      <c r="P1884" s="115">
        <v>699.1</v>
      </c>
      <c r="Q1884" s="115">
        <v>702.1</v>
      </c>
      <c r="R1884">
        <v>32850</v>
      </c>
    </row>
    <row r="1885" spans="1:18" x14ac:dyDescent="0.25">
      <c r="A1885" s="160">
        <v>44805</v>
      </c>
      <c r="B1885" s="115">
        <v>1309</v>
      </c>
      <c r="C1885" s="115">
        <v>1283.95</v>
      </c>
      <c r="D1885" s="115">
        <v>1253</v>
      </c>
      <c r="E1885" s="115">
        <v>1253</v>
      </c>
      <c r="F1885" s="115">
        <v>1283.95</v>
      </c>
      <c r="G1885">
        <v>2207</v>
      </c>
      <c r="H1885" s="115"/>
      <c r="I1885" s="115"/>
      <c r="L1885" s="160">
        <v>44777</v>
      </c>
      <c r="M1885" s="115">
        <v>691.8</v>
      </c>
      <c r="N1885" s="115">
        <v>710</v>
      </c>
      <c r="O1885" s="115">
        <v>690</v>
      </c>
      <c r="P1885" s="115">
        <v>710</v>
      </c>
      <c r="Q1885" s="115">
        <v>691.8</v>
      </c>
      <c r="R1885">
        <v>24698</v>
      </c>
    </row>
    <row r="1886" spans="1:18" x14ac:dyDescent="0.25">
      <c r="A1886" s="160">
        <v>44806</v>
      </c>
      <c r="B1886" s="115">
        <v>1310</v>
      </c>
      <c r="C1886" s="115">
        <v>1300.5999999999999</v>
      </c>
      <c r="D1886" s="115">
        <v>1290.05</v>
      </c>
      <c r="E1886" s="115">
        <v>1295</v>
      </c>
      <c r="F1886" s="115">
        <v>1300.5999999999999</v>
      </c>
      <c r="G1886">
        <v>1582</v>
      </c>
      <c r="H1886" s="115"/>
      <c r="I1886" s="115"/>
      <c r="L1886" s="160">
        <v>44778</v>
      </c>
      <c r="M1886" s="115">
        <v>692.15</v>
      </c>
      <c r="N1886" s="115">
        <v>704.9</v>
      </c>
      <c r="O1886" s="115">
        <v>685.1</v>
      </c>
      <c r="P1886" s="115">
        <v>704.9</v>
      </c>
      <c r="Q1886" s="115">
        <v>692.15</v>
      </c>
      <c r="R1886">
        <v>16178</v>
      </c>
    </row>
    <row r="1887" spans="1:18" x14ac:dyDescent="0.25">
      <c r="A1887" s="160">
        <v>44809</v>
      </c>
      <c r="B1887" s="115">
        <v>1388</v>
      </c>
      <c r="C1887" s="115">
        <v>1355.7</v>
      </c>
      <c r="D1887" s="115">
        <v>1301</v>
      </c>
      <c r="E1887" s="115">
        <v>1333</v>
      </c>
      <c r="F1887" s="115">
        <v>1355.7</v>
      </c>
      <c r="G1887">
        <v>7295</v>
      </c>
      <c r="H1887" s="115"/>
      <c r="I1887" s="115"/>
      <c r="L1887" s="160">
        <v>44781</v>
      </c>
      <c r="M1887" s="115">
        <v>686.4</v>
      </c>
      <c r="N1887" s="115">
        <v>704</v>
      </c>
      <c r="O1887" s="115">
        <v>684</v>
      </c>
      <c r="P1887" s="115">
        <v>704</v>
      </c>
      <c r="Q1887" s="115">
        <v>686.4</v>
      </c>
      <c r="R1887">
        <v>29755</v>
      </c>
    </row>
    <row r="1888" spans="1:18" x14ac:dyDescent="0.25">
      <c r="A1888" s="160">
        <v>44810</v>
      </c>
      <c r="B1888" s="115">
        <v>1434</v>
      </c>
      <c r="C1888" s="115">
        <v>1413.75</v>
      </c>
      <c r="D1888" s="115">
        <v>1360</v>
      </c>
      <c r="E1888" s="115">
        <v>1400</v>
      </c>
      <c r="F1888" s="115">
        <v>1413.75</v>
      </c>
      <c r="G1888">
        <v>3717</v>
      </c>
      <c r="H1888" s="115"/>
      <c r="I1888" s="115"/>
      <c r="L1888" s="160">
        <v>44783</v>
      </c>
      <c r="M1888" s="115">
        <v>693.3</v>
      </c>
      <c r="N1888" s="115">
        <v>703</v>
      </c>
      <c r="O1888" s="115">
        <v>687.5</v>
      </c>
      <c r="P1888" s="115">
        <v>690</v>
      </c>
      <c r="Q1888" s="115">
        <v>693.3</v>
      </c>
      <c r="R1888">
        <v>22196</v>
      </c>
    </row>
    <row r="1889" spans="1:18" x14ac:dyDescent="0.25">
      <c r="A1889" s="160">
        <v>44811</v>
      </c>
      <c r="B1889" s="115">
        <v>1438</v>
      </c>
      <c r="C1889" s="115">
        <v>1391.65</v>
      </c>
      <c r="D1889" s="115">
        <v>1366.05</v>
      </c>
      <c r="E1889" s="115">
        <v>1438</v>
      </c>
      <c r="F1889" s="115">
        <v>1391.65</v>
      </c>
      <c r="G1889">
        <v>2866</v>
      </c>
      <c r="H1889" s="115"/>
      <c r="I1889" s="115"/>
      <c r="L1889" s="160">
        <v>44784</v>
      </c>
      <c r="M1889" s="115">
        <v>685.8</v>
      </c>
      <c r="N1889" s="115">
        <v>698.3</v>
      </c>
      <c r="O1889" s="115">
        <v>680</v>
      </c>
      <c r="P1889" s="115">
        <v>694.75</v>
      </c>
      <c r="Q1889" s="115">
        <v>685.8</v>
      </c>
      <c r="R1889">
        <v>13473</v>
      </c>
    </row>
    <row r="1890" spans="1:18" x14ac:dyDescent="0.25">
      <c r="A1890" s="160">
        <v>44812</v>
      </c>
      <c r="B1890" s="115">
        <v>1431.95</v>
      </c>
      <c r="C1890" s="115">
        <v>1398.5</v>
      </c>
      <c r="D1890" s="115">
        <v>1374.05</v>
      </c>
      <c r="E1890" s="115">
        <v>1431.95</v>
      </c>
      <c r="F1890" s="115">
        <v>1398.5</v>
      </c>
      <c r="G1890">
        <v>1369</v>
      </c>
      <c r="H1890" s="115"/>
      <c r="I1890" s="115"/>
      <c r="L1890" s="160">
        <v>44785</v>
      </c>
      <c r="M1890" s="115">
        <v>690.9</v>
      </c>
      <c r="N1890" s="115">
        <v>692.95</v>
      </c>
      <c r="O1890" s="115">
        <v>686.45</v>
      </c>
      <c r="P1890" s="115">
        <v>688.45</v>
      </c>
      <c r="Q1890" s="115">
        <v>690.9</v>
      </c>
      <c r="R1890">
        <v>9234</v>
      </c>
    </row>
    <row r="1891" spans="1:18" x14ac:dyDescent="0.25">
      <c r="A1891" s="160">
        <v>44813</v>
      </c>
      <c r="B1891" s="115">
        <v>1409.65</v>
      </c>
      <c r="C1891" s="115">
        <v>1366.7</v>
      </c>
      <c r="D1891" s="115">
        <v>1361.55</v>
      </c>
      <c r="E1891" s="115">
        <v>1399.95</v>
      </c>
      <c r="F1891" s="115">
        <v>1366.7</v>
      </c>
      <c r="G1891">
        <v>1187</v>
      </c>
      <c r="H1891" s="115"/>
      <c r="I1891" s="115"/>
      <c r="L1891" s="160">
        <v>44789</v>
      </c>
      <c r="M1891" s="115">
        <v>687.55</v>
      </c>
      <c r="N1891" s="115">
        <v>697.75</v>
      </c>
      <c r="O1891" s="115">
        <v>686</v>
      </c>
      <c r="P1891" s="115">
        <v>694.2</v>
      </c>
      <c r="Q1891" s="115">
        <v>687.55</v>
      </c>
      <c r="R1891">
        <v>15993</v>
      </c>
    </row>
    <row r="1892" spans="1:18" x14ac:dyDescent="0.25">
      <c r="A1892" s="160">
        <v>44816</v>
      </c>
      <c r="B1892" s="115">
        <v>1400</v>
      </c>
      <c r="C1892" s="115">
        <v>1377.15</v>
      </c>
      <c r="D1892" s="115">
        <v>1371</v>
      </c>
      <c r="E1892" s="115">
        <v>1400</v>
      </c>
      <c r="F1892" s="115">
        <v>1377.15</v>
      </c>
      <c r="G1892">
        <v>1824</v>
      </c>
      <c r="H1892" s="115"/>
      <c r="I1892" s="115"/>
      <c r="L1892" s="160">
        <v>44790</v>
      </c>
      <c r="M1892" s="115">
        <v>700.1</v>
      </c>
      <c r="N1892" s="115">
        <v>702</v>
      </c>
      <c r="O1892" s="115">
        <v>687.1</v>
      </c>
      <c r="P1892" s="115">
        <v>691</v>
      </c>
      <c r="Q1892" s="115">
        <v>700.1</v>
      </c>
      <c r="R1892">
        <v>61118</v>
      </c>
    </row>
    <row r="1893" spans="1:18" x14ac:dyDescent="0.25">
      <c r="A1893" s="160">
        <v>44817</v>
      </c>
      <c r="B1893" s="115">
        <v>1389.95</v>
      </c>
      <c r="C1893" s="115">
        <v>1367.7</v>
      </c>
      <c r="D1893" s="115">
        <v>1360</v>
      </c>
      <c r="E1893" s="115">
        <v>1386</v>
      </c>
      <c r="F1893" s="115">
        <v>1367.7</v>
      </c>
      <c r="G1893">
        <v>1890</v>
      </c>
      <c r="H1893" s="115"/>
      <c r="I1893" s="115"/>
      <c r="L1893" s="160">
        <v>44791</v>
      </c>
      <c r="M1893" s="115">
        <v>711</v>
      </c>
      <c r="N1893" s="115">
        <v>722.95</v>
      </c>
      <c r="O1893" s="115">
        <v>700.6</v>
      </c>
      <c r="P1893" s="115">
        <v>705</v>
      </c>
      <c r="Q1893" s="115">
        <v>711</v>
      </c>
      <c r="R1893">
        <v>167818</v>
      </c>
    </row>
    <row r="1894" spans="1:18" x14ac:dyDescent="0.25">
      <c r="A1894" s="160">
        <v>44818</v>
      </c>
      <c r="B1894" s="115">
        <v>1381</v>
      </c>
      <c r="C1894" s="115">
        <v>1351.45</v>
      </c>
      <c r="D1894" s="115">
        <v>1345.2</v>
      </c>
      <c r="E1894" s="115">
        <v>1355</v>
      </c>
      <c r="F1894" s="115">
        <v>1351.45</v>
      </c>
      <c r="G1894">
        <v>1153</v>
      </c>
      <c r="H1894" s="115"/>
      <c r="I1894" s="115"/>
      <c r="L1894" s="160">
        <v>44792</v>
      </c>
      <c r="M1894" s="115">
        <v>707.7</v>
      </c>
      <c r="N1894" s="115">
        <v>726</v>
      </c>
      <c r="O1894" s="115">
        <v>705</v>
      </c>
      <c r="P1894" s="115">
        <v>716</v>
      </c>
      <c r="Q1894" s="115">
        <v>707.7</v>
      </c>
      <c r="R1894">
        <v>34300</v>
      </c>
    </row>
    <row r="1895" spans="1:18" x14ac:dyDescent="0.25">
      <c r="A1895" s="160">
        <v>44819</v>
      </c>
      <c r="B1895" s="115">
        <v>1360</v>
      </c>
      <c r="C1895" s="115">
        <v>1339.05</v>
      </c>
      <c r="D1895" s="115">
        <v>1325</v>
      </c>
      <c r="E1895" s="115">
        <v>1350</v>
      </c>
      <c r="F1895" s="115">
        <v>1339.05</v>
      </c>
      <c r="G1895">
        <v>1040</v>
      </c>
      <c r="H1895" s="115"/>
      <c r="I1895" s="115"/>
      <c r="L1895" s="160">
        <v>44795</v>
      </c>
      <c r="M1895" s="115">
        <v>700.3</v>
      </c>
      <c r="N1895" s="115">
        <v>712</v>
      </c>
      <c r="O1895" s="115">
        <v>696.65</v>
      </c>
      <c r="P1895" s="115">
        <v>710</v>
      </c>
      <c r="Q1895" s="115">
        <v>700.3</v>
      </c>
      <c r="R1895">
        <v>21246</v>
      </c>
    </row>
    <row r="1896" spans="1:18" x14ac:dyDescent="0.25">
      <c r="A1896" s="160">
        <v>44820</v>
      </c>
      <c r="B1896" s="115">
        <v>1332</v>
      </c>
      <c r="C1896" s="115">
        <v>1322.65</v>
      </c>
      <c r="D1896" s="115">
        <v>1305</v>
      </c>
      <c r="E1896" s="115">
        <v>1311</v>
      </c>
      <c r="F1896" s="115">
        <v>1322.65</v>
      </c>
      <c r="G1896">
        <v>1044</v>
      </c>
      <c r="H1896" s="115"/>
      <c r="I1896" s="115"/>
      <c r="L1896" s="160">
        <v>44796</v>
      </c>
      <c r="M1896" s="115">
        <v>700.6</v>
      </c>
      <c r="N1896" s="115">
        <v>708.45</v>
      </c>
      <c r="O1896" s="115">
        <v>699.15</v>
      </c>
      <c r="P1896" s="115">
        <v>700.3</v>
      </c>
      <c r="Q1896" s="115">
        <v>700.6</v>
      </c>
      <c r="R1896">
        <v>11836</v>
      </c>
    </row>
    <row r="1897" spans="1:18" x14ac:dyDescent="0.25">
      <c r="A1897" s="160">
        <v>44823</v>
      </c>
      <c r="B1897" s="115">
        <v>1369</v>
      </c>
      <c r="C1897" s="115">
        <v>1316.8</v>
      </c>
      <c r="D1897" s="115">
        <v>1290.3</v>
      </c>
      <c r="E1897" s="115">
        <v>1290.3</v>
      </c>
      <c r="F1897" s="115">
        <v>1316.8</v>
      </c>
      <c r="G1897">
        <v>2069</v>
      </c>
      <c r="H1897" s="115"/>
      <c r="I1897" s="115"/>
      <c r="L1897" s="160">
        <v>44797</v>
      </c>
      <c r="M1897" s="115">
        <v>702.3</v>
      </c>
      <c r="N1897" s="115">
        <v>709.05</v>
      </c>
      <c r="O1897" s="115">
        <v>700</v>
      </c>
      <c r="P1897" s="115">
        <v>700</v>
      </c>
      <c r="Q1897" s="115">
        <v>702.3</v>
      </c>
      <c r="R1897">
        <v>17562</v>
      </c>
    </row>
    <row r="1898" spans="1:18" x14ac:dyDescent="0.25">
      <c r="A1898" s="160">
        <v>44824</v>
      </c>
      <c r="B1898" s="115">
        <v>1348.95</v>
      </c>
      <c r="C1898" s="115">
        <v>1316.3</v>
      </c>
      <c r="D1898" s="115">
        <v>1316</v>
      </c>
      <c r="E1898" s="115">
        <v>1316</v>
      </c>
      <c r="F1898" s="115">
        <v>1316.3</v>
      </c>
      <c r="G1898">
        <v>1356</v>
      </c>
      <c r="H1898" s="115"/>
      <c r="I1898" s="115"/>
      <c r="L1898" s="160">
        <v>44798</v>
      </c>
      <c r="M1898" s="115">
        <v>700.6</v>
      </c>
      <c r="N1898" s="115">
        <v>708.8</v>
      </c>
      <c r="O1898" s="115">
        <v>699.8</v>
      </c>
      <c r="P1898" s="115">
        <v>705.85</v>
      </c>
      <c r="Q1898" s="115">
        <v>700.6</v>
      </c>
      <c r="R1898">
        <v>8894</v>
      </c>
    </row>
    <row r="1899" spans="1:18" x14ac:dyDescent="0.25">
      <c r="A1899" s="160">
        <v>44825</v>
      </c>
      <c r="B1899" s="115">
        <v>1340</v>
      </c>
      <c r="C1899" s="115">
        <v>1315.5</v>
      </c>
      <c r="D1899" s="115">
        <v>1310</v>
      </c>
      <c r="E1899" s="115">
        <v>1318</v>
      </c>
      <c r="F1899" s="115">
        <v>1315.5</v>
      </c>
      <c r="G1899">
        <v>1987</v>
      </c>
      <c r="H1899" s="115"/>
      <c r="I1899" s="115"/>
      <c r="L1899" s="160">
        <v>44799</v>
      </c>
      <c r="M1899" s="115">
        <v>710.35</v>
      </c>
      <c r="N1899" s="115">
        <v>719.2</v>
      </c>
      <c r="O1899" s="115">
        <v>703.25</v>
      </c>
      <c r="P1899" s="115">
        <v>704.1</v>
      </c>
      <c r="Q1899" s="115">
        <v>710.35</v>
      </c>
      <c r="R1899">
        <v>16501</v>
      </c>
    </row>
    <row r="1900" spans="1:18" x14ac:dyDescent="0.25">
      <c r="A1900" s="160">
        <v>44826</v>
      </c>
      <c r="B1900" s="115">
        <v>1329</v>
      </c>
      <c r="C1900" s="115">
        <v>1283.6500000000001</v>
      </c>
      <c r="D1900" s="115">
        <v>1275</v>
      </c>
      <c r="E1900" s="115">
        <v>1329</v>
      </c>
      <c r="F1900" s="115">
        <v>1283.6500000000001</v>
      </c>
      <c r="G1900">
        <v>1649</v>
      </c>
      <c r="H1900" s="115"/>
      <c r="I1900" s="115"/>
      <c r="L1900" s="160">
        <v>44802</v>
      </c>
      <c r="M1900" s="115">
        <v>701.1</v>
      </c>
      <c r="N1900" s="115">
        <v>709.95</v>
      </c>
      <c r="O1900" s="115">
        <v>692.3</v>
      </c>
      <c r="P1900" s="115">
        <v>706.05</v>
      </c>
      <c r="Q1900" s="115">
        <v>701.1</v>
      </c>
      <c r="R1900">
        <v>25008</v>
      </c>
    </row>
    <row r="1901" spans="1:18" x14ac:dyDescent="0.25">
      <c r="A1901" s="160">
        <v>44827</v>
      </c>
      <c r="B1901" s="115">
        <v>1311</v>
      </c>
      <c r="C1901" s="115">
        <v>1252.9000000000001</v>
      </c>
      <c r="D1901" s="115">
        <v>1251</v>
      </c>
      <c r="E1901" s="115">
        <v>1290</v>
      </c>
      <c r="F1901" s="115">
        <v>1252.9000000000001</v>
      </c>
      <c r="G1901">
        <v>1304</v>
      </c>
      <c r="H1901" s="115"/>
      <c r="I1901" s="115"/>
      <c r="L1901" s="160">
        <v>44803</v>
      </c>
      <c r="M1901" s="115">
        <v>708.95</v>
      </c>
      <c r="N1901" s="115">
        <v>712</v>
      </c>
      <c r="O1901" s="115">
        <v>702</v>
      </c>
      <c r="P1901" s="115">
        <v>704.65</v>
      </c>
      <c r="Q1901" s="115">
        <v>708.95</v>
      </c>
      <c r="R1901">
        <v>12708</v>
      </c>
    </row>
    <row r="1902" spans="1:18" x14ac:dyDescent="0.25">
      <c r="A1902" s="160">
        <v>44830</v>
      </c>
      <c r="B1902" s="115">
        <v>1271.7</v>
      </c>
      <c r="C1902" s="115">
        <v>1205.4000000000001</v>
      </c>
      <c r="D1902" s="115">
        <v>1200</v>
      </c>
      <c r="E1902" s="115">
        <v>1252</v>
      </c>
      <c r="F1902" s="115">
        <v>1205.4000000000001</v>
      </c>
      <c r="G1902">
        <v>2361</v>
      </c>
      <c r="H1902" s="115"/>
      <c r="I1902" s="115"/>
      <c r="L1902" s="160">
        <v>44805</v>
      </c>
      <c r="M1902" s="115">
        <v>737.15</v>
      </c>
      <c r="N1902" s="115">
        <v>748.3</v>
      </c>
      <c r="O1902" s="115">
        <v>702</v>
      </c>
      <c r="P1902" s="115">
        <v>702</v>
      </c>
      <c r="Q1902" s="115">
        <v>737.15</v>
      </c>
      <c r="R1902">
        <v>72370</v>
      </c>
    </row>
    <row r="1903" spans="1:18" x14ac:dyDescent="0.25">
      <c r="A1903" s="160">
        <v>44831</v>
      </c>
      <c r="B1903" s="115">
        <v>1266</v>
      </c>
      <c r="C1903" s="115">
        <v>1206.5</v>
      </c>
      <c r="D1903" s="115">
        <v>1191.1500000000001</v>
      </c>
      <c r="E1903" s="115">
        <v>1266</v>
      </c>
      <c r="F1903" s="115">
        <v>1206.5</v>
      </c>
      <c r="G1903">
        <v>351</v>
      </c>
      <c r="H1903" s="115"/>
      <c r="I1903" s="115"/>
      <c r="L1903" s="160">
        <v>44806</v>
      </c>
      <c r="M1903" s="115">
        <v>718.95</v>
      </c>
      <c r="N1903" s="115">
        <v>750</v>
      </c>
      <c r="O1903" s="115">
        <v>717</v>
      </c>
      <c r="P1903" s="115">
        <v>750</v>
      </c>
      <c r="Q1903" s="115">
        <v>718.95</v>
      </c>
      <c r="R1903">
        <v>22798</v>
      </c>
    </row>
    <row r="1904" spans="1:18" x14ac:dyDescent="0.25">
      <c r="A1904" s="160">
        <v>44832</v>
      </c>
      <c r="B1904" s="115">
        <v>1380</v>
      </c>
      <c r="C1904" s="115">
        <v>1274.45</v>
      </c>
      <c r="D1904" s="115">
        <v>1164</v>
      </c>
      <c r="E1904" s="115">
        <v>1190</v>
      </c>
      <c r="F1904" s="115">
        <v>1274.45</v>
      </c>
      <c r="G1904">
        <v>5527</v>
      </c>
      <c r="H1904" s="115"/>
      <c r="I1904" s="115"/>
      <c r="L1904" s="160">
        <v>44809</v>
      </c>
      <c r="M1904" s="115">
        <v>740.55</v>
      </c>
      <c r="N1904" s="115">
        <v>748.4</v>
      </c>
      <c r="O1904" s="115">
        <v>720.3</v>
      </c>
      <c r="P1904" s="115">
        <v>722.55</v>
      </c>
      <c r="Q1904" s="115">
        <v>740.55</v>
      </c>
      <c r="R1904">
        <v>65918</v>
      </c>
    </row>
    <row r="1905" spans="1:18" x14ac:dyDescent="0.25">
      <c r="A1905" s="160">
        <v>44833</v>
      </c>
      <c r="B1905" s="115">
        <v>1299.95</v>
      </c>
      <c r="C1905" s="115">
        <v>1266.25</v>
      </c>
      <c r="D1905" s="115">
        <v>1256.5999999999999</v>
      </c>
      <c r="E1905" s="115">
        <v>1280</v>
      </c>
      <c r="F1905" s="115">
        <v>1266.25</v>
      </c>
      <c r="G1905">
        <v>433</v>
      </c>
      <c r="H1905" s="115"/>
      <c r="I1905" s="115"/>
      <c r="L1905" s="160">
        <v>44810</v>
      </c>
      <c r="M1905" s="115">
        <v>727.9</v>
      </c>
      <c r="N1905" s="115">
        <v>749.25</v>
      </c>
      <c r="O1905" s="115">
        <v>725</v>
      </c>
      <c r="P1905" s="115">
        <v>746.1</v>
      </c>
      <c r="Q1905" s="115">
        <v>727.9</v>
      </c>
      <c r="R1905">
        <v>35061</v>
      </c>
    </row>
    <row r="1906" spans="1:18" x14ac:dyDescent="0.25">
      <c r="A1906" s="160">
        <v>44834</v>
      </c>
      <c r="B1906" s="115">
        <v>1280</v>
      </c>
      <c r="C1906" s="115">
        <v>1260.05</v>
      </c>
      <c r="D1906" s="115">
        <v>1260.05</v>
      </c>
      <c r="E1906" s="115">
        <v>1267</v>
      </c>
      <c r="F1906" s="115">
        <v>1260.05</v>
      </c>
      <c r="G1906">
        <v>910</v>
      </c>
      <c r="H1906" s="115"/>
      <c r="I1906" s="115"/>
      <c r="L1906" s="160">
        <v>44811</v>
      </c>
      <c r="M1906" s="115">
        <v>726.85</v>
      </c>
      <c r="N1906" s="115">
        <v>732</v>
      </c>
      <c r="O1906" s="115">
        <v>721.45</v>
      </c>
      <c r="P1906" s="115">
        <v>732</v>
      </c>
      <c r="Q1906" s="115">
        <v>726.85</v>
      </c>
      <c r="R1906">
        <v>20763</v>
      </c>
    </row>
    <row r="1907" spans="1:18" x14ac:dyDescent="0.25">
      <c r="A1907" s="160">
        <v>44837</v>
      </c>
      <c r="B1907" s="115">
        <v>1265</v>
      </c>
      <c r="C1907" s="115">
        <v>1215.3499999999999</v>
      </c>
      <c r="D1907" s="115">
        <v>1215.05</v>
      </c>
      <c r="E1907" s="115">
        <v>1265</v>
      </c>
      <c r="F1907" s="115">
        <v>1215.3499999999999</v>
      </c>
      <c r="G1907">
        <v>1025</v>
      </c>
      <c r="H1907" s="115"/>
      <c r="I1907" s="115"/>
      <c r="L1907" s="160">
        <v>44812</v>
      </c>
      <c r="M1907" s="115">
        <v>722.7</v>
      </c>
      <c r="N1907" s="115">
        <v>732.75</v>
      </c>
      <c r="O1907" s="115">
        <v>721.05</v>
      </c>
      <c r="P1907" s="115">
        <v>728.6</v>
      </c>
      <c r="Q1907" s="115">
        <v>722.7</v>
      </c>
      <c r="R1907">
        <v>17222</v>
      </c>
    </row>
    <row r="1908" spans="1:18" x14ac:dyDescent="0.25">
      <c r="A1908" s="160">
        <v>44838</v>
      </c>
      <c r="B1908" s="115">
        <v>1298.95</v>
      </c>
      <c r="C1908" s="115">
        <v>1238.75</v>
      </c>
      <c r="D1908" s="115">
        <v>1220.0999999999999</v>
      </c>
      <c r="E1908" s="115">
        <v>1220.2</v>
      </c>
      <c r="F1908" s="115">
        <v>1238.75</v>
      </c>
      <c r="G1908">
        <v>2085</v>
      </c>
      <c r="H1908" s="115"/>
      <c r="I1908" s="115"/>
      <c r="L1908" s="160">
        <v>44813</v>
      </c>
      <c r="M1908" s="115">
        <v>721</v>
      </c>
      <c r="N1908" s="115">
        <v>733.5</v>
      </c>
      <c r="O1908" s="115">
        <v>715.1</v>
      </c>
      <c r="P1908" s="115">
        <v>724.1</v>
      </c>
      <c r="Q1908" s="115">
        <v>721</v>
      </c>
      <c r="R1908">
        <v>23803</v>
      </c>
    </row>
    <row r="1909" spans="1:18" x14ac:dyDescent="0.25">
      <c r="A1909" s="160">
        <v>44840</v>
      </c>
      <c r="B1909" s="115">
        <v>1300</v>
      </c>
      <c r="C1909" s="115">
        <v>1282.8</v>
      </c>
      <c r="D1909" s="115">
        <v>1260</v>
      </c>
      <c r="E1909" s="115">
        <v>1273.2</v>
      </c>
      <c r="F1909" s="115">
        <v>1282.8</v>
      </c>
      <c r="G1909">
        <v>1774</v>
      </c>
      <c r="H1909" s="115"/>
      <c r="I1909" s="115"/>
      <c r="L1909" s="160">
        <v>44816</v>
      </c>
      <c r="M1909" s="115">
        <v>715.75</v>
      </c>
      <c r="N1909" s="115">
        <v>729.75</v>
      </c>
      <c r="O1909" s="115">
        <v>713</v>
      </c>
      <c r="P1909" s="115">
        <v>724.65</v>
      </c>
      <c r="Q1909" s="115">
        <v>715.75</v>
      </c>
      <c r="R1909">
        <v>26917</v>
      </c>
    </row>
    <row r="1910" spans="1:18" x14ac:dyDescent="0.25">
      <c r="A1910" s="160">
        <v>44841</v>
      </c>
      <c r="B1910" s="115">
        <v>1285</v>
      </c>
      <c r="C1910" s="115">
        <v>1280</v>
      </c>
      <c r="D1910" s="115">
        <v>1265</v>
      </c>
      <c r="E1910" s="115">
        <v>1278</v>
      </c>
      <c r="F1910" s="115">
        <v>1280</v>
      </c>
      <c r="G1910">
        <v>193</v>
      </c>
      <c r="H1910" s="115"/>
      <c r="I1910" s="115"/>
      <c r="L1910" s="160">
        <v>44817</v>
      </c>
      <c r="M1910" s="115">
        <v>720.3</v>
      </c>
      <c r="N1910" s="115">
        <v>724.8</v>
      </c>
      <c r="O1910" s="115">
        <v>710.5</v>
      </c>
      <c r="P1910" s="115">
        <v>719.35</v>
      </c>
      <c r="Q1910" s="115">
        <v>720.3</v>
      </c>
      <c r="R1910">
        <v>33238</v>
      </c>
    </row>
    <row r="1911" spans="1:18" x14ac:dyDescent="0.25">
      <c r="A1911" s="160">
        <v>44844</v>
      </c>
      <c r="B1911" s="115">
        <v>1278.8</v>
      </c>
      <c r="C1911" s="115">
        <v>1258.45</v>
      </c>
      <c r="D1911" s="115">
        <v>1250</v>
      </c>
      <c r="E1911" s="115">
        <v>1270</v>
      </c>
      <c r="F1911" s="115">
        <v>1258.45</v>
      </c>
      <c r="G1911">
        <v>718</v>
      </c>
      <c r="H1911" s="115"/>
      <c r="I1911" s="115"/>
      <c r="L1911" s="160">
        <v>44818</v>
      </c>
      <c r="M1911" s="115">
        <v>713.2</v>
      </c>
      <c r="N1911" s="115">
        <v>720</v>
      </c>
      <c r="O1911" s="115">
        <v>711.25</v>
      </c>
      <c r="P1911" s="115">
        <v>719.8</v>
      </c>
      <c r="Q1911" s="115">
        <v>713.2</v>
      </c>
      <c r="R1911">
        <v>17221</v>
      </c>
    </row>
    <row r="1912" spans="1:18" x14ac:dyDescent="0.25">
      <c r="A1912" s="160">
        <v>44845</v>
      </c>
      <c r="B1912" s="115">
        <v>1285</v>
      </c>
      <c r="C1912" s="115">
        <v>1250.5</v>
      </c>
      <c r="D1912" s="115">
        <v>1235.05</v>
      </c>
      <c r="E1912" s="115">
        <v>1285</v>
      </c>
      <c r="F1912" s="115">
        <v>1250.5</v>
      </c>
      <c r="G1912">
        <v>354</v>
      </c>
      <c r="H1912" s="115"/>
      <c r="I1912" s="115"/>
      <c r="L1912" s="160">
        <v>44819</v>
      </c>
      <c r="M1912" s="115">
        <v>712.3</v>
      </c>
      <c r="N1912" s="115">
        <v>720.25</v>
      </c>
      <c r="O1912" s="115">
        <v>709.05</v>
      </c>
      <c r="P1912" s="115">
        <v>720</v>
      </c>
      <c r="Q1912" s="115">
        <v>712.3</v>
      </c>
      <c r="R1912">
        <v>20854</v>
      </c>
    </row>
    <row r="1913" spans="1:18" x14ac:dyDescent="0.25">
      <c r="A1913" s="160">
        <v>44846</v>
      </c>
      <c r="B1913" s="115">
        <v>1260</v>
      </c>
      <c r="C1913" s="115">
        <v>1259</v>
      </c>
      <c r="D1913" s="115">
        <v>1230.8</v>
      </c>
      <c r="E1913" s="115">
        <v>1250</v>
      </c>
      <c r="F1913" s="115">
        <v>1259</v>
      </c>
      <c r="G1913">
        <v>885</v>
      </c>
      <c r="H1913" s="115"/>
      <c r="I1913" s="115"/>
      <c r="L1913" s="160">
        <v>44820</v>
      </c>
      <c r="M1913" s="115">
        <v>689.65</v>
      </c>
      <c r="N1913" s="115">
        <v>719.5</v>
      </c>
      <c r="O1913" s="115">
        <v>684.9</v>
      </c>
      <c r="P1913" s="115">
        <v>710</v>
      </c>
      <c r="Q1913" s="115">
        <v>689.65</v>
      </c>
      <c r="R1913">
        <v>44804</v>
      </c>
    </row>
    <row r="1914" spans="1:18" x14ac:dyDescent="0.25">
      <c r="A1914" s="160">
        <v>44847</v>
      </c>
      <c r="B1914" s="115">
        <v>1260</v>
      </c>
      <c r="C1914" s="115">
        <v>1240</v>
      </c>
      <c r="D1914" s="115">
        <v>1235</v>
      </c>
      <c r="E1914" s="115">
        <v>1235</v>
      </c>
      <c r="F1914" s="115">
        <v>1240</v>
      </c>
      <c r="G1914">
        <v>108</v>
      </c>
      <c r="H1914" s="115"/>
      <c r="I1914" s="115"/>
      <c r="L1914" s="160">
        <v>44823</v>
      </c>
      <c r="M1914" s="115">
        <v>680.3</v>
      </c>
      <c r="N1914" s="115">
        <v>700</v>
      </c>
      <c r="O1914" s="115">
        <v>678.05</v>
      </c>
      <c r="P1914" s="115">
        <v>690</v>
      </c>
      <c r="Q1914" s="115">
        <v>680.3</v>
      </c>
      <c r="R1914">
        <v>33397</v>
      </c>
    </row>
    <row r="1915" spans="1:18" x14ac:dyDescent="0.25">
      <c r="A1915" s="160">
        <v>44848</v>
      </c>
      <c r="B1915" s="115">
        <v>1254.8499999999999</v>
      </c>
      <c r="C1915" s="115">
        <v>1201.0999999999999</v>
      </c>
      <c r="D1915" s="115">
        <v>1200</v>
      </c>
      <c r="E1915" s="115">
        <v>1240</v>
      </c>
      <c r="F1915" s="115">
        <v>1201.0999999999999</v>
      </c>
      <c r="G1915">
        <v>2322</v>
      </c>
      <c r="H1915" s="115"/>
      <c r="I1915" s="115"/>
      <c r="L1915" s="160">
        <v>44824</v>
      </c>
      <c r="M1915" s="115">
        <v>693.1</v>
      </c>
      <c r="N1915" s="115">
        <v>703.8</v>
      </c>
      <c r="O1915" s="115">
        <v>682.05</v>
      </c>
      <c r="P1915" s="115">
        <v>683.75</v>
      </c>
      <c r="Q1915" s="115">
        <v>693.1</v>
      </c>
      <c r="R1915">
        <v>34434</v>
      </c>
    </row>
    <row r="1916" spans="1:18" x14ac:dyDescent="0.25">
      <c r="A1916" s="160">
        <v>44851</v>
      </c>
      <c r="B1916" s="115">
        <v>1219.5</v>
      </c>
      <c r="C1916" s="115">
        <v>1209.6500000000001</v>
      </c>
      <c r="D1916" s="115">
        <v>1186.5999999999999</v>
      </c>
      <c r="E1916" s="115">
        <v>1202</v>
      </c>
      <c r="F1916" s="115">
        <v>1209.6500000000001</v>
      </c>
      <c r="G1916">
        <v>1268</v>
      </c>
      <c r="H1916" s="115"/>
      <c r="I1916" s="115"/>
      <c r="L1916" s="160">
        <v>44825</v>
      </c>
      <c r="M1916" s="115">
        <v>692.3</v>
      </c>
      <c r="N1916" s="115">
        <v>701.35</v>
      </c>
      <c r="O1916" s="115">
        <v>686.05</v>
      </c>
      <c r="P1916" s="115">
        <v>698</v>
      </c>
      <c r="Q1916" s="115">
        <v>692.3</v>
      </c>
      <c r="R1916">
        <v>23851</v>
      </c>
    </row>
    <row r="1917" spans="1:18" x14ac:dyDescent="0.25">
      <c r="A1917" s="160">
        <v>44852</v>
      </c>
      <c r="B1917" s="115">
        <v>1212</v>
      </c>
      <c r="C1917" s="115">
        <v>1200.05</v>
      </c>
      <c r="D1917" s="115">
        <v>1196.0999999999999</v>
      </c>
      <c r="E1917" s="115">
        <v>1209.6500000000001</v>
      </c>
      <c r="F1917" s="115">
        <v>1200.05</v>
      </c>
      <c r="G1917">
        <v>373</v>
      </c>
      <c r="H1917" s="115"/>
      <c r="I1917" s="115"/>
      <c r="L1917" s="160">
        <v>44826</v>
      </c>
      <c r="M1917" s="115">
        <v>687</v>
      </c>
      <c r="N1917" s="115">
        <v>695.75</v>
      </c>
      <c r="O1917" s="115">
        <v>680</v>
      </c>
      <c r="P1917" s="115">
        <v>695.75</v>
      </c>
      <c r="Q1917" s="115">
        <v>687</v>
      </c>
      <c r="R1917">
        <v>25885</v>
      </c>
    </row>
    <row r="1918" spans="1:18" x14ac:dyDescent="0.25">
      <c r="A1918" s="160">
        <v>44853</v>
      </c>
      <c r="B1918" s="115">
        <v>1211.95</v>
      </c>
      <c r="C1918" s="115">
        <v>1207.6500000000001</v>
      </c>
      <c r="D1918" s="115">
        <v>1190</v>
      </c>
      <c r="E1918" s="115">
        <v>1200</v>
      </c>
      <c r="F1918" s="115">
        <v>1207.6500000000001</v>
      </c>
      <c r="G1918">
        <v>359</v>
      </c>
      <c r="H1918" s="115"/>
      <c r="I1918" s="115"/>
      <c r="L1918" s="160">
        <v>44827</v>
      </c>
      <c r="M1918" s="115">
        <v>681.2</v>
      </c>
      <c r="N1918" s="115">
        <v>693</v>
      </c>
      <c r="O1918" s="115">
        <v>680</v>
      </c>
      <c r="P1918" s="115">
        <v>690.45</v>
      </c>
      <c r="Q1918" s="115">
        <v>681.2</v>
      </c>
      <c r="R1918">
        <v>17787</v>
      </c>
    </row>
    <row r="1919" spans="1:18" x14ac:dyDescent="0.25">
      <c r="A1919" s="160">
        <v>44854</v>
      </c>
      <c r="B1919" s="115">
        <v>1199.9000000000001</v>
      </c>
      <c r="C1919" s="115">
        <v>1171.9000000000001</v>
      </c>
      <c r="D1919" s="115">
        <v>1150</v>
      </c>
      <c r="E1919" s="115">
        <v>1182.05</v>
      </c>
      <c r="F1919" s="115">
        <v>1171.9000000000001</v>
      </c>
      <c r="G1919">
        <v>2462</v>
      </c>
      <c r="H1919" s="115"/>
      <c r="I1919" s="115"/>
      <c r="L1919" s="160">
        <v>44830</v>
      </c>
      <c r="M1919" s="115">
        <v>658.7</v>
      </c>
      <c r="N1919" s="115">
        <v>684.65</v>
      </c>
      <c r="O1919" s="115">
        <v>652</v>
      </c>
      <c r="P1919" s="115">
        <v>678</v>
      </c>
      <c r="Q1919" s="115">
        <v>658.7</v>
      </c>
      <c r="R1919">
        <v>23624</v>
      </c>
    </row>
    <row r="1920" spans="1:18" x14ac:dyDescent="0.25">
      <c r="A1920" s="160">
        <v>44855</v>
      </c>
      <c r="B1920" s="115">
        <v>1189.5</v>
      </c>
      <c r="C1920" s="115">
        <v>1148.05</v>
      </c>
      <c r="D1920" s="115">
        <v>1132.4000000000001</v>
      </c>
      <c r="E1920" s="115">
        <v>1172</v>
      </c>
      <c r="F1920" s="115">
        <v>1148.05</v>
      </c>
      <c r="G1920">
        <v>850</v>
      </c>
      <c r="H1920" s="115"/>
      <c r="I1920" s="115"/>
      <c r="L1920" s="160">
        <v>44831</v>
      </c>
      <c r="M1920" s="115">
        <v>653.35</v>
      </c>
      <c r="N1920" s="115">
        <v>668</v>
      </c>
      <c r="O1920" s="115">
        <v>650</v>
      </c>
      <c r="P1920" s="115">
        <v>668</v>
      </c>
      <c r="Q1920" s="115">
        <v>653.35</v>
      </c>
      <c r="R1920">
        <v>19410</v>
      </c>
    </row>
    <row r="1921" spans="1:18" x14ac:dyDescent="0.25">
      <c r="A1921" s="160">
        <v>44858</v>
      </c>
      <c r="B1921" s="115">
        <v>1180</v>
      </c>
      <c r="C1921" s="115">
        <v>1166.9000000000001</v>
      </c>
      <c r="D1921" s="115">
        <v>1150</v>
      </c>
      <c r="E1921" s="115">
        <v>1180</v>
      </c>
      <c r="F1921" s="115">
        <v>1166.9000000000001</v>
      </c>
      <c r="G1921">
        <v>2183</v>
      </c>
      <c r="H1921" s="115"/>
      <c r="I1921" s="115"/>
      <c r="L1921" s="160">
        <v>44832</v>
      </c>
      <c r="M1921" s="115">
        <v>637.25</v>
      </c>
      <c r="N1921" s="115">
        <v>653.35</v>
      </c>
      <c r="O1921" s="115">
        <v>635</v>
      </c>
      <c r="P1921" s="115">
        <v>650</v>
      </c>
      <c r="Q1921" s="115">
        <v>637.25</v>
      </c>
      <c r="R1921">
        <v>25345</v>
      </c>
    </row>
    <row r="1922" spans="1:18" x14ac:dyDescent="0.25">
      <c r="A1922" s="160">
        <v>44859</v>
      </c>
      <c r="B1922" s="115">
        <v>1179</v>
      </c>
      <c r="C1922" s="115">
        <v>1158.1500000000001</v>
      </c>
      <c r="D1922" s="115">
        <v>1140.5</v>
      </c>
      <c r="E1922" s="115">
        <v>1140.5</v>
      </c>
      <c r="F1922" s="115">
        <v>1158.1500000000001</v>
      </c>
      <c r="G1922">
        <v>597</v>
      </c>
      <c r="H1922" s="115"/>
      <c r="I1922" s="115"/>
      <c r="L1922" s="160">
        <v>44833</v>
      </c>
      <c r="M1922" s="115">
        <v>637.85</v>
      </c>
      <c r="N1922" s="115">
        <v>646.95000000000005</v>
      </c>
      <c r="O1922" s="115">
        <v>631.20000000000005</v>
      </c>
      <c r="P1922" s="115">
        <v>641.04999999999995</v>
      </c>
      <c r="Q1922" s="115">
        <v>637.85</v>
      </c>
      <c r="R1922">
        <v>18897</v>
      </c>
    </row>
    <row r="1923" spans="1:18" x14ac:dyDescent="0.25">
      <c r="A1923" s="160">
        <v>44861</v>
      </c>
      <c r="B1923" s="115">
        <v>1226</v>
      </c>
      <c r="C1923" s="115">
        <v>1211.45</v>
      </c>
      <c r="D1923" s="115">
        <v>1140</v>
      </c>
      <c r="E1923" s="115">
        <v>1140</v>
      </c>
      <c r="F1923" s="115">
        <v>1211.45</v>
      </c>
      <c r="G1923">
        <v>4500</v>
      </c>
      <c r="H1923" s="115"/>
      <c r="I1923" s="115"/>
      <c r="L1923" s="160">
        <v>44834</v>
      </c>
      <c r="M1923" s="115">
        <v>653.25</v>
      </c>
      <c r="N1923" s="115">
        <v>658.85</v>
      </c>
      <c r="O1923" s="115">
        <v>633.04999999999995</v>
      </c>
      <c r="P1923" s="115">
        <v>637.85</v>
      </c>
      <c r="Q1923" s="115">
        <v>653.25</v>
      </c>
      <c r="R1923">
        <v>22655</v>
      </c>
    </row>
    <row r="1924" spans="1:18" x14ac:dyDescent="0.25">
      <c r="A1924" s="160">
        <v>44862</v>
      </c>
      <c r="B1924" s="115">
        <v>1242</v>
      </c>
      <c r="C1924" s="115">
        <v>1210.05</v>
      </c>
      <c r="D1924" s="115">
        <v>1200.05</v>
      </c>
      <c r="E1924" s="115">
        <v>1220.0999999999999</v>
      </c>
      <c r="F1924" s="115">
        <v>1210.05</v>
      </c>
      <c r="G1924">
        <v>958</v>
      </c>
      <c r="H1924" s="115"/>
      <c r="I1924" s="115"/>
      <c r="L1924" s="160">
        <v>44837</v>
      </c>
      <c r="M1924" s="115">
        <v>657.65</v>
      </c>
      <c r="N1924" s="115">
        <v>661.95</v>
      </c>
      <c r="O1924" s="115">
        <v>645.6</v>
      </c>
      <c r="P1924" s="115">
        <v>656.55</v>
      </c>
      <c r="Q1924" s="115">
        <v>657.65</v>
      </c>
      <c r="R1924">
        <v>17781</v>
      </c>
    </row>
    <row r="1925" spans="1:18" x14ac:dyDescent="0.25">
      <c r="A1925" s="160">
        <v>44865</v>
      </c>
      <c r="B1925" s="115">
        <v>1224</v>
      </c>
      <c r="C1925" s="115">
        <v>1206.8</v>
      </c>
      <c r="D1925" s="115">
        <v>1192.05</v>
      </c>
      <c r="E1925" s="115">
        <v>1210</v>
      </c>
      <c r="F1925" s="115">
        <v>1206.8</v>
      </c>
      <c r="G1925">
        <v>411</v>
      </c>
      <c r="H1925" s="115"/>
      <c r="I1925" s="115"/>
      <c r="L1925" s="160">
        <v>44838</v>
      </c>
      <c r="M1925" s="115">
        <v>679</v>
      </c>
      <c r="N1925" s="115">
        <v>685</v>
      </c>
      <c r="O1925" s="115">
        <v>660.9</v>
      </c>
      <c r="P1925" s="115">
        <v>660.95</v>
      </c>
      <c r="Q1925" s="115">
        <v>679</v>
      </c>
      <c r="R1925">
        <v>20470</v>
      </c>
    </row>
    <row r="1926" spans="1:18" x14ac:dyDescent="0.25">
      <c r="A1926" s="160">
        <v>44866</v>
      </c>
      <c r="B1926" s="115">
        <v>1217</v>
      </c>
      <c r="C1926" s="115">
        <v>1184.4000000000001</v>
      </c>
      <c r="D1926" s="115">
        <v>1180.25</v>
      </c>
      <c r="E1926" s="115">
        <v>1200</v>
      </c>
      <c r="F1926" s="115">
        <v>1184.4000000000001</v>
      </c>
      <c r="G1926">
        <v>905</v>
      </c>
      <c r="H1926" s="115"/>
      <c r="I1926" s="115"/>
      <c r="L1926" s="160">
        <v>44840</v>
      </c>
      <c r="M1926" s="115">
        <v>664.6</v>
      </c>
      <c r="N1926" s="115">
        <v>685</v>
      </c>
      <c r="O1926" s="115">
        <v>660.05</v>
      </c>
      <c r="P1926" s="115">
        <v>682.4</v>
      </c>
      <c r="Q1926" s="115">
        <v>664.6</v>
      </c>
      <c r="R1926">
        <v>20613</v>
      </c>
    </row>
    <row r="1927" spans="1:18" x14ac:dyDescent="0.25">
      <c r="A1927" s="160">
        <v>44867</v>
      </c>
      <c r="B1927" s="115">
        <v>1215</v>
      </c>
      <c r="C1927" s="115">
        <v>1197.55</v>
      </c>
      <c r="D1927" s="115">
        <v>1175</v>
      </c>
      <c r="E1927" s="115">
        <v>1175</v>
      </c>
      <c r="F1927" s="115">
        <v>1197.55</v>
      </c>
      <c r="G1927">
        <v>3837</v>
      </c>
      <c r="H1927" s="115"/>
      <c r="I1927" s="115"/>
      <c r="L1927" s="160">
        <v>44841</v>
      </c>
      <c r="M1927" s="115">
        <v>684.8</v>
      </c>
      <c r="N1927" s="115">
        <v>688.2</v>
      </c>
      <c r="O1927" s="115">
        <v>664.65</v>
      </c>
      <c r="P1927" s="115">
        <v>667.95</v>
      </c>
      <c r="Q1927" s="115">
        <v>684.8</v>
      </c>
      <c r="R1927">
        <v>26017</v>
      </c>
    </row>
    <row r="1928" spans="1:18" x14ac:dyDescent="0.25">
      <c r="A1928" s="160">
        <v>44868</v>
      </c>
      <c r="B1928" s="115">
        <v>1204.7</v>
      </c>
      <c r="C1928" s="115">
        <v>1196.25</v>
      </c>
      <c r="D1928" s="115">
        <v>1176.5</v>
      </c>
      <c r="E1928" s="115">
        <v>1181.0999999999999</v>
      </c>
      <c r="F1928" s="115">
        <v>1196.25</v>
      </c>
      <c r="G1928">
        <v>815</v>
      </c>
      <c r="H1928" s="115"/>
      <c r="I1928" s="115"/>
      <c r="L1928" s="160">
        <v>44844</v>
      </c>
      <c r="M1928" s="115">
        <v>669.75</v>
      </c>
      <c r="N1928" s="115">
        <v>682</v>
      </c>
      <c r="O1928" s="115">
        <v>665.8</v>
      </c>
      <c r="P1928" s="115">
        <v>665.8</v>
      </c>
      <c r="Q1928" s="115">
        <v>669.75</v>
      </c>
      <c r="R1928">
        <v>13308</v>
      </c>
    </row>
    <row r="1929" spans="1:18" x14ac:dyDescent="0.25">
      <c r="A1929" s="160">
        <v>44869</v>
      </c>
      <c r="B1929" s="115">
        <v>1200</v>
      </c>
      <c r="C1929" s="115">
        <v>1193.2</v>
      </c>
      <c r="D1929" s="115">
        <v>1135.6500000000001</v>
      </c>
      <c r="E1929" s="115">
        <v>1200</v>
      </c>
      <c r="F1929" s="115">
        <v>1193.2</v>
      </c>
      <c r="G1929">
        <v>7076</v>
      </c>
      <c r="H1929" s="115"/>
      <c r="I1929" s="115"/>
      <c r="L1929" s="160">
        <v>44845</v>
      </c>
      <c r="M1929" s="115">
        <v>673.1</v>
      </c>
      <c r="N1929" s="115">
        <v>686.95</v>
      </c>
      <c r="O1929" s="115">
        <v>668.05</v>
      </c>
      <c r="P1929" s="115">
        <v>673.1</v>
      </c>
      <c r="Q1929" s="115">
        <v>673.1</v>
      </c>
      <c r="R1929">
        <v>18146</v>
      </c>
    </row>
    <row r="1930" spans="1:18" x14ac:dyDescent="0.25">
      <c r="A1930" s="160">
        <v>44872</v>
      </c>
      <c r="B1930" s="115">
        <v>1190</v>
      </c>
      <c r="C1930" s="115">
        <v>1173.6500000000001</v>
      </c>
      <c r="D1930" s="115">
        <v>1170.05</v>
      </c>
      <c r="E1930" s="115">
        <v>1190</v>
      </c>
      <c r="F1930" s="115">
        <v>1173.6500000000001</v>
      </c>
      <c r="G1930">
        <v>1077</v>
      </c>
      <c r="H1930" s="115"/>
      <c r="I1930" s="115"/>
      <c r="L1930" s="160">
        <v>44846</v>
      </c>
      <c r="M1930" s="115">
        <v>669.15</v>
      </c>
      <c r="N1930" s="115">
        <v>676.5</v>
      </c>
      <c r="O1930" s="115">
        <v>665.15</v>
      </c>
      <c r="P1930" s="115">
        <v>676.5</v>
      </c>
      <c r="Q1930" s="115">
        <v>669.15</v>
      </c>
      <c r="R1930">
        <v>8454</v>
      </c>
    </row>
    <row r="1931" spans="1:18" x14ac:dyDescent="0.25">
      <c r="A1931" s="160">
        <v>44874</v>
      </c>
      <c r="B1931" s="115">
        <v>1250</v>
      </c>
      <c r="C1931" s="115">
        <v>1164.3</v>
      </c>
      <c r="D1931" s="115">
        <v>1155.05</v>
      </c>
      <c r="E1931" s="115">
        <v>1250</v>
      </c>
      <c r="F1931" s="115">
        <v>1164.3</v>
      </c>
      <c r="G1931">
        <v>1085</v>
      </c>
      <c r="H1931" s="115"/>
      <c r="I1931" s="115"/>
      <c r="L1931" s="160">
        <v>44847</v>
      </c>
      <c r="M1931" s="115">
        <v>684.7</v>
      </c>
      <c r="N1931" s="115">
        <v>688.95</v>
      </c>
      <c r="O1931" s="115">
        <v>671</v>
      </c>
      <c r="P1931" s="115">
        <v>672.5</v>
      </c>
      <c r="Q1931" s="115">
        <v>684.7</v>
      </c>
      <c r="R1931">
        <v>27555</v>
      </c>
    </row>
    <row r="1932" spans="1:18" x14ac:dyDescent="0.25">
      <c r="A1932" s="160">
        <v>44875</v>
      </c>
      <c r="B1932" s="115">
        <v>1225</v>
      </c>
      <c r="C1932" s="115">
        <v>1212.5999999999999</v>
      </c>
      <c r="D1932" s="115">
        <v>1150</v>
      </c>
      <c r="E1932" s="115">
        <v>1160</v>
      </c>
      <c r="F1932" s="115">
        <v>1212.5999999999999</v>
      </c>
      <c r="G1932">
        <v>4808</v>
      </c>
      <c r="H1932" s="115"/>
      <c r="I1932" s="115"/>
      <c r="L1932" s="160">
        <v>44848</v>
      </c>
      <c r="M1932" s="115">
        <v>673.9</v>
      </c>
      <c r="N1932" s="115">
        <v>691.55</v>
      </c>
      <c r="O1932" s="115">
        <v>672.05</v>
      </c>
      <c r="P1932" s="115">
        <v>688</v>
      </c>
      <c r="Q1932" s="115">
        <v>673.9</v>
      </c>
      <c r="R1932">
        <v>12547</v>
      </c>
    </row>
    <row r="1933" spans="1:18" x14ac:dyDescent="0.25">
      <c r="A1933" s="160">
        <v>44876</v>
      </c>
      <c r="B1933" s="115">
        <v>1320</v>
      </c>
      <c r="C1933" s="115">
        <v>1314.85</v>
      </c>
      <c r="D1933" s="115">
        <v>1224.3</v>
      </c>
      <c r="E1933" s="115">
        <v>1234.9000000000001</v>
      </c>
      <c r="F1933" s="115">
        <v>1314.85</v>
      </c>
      <c r="G1933">
        <v>4158</v>
      </c>
      <c r="H1933" s="115"/>
      <c r="I1933" s="115"/>
      <c r="L1933" s="160">
        <v>44851</v>
      </c>
      <c r="M1933" s="115">
        <v>669.85</v>
      </c>
      <c r="N1933" s="115">
        <v>674.8</v>
      </c>
      <c r="O1933" s="115">
        <v>662</v>
      </c>
      <c r="P1933" s="115">
        <v>673.95</v>
      </c>
      <c r="Q1933" s="115">
        <v>669.85</v>
      </c>
      <c r="R1933">
        <v>21407</v>
      </c>
    </row>
    <row r="1934" spans="1:18" x14ac:dyDescent="0.25">
      <c r="A1934" s="160">
        <v>44879</v>
      </c>
      <c r="B1934" s="115">
        <v>1354</v>
      </c>
      <c r="C1934" s="115">
        <v>1308.55</v>
      </c>
      <c r="D1934" s="115">
        <v>1297.7</v>
      </c>
      <c r="E1934" s="115">
        <v>1331</v>
      </c>
      <c r="F1934" s="115">
        <v>1308.55</v>
      </c>
      <c r="G1934">
        <v>5380</v>
      </c>
      <c r="H1934" s="115"/>
      <c r="I1934" s="115"/>
      <c r="L1934" s="160">
        <v>44852</v>
      </c>
      <c r="M1934" s="115">
        <v>669.5</v>
      </c>
      <c r="N1934" s="115">
        <v>675</v>
      </c>
      <c r="O1934" s="115">
        <v>665.75</v>
      </c>
      <c r="P1934" s="115">
        <v>670.05</v>
      </c>
      <c r="Q1934" s="115">
        <v>669.5</v>
      </c>
      <c r="R1934">
        <v>8678</v>
      </c>
    </row>
    <row r="1935" spans="1:18" x14ac:dyDescent="0.25">
      <c r="A1935" s="160">
        <v>44880</v>
      </c>
      <c r="B1935" s="115">
        <v>1347.85</v>
      </c>
      <c r="C1935" s="115">
        <v>1267.7</v>
      </c>
      <c r="D1935" s="115">
        <v>1265</v>
      </c>
      <c r="E1935" s="115">
        <v>1347.85</v>
      </c>
      <c r="F1935" s="115">
        <v>1267.7</v>
      </c>
      <c r="G1935">
        <v>991</v>
      </c>
      <c r="H1935" s="115"/>
      <c r="I1935" s="115"/>
      <c r="L1935" s="160">
        <v>44853</v>
      </c>
      <c r="M1935" s="115">
        <v>673.4</v>
      </c>
      <c r="N1935" s="115">
        <v>676</v>
      </c>
      <c r="O1935" s="115">
        <v>665.25</v>
      </c>
      <c r="P1935" s="115">
        <v>672.85</v>
      </c>
      <c r="Q1935" s="115">
        <v>673.4</v>
      </c>
      <c r="R1935">
        <v>4839</v>
      </c>
    </row>
    <row r="1936" spans="1:18" x14ac:dyDescent="0.25">
      <c r="A1936" s="160">
        <v>44881</v>
      </c>
      <c r="B1936" s="115">
        <v>1300</v>
      </c>
      <c r="C1936" s="115">
        <v>1282.9000000000001</v>
      </c>
      <c r="D1936" s="115">
        <v>1262.05</v>
      </c>
      <c r="E1936" s="115">
        <v>1288.8</v>
      </c>
      <c r="F1936" s="115">
        <v>1282.9000000000001</v>
      </c>
      <c r="G1936">
        <v>1098</v>
      </c>
      <c r="H1936" s="115"/>
      <c r="I1936" s="115"/>
      <c r="L1936" s="160">
        <v>44854</v>
      </c>
      <c r="M1936" s="115">
        <v>672.75</v>
      </c>
      <c r="N1936" s="115">
        <v>676.2</v>
      </c>
      <c r="O1936" s="115">
        <v>660</v>
      </c>
      <c r="P1936" s="115">
        <v>672.85</v>
      </c>
      <c r="Q1936" s="115">
        <v>672.75</v>
      </c>
      <c r="R1936">
        <v>4999</v>
      </c>
    </row>
    <row r="1937" spans="1:18" x14ac:dyDescent="0.25">
      <c r="A1937" s="160">
        <v>44882</v>
      </c>
      <c r="B1937" s="115">
        <v>1299.95</v>
      </c>
      <c r="C1937" s="115">
        <v>1281.8</v>
      </c>
      <c r="D1937" s="115">
        <v>1275.7</v>
      </c>
      <c r="E1937" s="115">
        <v>1275.7</v>
      </c>
      <c r="F1937" s="115">
        <v>1281.8</v>
      </c>
      <c r="G1937">
        <v>532</v>
      </c>
      <c r="H1937" s="115"/>
      <c r="I1937" s="115"/>
      <c r="L1937" s="160">
        <v>44855</v>
      </c>
      <c r="M1937" s="115">
        <v>670.2</v>
      </c>
      <c r="N1937" s="115">
        <v>674</v>
      </c>
      <c r="O1937" s="115">
        <v>667.6</v>
      </c>
      <c r="P1937" s="115">
        <v>674</v>
      </c>
      <c r="Q1937" s="115">
        <v>670.2</v>
      </c>
      <c r="R1937">
        <v>3766</v>
      </c>
    </row>
    <row r="1938" spans="1:18" x14ac:dyDescent="0.25">
      <c r="A1938" s="160">
        <v>44883</v>
      </c>
      <c r="B1938" s="115">
        <v>1291.9000000000001</v>
      </c>
      <c r="C1938" s="115">
        <v>1263.0999999999999</v>
      </c>
      <c r="D1938" s="115">
        <v>1263.05</v>
      </c>
      <c r="E1938" s="115">
        <v>1281.05</v>
      </c>
      <c r="F1938" s="115">
        <v>1263.0999999999999</v>
      </c>
      <c r="G1938">
        <v>303</v>
      </c>
      <c r="H1938" s="115"/>
      <c r="I1938" s="115"/>
      <c r="L1938" s="160">
        <v>44858</v>
      </c>
      <c r="M1938" s="115">
        <v>679.3</v>
      </c>
      <c r="N1938" s="115">
        <v>686</v>
      </c>
      <c r="O1938" s="115">
        <v>676.2</v>
      </c>
      <c r="P1938" s="115">
        <v>676.85</v>
      </c>
      <c r="Q1938" s="115">
        <v>679.3</v>
      </c>
      <c r="R1938">
        <v>2952</v>
      </c>
    </row>
    <row r="1939" spans="1:18" x14ac:dyDescent="0.25">
      <c r="A1939" s="160">
        <v>44886</v>
      </c>
      <c r="B1939" s="115">
        <v>1263.0999999999999</v>
      </c>
      <c r="C1939" s="115">
        <v>1238.95</v>
      </c>
      <c r="D1939" s="115">
        <v>1225</v>
      </c>
      <c r="E1939" s="115">
        <v>1263.0999999999999</v>
      </c>
      <c r="F1939" s="115">
        <v>1238.95</v>
      </c>
      <c r="G1939">
        <v>1045</v>
      </c>
      <c r="H1939" s="115"/>
      <c r="I1939" s="115"/>
      <c r="L1939" s="160">
        <v>44859</v>
      </c>
      <c r="M1939" s="115">
        <v>680.05</v>
      </c>
      <c r="N1939" s="115">
        <v>682.7</v>
      </c>
      <c r="O1939" s="115">
        <v>674.6</v>
      </c>
      <c r="P1939" s="115">
        <v>682.7</v>
      </c>
      <c r="Q1939" s="115">
        <v>680.05</v>
      </c>
      <c r="R1939">
        <v>3995</v>
      </c>
    </row>
    <row r="1940" spans="1:18" x14ac:dyDescent="0.25">
      <c r="A1940" s="160">
        <v>44887</v>
      </c>
      <c r="B1940" s="115">
        <v>1240</v>
      </c>
      <c r="C1940" s="115">
        <v>1235</v>
      </c>
      <c r="D1940" s="115">
        <v>1205.25</v>
      </c>
      <c r="E1940" s="115">
        <v>1222</v>
      </c>
      <c r="F1940" s="115">
        <v>1235</v>
      </c>
      <c r="G1940">
        <v>913</v>
      </c>
      <c r="H1940" s="115"/>
      <c r="I1940" s="115"/>
      <c r="L1940" s="160">
        <v>44861</v>
      </c>
      <c r="M1940" s="115">
        <v>685.05</v>
      </c>
      <c r="N1940" s="115">
        <v>689.9</v>
      </c>
      <c r="O1940" s="115">
        <v>680.05</v>
      </c>
      <c r="P1940" s="115">
        <v>685.05</v>
      </c>
      <c r="Q1940" s="115">
        <v>685.05</v>
      </c>
      <c r="R1940">
        <v>6337</v>
      </c>
    </row>
    <row r="1941" spans="1:18" x14ac:dyDescent="0.25">
      <c r="A1941" s="160">
        <v>44888</v>
      </c>
      <c r="B1941" s="115">
        <v>1239.8</v>
      </c>
      <c r="C1941" s="115">
        <v>1215.95</v>
      </c>
      <c r="D1941" s="115">
        <v>1210.1500000000001</v>
      </c>
      <c r="E1941" s="115">
        <v>1218</v>
      </c>
      <c r="F1941" s="115">
        <v>1215.95</v>
      </c>
      <c r="G1941">
        <v>969</v>
      </c>
      <c r="H1941" s="115"/>
      <c r="I1941" s="115"/>
      <c r="L1941" s="160">
        <v>44862</v>
      </c>
      <c r="M1941" s="115">
        <v>722.6</v>
      </c>
      <c r="N1941" s="115">
        <v>742</v>
      </c>
      <c r="O1941" s="115">
        <v>720</v>
      </c>
      <c r="P1941" s="115">
        <v>740</v>
      </c>
      <c r="Q1941" s="115">
        <v>722.6</v>
      </c>
      <c r="R1941">
        <v>273574</v>
      </c>
    </row>
    <row r="1942" spans="1:18" x14ac:dyDescent="0.25">
      <c r="A1942" s="160">
        <v>44889</v>
      </c>
      <c r="B1942" s="115">
        <v>1354.95</v>
      </c>
      <c r="C1942" s="115">
        <v>1305.4000000000001</v>
      </c>
      <c r="D1942" s="115">
        <v>1215</v>
      </c>
      <c r="E1942" s="115">
        <v>1215</v>
      </c>
      <c r="F1942" s="115">
        <v>1305.4000000000001</v>
      </c>
      <c r="G1942">
        <v>5765</v>
      </c>
      <c r="H1942" s="115"/>
      <c r="I1942" s="115"/>
      <c r="L1942" s="160">
        <v>44865</v>
      </c>
      <c r="M1942" s="115">
        <v>727.8</v>
      </c>
      <c r="N1942" s="115">
        <v>729</v>
      </c>
      <c r="O1942" s="115">
        <v>710.6</v>
      </c>
      <c r="P1942" s="115">
        <v>722.6</v>
      </c>
      <c r="Q1942" s="115">
        <v>727.8</v>
      </c>
      <c r="R1942">
        <v>34411</v>
      </c>
    </row>
    <row r="1943" spans="1:18" x14ac:dyDescent="0.25">
      <c r="A1943" s="160">
        <v>44890</v>
      </c>
      <c r="B1943" s="115">
        <v>1356</v>
      </c>
      <c r="C1943" s="115">
        <v>1330.8</v>
      </c>
      <c r="D1943" s="115">
        <v>1300</v>
      </c>
      <c r="E1943" s="115">
        <v>1306</v>
      </c>
      <c r="F1943" s="115">
        <v>1330.8</v>
      </c>
      <c r="G1943">
        <v>2937</v>
      </c>
      <c r="H1943" s="115"/>
      <c r="I1943" s="115"/>
      <c r="L1943" s="160">
        <v>44866</v>
      </c>
      <c r="M1943" s="115">
        <v>730.6</v>
      </c>
      <c r="N1943" s="115">
        <v>745</v>
      </c>
      <c r="O1943" s="115">
        <v>720.6</v>
      </c>
      <c r="P1943" s="115">
        <v>735.9</v>
      </c>
      <c r="Q1943" s="115">
        <v>730.6</v>
      </c>
      <c r="R1943">
        <v>385847</v>
      </c>
    </row>
    <row r="1944" spans="1:18" x14ac:dyDescent="0.25">
      <c r="A1944" s="160">
        <v>44893</v>
      </c>
      <c r="B1944" s="115">
        <v>1353</v>
      </c>
      <c r="C1944" s="115">
        <v>1300.0999999999999</v>
      </c>
      <c r="D1944" s="115">
        <v>1290</v>
      </c>
      <c r="E1944" s="115">
        <v>1325</v>
      </c>
      <c r="F1944" s="115">
        <v>1300.0999999999999</v>
      </c>
      <c r="G1944">
        <v>2103</v>
      </c>
      <c r="H1944" s="115"/>
      <c r="I1944" s="115"/>
      <c r="L1944" s="160">
        <v>44867</v>
      </c>
      <c r="M1944" s="115">
        <v>723.95</v>
      </c>
      <c r="N1944" s="115">
        <v>738.85</v>
      </c>
      <c r="O1944" s="115">
        <v>721.4</v>
      </c>
      <c r="P1944" s="115">
        <v>734.9</v>
      </c>
      <c r="Q1944" s="115">
        <v>723.95</v>
      </c>
      <c r="R1944">
        <v>53882</v>
      </c>
    </row>
    <row r="1945" spans="1:18" x14ac:dyDescent="0.25">
      <c r="A1945" s="160">
        <v>44894</v>
      </c>
      <c r="B1945" s="115">
        <v>1315</v>
      </c>
      <c r="C1945" s="115">
        <v>1293.45</v>
      </c>
      <c r="D1945" s="115">
        <v>1275.1500000000001</v>
      </c>
      <c r="E1945" s="115">
        <v>1300.2</v>
      </c>
      <c r="F1945" s="115">
        <v>1293.45</v>
      </c>
      <c r="G1945">
        <v>2410</v>
      </c>
      <c r="H1945" s="115"/>
      <c r="I1945" s="115"/>
      <c r="L1945" s="160">
        <v>44868</v>
      </c>
      <c r="M1945" s="115">
        <v>726.5</v>
      </c>
      <c r="N1945" s="115">
        <v>730</v>
      </c>
      <c r="O1945" s="115">
        <v>724</v>
      </c>
      <c r="P1945" s="115">
        <v>727.6</v>
      </c>
      <c r="Q1945" s="115">
        <v>726.5</v>
      </c>
      <c r="R1945">
        <v>23706</v>
      </c>
    </row>
    <row r="1946" spans="1:18" x14ac:dyDescent="0.25">
      <c r="A1946" s="160">
        <v>44895</v>
      </c>
      <c r="B1946" s="115">
        <v>1290</v>
      </c>
      <c r="C1946" s="115">
        <v>1269.95</v>
      </c>
      <c r="D1946" s="115">
        <v>1267</v>
      </c>
      <c r="E1946" s="115">
        <v>1290</v>
      </c>
      <c r="F1946" s="115">
        <v>1269.95</v>
      </c>
      <c r="G1946">
        <v>1380</v>
      </c>
      <c r="H1946" s="115"/>
      <c r="I1946" s="115"/>
      <c r="L1946" s="160">
        <v>44869</v>
      </c>
      <c r="M1946" s="115">
        <v>727.6</v>
      </c>
      <c r="N1946" s="115">
        <v>733.1</v>
      </c>
      <c r="O1946" s="115">
        <v>725.05</v>
      </c>
      <c r="P1946" s="115">
        <v>729</v>
      </c>
      <c r="Q1946" s="115">
        <v>727.6</v>
      </c>
      <c r="R1946">
        <v>22011</v>
      </c>
    </row>
    <row r="1947" spans="1:18" x14ac:dyDescent="0.25">
      <c r="A1947" s="160">
        <v>44896</v>
      </c>
      <c r="B1947" s="115">
        <v>1285.7</v>
      </c>
      <c r="C1947" s="115">
        <v>1276.45</v>
      </c>
      <c r="D1947" s="115">
        <v>1260.1500000000001</v>
      </c>
      <c r="E1947" s="115">
        <v>1269</v>
      </c>
      <c r="F1947" s="115">
        <v>1276.45</v>
      </c>
      <c r="G1947">
        <v>754</v>
      </c>
      <c r="H1947" s="115"/>
      <c r="I1947" s="115"/>
      <c r="L1947" s="160">
        <v>44872</v>
      </c>
      <c r="M1947" s="115">
        <v>730.4</v>
      </c>
      <c r="N1947" s="115">
        <v>733</v>
      </c>
      <c r="O1947" s="115">
        <v>729</v>
      </c>
      <c r="P1947" s="115">
        <v>729.8</v>
      </c>
      <c r="Q1947" s="115">
        <v>730.4</v>
      </c>
      <c r="R1947">
        <v>21703</v>
      </c>
    </row>
    <row r="1948" spans="1:18" x14ac:dyDescent="0.25">
      <c r="A1948" s="160">
        <v>44897</v>
      </c>
      <c r="B1948" s="115">
        <v>1299.9000000000001</v>
      </c>
      <c r="C1948" s="115">
        <v>1287.95</v>
      </c>
      <c r="D1948" s="115">
        <v>1270</v>
      </c>
      <c r="E1948" s="115">
        <v>1270</v>
      </c>
      <c r="F1948" s="115">
        <v>1287.95</v>
      </c>
      <c r="G1948">
        <v>966</v>
      </c>
      <c r="H1948" s="115"/>
      <c r="I1948" s="115"/>
      <c r="L1948" s="160">
        <v>44874</v>
      </c>
      <c r="M1948" s="115">
        <v>732.95</v>
      </c>
      <c r="N1948" s="115">
        <v>739.9</v>
      </c>
      <c r="O1948" s="115">
        <v>730.5</v>
      </c>
      <c r="P1948" s="115">
        <v>732</v>
      </c>
      <c r="Q1948" s="115">
        <v>732.95</v>
      </c>
      <c r="R1948">
        <v>27006</v>
      </c>
    </row>
    <row r="1949" spans="1:18" x14ac:dyDescent="0.25">
      <c r="A1949" s="160">
        <v>44900</v>
      </c>
      <c r="B1949" s="115">
        <v>1299.95</v>
      </c>
      <c r="C1949" s="115">
        <v>1285.2</v>
      </c>
      <c r="D1949" s="115">
        <v>1274.05</v>
      </c>
      <c r="E1949" s="115">
        <v>1274.0999999999999</v>
      </c>
      <c r="F1949" s="115">
        <v>1285.2</v>
      </c>
      <c r="G1949">
        <v>452</v>
      </c>
      <c r="H1949" s="115"/>
      <c r="I1949" s="115"/>
      <c r="L1949" s="160">
        <v>44875</v>
      </c>
      <c r="M1949" s="115">
        <v>726.65</v>
      </c>
      <c r="N1949" s="115">
        <v>734.85</v>
      </c>
      <c r="O1949" s="115">
        <v>725.1</v>
      </c>
      <c r="P1949" s="115">
        <v>732.95</v>
      </c>
      <c r="Q1949" s="115">
        <v>726.65</v>
      </c>
      <c r="R1949">
        <v>13277</v>
      </c>
    </row>
    <row r="1950" spans="1:18" x14ac:dyDescent="0.25">
      <c r="A1950" s="160">
        <v>44901</v>
      </c>
      <c r="B1950" s="115">
        <v>1295</v>
      </c>
      <c r="C1950" s="115">
        <v>1277.2</v>
      </c>
      <c r="D1950" s="115">
        <v>1270</v>
      </c>
      <c r="E1950" s="115">
        <v>1270</v>
      </c>
      <c r="F1950" s="115">
        <v>1277.2</v>
      </c>
      <c r="G1950">
        <v>427</v>
      </c>
      <c r="H1950" s="115"/>
      <c r="I1950" s="115"/>
      <c r="L1950" s="160">
        <v>44876</v>
      </c>
      <c r="M1950" s="115">
        <v>731.35</v>
      </c>
      <c r="N1950" s="115">
        <v>733.95</v>
      </c>
      <c r="O1950" s="115">
        <v>728</v>
      </c>
      <c r="P1950" s="115">
        <v>730.3</v>
      </c>
      <c r="Q1950" s="115">
        <v>731.35</v>
      </c>
      <c r="R1950">
        <v>13582</v>
      </c>
    </row>
    <row r="1951" spans="1:18" x14ac:dyDescent="0.25">
      <c r="A1951" s="160">
        <v>44902</v>
      </c>
      <c r="B1951" s="115">
        <v>1296.5</v>
      </c>
      <c r="C1951" s="115">
        <v>1288.95</v>
      </c>
      <c r="D1951" s="115">
        <v>1280</v>
      </c>
      <c r="E1951" s="115">
        <v>1285</v>
      </c>
      <c r="F1951" s="115">
        <v>1288.95</v>
      </c>
      <c r="G1951">
        <v>293</v>
      </c>
      <c r="H1951" s="115"/>
      <c r="I1951" s="115"/>
      <c r="L1951" s="160">
        <v>44879</v>
      </c>
      <c r="M1951" s="115">
        <v>729.05</v>
      </c>
      <c r="N1951" s="115">
        <v>738.5</v>
      </c>
      <c r="O1951" s="115">
        <v>725.05</v>
      </c>
      <c r="P1951" s="115">
        <v>735.05</v>
      </c>
      <c r="Q1951" s="115">
        <v>729.05</v>
      </c>
      <c r="R1951">
        <v>22253</v>
      </c>
    </row>
    <row r="1952" spans="1:18" x14ac:dyDescent="0.25">
      <c r="A1952" s="160">
        <v>44903</v>
      </c>
      <c r="B1952" s="115">
        <v>1320</v>
      </c>
      <c r="C1952" s="115">
        <v>1277.4000000000001</v>
      </c>
      <c r="D1952" s="115">
        <v>1251</v>
      </c>
      <c r="E1952" s="115">
        <v>1271</v>
      </c>
      <c r="F1952" s="115">
        <v>1277.4000000000001</v>
      </c>
      <c r="G1952">
        <v>857</v>
      </c>
      <c r="H1952" s="115"/>
      <c r="I1952" s="115"/>
      <c r="L1952" s="160">
        <v>44880</v>
      </c>
      <c r="M1952" s="115">
        <v>733</v>
      </c>
      <c r="N1952" s="115">
        <v>734.5</v>
      </c>
      <c r="O1952" s="115">
        <v>729.1</v>
      </c>
      <c r="P1952" s="115">
        <v>732.7</v>
      </c>
      <c r="Q1952" s="115">
        <v>733</v>
      </c>
      <c r="R1952">
        <v>18841</v>
      </c>
    </row>
    <row r="1953" spans="1:18" x14ac:dyDescent="0.25">
      <c r="A1953" s="160">
        <v>44904</v>
      </c>
      <c r="B1953" s="115">
        <v>1285</v>
      </c>
      <c r="C1953" s="115">
        <v>1268.55</v>
      </c>
      <c r="D1953" s="115">
        <v>1250</v>
      </c>
      <c r="E1953" s="115">
        <v>1271.2</v>
      </c>
      <c r="F1953" s="115">
        <v>1268.55</v>
      </c>
      <c r="G1953">
        <v>511</v>
      </c>
      <c r="H1953" s="115"/>
      <c r="I1953" s="115"/>
      <c r="L1953" s="160">
        <v>44881</v>
      </c>
      <c r="M1953" s="115">
        <v>735.9</v>
      </c>
      <c r="N1953" s="115">
        <v>743</v>
      </c>
      <c r="O1953" s="115">
        <v>732.05</v>
      </c>
      <c r="P1953" s="115">
        <v>738.7</v>
      </c>
      <c r="Q1953" s="115">
        <v>735.9</v>
      </c>
      <c r="R1953">
        <v>41194</v>
      </c>
    </row>
    <row r="1954" spans="1:18" x14ac:dyDescent="0.25">
      <c r="A1954" s="160">
        <v>44907</v>
      </c>
      <c r="B1954" s="115">
        <v>1284</v>
      </c>
      <c r="C1954" s="115">
        <v>1264.0999999999999</v>
      </c>
      <c r="D1954" s="115">
        <v>1253</v>
      </c>
      <c r="E1954" s="115">
        <v>1253</v>
      </c>
      <c r="F1954" s="115">
        <v>1264.0999999999999</v>
      </c>
      <c r="G1954">
        <v>422</v>
      </c>
      <c r="H1954" s="115"/>
      <c r="I1954" s="115"/>
      <c r="L1954" s="160">
        <v>44882</v>
      </c>
      <c r="M1954" s="115">
        <v>707.8</v>
      </c>
      <c r="N1954" s="115">
        <v>715.3</v>
      </c>
      <c r="O1954" s="115">
        <v>700</v>
      </c>
      <c r="P1954" s="115">
        <v>715.3</v>
      </c>
      <c r="Q1954" s="115">
        <v>707.8</v>
      </c>
      <c r="R1954">
        <v>35742</v>
      </c>
    </row>
    <row r="1955" spans="1:18" x14ac:dyDescent="0.25">
      <c r="A1955" s="160">
        <v>44908</v>
      </c>
      <c r="B1955" s="115">
        <v>1279.95</v>
      </c>
      <c r="C1955" s="115">
        <v>1251.8499999999999</v>
      </c>
      <c r="D1955" s="115">
        <v>1250.25</v>
      </c>
      <c r="E1955" s="115">
        <v>1275</v>
      </c>
      <c r="F1955" s="115">
        <v>1251.8499999999999</v>
      </c>
      <c r="G1955">
        <v>394</v>
      </c>
      <c r="H1955" s="115"/>
      <c r="I1955" s="115"/>
      <c r="L1955" s="160">
        <v>44883</v>
      </c>
      <c r="M1955" s="115">
        <v>709.15</v>
      </c>
      <c r="N1955" s="115">
        <v>715.4</v>
      </c>
      <c r="O1955" s="115">
        <v>703.05</v>
      </c>
      <c r="P1955" s="115">
        <v>707.8</v>
      </c>
      <c r="Q1955" s="115">
        <v>709.15</v>
      </c>
      <c r="R1955">
        <v>12614</v>
      </c>
    </row>
    <row r="1956" spans="1:18" x14ac:dyDescent="0.25">
      <c r="A1956" s="160">
        <v>44909</v>
      </c>
      <c r="B1956" s="115">
        <v>1281</v>
      </c>
      <c r="C1956" s="115">
        <v>1276.05</v>
      </c>
      <c r="D1956" s="115">
        <v>1252.0999999999999</v>
      </c>
      <c r="E1956" s="115">
        <v>1255.05</v>
      </c>
      <c r="F1956" s="115">
        <v>1276.05</v>
      </c>
      <c r="G1956">
        <v>1732</v>
      </c>
      <c r="H1956" s="115"/>
      <c r="I1956" s="115"/>
      <c r="L1956" s="160">
        <v>44886</v>
      </c>
      <c r="M1956" s="115">
        <v>706.15</v>
      </c>
      <c r="N1956" s="115">
        <v>720</v>
      </c>
      <c r="O1956" s="115">
        <v>700</v>
      </c>
      <c r="P1956" s="115">
        <v>709</v>
      </c>
      <c r="Q1956" s="115">
        <v>706.15</v>
      </c>
      <c r="R1956">
        <v>36629</v>
      </c>
    </row>
    <row r="1957" spans="1:18" x14ac:dyDescent="0.25">
      <c r="A1957" s="160">
        <v>44910</v>
      </c>
      <c r="B1957" s="115">
        <v>1289</v>
      </c>
      <c r="C1957" s="115">
        <v>1277.3</v>
      </c>
      <c r="D1957" s="115">
        <v>1267</v>
      </c>
      <c r="E1957" s="115">
        <v>1267.55</v>
      </c>
      <c r="F1957" s="115">
        <v>1277.3</v>
      </c>
      <c r="G1957">
        <v>1063</v>
      </c>
      <c r="H1957" s="115"/>
      <c r="I1957" s="115"/>
      <c r="L1957" s="160">
        <v>44887</v>
      </c>
      <c r="M1957" s="115">
        <v>703.9</v>
      </c>
      <c r="N1957" s="115">
        <v>707</v>
      </c>
      <c r="O1957" s="115">
        <v>699.9</v>
      </c>
      <c r="P1957" s="115">
        <v>701.15</v>
      </c>
      <c r="Q1957" s="115">
        <v>703.9</v>
      </c>
      <c r="R1957">
        <v>25121</v>
      </c>
    </row>
    <row r="1958" spans="1:18" x14ac:dyDescent="0.25">
      <c r="A1958" s="160">
        <v>44911</v>
      </c>
      <c r="B1958" s="115">
        <v>1375.9</v>
      </c>
      <c r="C1958" s="115">
        <v>1317.2</v>
      </c>
      <c r="D1958" s="115">
        <v>1281.0999999999999</v>
      </c>
      <c r="E1958" s="115">
        <v>1289</v>
      </c>
      <c r="F1958" s="115">
        <v>1317.2</v>
      </c>
      <c r="G1958">
        <v>5309</v>
      </c>
      <c r="H1958" s="115"/>
      <c r="I1958" s="115"/>
      <c r="L1958" s="160">
        <v>44888</v>
      </c>
      <c r="M1958" s="115">
        <v>700.5</v>
      </c>
      <c r="N1958" s="115">
        <v>714.05</v>
      </c>
      <c r="O1958" s="115">
        <v>700</v>
      </c>
      <c r="P1958" s="115">
        <v>707</v>
      </c>
      <c r="Q1958" s="115">
        <v>700.5</v>
      </c>
      <c r="R1958">
        <v>22831</v>
      </c>
    </row>
    <row r="1959" spans="1:18" x14ac:dyDescent="0.25">
      <c r="A1959" s="160">
        <v>44914</v>
      </c>
      <c r="B1959" s="115">
        <v>1339.7</v>
      </c>
      <c r="C1959" s="115">
        <v>1311.7</v>
      </c>
      <c r="D1959" s="115">
        <v>1310</v>
      </c>
      <c r="E1959" s="115">
        <v>1339.7</v>
      </c>
      <c r="F1959" s="115">
        <v>1311.7</v>
      </c>
      <c r="G1959">
        <v>347</v>
      </c>
      <c r="H1959" s="115"/>
      <c r="I1959" s="115"/>
      <c r="L1959" s="160">
        <v>44889</v>
      </c>
      <c r="M1959" s="115">
        <v>703.05</v>
      </c>
      <c r="N1959" s="115">
        <v>712.5</v>
      </c>
      <c r="O1959" s="115">
        <v>701</v>
      </c>
      <c r="P1959" s="115">
        <v>704.05</v>
      </c>
      <c r="Q1959" s="115">
        <v>703.05</v>
      </c>
      <c r="R1959">
        <v>12185</v>
      </c>
    </row>
    <row r="1960" spans="1:18" x14ac:dyDescent="0.25">
      <c r="A1960" s="160">
        <v>44915</v>
      </c>
      <c r="B1960" s="115">
        <v>1329</v>
      </c>
      <c r="C1960" s="115">
        <v>1306.1500000000001</v>
      </c>
      <c r="D1960" s="115">
        <v>1299.95</v>
      </c>
      <c r="E1960" s="115">
        <v>1329</v>
      </c>
      <c r="F1960" s="115">
        <v>1306.1500000000001</v>
      </c>
      <c r="G1960">
        <v>2289</v>
      </c>
      <c r="H1960" s="115"/>
      <c r="I1960" s="115"/>
      <c r="L1960" s="160">
        <v>44890</v>
      </c>
      <c r="M1960" s="115">
        <v>702.15</v>
      </c>
      <c r="N1960" s="115">
        <v>711.95</v>
      </c>
      <c r="O1960" s="115">
        <v>701</v>
      </c>
      <c r="P1960" s="115">
        <v>706.6</v>
      </c>
      <c r="Q1960" s="115">
        <v>702.15</v>
      </c>
      <c r="R1960">
        <v>31545</v>
      </c>
    </row>
    <row r="1961" spans="1:18" x14ac:dyDescent="0.25">
      <c r="A1961" s="160">
        <v>44916</v>
      </c>
      <c r="B1961" s="115">
        <v>1309</v>
      </c>
      <c r="C1961" s="115">
        <v>1283.5</v>
      </c>
      <c r="D1961" s="115">
        <v>1280</v>
      </c>
      <c r="E1961" s="115">
        <v>1285.2</v>
      </c>
      <c r="F1961" s="115">
        <v>1283.5</v>
      </c>
      <c r="G1961">
        <v>2238</v>
      </c>
      <c r="H1961" s="115"/>
      <c r="I1961" s="115"/>
      <c r="L1961" s="160">
        <v>44893</v>
      </c>
      <c r="M1961" s="115">
        <v>706.65</v>
      </c>
      <c r="N1961" s="115">
        <v>712.95</v>
      </c>
      <c r="O1961" s="115">
        <v>703</v>
      </c>
      <c r="P1961" s="115">
        <v>705</v>
      </c>
      <c r="Q1961" s="115">
        <v>706.65</v>
      </c>
      <c r="R1961">
        <v>24975</v>
      </c>
    </row>
    <row r="1962" spans="1:18" x14ac:dyDescent="0.25">
      <c r="A1962" s="160">
        <v>44917</v>
      </c>
      <c r="B1962" s="115">
        <v>1292</v>
      </c>
      <c r="C1962" s="115">
        <v>1247.9000000000001</v>
      </c>
      <c r="D1962" s="115">
        <v>1230</v>
      </c>
      <c r="E1962" s="115">
        <v>1271</v>
      </c>
      <c r="F1962" s="115">
        <v>1247.9000000000001</v>
      </c>
      <c r="G1962">
        <v>2935</v>
      </c>
      <c r="H1962" s="115"/>
      <c r="I1962" s="115"/>
      <c r="L1962" s="160">
        <v>44894</v>
      </c>
      <c r="M1962" s="115">
        <v>705.75</v>
      </c>
      <c r="N1962" s="115">
        <v>714.3</v>
      </c>
      <c r="O1962" s="115">
        <v>705</v>
      </c>
      <c r="P1962" s="115">
        <v>706.75</v>
      </c>
      <c r="Q1962" s="115">
        <v>705.75</v>
      </c>
      <c r="R1962">
        <v>26553</v>
      </c>
    </row>
    <row r="1963" spans="1:18" x14ac:dyDescent="0.25">
      <c r="A1963" s="160">
        <v>44918</v>
      </c>
      <c r="B1963" s="115">
        <v>1245</v>
      </c>
      <c r="C1963" s="115">
        <v>1180.8499999999999</v>
      </c>
      <c r="D1963" s="115">
        <v>1173</v>
      </c>
      <c r="E1963" s="115">
        <v>1245</v>
      </c>
      <c r="F1963" s="115">
        <v>1180.8499999999999</v>
      </c>
      <c r="G1963">
        <v>2052</v>
      </c>
      <c r="H1963" s="115"/>
      <c r="I1963" s="115"/>
      <c r="L1963" s="160">
        <v>44895</v>
      </c>
      <c r="M1963" s="115">
        <v>705.3</v>
      </c>
      <c r="N1963" s="115">
        <v>713.95</v>
      </c>
      <c r="O1963" s="115">
        <v>700.05</v>
      </c>
      <c r="P1963" s="115">
        <v>711</v>
      </c>
      <c r="Q1963" s="115">
        <v>705.3</v>
      </c>
      <c r="R1963">
        <v>15642</v>
      </c>
    </row>
    <row r="1964" spans="1:18" x14ac:dyDescent="0.25">
      <c r="A1964" s="160">
        <v>44921</v>
      </c>
      <c r="B1964" s="115">
        <v>1240</v>
      </c>
      <c r="C1964" s="115">
        <v>1215.3499999999999</v>
      </c>
      <c r="D1964" s="115">
        <v>1161</v>
      </c>
      <c r="E1964" s="115">
        <v>1182</v>
      </c>
      <c r="F1964" s="115">
        <v>1215.3499999999999</v>
      </c>
      <c r="G1964">
        <v>1519</v>
      </c>
      <c r="H1964" s="115"/>
      <c r="I1964" s="115"/>
      <c r="L1964" s="160">
        <v>44896</v>
      </c>
      <c r="M1964" s="115">
        <v>712.6</v>
      </c>
      <c r="N1964" s="115">
        <v>714</v>
      </c>
      <c r="O1964" s="115">
        <v>706</v>
      </c>
      <c r="P1964" s="115">
        <v>706</v>
      </c>
      <c r="Q1964" s="115">
        <v>712.6</v>
      </c>
      <c r="R1964">
        <v>10252</v>
      </c>
    </row>
    <row r="1965" spans="1:18" x14ac:dyDescent="0.25">
      <c r="A1965" s="160">
        <v>44922</v>
      </c>
      <c r="B1965" s="115">
        <v>1225</v>
      </c>
      <c r="C1965" s="115">
        <v>1207.0999999999999</v>
      </c>
      <c r="D1965" s="115">
        <v>1205</v>
      </c>
      <c r="E1965" s="115">
        <v>1225</v>
      </c>
      <c r="F1965" s="115">
        <v>1207.0999999999999</v>
      </c>
      <c r="G1965">
        <v>798</v>
      </c>
      <c r="H1965" s="115"/>
      <c r="I1965" s="115"/>
      <c r="L1965" s="160">
        <v>44897</v>
      </c>
      <c r="M1965" s="115">
        <v>705.3</v>
      </c>
      <c r="N1965" s="115">
        <v>716.15</v>
      </c>
      <c r="O1965" s="115">
        <v>702</v>
      </c>
      <c r="P1965" s="115">
        <v>712.6</v>
      </c>
      <c r="Q1965" s="115">
        <v>705.3</v>
      </c>
      <c r="R1965">
        <v>8395</v>
      </c>
    </row>
    <row r="1966" spans="1:18" x14ac:dyDescent="0.25">
      <c r="A1966" s="160">
        <v>44923</v>
      </c>
      <c r="B1966" s="115">
        <v>1240</v>
      </c>
      <c r="C1966" s="115">
        <v>1201.05</v>
      </c>
      <c r="D1966" s="115">
        <v>1165</v>
      </c>
      <c r="E1966" s="115">
        <v>1180</v>
      </c>
      <c r="F1966" s="115">
        <v>1201.05</v>
      </c>
      <c r="G1966">
        <v>410</v>
      </c>
      <c r="H1966" s="115"/>
      <c r="I1966" s="115"/>
      <c r="L1966" s="160">
        <v>44900</v>
      </c>
      <c r="M1966" s="115">
        <v>701.45</v>
      </c>
      <c r="N1966" s="115">
        <v>714.8</v>
      </c>
      <c r="O1966" s="115">
        <v>698.65</v>
      </c>
      <c r="P1966" s="115">
        <v>714</v>
      </c>
      <c r="Q1966" s="115">
        <v>701.45</v>
      </c>
      <c r="R1966">
        <v>29201</v>
      </c>
    </row>
    <row r="1967" spans="1:18" x14ac:dyDescent="0.25">
      <c r="A1967" s="160">
        <v>44924</v>
      </c>
      <c r="B1967" s="115">
        <v>1219</v>
      </c>
      <c r="C1967" s="115">
        <v>1218.25</v>
      </c>
      <c r="D1967" s="115">
        <v>1200</v>
      </c>
      <c r="E1967" s="115">
        <v>1201.0999999999999</v>
      </c>
      <c r="F1967" s="115">
        <v>1218.25</v>
      </c>
      <c r="G1967">
        <v>850</v>
      </c>
      <c r="H1967" s="115"/>
      <c r="I1967" s="115"/>
      <c r="L1967" s="160">
        <v>44901</v>
      </c>
      <c r="M1967" s="115">
        <v>698.1</v>
      </c>
      <c r="N1967" s="115">
        <v>709</v>
      </c>
      <c r="O1967" s="115">
        <v>693.05</v>
      </c>
      <c r="P1967" s="115">
        <v>704.9</v>
      </c>
      <c r="Q1967" s="115">
        <v>698.1</v>
      </c>
      <c r="R1967">
        <v>23242</v>
      </c>
    </row>
    <row r="1968" spans="1:18" x14ac:dyDescent="0.25">
      <c r="A1968" s="160">
        <v>44925</v>
      </c>
      <c r="B1968" s="115">
        <v>1350.05</v>
      </c>
      <c r="C1968" s="115">
        <v>1309.1500000000001</v>
      </c>
      <c r="D1968" s="115">
        <v>1207</v>
      </c>
      <c r="E1968" s="115">
        <v>1218</v>
      </c>
      <c r="F1968" s="115">
        <v>1309.1500000000001</v>
      </c>
      <c r="G1968">
        <v>8299</v>
      </c>
      <c r="H1968" s="115"/>
      <c r="I1968" s="115"/>
      <c r="L1968" s="160">
        <v>44902</v>
      </c>
      <c r="M1968" s="115">
        <v>697</v>
      </c>
      <c r="N1968" s="115">
        <v>703.15</v>
      </c>
      <c r="O1968" s="115">
        <v>692.1</v>
      </c>
      <c r="P1968" s="115">
        <v>700.1</v>
      </c>
      <c r="Q1968" s="115">
        <v>697</v>
      </c>
      <c r="R1968">
        <v>11033</v>
      </c>
    </row>
    <row r="1969" spans="1:18" x14ac:dyDescent="0.25">
      <c r="A1969" s="160">
        <v>44928</v>
      </c>
      <c r="B1969" s="115">
        <v>1346.8</v>
      </c>
      <c r="C1969" s="115">
        <v>1327.5</v>
      </c>
      <c r="D1969" s="115">
        <v>1293.25</v>
      </c>
      <c r="E1969" s="115">
        <v>1309.1500000000001</v>
      </c>
      <c r="F1969" s="115">
        <v>1327.5</v>
      </c>
      <c r="G1969">
        <v>1922</v>
      </c>
      <c r="H1969" s="115"/>
      <c r="I1969" s="115"/>
      <c r="L1969" s="160">
        <v>44903</v>
      </c>
      <c r="M1969" s="115">
        <v>699.5</v>
      </c>
      <c r="N1969" s="115">
        <v>709.9</v>
      </c>
      <c r="O1969" s="115">
        <v>695</v>
      </c>
      <c r="P1969" s="115">
        <v>695</v>
      </c>
      <c r="Q1969" s="115">
        <v>699.5</v>
      </c>
      <c r="R1969">
        <v>20122</v>
      </c>
    </row>
    <row r="1970" spans="1:18" x14ac:dyDescent="0.25">
      <c r="A1970" s="160">
        <v>44929</v>
      </c>
      <c r="B1970" s="115">
        <v>1350</v>
      </c>
      <c r="C1970" s="115">
        <v>1283.05</v>
      </c>
      <c r="D1970" s="115">
        <v>1276</v>
      </c>
      <c r="E1970" s="115">
        <v>1350</v>
      </c>
      <c r="F1970" s="115">
        <v>1283.05</v>
      </c>
      <c r="G1970">
        <v>2470</v>
      </c>
      <c r="H1970" s="115"/>
      <c r="I1970" s="115"/>
      <c r="L1970" s="160">
        <v>44904</v>
      </c>
      <c r="M1970" s="115">
        <v>697.65</v>
      </c>
      <c r="N1970" s="115">
        <v>704.95</v>
      </c>
      <c r="O1970" s="115">
        <v>690.1</v>
      </c>
      <c r="P1970" s="115">
        <v>700</v>
      </c>
      <c r="Q1970" s="115">
        <v>697.65</v>
      </c>
      <c r="R1970">
        <v>15041</v>
      </c>
    </row>
    <row r="1971" spans="1:18" x14ac:dyDescent="0.25">
      <c r="A1971" s="160">
        <v>44930</v>
      </c>
      <c r="B1971" s="115">
        <v>1319.95</v>
      </c>
      <c r="C1971" s="115">
        <v>1314.1</v>
      </c>
      <c r="D1971" s="115">
        <v>1266.05</v>
      </c>
      <c r="E1971" s="115">
        <v>1309.95</v>
      </c>
      <c r="F1971" s="115">
        <v>1314.1</v>
      </c>
      <c r="G1971">
        <v>2170</v>
      </c>
      <c r="H1971" s="115"/>
      <c r="I1971" s="115"/>
      <c r="L1971" s="160">
        <v>44907</v>
      </c>
      <c r="M1971" s="115">
        <v>695.9</v>
      </c>
      <c r="N1971" s="115">
        <v>701.15</v>
      </c>
      <c r="O1971" s="115">
        <v>687</v>
      </c>
      <c r="P1971" s="115">
        <v>701.15</v>
      </c>
      <c r="Q1971" s="115">
        <v>695.9</v>
      </c>
      <c r="R1971">
        <v>16172</v>
      </c>
    </row>
    <row r="1972" spans="1:18" x14ac:dyDescent="0.25">
      <c r="A1972" s="160">
        <v>44931</v>
      </c>
      <c r="B1972" s="115">
        <v>1350</v>
      </c>
      <c r="C1972" s="115">
        <v>1331.95</v>
      </c>
      <c r="D1972" s="115">
        <v>1296.05</v>
      </c>
      <c r="E1972" s="115">
        <v>1333</v>
      </c>
      <c r="F1972" s="115">
        <v>1331.95</v>
      </c>
      <c r="G1972">
        <v>4133</v>
      </c>
      <c r="H1972" s="115"/>
      <c r="I1972" s="115"/>
      <c r="L1972" s="160">
        <v>44908</v>
      </c>
      <c r="M1972" s="115">
        <v>694.15</v>
      </c>
      <c r="N1972" s="115">
        <v>705.2</v>
      </c>
      <c r="O1972" s="115">
        <v>690</v>
      </c>
      <c r="P1972" s="115">
        <v>697.85</v>
      </c>
      <c r="Q1972" s="115">
        <v>694.15</v>
      </c>
      <c r="R1972">
        <v>18857</v>
      </c>
    </row>
    <row r="1973" spans="1:18" x14ac:dyDescent="0.25">
      <c r="A1973" s="160">
        <v>44932</v>
      </c>
      <c r="B1973" s="115">
        <v>1430</v>
      </c>
      <c r="C1973" s="115">
        <v>1412.05</v>
      </c>
      <c r="D1973" s="115">
        <v>1320</v>
      </c>
      <c r="E1973" s="115">
        <v>1347</v>
      </c>
      <c r="F1973" s="115">
        <v>1412.05</v>
      </c>
      <c r="G1973">
        <v>6084</v>
      </c>
      <c r="H1973" s="115"/>
      <c r="I1973" s="115"/>
      <c r="L1973" s="160">
        <v>44909</v>
      </c>
      <c r="M1973" s="115">
        <v>697.45</v>
      </c>
      <c r="N1973" s="115">
        <v>701.9</v>
      </c>
      <c r="O1973" s="115">
        <v>694.05</v>
      </c>
      <c r="P1973" s="115">
        <v>697</v>
      </c>
      <c r="Q1973" s="115">
        <v>697.45</v>
      </c>
      <c r="R1973">
        <v>7578</v>
      </c>
    </row>
    <row r="1974" spans="1:18" x14ac:dyDescent="0.25">
      <c r="A1974" s="160">
        <v>44935</v>
      </c>
      <c r="B1974" s="115">
        <v>1450</v>
      </c>
      <c r="C1974" s="115">
        <v>1418.5</v>
      </c>
      <c r="D1974" s="115">
        <v>1405.05</v>
      </c>
      <c r="E1974" s="115">
        <v>1440</v>
      </c>
      <c r="F1974" s="115">
        <v>1418.5</v>
      </c>
      <c r="G1974">
        <v>1138</v>
      </c>
      <c r="H1974" s="115"/>
      <c r="I1974" s="115"/>
      <c r="L1974" s="160">
        <v>44910</v>
      </c>
      <c r="M1974" s="115">
        <v>699.7</v>
      </c>
      <c r="N1974" s="115">
        <v>704.25</v>
      </c>
      <c r="O1974" s="115">
        <v>696.3</v>
      </c>
      <c r="P1974" s="115">
        <v>700.95</v>
      </c>
      <c r="Q1974" s="115">
        <v>699.7</v>
      </c>
      <c r="R1974">
        <v>11716</v>
      </c>
    </row>
    <row r="1975" spans="1:18" x14ac:dyDescent="0.25">
      <c r="A1975" s="160">
        <v>44936</v>
      </c>
      <c r="B1975" s="115">
        <v>1425</v>
      </c>
      <c r="C1975" s="115">
        <v>1350.85</v>
      </c>
      <c r="D1975" s="115">
        <v>1340.1</v>
      </c>
      <c r="E1975" s="115">
        <v>1425</v>
      </c>
      <c r="F1975" s="115">
        <v>1350.85</v>
      </c>
      <c r="G1975">
        <v>2093</v>
      </c>
      <c r="H1975" s="115"/>
      <c r="I1975" s="115"/>
      <c r="L1975" s="160">
        <v>44911</v>
      </c>
      <c r="M1975" s="115">
        <v>697.3</v>
      </c>
      <c r="N1975" s="115">
        <v>703.9</v>
      </c>
      <c r="O1975" s="115">
        <v>693.05</v>
      </c>
      <c r="P1975" s="115">
        <v>699.75</v>
      </c>
      <c r="Q1975" s="115">
        <v>697.3</v>
      </c>
      <c r="R1975">
        <v>11611</v>
      </c>
    </row>
    <row r="1976" spans="1:18" x14ac:dyDescent="0.25">
      <c r="A1976" s="160">
        <v>44937</v>
      </c>
      <c r="B1976" s="115">
        <v>1420</v>
      </c>
      <c r="C1976" s="115">
        <v>1402.3</v>
      </c>
      <c r="D1976" s="115">
        <v>1366.2</v>
      </c>
      <c r="E1976" s="115">
        <v>1396.45</v>
      </c>
      <c r="F1976" s="115">
        <v>1402.3</v>
      </c>
      <c r="G1976">
        <v>1295</v>
      </c>
      <c r="H1976" s="115"/>
      <c r="I1976" s="115"/>
      <c r="L1976" s="160">
        <v>44914</v>
      </c>
      <c r="M1976" s="115">
        <v>704.5</v>
      </c>
      <c r="N1976" s="115">
        <v>710</v>
      </c>
      <c r="O1976" s="115">
        <v>697.3</v>
      </c>
      <c r="P1976" s="115">
        <v>697.3</v>
      </c>
      <c r="Q1976" s="115">
        <v>704.5</v>
      </c>
      <c r="R1976">
        <v>13738</v>
      </c>
    </row>
    <row r="1977" spans="1:18" x14ac:dyDescent="0.25">
      <c r="A1977" s="160">
        <v>44938</v>
      </c>
      <c r="B1977" s="115">
        <v>1417.95</v>
      </c>
      <c r="C1977" s="115">
        <v>1406.55</v>
      </c>
      <c r="D1977" s="115">
        <v>1385</v>
      </c>
      <c r="E1977" s="115">
        <v>1412</v>
      </c>
      <c r="F1977" s="115">
        <v>1406.55</v>
      </c>
      <c r="G1977">
        <v>850</v>
      </c>
      <c r="H1977" s="115"/>
      <c r="I1977" s="115"/>
      <c r="L1977" s="160">
        <v>44915</v>
      </c>
      <c r="M1977" s="115">
        <v>714.15</v>
      </c>
      <c r="N1977" s="115">
        <v>722.3</v>
      </c>
      <c r="O1977" s="115">
        <v>702.05</v>
      </c>
      <c r="P1977" s="115">
        <v>704</v>
      </c>
      <c r="Q1977" s="115">
        <v>714.15</v>
      </c>
      <c r="R1977">
        <v>39275</v>
      </c>
    </row>
    <row r="1978" spans="1:18" x14ac:dyDescent="0.25">
      <c r="A1978" s="160">
        <v>44939</v>
      </c>
      <c r="B1978" s="115">
        <v>1460</v>
      </c>
      <c r="C1978" s="115">
        <v>1446.55</v>
      </c>
      <c r="D1978" s="115">
        <v>1405</v>
      </c>
      <c r="E1978" s="115">
        <v>1411</v>
      </c>
      <c r="F1978" s="115">
        <v>1446.55</v>
      </c>
      <c r="G1978">
        <v>4104</v>
      </c>
      <c r="H1978" s="115"/>
      <c r="I1978" s="115"/>
      <c r="L1978" s="160">
        <v>44916</v>
      </c>
      <c r="M1978" s="115">
        <v>699.75</v>
      </c>
      <c r="N1978" s="115">
        <v>718.35</v>
      </c>
      <c r="O1978" s="115">
        <v>698.05</v>
      </c>
      <c r="P1978" s="115">
        <v>717.45</v>
      </c>
      <c r="Q1978" s="115">
        <v>699.75</v>
      </c>
      <c r="R1978">
        <v>12376</v>
      </c>
    </row>
    <row r="1979" spans="1:18" x14ac:dyDescent="0.25">
      <c r="A1979" s="160">
        <v>44942</v>
      </c>
      <c r="B1979" s="115">
        <v>1495</v>
      </c>
      <c r="C1979" s="115">
        <v>1478.85</v>
      </c>
      <c r="D1979" s="115">
        <v>1440</v>
      </c>
      <c r="E1979" s="115">
        <v>1479.25</v>
      </c>
      <c r="F1979" s="115">
        <v>1478.85</v>
      </c>
      <c r="G1979">
        <v>2602</v>
      </c>
      <c r="H1979" s="115"/>
      <c r="I1979" s="115"/>
      <c r="L1979" s="160">
        <v>44917</v>
      </c>
      <c r="M1979" s="115">
        <v>695.45</v>
      </c>
      <c r="N1979" s="115">
        <v>712.7</v>
      </c>
      <c r="O1979" s="115">
        <v>692</v>
      </c>
      <c r="P1979" s="115">
        <v>710</v>
      </c>
      <c r="Q1979" s="115">
        <v>695.45</v>
      </c>
      <c r="R1979">
        <v>22387</v>
      </c>
    </row>
    <row r="1980" spans="1:18" x14ac:dyDescent="0.25">
      <c r="A1980" s="160">
        <v>44943</v>
      </c>
      <c r="B1980" s="115">
        <v>1480</v>
      </c>
      <c r="C1980" s="115">
        <v>1450.7</v>
      </c>
      <c r="D1980" s="115">
        <v>1437</v>
      </c>
      <c r="E1980" s="115">
        <v>1475</v>
      </c>
      <c r="F1980" s="115">
        <v>1450.7</v>
      </c>
      <c r="G1980">
        <v>828</v>
      </c>
      <c r="H1980" s="115"/>
      <c r="I1980" s="115"/>
      <c r="L1980" s="160">
        <v>44918</v>
      </c>
      <c r="M1980" s="115">
        <v>665.25</v>
      </c>
      <c r="N1980" s="115">
        <v>698.95</v>
      </c>
      <c r="O1980" s="115">
        <v>661.05</v>
      </c>
      <c r="P1980" s="115">
        <v>693.5</v>
      </c>
      <c r="Q1980" s="115">
        <v>665.25</v>
      </c>
      <c r="R1980">
        <v>21027</v>
      </c>
    </row>
    <row r="1981" spans="1:18" x14ac:dyDescent="0.25">
      <c r="A1981" s="160">
        <v>44944</v>
      </c>
      <c r="B1981" s="115">
        <v>1469.8</v>
      </c>
      <c r="C1981" s="115">
        <v>1436.55</v>
      </c>
      <c r="D1981" s="115">
        <v>1426.05</v>
      </c>
      <c r="E1981" s="115">
        <v>1469.8</v>
      </c>
      <c r="F1981" s="115">
        <v>1436.55</v>
      </c>
      <c r="G1981">
        <v>643</v>
      </c>
      <c r="H1981" s="115"/>
      <c r="I1981" s="115"/>
      <c r="L1981" s="160">
        <v>44921</v>
      </c>
      <c r="M1981" s="115">
        <v>687.95</v>
      </c>
      <c r="N1981" s="115">
        <v>722</v>
      </c>
      <c r="O1981" s="115">
        <v>647</v>
      </c>
      <c r="P1981" s="115">
        <v>665.25</v>
      </c>
      <c r="Q1981" s="115">
        <v>687.95</v>
      </c>
      <c r="R1981">
        <v>43197</v>
      </c>
    </row>
    <row r="1982" spans="1:18" x14ac:dyDescent="0.25">
      <c r="A1982" s="160">
        <v>44945</v>
      </c>
      <c r="B1982" s="115">
        <v>1469.95</v>
      </c>
      <c r="C1982" s="115">
        <v>1443.6</v>
      </c>
      <c r="D1982" s="115">
        <v>1390.25</v>
      </c>
      <c r="E1982" s="115">
        <v>1437.05</v>
      </c>
      <c r="F1982" s="115">
        <v>1443.6</v>
      </c>
      <c r="G1982">
        <v>2195</v>
      </c>
      <c r="H1982" s="115"/>
      <c r="I1982" s="115"/>
      <c r="L1982" s="160">
        <v>44922</v>
      </c>
      <c r="M1982" s="115">
        <v>690.35</v>
      </c>
      <c r="N1982" s="115">
        <v>701.05</v>
      </c>
      <c r="O1982" s="115">
        <v>686.1</v>
      </c>
      <c r="P1982" s="115">
        <v>687.95</v>
      </c>
      <c r="Q1982" s="115">
        <v>690.35</v>
      </c>
      <c r="R1982">
        <v>13605</v>
      </c>
    </row>
    <row r="1983" spans="1:18" x14ac:dyDescent="0.25">
      <c r="A1983" s="160">
        <v>44946</v>
      </c>
      <c r="B1983" s="115">
        <v>1455</v>
      </c>
      <c r="C1983" s="115">
        <v>1420.7</v>
      </c>
      <c r="D1983" s="115">
        <v>1390</v>
      </c>
      <c r="E1983" s="115">
        <v>1455</v>
      </c>
      <c r="F1983" s="115">
        <v>1420.7</v>
      </c>
      <c r="G1983">
        <v>1628</v>
      </c>
      <c r="H1983" s="115"/>
      <c r="I1983" s="115"/>
      <c r="L1983" s="160">
        <v>44923</v>
      </c>
      <c r="M1983" s="115">
        <v>688.3</v>
      </c>
      <c r="N1983" s="115">
        <v>693.85</v>
      </c>
      <c r="O1983" s="115">
        <v>686.45</v>
      </c>
      <c r="P1983" s="115">
        <v>693.85</v>
      </c>
      <c r="Q1983" s="115">
        <v>688.3</v>
      </c>
      <c r="R1983">
        <v>7432</v>
      </c>
    </row>
    <row r="1984" spans="1:18" x14ac:dyDescent="0.25">
      <c r="A1984" s="160">
        <v>44949</v>
      </c>
      <c r="B1984" s="115">
        <v>1450</v>
      </c>
      <c r="C1984" s="115">
        <v>1427.8</v>
      </c>
      <c r="D1984" s="115">
        <v>1371.6</v>
      </c>
      <c r="E1984" s="115">
        <v>1371.6</v>
      </c>
      <c r="F1984" s="115">
        <v>1427.8</v>
      </c>
      <c r="G1984">
        <v>711</v>
      </c>
      <c r="H1984" s="115"/>
      <c r="I1984" s="115"/>
      <c r="L1984" s="160">
        <v>44924</v>
      </c>
      <c r="M1984" s="115">
        <v>701.25</v>
      </c>
      <c r="N1984" s="115">
        <v>708.9</v>
      </c>
      <c r="O1984" s="115">
        <v>678.05</v>
      </c>
      <c r="P1984" s="115">
        <v>689</v>
      </c>
      <c r="Q1984" s="115">
        <v>701.25</v>
      </c>
      <c r="R1984">
        <v>29349</v>
      </c>
    </row>
    <row r="1985" spans="1:18" x14ac:dyDescent="0.25">
      <c r="A1985" s="160">
        <v>44950</v>
      </c>
      <c r="B1985" s="115">
        <v>1440</v>
      </c>
      <c r="C1985" s="115">
        <v>1424</v>
      </c>
      <c r="D1985" s="115">
        <v>1376</v>
      </c>
      <c r="E1985" s="115">
        <v>1400</v>
      </c>
      <c r="F1985" s="115">
        <v>1424</v>
      </c>
      <c r="G1985">
        <v>411</v>
      </c>
      <c r="H1985" s="115"/>
      <c r="I1985" s="115"/>
      <c r="L1985" s="160">
        <v>44925</v>
      </c>
      <c r="M1985" s="115">
        <v>712.8</v>
      </c>
      <c r="N1985" s="115">
        <v>721.5</v>
      </c>
      <c r="O1985" s="115">
        <v>701.25</v>
      </c>
      <c r="P1985" s="115">
        <v>701.25</v>
      </c>
      <c r="Q1985" s="115">
        <v>712.8</v>
      </c>
      <c r="R1985">
        <v>20617</v>
      </c>
    </row>
    <row r="1986" spans="1:18" x14ac:dyDescent="0.25">
      <c r="A1986" s="160">
        <v>44951</v>
      </c>
      <c r="B1986" s="115">
        <v>1419.95</v>
      </c>
      <c r="C1986" s="115">
        <v>1408.55</v>
      </c>
      <c r="D1986" s="115">
        <v>1390.1</v>
      </c>
      <c r="E1986" s="115">
        <v>1400</v>
      </c>
      <c r="F1986" s="115">
        <v>1408.55</v>
      </c>
      <c r="G1986">
        <v>262</v>
      </c>
      <c r="H1986" s="115"/>
      <c r="I1986" s="115"/>
      <c r="L1986" s="160">
        <v>44928</v>
      </c>
      <c r="M1986" s="115">
        <v>721.05</v>
      </c>
      <c r="N1986" s="115">
        <v>745</v>
      </c>
      <c r="O1986" s="115">
        <v>705.55</v>
      </c>
      <c r="P1986" s="115">
        <v>714</v>
      </c>
      <c r="Q1986" s="115">
        <v>721.05</v>
      </c>
      <c r="R1986">
        <v>65125</v>
      </c>
    </row>
    <row r="1987" spans="1:18" x14ac:dyDescent="0.25">
      <c r="A1987" s="160">
        <v>44953</v>
      </c>
      <c r="B1987" s="115">
        <v>1423.95</v>
      </c>
      <c r="C1987" s="115">
        <v>1405.85</v>
      </c>
      <c r="D1987" s="115">
        <v>1379.9</v>
      </c>
      <c r="E1987" s="115">
        <v>1410</v>
      </c>
      <c r="F1987" s="115">
        <v>1405.85</v>
      </c>
      <c r="G1987">
        <v>1495</v>
      </c>
      <c r="H1987" s="115"/>
      <c r="I1987" s="115"/>
      <c r="L1987" s="160">
        <v>44929</v>
      </c>
      <c r="M1987" s="115">
        <v>719.85</v>
      </c>
      <c r="N1987" s="115">
        <v>728.25</v>
      </c>
      <c r="O1987" s="115">
        <v>713.95</v>
      </c>
      <c r="P1987" s="115">
        <v>728.25</v>
      </c>
      <c r="Q1987" s="115">
        <v>719.85</v>
      </c>
      <c r="R1987">
        <v>6719</v>
      </c>
    </row>
    <row r="1988" spans="1:18" x14ac:dyDescent="0.25">
      <c r="A1988" s="160">
        <v>44956</v>
      </c>
      <c r="B1988" s="115">
        <v>1465</v>
      </c>
      <c r="C1988" s="115">
        <v>1454.75</v>
      </c>
      <c r="D1988" s="115">
        <v>1390</v>
      </c>
      <c r="E1988" s="115">
        <v>1415</v>
      </c>
      <c r="F1988" s="115">
        <v>1454.75</v>
      </c>
      <c r="G1988">
        <v>4267</v>
      </c>
      <c r="H1988" s="115"/>
      <c r="I1988" s="115"/>
      <c r="L1988" s="160">
        <v>44930</v>
      </c>
      <c r="M1988" s="115">
        <v>708.4</v>
      </c>
      <c r="N1988" s="115">
        <v>725.9</v>
      </c>
      <c r="O1988" s="115">
        <v>705.7</v>
      </c>
      <c r="P1988" s="115">
        <v>719</v>
      </c>
      <c r="Q1988" s="115">
        <v>708.4</v>
      </c>
      <c r="R1988">
        <v>11380</v>
      </c>
    </row>
    <row r="1989" spans="1:18" x14ac:dyDescent="0.25">
      <c r="A1989" s="160">
        <v>44957</v>
      </c>
      <c r="B1989" s="115">
        <v>1512</v>
      </c>
      <c r="C1989" s="115">
        <v>1490.7</v>
      </c>
      <c r="D1989" s="115">
        <v>1410.1</v>
      </c>
      <c r="E1989" s="115">
        <v>1474</v>
      </c>
      <c r="F1989" s="115">
        <v>1490.7</v>
      </c>
      <c r="G1989">
        <v>7179</v>
      </c>
      <c r="H1989" s="115"/>
      <c r="I1989" s="115"/>
      <c r="L1989" s="160">
        <v>44931</v>
      </c>
      <c r="M1989" s="115">
        <v>699.8</v>
      </c>
      <c r="N1989" s="115">
        <v>711.3</v>
      </c>
      <c r="O1989" s="115">
        <v>691.8</v>
      </c>
      <c r="P1989" s="115">
        <v>705.75</v>
      </c>
      <c r="Q1989" s="115">
        <v>699.8</v>
      </c>
      <c r="R1989">
        <v>20687</v>
      </c>
    </row>
    <row r="1990" spans="1:18" x14ac:dyDescent="0.25">
      <c r="A1990" s="160">
        <v>44958</v>
      </c>
      <c r="B1990" s="115">
        <v>1615</v>
      </c>
      <c r="C1990" s="115">
        <v>1496.6</v>
      </c>
      <c r="D1990" s="115">
        <v>1475</v>
      </c>
      <c r="E1990" s="115">
        <v>1595</v>
      </c>
      <c r="F1990" s="115">
        <v>1496.6</v>
      </c>
      <c r="G1990">
        <v>15352</v>
      </c>
      <c r="H1990" s="115"/>
      <c r="I1990" s="115"/>
      <c r="L1990" s="160">
        <v>44932</v>
      </c>
      <c r="M1990" s="115">
        <v>721.75</v>
      </c>
      <c r="N1990" s="115">
        <v>743.75</v>
      </c>
      <c r="O1990" s="115">
        <v>699.8</v>
      </c>
      <c r="P1990" s="115">
        <v>699.8</v>
      </c>
      <c r="Q1990" s="115">
        <v>721.75</v>
      </c>
      <c r="R1990">
        <v>155472</v>
      </c>
    </row>
    <row r="1991" spans="1:18" x14ac:dyDescent="0.25">
      <c r="A1991" s="160">
        <v>44959</v>
      </c>
      <c r="B1991" s="115">
        <v>1500</v>
      </c>
      <c r="C1991" s="115">
        <v>1477.75</v>
      </c>
      <c r="D1991" s="115">
        <v>1460.3</v>
      </c>
      <c r="E1991" s="115">
        <v>1500</v>
      </c>
      <c r="F1991" s="115">
        <v>1477.75</v>
      </c>
      <c r="G1991">
        <v>1114</v>
      </c>
      <c r="H1991" s="115"/>
      <c r="I1991" s="115"/>
      <c r="L1991" s="160">
        <v>44935</v>
      </c>
      <c r="M1991" s="115">
        <v>724.7</v>
      </c>
      <c r="N1991" s="115">
        <v>740</v>
      </c>
      <c r="O1991" s="115">
        <v>721.45</v>
      </c>
      <c r="P1991" s="115">
        <v>734.7</v>
      </c>
      <c r="Q1991" s="115">
        <v>724.7</v>
      </c>
      <c r="R1991">
        <v>21218</v>
      </c>
    </row>
    <row r="1992" spans="1:18" x14ac:dyDescent="0.25">
      <c r="A1992" s="160">
        <v>44960</v>
      </c>
      <c r="B1992" s="115">
        <v>1500</v>
      </c>
      <c r="C1992" s="115">
        <v>1465.4</v>
      </c>
      <c r="D1992" s="115">
        <v>1449</v>
      </c>
      <c r="E1992" s="115">
        <v>1450</v>
      </c>
      <c r="F1992" s="115">
        <v>1465.4</v>
      </c>
      <c r="G1992">
        <v>1674</v>
      </c>
      <c r="H1992" s="115"/>
      <c r="I1992" s="115"/>
      <c r="L1992" s="160">
        <v>44936</v>
      </c>
      <c r="M1992" s="115">
        <v>732.45</v>
      </c>
      <c r="N1992" s="115">
        <v>738.1</v>
      </c>
      <c r="O1992" s="115">
        <v>725</v>
      </c>
      <c r="P1992" s="115">
        <v>732</v>
      </c>
      <c r="Q1992" s="115">
        <v>732.45</v>
      </c>
      <c r="R1992">
        <v>13638</v>
      </c>
    </row>
    <row r="1993" spans="1:18" x14ac:dyDescent="0.25">
      <c r="A1993" s="160">
        <v>44963</v>
      </c>
      <c r="B1993" s="115">
        <v>1500</v>
      </c>
      <c r="C1993" s="115">
        <v>1497.4</v>
      </c>
      <c r="D1993" s="115">
        <v>1467</v>
      </c>
      <c r="E1993" s="115">
        <v>1467</v>
      </c>
      <c r="F1993" s="115">
        <v>1497.4</v>
      </c>
      <c r="G1993">
        <v>1185</v>
      </c>
      <c r="H1993" s="115"/>
      <c r="I1993" s="115"/>
      <c r="L1993" s="160">
        <v>44937</v>
      </c>
      <c r="M1993" s="115">
        <v>730</v>
      </c>
      <c r="N1993" s="115">
        <v>734.95</v>
      </c>
      <c r="O1993" s="115">
        <v>725</v>
      </c>
      <c r="P1993" s="115">
        <v>732</v>
      </c>
      <c r="Q1993" s="115">
        <v>730</v>
      </c>
      <c r="R1993">
        <v>12298</v>
      </c>
    </row>
    <row r="1994" spans="1:18" x14ac:dyDescent="0.25">
      <c r="A1994" s="160">
        <v>44964</v>
      </c>
      <c r="B1994" s="115">
        <v>1525</v>
      </c>
      <c r="C1994" s="115">
        <v>1494.4</v>
      </c>
      <c r="D1994" s="115">
        <v>1490</v>
      </c>
      <c r="E1994" s="115">
        <v>1521.25</v>
      </c>
      <c r="F1994" s="115">
        <v>1494.4</v>
      </c>
      <c r="G1994">
        <v>614</v>
      </c>
      <c r="H1994" s="115"/>
      <c r="I1994" s="115"/>
      <c r="L1994" s="160">
        <v>44938</v>
      </c>
      <c r="M1994" s="115">
        <v>723.85</v>
      </c>
      <c r="N1994" s="115">
        <v>729.75</v>
      </c>
      <c r="O1994" s="115">
        <v>720</v>
      </c>
      <c r="P1994" s="115">
        <v>727</v>
      </c>
      <c r="Q1994" s="115">
        <v>723.85</v>
      </c>
      <c r="R1994">
        <v>13061</v>
      </c>
    </row>
    <row r="1995" spans="1:18" x14ac:dyDescent="0.25">
      <c r="A1995" s="160">
        <v>44965</v>
      </c>
      <c r="B1995" s="115">
        <v>1535</v>
      </c>
      <c r="C1995" s="115">
        <v>1530.8</v>
      </c>
      <c r="D1995" s="115">
        <v>1460.1</v>
      </c>
      <c r="E1995" s="115">
        <v>1488</v>
      </c>
      <c r="F1995" s="115">
        <v>1530.8</v>
      </c>
      <c r="G1995">
        <v>1955</v>
      </c>
      <c r="H1995" s="115"/>
      <c r="I1995" s="115"/>
      <c r="L1995" s="160">
        <v>44939</v>
      </c>
      <c r="M1995" s="115">
        <v>719.3</v>
      </c>
      <c r="N1995" s="115">
        <v>723</v>
      </c>
      <c r="O1995" s="115">
        <v>715.85</v>
      </c>
      <c r="P1995" s="115">
        <v>720</v>
      </c>
      <c r="Q1995" s="115">
        <v>719.3</v>
      </c>
      <c r="R1995">
        <v>12544</v>
      </c>
    </row>
    <row r="1996" spans="1:18" x14ac:dyDescent="0.25">
      <c r="A1996" s="160">
        <v>44966</v>
      </c>
      <c r="B1996" s="115">
        <v>1550</v>
      </c>
      <c r="C1996" s="115">
        <v>1539.9</v>
      </c>
      <c r="D1996" s="115">
        <v>1505</v>
      </c>
      <c r="E1996" s="115">
        <v>1550</v>
      </c>
      <c r="F1996" s="115">
        <v>1539.9</v>
      </c>
      <c r="G1996">
        <v>1146</v>
      </c>
      <c r="H1996" s="115"/>
      <c r="I1996" s="115"/>
      <c r="L1996" s="160">
        <v>44942</v>
      </c>
      <c r="M1996" s="115">
        <v>715.15</v>
      </c>
      <c r="N1996" s="115">
        <v>722.9</v>
      </c>
      <c r="O1996" s="115">
        <v>714</v>
      </c>
      <c r="P1996" s="115">
        <v>722.9</v>
      </c>
      <c r="Q1996" s="115">
        <v>715.15</v>
      </c>
      <c r="R1996">
        <v>8601</v>
      </c>
    </row>
    <row r="1997" spans="1:18" x14ac:dyDescent="0.25">
      <c r="A1997" s="160">
        <v>44967</v>
      </c>
      <c r="B1997" s="115">
        <v>1580</v>
      </c>
      <c r="C1997" s="115">
        <v>1573.15</v>
      </c>
      <c r="D1997" s="115">
        <v>1500</v>
      </c>
      <c r="E1997" s="115">
        <v>1505</v>
      </c>
      <c r="F1997" s="115">
        <v>1573.15</v>
      </c>
      <c r="G1997">
        <v>1845</v>
      </c>
      <c r="H1997" s="115"/>
      <c r="I1997" s="115"/>
      <c r="L1997" s="160">
        <v>44943</v>
      </c>
      <c r="M1997" s="115">
        <v>712.6</v>
      </c>
      <c r="N1997" s="115">
        <v>718.35</v>
      </c>
      <c r="O1997" s="115">
        <v>710</v>
      </c>
      <c r="P1997" s="115">
        <v>718</v>
      </c>
      <c r="Q1997" s="115">
        <v>712.6</v>
      </c>
      <c r="R1997">
        <v>9581</v>
      </c>
    </row>
    <row r="1998" spans="1:18" x14ac:dyDescent="0.25">
      <c r="A1998" s="160">
        <v>44970</v>
      </c>
      <c r="B1998" s="115">
        <v>1590</v>
      </c>
      <c r="C1998" s="115">
        <v>1579.8</v>
      </c>
      <c r="D1998" s="115">
        <v>1560</v>
      </c>
      <c r="E1998" s="115">
        <v>1573.15</v>
      </c>
      <c r="F1998" s="115">
        <v>1579.8</v>
      </c>
      <c r="G1998">
        <v>789</v>
      </c>
      <c r="H1998" s="115"/>
      <c r="I1998" s="115"/>
      <c r="L1998" s="160">
        <v>44944</v>
      </c>
      <c r="M1998" s="115">
        <v>714.45</v>
      </c>
      <c r="N1998" s="115">
        <v>721.95</v>
      </c>
      <c r="O1998" s="115">
        <v>712.35</v>
      </c>
      <c r="P1998" s="115">
        <v>716.2</v>
      </c>
      <c r="Q1998" s="115">
        <v>714.45</v>
      </c>
      <c r="R1998">
        <v>5630</v>
      </c>
    </row>
    <row r="1999" spans="1:18" x14ac:dyDescent="0.25">
      <c r="A1999" s="160">
        <v>44971</v>
      </c>
      <c r="B1999" s="115">
        <v>1579.85</v>
      </c>
      <c r="C1999" s="115">
        <v>1554.95</v>
      </c>
      <c r="D1999" s="115">
        <v>1545</v>
      </c>
      <c r="E1999" s="115">
        <v>1575</v>
      </c>
      <c r="F1999" s="115">
        <v>1554.95</v>
      </c>
      <c r="G1999">
        <v>689</v>
      </c>
      <c r="H1999" s="115"/>
      <c r="I1999" s="115"/>
      <c r="L1999" s="160">
        <v>44945</v>
      </c>
      <c r="M1999" s="115">
        <v>713.55</v>
      </c>
      <c r="N1999" s="115">
        <v>721</v>
      </c>
      <c r="O1999" s="115">
        <v>709</v>
      </c>
      <c r="P1999" s="115">
        <v>709</v>
      </c>
      <c r="Q1999" s="115">
        <v>713.55</v>
      </c>
      <c r="R1999">
        <v>5826</v>
      </c>
    </row>
    <row r="2000" spans="1:18" x14ac:dyDescent="0.25">
      <c r="A2000" s="160">
        <v>44972</v>
      </c>
      <c r="B2000" s="115">
        <v>1566.95</v>
      </c>
      <c r="C2000" s="115">
        <v>1558.05</v>
      </c>
      <c r="D2000" s="115">
        <v>1538.5</v>
      </c>
      <c r="E2000" s="115">
        <v>1555</v>
      </c>
      <c r="F2000" s="115">
        <v>1558.05</v>
      </c>
      <c r="G2000">
        <v>249</v>
      </c>
      <c r="H2000" s="115"/>
      <c r="I2000" s="115"/>
      <c r="L2000" s="160">
        <v>44946</v>
      </c>
      <c r="M2000" s="115">
        <v>705.95</v>
      </c>
      <c r="N2000" s="115">
        <v>718.55</v>
      </c>
      <c r="O2000" s="115">
        <v>701.55</v>
      </c>
      <c r="P2000" s="115">
        <v>713.55</v>
      </c>
      <c r="Q2000" s="115">
        <v>705.95</v>
      </c>
      <c r="R2000">
        <v>14752</v>
      </c>
    </row>
    <row r="2001" spans="1:18" x14ac:dyDescent="0.25">
      <c r="A2001" s="160">
        <v>44973</v>
      </c>
      <c r="B2001" s="115">
        <v>1595</v>
      </c>
      <c r="C2001" s="115">
        <v>1550.1</v>
      </c>
      <c r="D2001" s="115">
        <v>1540</v>
      </c>
      <c r="E2001" s="115">
        <v>1595</v>
      </c>
      <c r="F2001" s="115">
        <v>1550.1</v>
      </c>
      <c r="G2001">
        <v>135</v>
      </c>
      <c r="H2001" s="115"/>
      <c r="I2001" s="115"/>
      <c r="L2001" s="160">
        <v>44949</v>
      </c>
      <c r="M2001" s="115">
        <v>704.55</v>
      </c>
      <c r="N2001" s="115">
        <v>712.1</v>
      </c>
      <c r="O2001" s="115">
        <v>703.55</v>
      </c>
      <c r="P2001" s="115">
        <v>712.05</v>
      </c>
      <c r="Q2001" s="115">
        <v>704.55</v>
      </c>
      <c r="R2001">
        <v>4976</v>
      </c>
    </row>
    <row r="2002" spans="1:18" x14ac:dyDescent="0.25">
      <c r="A2002" s="160">
        <v>44974</v>
      </c>
      <c r="B2002" s="115">
        <v>1574</v>
      </c>
      <c r="C2002" s="115">
        <v>1570.35</v>
      </c>
      <c r="D2002" s="115">
        <v>1511.05</v>
      </c>
      <c r="E2002" s="115">
        <v>1550</v>
      </c>
      <c r="F2002" s="115">
        <v>1570.35</v>
      </c>
      <c r="G2002">
        <v>5844</v>
      </c>
      <c r="H2002" s="115"/>
      <c r="I2002" s="115"/>
      <c r="L2002" s="160">
        <v>44950</v>
      </c>
      <c r="M2002" s="115">
        <v>702.1</v>
      </c>
      <c r="N2002" s="115">
        <v>711.55</v>
      </c>
      <c r="O2002" s="115">
        <v>699</v>
      </c>
      <c r="P2002" s="115">
        <v>700</v>
      </c>
      <c r="Q2002" s="115">
        <v>702.1</v>
      </c>
      <c r="R2002">
        <v>6728</v>
      </c>
    </row>
    <row r="2003" spans="1:18" x14ac:dyDescent="0.25">
      <c r="A2003" s="160">
        <v>44977</v>
      </c>
      <c r="B2003" s="115">
        <v>1570</v>
      </c>
      <c r="C2003" s="115">
        <v>1553.6</v>
      </c>
      <c r="D2003" s="115">
        <v>1551</v>
      </c>
      <c r="E2003" s="115">
        <v>1570</v>
      </c>
      <c r="F2003" s="115">
        <v>1553.6</v>
      </c>
      <c r="G2003">
        <v>5938</v>
      </c>
      <c r="H2003" s="115"/>
      <c r="I2003" s="115"/>
      <c r="L2003" s="160">
        <v>44951</v>
      </c>
      <c r="M2003" s="115">
        <v>692.7</v>
      </c>
      <c r="N2003" s="115">
        <v>703.6</v>
      </c>
      <c r="O2003" s="115">
        <v>690</v>
      </c>
      <c r="P2003" s="115">
        <v>703.6</v>
      </c>
      <c r="Q2003" s="115">
        <v>692.7</v>
      </c>
      <c r="R2003">
        <v>8522</v>
      </c>
    </row>
    <row r="2004" spans="1:18" x14ac:dyDescent="0.25">
      <c r="A2004" s="160">
        <v>44978</v>
      </c>
      <c r="B2004" s="115">
        <v>1569</v>
      </c>
      <c r="C2004" s="115">
        <v>1507.35</v>
      </c>
      <c r="D2004" s="115">
        <v>1500</v>
      </c>
      <c r="E2004" s="115">
        <v>1569</v>
      </c>
      <c r="F2004" s="115">
        <v>1507.35</v>
      </c>
      <c r="G2004">
        <v>1218</v>
      </c>
      <c r="H2004" s="115"/>
      <c r="I2004" s="115"/>
      <c r="L2004" s="160">
        <v>44953</v>
      </c>
      <c r="M2004" s="115">
        <v>680.6</v>
      </c>
      <c r="N2004" s="115">
        <v>700.75</v>
      </c>
      <c r="O2004" s="115">
        <v>678.05</v>
      </c>
      <c r="P2004" s="115">
        <v>695</v>
      </c>
      <c r="Q2004" s="115">
        <v>680.6</v>
      </c>
      <c r="R2004">
        <v>13882</v>
      </c>
    </row>
    <row r="2005" spans="1:18" x14ac:dyDescent="0.25">
      <c r="A2005" s="160">
        <v>44979</v>
      </c>
      <c r="B2005" s="115">
        <v>1543.8</v>
      </c>
      <c r="C2005" s="115">
        <v>1481.25</v>
      </c>
      <c r="D2005" s="115">
        <v>1480</v>
      </c>
      <c r="E2005" s="115">
        <v>1510</v>
      </c>
      <c r="F2005" s="115">
        <v>1481.25</v>
      </c>
      <c r="G2005">
        <v>378</v>
      </c>
      <c r="H2005" s="115"/>
      <c r="I2005" s="115"/>
      <c r="L2005" s="160">
        <v>44956</v>
      </c>
      <c r="M2005" s="115">
        <v>685.2</v>
      </c>
      <c r="N2005" s="115">
        <v>697.5</v>
      </c>
      <c r="O2005" s="115">
        <v>678.25</v>
      </c>
      <c r="P2005" s="115">
        <v>680.6</v>
      </c>
      <c r="Q2005" s="115">
        <v>685.2</v>
      </c>
      <c r="R2005">
        <v>12559</v>
      </c>
    </row>
    <row r="2006" spans="1:18" x14ac:dyDescent="0.25">
      <c r="A2006" s="160">
        <v>44980</v>
      </c>
      <c r="B2006" s="115">
        <v>1520</v>
      </c>
      <c r="C2006" s="115">
        <v>1444.25</v>
      </c>
      <c r="D2006" s="115">
        <v>1433.3</v>
      </c>
      <c r="E2006" s="115">
        <v>1452.35</v>
      </c>
      <c r="F2006" s="115">
        <v>1444.25</v>
      </c>
      <c r="G2006">
        <v>805</v>
      </c>
      <c r="H2006" s="115"/>
      <c r="I2006" s="115"/>
      <c r="L2006" s="160">
        <v>44957</v>
      </c>
      <c r="M2006" s="115">
        <v>679.85</v>
      </c>
      <c r="N2006" s="115">
        <v>688.65</v>
      </c>
      <c r="O2006" s="115">
        <v>677.6</v>
      </c>
      <c r="P2006" s="115">
        <v>688.65</v>
      </c>
      <c r="Q2006" s="115">
        <v>679.85</v>
      </c>
      <c r="R2006">
        <v>13352</v>
      </c>
    </row>
    <row r="2007" spans="1:18" x14ac:dyDescent="0.25">
      <c r="A2007" s="160">
        <v>44981</v>
      </c>
      <c r="B2007" s="115">
        <v>1490</v>
      </c>
      <c r="C2007" s="115">
        <v>1450</v>
      </c>
      <c r="D2007" s="115">
        <v>1421.05</v>
      </c>
      <c r="E2007" s="115">
        <v>1440</v>
      </c>
      <c r="F2007" s="115">
        <v>1450</v>
      </c>
      <c r="G2007">
        <v>154</v>
      </c>
      <c r="H2007" s="115"/>
      <c r="I2007" s="115"/>
      <c r="L2007" s="160">
        <v>44958</v>
      </c>
      <c r="M2007" s="115">
        <v>683.45</v>
      </c>
      <c r="N2007" s="115">
        <v>715</v>
      </c>
      <c r="O2007" s="115">
        <v>680.1</v>
      </c>
      <c r="P2007" s="115">
        <v>683.25</v>
      </c>
      <c r="Q2007" s="115">
        <v>683.45</v>
      </c>
      <c r="R2007">
        <v>33768</v>
      </c>
    </row>
    <row r="2008" spans="1:18" x14ac:dyDescent="0.25">
      <c r="A2008" s="160">
        <v>44984</v>
      </c>
      <c r="B2008" s="115">
        <v>1470</v>
      </c>
      <c r="C2008" s="115">
        <v>1390.9</v>
      </c>
      <c r="D2008" s="115">
        <v>1390</v>
      </c>
      <c r="E2008" s="115">
        <v>1460</v>
      </c>
      <c r="F2008" s="115">
        <v>1390.9</v>
      </c>
      <c r="G2008">
        <v>1428</v>
      </c>
      <c r="H2008" s="115"/>
      <c r="I2008" s="115"/>
      <c r="L2008" s="160">
        <v>44959</v>
      </c>
      <c r="M2008" s="115">
        <v>676.9</v>
      </c>
      <c r="N2008" s="115">
        <v>694.65</v>
      </c>
      <c r="O2008" s="115">
        <v>674</v>
      </c>
      <c r="P2008" s="115">
        <v>684.65</v>
      </c>
      <c r="Q2008" s="115">
        <v>676.9</v>
      </c>
      <c r="R2008">
        <v>11499</v>
      </c>
    </row>
    <row r="2009" spans="1:18" x14ac:dyDescent="0.25">
      <c r="A2009" s="160">
        <v>44985</v>
      </c>
      <c r="B2009" s="115">
        <v>1460</v>
      </c>
      <c r="C2009" s="115">
        <v>1416.15</v>
      </c>
      <c r="D2009" s="115">
        <v>1370</v>
      </c>
      <c r="E2009" s="115">
        <v>1460</v>
      </c>
      <c r="F2009" s="115">
        <v>1416.15</v>
      </c>
      <c r="G2009">
        <v>1566</v>
      </c>
      <c r="H2009" s="115"/>
      <c r="I2009" s="115"/>
      <c r="L2009" s="160">
        <v>44960</v>
      </c>
      <c r="M2009" s="115">
        <v>676.1</v>
      </c>
      <c r="N2009" s="115">
        <v>689.95</v>
      </c>
      <c r="O2009" s="115">
        <v>668.95</v>
      </c>
      <c r="P2009" s="115">
        <v>680.3</v>
      </c>
      <c r="Q2009" s="115">
        <v>676.1</v>
      </c>
      <c r="R2009">
        <v>11439</v>
      </c>
    </row>
    <row r="2010" spans="1:18" x14ac:dyDescent="0.25">
      <c r="A2010" s="160">
        <v>44986</v>
      </c>
      <c r="B2010" s="115">
        <v>1498.8</v>
      </c>
      <c r="C2010" s="115">
        <v>1434.15</v>
      </c>
      <c r="D2010" s="115">
        <v>1426.05</v>
      </c>
      <c r="E2010" s="115">
        <v>1430</v>
      </c>
      <c r="F2010" s="115">
        <v>1434.15</v>
      </c>
      <c r="G2010">
        <v>2865</v>
      </c>
      <c r="H2010" s="115"/>
      <c r="I2010" s="115"/>
      <c r="L2010" s="160">
        <v>44963</v>
      </c>
      <c r="M2010" s="115">
        <v>678.5</v>
      </c>
      <c r="N2010" s="115">
        <v>698.6</v>
      </c>
      <c r="O2010" s="115">
        <v>670.05</v>
      </c>
      <c r="P2010" s="115">
        <v>680</v>
      </c>
      <c r="Q2010" s="115">
        <v>678.5</v>
      </c>
      <c r="R2010">
        <v>7623</v>
      </c>
    </row>
    <row r="2011" spans="1:18" x14ac:dyDescent="0.25">
      <c r="A2011" s="160">
        <v>44987</v>
      </c>
      <c r="B2011" s="115">
        <v>1448</v>
      </c>
      <c r="C2011" s="115">
        <v>1423.9</v>
      </c>
      <c r="D2011" s="115">
        <v>1420</v>
      </c>
      <c r="E2011" s="115">
        <v>1448</v>
      </c>
      <c r="F2011" s="115">
        <v>1423.9</v>
      </c>
      <c r="G2011">
        <v>370</v>
      </c>
      <c r="H2011" s="115"/>
      <c r="I2011" s="115"/>
      <c r="L2011" s="160">
        <v>44964</v>
      </c>
      <c r="M2011" s="115">
        <v>683.95</v>
      </c>
      <c r="N2011" s="115">
        <v>697.9</v>
      </c>
      <c r="O2011" s="115">
        <v>672</v>
      </c>
      <c r="P2011" s="115">
        <v>683</v>
      </c>
      <c r="Q2011" s="115">
        <v>683.95</v>
      </c>
      <c r="R2011">
        <v>13536</v>
      </c>
    </row>
    <row r="2012" spans="1:18" x14ac:dyDescent="0.25">
      <c r="A2012" s="160">
        <v>44988</v>
      </c>
      <c r="B2012" s="115">
        <v>1475</v>
      </c>
      <c r="C2012" s="115">
        <v>1471.75</v>
      </c>
      <c r="D2012" s="115">
        <v>1420</v>
      </c>
      <c r="E2012" s="115">
        <v>1420</v>
      </c>
      <c r="F2012" s="115">
        <v>1471.75</v>
      </c>
      <c r="G2012">
        <v>1158</v>
      </c>
      <c r="H2012" s="115"/>
      <c r="I2012" s="115"/>
      <c r="L2012" s="160">
        <v>44965</v>
      </c>
      <c r="M2012" s="115">
        <v>683.75</v>
      </c>
      <c r="N2012" s="115">
        <v>689.55</v>
      </c>
      <c r="O2012" s="115">
        <v>679.75</v>
      </c>
      <c r="P2012" s="115">
        <v>687.4</v>
      </c>
      <c r="Q2012" s="115">
        <v>683.75</v>
      </c>
      <c r="R2012">
        <v>5629</v>
      </c>
    </row>
    <row r="2013" spans="1:18" x14ac:dyDescent="0.25">
      <c r="A2013" s="160">
        <v>44991</v>
      </c>
      <c r="B2013" s="115">
        <v>1510</v>
      </c>
      <c r="C2013" s="115">
        <v>1439.05</v>
      </c>
      <c r="D2013" s="115">
        <v>1426.1</v>
      </c>
      <c r="E2013" s="115">
        <v>1471</v>
      </c>
      <c r="F2013" s="115">
        <v>1439.05</v>
      </c>
      <c r="G2013">
        <v>1894</v>
      </c>
      <c r="H2013" s="115"/>
      <c r="I2013" s="115"/>
      <c r="L2013" s="160">
        <v>44966</v>
      </c>
      <c r="M2013" s="115">
        <v>691.15</v>
      </c>
      <c r="N2013" s="115">
        <v>693.3</v>
      </c>
      <c r="O2013" s="115">
        <v>685.6</v>
      </c>
      <c r="P2013" s="115">
        <v>687.2</v>
      </c>
      <c r="Q2013" s="115">
        <v>691.15</v>
      </c>
      <c r="R2013">
        <v>4280</v>
      </c>
    </row>
    <row r="2014" spans="1:18" x14ac:dyDescent="0.25">
      <c r="A2014" s="160">
        <v>44993</v>
      </c>
      <c r="B2014" s="115">
        <v>1458</v>
      </c>
      <c r="C2014" s="115">
        <v>1444.7</v>
      </c>
      <c r="D2014" s="115">
        <v>1420.5</v>
      </c>
      <c r="E2014" s="115">
        <v>1450</v>
      </c>
      <c r="F2014" s="115">
        <v>1444.7</v>
      </c>
      <c r="G2014">
        <v>3476</v>
      </c>
      <c r="H2014" s="115"/>
      <c r="I2014" s="115"/>
      <c r="L2014" s="160">
        <v>44967</v>
      </c>
      <c r="M2014" s="115">
        <v>682.95</v>
      </c>
      <c r="N2014" s="115">
        <v>698.25</v>
      </c>
      <c r="O2014" s="115">
        <v>680</v>
      </c>
      <c r="P2014" s="115">
        <v>693</v>
      </c>
      <c r="Q2014" s="115">
        <v>682.95</v>
      </c>
      <c r="R2014">
        <v>36239</v>
      </c>
    </row>
    <row r="2015" spans="1:18" x14ac:dyDescent="0.25">
      <c r="A2015" s="160">
        <v>44994</v>
      </c>
      <c r="B2015" s="115">
        <v>1488</v>
      </c>
      <c r="C2015" s="115">
        <v>1469.75</v>
      </c>
      <c r="D2015" s="115">
        <v>1460.1</v>
      </c>
      <c r="E2015" s="115">
        <v>1487.7</v>
      </c>
      <c r="F2015" s="115">
        <v>1469.75</v>
      </c>
      <c r="G2015">
        <v>2201</v>
      </c>
      <c r="H2015" s="115"/>
      <c r="I2015" s="115"/>
      <c r="L2015" s="160">
        <v>44970</v>
      </c>
      <c r="M2015" s="115">
        <v>669.25</v>
      </c>
      <c r="N2015" s="115">
        <v>689.9</v>
      </c>
      <c r="O2015" s="115">
        <v>666.45</v>
      </c>
      <c r="P2015" s="115">
        <v>686.4</v>
      </c>
      <c r="Q2015" s="115">
        <v>669.25</v>
      </c>
      <c r="R2015">
        <v>20561</v>
      </c>
    </row>
    <row r="2016" spans="1:18" x14ac:dyDescent="0.25">
      <c r="A2016" s="160">
        <v>44995</v>
      </c>
      <c r="B2016" s="115">
        <v>1493.95</v>
      </c>
      <c r="C2016" s="115">
        <v>1484.55</v>
      </c>
      <c r="D2016" s="115">
        <v>1450</v>
      </c>
      <c r="E2016" s="115">
        <v>1450</v>
      </c>
      <c r="F2016" s="115">
        <v>1484.55</v>
      </c>
      <c r="G2016">
        <v>830</v>
      </c>
      <c r="H2016" s="115"/>
      <c r="I2016" s="115"/>
      <c r="L2016" s="160">
        <v>44971</v>
      </c>
      <c r="M2016" s="115">
        <v>678.55</v>
      </c>
      <c r="N2016" s="115">
        <v>683.95</v>
      </c>
      <c r="O2016" s="115">
        <v>665</v>
      </c>
      <c r="P2016" s="115">
        <v>672.6</v>
      </c>
      <c r="Q2016" s="115">
        <v>678.55</v>
      </c>
      <c r="R2016">
        <v>10815</v>
      </c>
    </row>
    <row r="2017" spans="1:18" x14ac:dyDescent="0.25">
      <c r="A2017" s="160">
        <v>44998</v>
      </c>
      <c r="B2017" s="115">
        <v>1498</v>
      </c>
      <c r="C2017" s="115">
        <v>1456.6</v>
      </c>
      <c r="D2017" s="115">
        <v>1451.05</v>
      </c>
      <c r="E2017" s="115">
        <v>1497.8</v>
      </c>
      <c r="F2017" s="115">
        <v>1456.6</v>
      </c>
      <c r="G2017">
        <v>406</v>
      </c>
      <c r="H2017" s="115"/>
      <c r="I2017" s="115"/>
      <c r="L2017" s="160">
        <v>44972</v>
      </c>
      <c r="M2017" s="115">
        <v>674.05</v>
      </c>
      <c r="N2017" s="115">
        <v>681.9</v>
      </c>
      <c r="O2017" s="115">
        <v>665.25</v>
      </c>
      <c r="P2017" s="115">
        <v>680</v>
      </c>
      <c r="Q2017" s="115">
        <v>674.05</v>
      </c>
      <c r="R2017">
        <v>14307</v>
      </c>
    </row>
    <row r="2018" spans="1:18" x14ac:dyDescent="0.25">
      <c r="A2018" s="160">
        <v>44999</v>
      </c>
      <c r="B2018" s="115">
        <v>1456</v>
      </c>
      <c r="C2018" s="115">
        <v>1427.05</v>
      </c>
      <c r="D2018" s="115">
        <v>1422.55</v>
      </c>
      <c r="E2018" s="115">
        <v>1456</v>
      </c>
      <c r="F2018" s="115">
        <v>1427.05</v>
      </c>
      <c r="G2018">
        <v>997</v>
      </c>
      <c r="H2018" s="115"/>
      <c r="I2018" s="115"/>
      <c r="L2018" s="160">
        <v>44973</v>
      </c>
      <c r="M2018" s="115">
        <v>683.75</v>
      </c>
      <c r="N2018" s="115">
        <v>688</v>
      </c>
      <c r="O2018" s="115">
        <v>677.4</v>
      </c>
      <c r="P2018" s="115">
        <v>677.45</v>
      </c>
      <c r="Q2018" s="115">
        <v>683.75</v>
      </c>
      <c r="R2018">
        <v>10529</v>
      </c>
    </row>
    <row r="2019" spans="1:18" x14ac:dyDescent="0.25">
      <c r="A2019" s="160">
        <v>45000</v>
      </c>
      <c r="B2019" s="115">
        <v>1467.95</v>
      </c>
      <c r="C2019" s="115">
        <v>1432.4</v>
      </c>
      <c r="D2019" s="115">
        <v>1422.25</v>
      </c>
      <c r="E2019" s="115">
        <v>1467.9</v>
      </c>
      <c r="F2019" s="115">
        <v>1432.4</v>
      </c>
      <c r="G2019">
        <v>1156</v>
      </c>
      <c r="H2019" s="115"/>
      <c r="I2019" s="115"/>
      <c r="L2019" s="160">
        <v>44974</v>
      </c>
      <c r="M2019" s="115">
        <v>679.65</v>
      </c>
      <c r="N2019" s="115">
        <v>687.2</v>
      </c>
      <c r="O2019" s="115">
        <v>676.65</v>
      </c>
      <c r="P2019" s="115">
        <v>683.3</v>
      </c>
      <c r="Q2019" s="115">
        <v>679.65</v>
      </c>
      <c r="R2019">
        <v>9052</v>
      </c>
    </row>
    <row r="2020" spans="1:18" x14ac:dyDescent="0.25">
      <c r="A2020" s="160">
        <v>45001</v>
      </c>
      <c r="B2020" s="115">
        <v>1441.5</v>
      </c>
      <c r="C2020" s="115">
        <v>1426.9</v>
      </c>
      <c r="D2020" s="115">
        <v>1401.3</v>
      </c>
      <c r="E2020" s="115">
        <v>1425</v>
      </c>
      <c r="F2020" s="115">
        <v>1426.9</v>
      </c>
      <c r="G2020">
        <v>1164</v>
      </c>
      <c r="H2020" s="115"/>
      <c r="I2020" s="115"/>
      <c r="L2020" s="160">
        <v>44977</v>
      </c>
      <c r="M2020" s="115">
        <v>677</v>
      </c>
      <c r="N2020" s="115">
        <v>683.45</v>
      </c>
      <c r="O2020" s="115">
        <v>673.95</v>
      </c>
      <c r="P2020" s="115">
        <v>675.15</v>
      </c>
      <c r="Q2020" s="115">
        <v>677</v>
      </c>
      <c r="R2020">
        <v>6288</v>
      </c>
    </row>
    <row r="2021" spans="1:18" x14ac:dyDescent="0.25">
      <c r="A2021" s="160">
        <v>45002</v>
      </c>
      <c r="B2021" s="115">
        <v>1460</v>
      </c>
      <c r="C2021" s="115">
        <v>1424.1</v>
      </c>
      <c r="D2021" s="115">
        <v>1421</v>
      </c>
      <c r="E2021" s="115">
        <v>1431</v>
      </c>
      <c r="F2021" s="115">
        <v>1424.1</v>
      </c>
      <c r="G2021">
        <v>974</v>
      </c>
      <c r="H2021" s="115"/>
      <c r="I2021" s="115"/>
      <c r="L2021" s="160">
        <v>44978</v>
      </c>
      <c r="M2021" s="115">
        <v>677.1</v>
      </c>
      <c r="N2021" s="115">
        <v>681.4</v>
      </c>
      <c r="O2021" s="115">
        <v>674</v>
      </c>
      <c r="P2021" s="115">
        <v>677.05</v>
      </c>
      <c r="Q2021" s="115">
        <v>677.1</v>
      </c>
      <c r="R2021">
        <v>3680</v>
      </c>
    </row>
    <row r="2022" spans="1:18" x14ac:dyDescent="0.25">
      <c r="A2022" s="160">
        <v>45005</v>
      </c>
      <c r="B2022" s="115">
        <v>1444.9</v>
      </c>
      <c r="C2022" s="115">
        <v>1443.65</v>
      </c>
      <c r="D2022" s="115">
        <v>1427</v>
      </c>
      <c r="E2022" s="115">
        <v>1430.2</v>
      </c>
      <c r="F2022" s="115">
        <v>1443.65</v>
      </c>
      <c r="G2022">
        <v>931</v>
      </c>
      <c r="H2022" s="115"/>
      <c r="I2022" s="115"/>
      <c r="L2022" s="160">
        <v>44979</v>
      </c>
      <c r="M2022" s="115">
        <v>672.6</v>
      </c>
      <c r="N2022" s="115">
        <v>682.6</v>
      </c>
      <c r="O2022" s="115">
        <v>668</v>
      </c>
      <c r="P2022" s="115">
        <v>682.6</v>
      </c>
      <c r="Q2022" s="115">
        <v>672.6</v>
      </c>
      <c r="R2022">
        <v>4891</v>
      </c>
    </row>
    <row r="2023" spans="1:18" x14ac:dyDescent="0.25">
      <c r="A2023" s="160">
        <v>45006</v>
      </c>
      <c r="B2023" s="115">
        <v>1520</v>
      </c>
      <c r="C2023" s="115">
        <v>1435.5</v>
      </c>
      <c r="D2023" s="115">
        <v>1400</v>
      </c>
      <c r="E2023" s="115">
        <v>1520</v>
      </c>
      <c r="F2023" s="115">
        <v>1435.5</v>
      </c>
      <c r="G2023">
        <v>1170</v>
      </c>
      <c r="H2023" s="115"/>
      <c r="I2023" s="115"/>
      <c r="L2023" s="160">
        <v>44980</v>
      </c>
      <c r="M2023" s="115">
        <v>676.2</v>
      </c>
      <c r="N2023" s="115">
        <v>690.35</v>
      </c>
      <c r="O2023" s="115">
        <v>674.5</v>
      </c>
      <c r="P2023" s="115">
        <v>676</v>
      </c>
      <c r="Q2023" s="115">
        <v>676.2</v>
      </c>
      <c r="R2023">
        <v>16437</v>
      </c>
    </row>
    <row r="2024" spans="1:18" x14ac:dyDescent="0.25">
      <c r="A2024" s="160">
        <v>45007</v>
      </c>
      <c r="B2024" s="115">
        <v>1456</v>
      </c>
      <c r="C2024" s="115">
        <v>1445.8</v>
      </c>
      <c r="D2024" s="115">
        <v>1435.05</v>
      </c>
      <c r="E2024" s="115">
        <v>1435.05</v>
      </c>
      <c r="F2024" s="115">
        <v>1445.8</v>
      </c>
      <c r="G2024">
        <v>340</v>
      </c>
      <c r="H2024" s="115"/>
      <c r="I2024" s="115"/>
      <c r="L2024" s="160">
        <v>44981</v>
      </c>
      <c r="M2024" s="115">
        <v>669.8</v>
      </c>
      <c r="N2024" s="115">
        <v>677.4</v>
      </c>
      <c r="O2024" s="115">
        <v>665</v>
      </c>
      <c r="P2024" s="115">
        <v>677</v>
      </c>
      <c r="Q2024" s="115">
        <v>669.8</v>
      </c>
      <c r="R2024">
        <v>8478</v>
      </c>
    </row>
    <row r="2025" spans="1:18" x14ac:dyDescent="0.25">
      <c r="A2025" s="160">
        <v>45008</v>
      </c>
      <c r="B2025" s="115">
        <v>1452.7</v>
      </c>
      <c r="C2025" s="115">
        <v>1441</v>
      </c>
      <c r="D2025" s="115">
        <v>1435.05</v>
      </c>
      <c r="E2025" s="115">
        <v>1440</v>
      </c>
      <c r="F2025" s="115">
        <v>1441</v>
      </c>
      <c r="G2025">
        <v>130</v>
      </c>
      <c r="H2025" s="115"/>
      <c r="I2025" s="115"/>
      <c r="L2025" s="160">
        <v>44984</v>
      </c>
      <c r="M2025" s="115">
        <v>657.25</v>
      </c>
      <c r="N2025" s="115">
        <v>677.25</v>
      </c>
      <c r="O2025" s="115">
        <v>652.95000000000005</v>
      </c>
      <c r="P2025" s="115">
        <v>677.25</v>
      </c>
      <c r="Q2025" s="115">
        <v>657.25</v>
      </c>
      <c r="R2025">
        <v>9654</v>
      </c>
    </row>
    <row r="2026" spans="1:18" x14ac:dyDescent="0.25">
      <c r="A2026" s="160">
        <v>45009</v>
      </c>
      <c r="B2026" s="115">
        <v>1450</v>
      </c>
      <c r="C2026" s="115">
        <v>1435.5</v>
      </c>
      <c r="D2026" s="115">
        <v>1428</v>
      </c>
      <c r="E2026" s="115">
        <v>1450</v>
      </c>
      <c r="F2026" s="115">
        <v>1435.5</v>
      </c>
      <c r="G2026">
        <v>319</v>
      </c>
      <c r="H2026" s="115"/>
      <c r="I2026" s="115"/>
      <c r="L2026" s="160">
        <v>44985</v>
      </c>
      <c r="M2026" s="115">
        <v>663.65</v>
      </c>
      <c r="N2026" s="115">
        <v>677.35</v>
      </c>
      <c r="O2026" s="115">
        <v>652.35</v>
      </c>
      <c r="P2026" s="115">
        <v>655</v>
      </c>
      <c r="Q2026" s="115">
        <v>663.65</v>
      </c>
      <c r="R2026">
        <v>14801</v>
      </c>
    </row>
    <row r="2027" spans="1:18" x14ac:dyDescent="0.25">
      <c r="A2027" s="160">
        <v>45012</v>
      </c>
      <c r="B2027" s="115">
        <v>1445</v>
      </c>
      <c r="C2027" s="115">
        <v>1423.5</v>
      </c>
      <c r="D2027" s="115">
        <v>1420.2</v>
      </c>
      <c r="E2027" s="115">
        <v>1430.1</v>
      </c>
      <c r="F2027" s="115">
        <v>1423.5</v>
      </c>
      <c r="G2027">
        <v>324</v>
      </c>
      <c r="H2027" s="115"/>
      <c r="I2027" s="115"/>
      <c r="L2027" s="160">
        <v>44986</v>
      </c>
      <c r="M2027" s="115">
        <v>666</v>
      </c>
      <c r="N2027" s="115">
        <v>676</v>
      </c>
      <c r="O2027" s="115">
        <v>658</v>
      </c>
      <c r="P2027" s="115">
        <v>665.05</v>
      </c>
      <c r="Q2027" s="115">
        <v>666</v>
      </c>
      <c r="R2027">
        <v>10575</v>
      </c>
    </row>
    <row r="2028" spans="1:18" x14ac:dyDescent="0.25">
      <c r="A2028" s="160">
        <v>45013</v>
      </c>
      <c r="B2028" s="115">
        <v>1451</v>
      </c>
      <c r="C2028" s="115">
        <v>1405.6</v>
      </c>
      <c r="D2028" s="115">
        <v>1400</v>
      </c>
      <c r="E2028" s="115">
        <v>1451</v>
      </c>
      <c r="F2028" s="115">
        <v>1405.6</v>
      </c>
      <c r="G2028">
        <v>1206</v>
      </c>
      <c r="H2028" s="115"/>
      <c r="I2028" s="115"/>
      <c r="L2028" s="160">
        <v>44987</v>
      </c>
      <c r="M2028" s="115">
        <v>659.3</v>
      </c>
      <c r="N2028" s="115">
        <v>666</v>
      </c>
      <c r="O2028" s="115">
        <v>654</v>
      </c>
      <c r="P2028" s="115">
        <v>666</v>
      </c>
      <c r="Q2028" s="115">
        <v>659.3</v>
      </c>
      <c r="R2028">
        <v>7386</v>
      </c>
    </row>
    <row r="2029" spans="1:18" x14ac:dyDescent="0.25">
      <c r="A2029" s="160">
        <v>45014</v>
      </c>
      <c r="B2029" s="115">
        <v>1434.7</v>
      </c>
      <c r="C2029" s="115">
        <v>1403</v>
      </c>
      <c r="D2029" s="115">
        <v>1385.1</v>
      </c>
      <c r="E2029" s="115">
        <v>1401</v>
      </c>
      <c r="F2029" s="115">
        <v>1403</v>
      </c>
      <c r="G2029">
        <v>854</v>
      </c>
      <c r="H2029" s="115"/>
      <c r="I2029" s="115"/>
      <c r="L2029" s="160">
        <v>44988</v>
      </c>
      <c r="M2029" s="115">
        <v>658.45</v>
      </c>
      <c r="N2029" s="115">
        <v>662.6</v>
      </c>
      <c r="O2029" s="115">
        <v>652</v>
      </c>
      <c r="P2029" s="115">
        <v>654.04999999999995</v>
      </c>
      <c r="Q2029" s="115">
        <v>658.45</v>
      </c>
      <c r="R2029">
        <v>8745</v>
      </c>
    </row>
    <row r="2030" spans="1:18" x14ac:dyDescent="0.25">
      <c r="A2030" s="160">
        <v>45016</v>
      </c>
      <c r="B2030" s="115">
        <v>1454.95</v>
      </c>
      <c r="C2030" s="115">
        <v>1451.95</v>
      </c>
      <c r="D2030" s="115">
        <v>1420.5</v>
      </c>
      <c r="E2030" s="115">
        <v>1447.9</v>
      </c>
      <c r="F2030" s="115">
        <v>1451.95</v>
      </c>
      <c r="G2030">
        <v>1737</v>
      </c>
      <c r="H2030" s="115"/>
      <c r="I2030" s="115"/>
      <c r="L2030" s="160">
        <v>44991</v>
      </c>
      <c r="M2030" s="115">
        <v>674.4</v>
      </c>
      <c r="N2030" s="115">
        <v>682.1</v>
      </c>
      <c r="O2030" s="115">
        <v>658.45</v>
      </c>
      <c r="P2030" s="115">
        <v>658.45</v>
      </c>
      <c r="Q2030" s="115">
        <v>674.4</v>
      </c>
      <c r="R2030">
        <v>23625</v>
      </c>
    </row>
    <row r="2031" spans="1:18" x14ac:dyDescent="0.25">
      <c r="A2031" s="160">
        <v>45019</v>
      </c>
      <c r="B2031" s="115">
        <v>1472</v>
      </c>
      <c r="C2031" s="115">
        <v>1435.85</v>
      </c>
      <c r="D2031" s="115">
        <v>1425</v>
      </c>
      <c r="E2031" s="115">
        <v>1446</v>
      </c>
      <c r="F2031" s="115">
        <v>1435.85</v>
      </c>
      <c r="G2031">
        <v>949</v>
      </c>
      <c r="H2031" s="115"/>
      <c r="I2031" s="115"/>
      <c r="L2031" s="160">
        <v>44993</v>
      </c>
      <c r="M2031" s="115">
        <v>658.6</v>
      </c>
      <c r="N2031" s="115">
        <v>674.45</v>
      </c>
      <c r="O2031" s="115">
        <v>655.65</v>
      </c>
      <c r="P2031" s="115">
        <v>673.05</v>
      </c>
      <c r="Q2031" s="115">
        <v>658.6</v>
      </c>
      <c r="R2031">
        <v>12762</v>
      </c>
    </row>
    <row r="2032" spans="1:18" x14ac:dyDescent="0.25">
      <c r="A2032" s="160">
        <v>45021</v>
      </c>
      <c r="B2032" s="115">
        <v>1457.5</v>
      </c>
      <c r="C2032" s="115">
        <v>1423.15</v>
      </c>
      <c r="D2032" s="115">
        <v>1420</v>
      </c>
      <c r="E2032" s="115">
        <v>1457.5</v>
      </c>
      <c r="F2032" s="115">
        <v>1423.15</v>
      </c>
      <c r="G2032">
        <v>765</v>
      </c>
      <c r="H2032" s="115"/>
      <c r="I2032" s="115"/>
      <c r="L2032" s="160">
        <v>44994</v>
      </c>
      <c r="M2032" s="115">
        <v>658.85</v>
      </c>
      <c r="N2032" s="115">
        <v>668.95</v>
      </c>
      <c r="O2032" s="115">
        <v>655</v>
      </c>
      <c r="P2032" s="115">
        <v>658.6</v>
      </c>
      <c r="Q2032" s="115">
        <v>658.85</v>
      </c>
      <c r="R2032">
        <v>15111</v>
      </c>
    </row>
    <row r="2033" spans="1:18" x14ac:dyDescent="0.25">
      <c r="A2033" s="160">
        <v>45022</v>
      </c>
      <c r="B2033" s="115">
        <v>1469.5</v>
      </c>
      <c r="C2033" s="115">
        <v>1444.55</v>
      </c>
      <c r="D2033" s="115">
        <v>1420</v>
      </c>
      <c r="E2033" s="115">
        <v>1420</v>
      </c>
      <c r="F2033" s="115">
        <v>1444.55</v>
      </c>
      <c r="G2033">
        <v>1933</v>
      </c>
      <c r="H2033" s="115"/>
      <c r="I2033" s="115"/>
      <c r="L2033" s="160">
        <v>44995</v>
      </c>
      <c r="M2033" s="115">
        <v>657.85</v>
      </c>
      <c r="N2033" s="115">
        <v>667</v>
      </c>
      <c r="O2033" s="115">
        <v>649</v>
      </c>
      <c r="P2033" s="115">
        <v>660</v>
      </c>
      <c r="Q2033" s="115">
        <v>657.85</v>
      </c>
      <c r="R2033">
        <v>43451</v>
      </c>
    </row>
    <row r="2034" spans="1:18" x14ac:dyDescent="0.25">
      <c r="A2034" s="160">
        <v>45026</v>
      </c>
      <c r="B2034" s="115">
        <v>1470</v>
      </c>
      <c r="C2034" s="115">
        <v>1425.45</v>
      </c>
      <c r="D2034" s="115">
        <v>1425</v>
      </c>
      <c r="E2034" s="115">
        <v>1450</v>
      </c>
      <c r="F2034" s="115">
        <v>1425.45</v>
      </c>
      <c r="G2034">
        <v>1250</v>
      </c>
      <c r="H2034" s="115"/>
      <c r="I2034" s="115"/>
      <c r="L2034" s="160">
        <v>44998</v>
      </c>
      <c r="M2034" s="115">
        <v>650.54999999999995</v>
      </c>
      <c r="N2034" s="115">
        <v>658.05</v>
      </c>
      <c r="O2034" s="115">
        <v>650</v>
      </c>
      <c r="P2034" s="115">
        <v>652.1</v>
      </c>
      <c r="Q2034" s="115">
        <v>650.54999999999995</v>
      </c>
      <c r="R2034">
        <v>8322</v>
      </c>
    </row>
    <row r="2035" spans="1:18" x14ac:dyDescent="0.25">
      <c r="A2035" s="160">
        <v>45027</v>
      </c>
      <c r="B2035" s="115">
        <v>1458</v>
      </c>
      <c r="C2035" s="115">
        <v>1442.55</v>
      </c>
      <c r="D2035" s="115">
        <v>1430</v>
      </c>
      <c r="E2035" s="115">
        <v>1458</v>
      </c>
      <c r="F2035" s="115">
        <v>1442.55</v>
      </c>
      <c r="G2035">
        <v>474</v>
      </c>
      <c r="H2035" s="115"/>
      <c r="I2035" s="115"/>
      <c r="L2035" s="160">
        <v>44999</v>
      </c>
      <c r="M2035" s="115">
        <v>641.75</v>
      </c>
      <c r="N2035" s="115">
        <v>658</v>
      </c>
      <c r="O2035" s="115">
        <v>640.29999999999995</v>
      </c>
      <c r="P2035" s="115">
        <v>650.6</v>
      </c>
      <c r="Q2035" s="115">
        <v>641.75</v>
      </c>
      <c r="R2035">
        <v>8965</v>
      </c>
    </row>
    <row r="2036" spans="1:18" x14ac:dyDescent="0.25">
      <c r="A2036" s="160">
        <v>45028</v>
      </c>
      <c r="B2036" s="115">
        <v>1468</v>
      </c>
      <c r="C2036" s="115">
        <v>1455.45</v>
      </c>
      <c r="D2036" s="115">
        <v>1437.2</v>
      </c>
      <c r="E2036" s="115">
        <v>1447</v>
      </c>
      <c r="F2036" s="115">
        <v>1455.45</v>
      </c>
      <c r="G2036">
        <v>1411</v>
      </c>
      <c r="H2036" s="115"/>
      <c r="I2036" s="115"/>
      <c r="L2036" s="160">
        <v>45000</v>
      </c>
      <c r="M2036" s="115">
        <v>653.70000000000005</v>
      </c>
      <c r="N2036" s="115">
        <v>658.85</v>
      </c>
      <c r="O2036" s="115">
        <v>642.5</v>
      </c>
      <c r="P2036" s="115">
        <v>645</v>
      </c>
      <c r="Q2036" s="115">
        <v>653.70000000000005</v>
      </c>
      <c r="R2036">
        <v>11400</v>
      </c>
    </row>
    <row r="2037" spans="1:18" x14ac:dyDescent="0.25">
      <c r="A2037" s="160">
        <v>45029</v>
      </c>
      <c r="B2037" s="115">
        <v>1495</v>
      </c>
      <c r="C2037" s="115">
        <v>1488.05</v>
      </c>
      <c r="D2037" s="115">
        <v>1455.2</v>
      </c>
      <c r="E2037" s="115">
        <v>1465</v>
      </c>
      <c r="F2037" s="115">
        <v>1488.05</v>
      </c>
      <c r="G2037">
        <v>1286</v>
      </c>
      <c r="H2037" s="115"/>
      <c r="I2037" s="115"/>
      <c r="L2037" s="160">
        <v>45001</v>
      </c>
      <c r="M2037" s="115">
        <v>645.04999999999995</v>
      </c>
      <c r="N2037" s="115">
        <v>651.1</v>
      </c>
      <c r="O2037" s="115">
        <v>643.29999999999995</v>
      </c>
      <c r="P2037" s="115">
        <v>647.6</v>
      </c>
      <c r="Q2037" s="115">
        <v>645.04999999999995</v>
      </c>
      <c r="R2037">
        <v>5073</v>
      </c>
    </row>
    <row r="2038" spans="1:18" x14ac:dyDescent="0.25">
      <c r="A2038" s="160">
        <v>45033</v>
      </c>
      <c r="B2038" s="115">
        <v>1517.85</v>
      </c>
      <c r="C2038" s="115">
        <v>1499.65</v>
      </c>
      <c r="D2038" s="115">
        <v>1480</v>
      </c>
      <c r="E2038" s="115">
        <v>1480</v>
      </c>
      <c r="F2038" s="115">
        <v>1499.65</v>
      </c>
      <c r="G2038">
        <v>891</v>
      </c>
      <c r="H2038" s="115"/>
      <c r="I2038" s="115"/>
      <c r="L2038" s="160">
        <v>45002</v>
      </c>
      <c r="M2038" s="115">
        <v>661</v>
      </c>
      <c r="N2038" s="115">
        <v>666</v>
      </c>
      <c r="O2038" s="115">
        <v>643.35</v>
      </c>
      <c r="P2038" s="115">
        <v>645</v>
      </c>
      <c r="Q2038" s="115">
        <v>661</v>
      </c>
      <c r="R2038">
        <v>14783</v>
      </c>
    </row>
    <row r="2039" spans="1:18" x14ac:dyDescent="0.25">
      <c r="A2039" s="160">
        <v>45034</v>
      </c>
      <c r="B2039" s="115">
        <v>1496.95</v>
      </c>
      <c r="C2039" s="115">
        <v>1477.8</v>
      </c>
      <c r="D2039" s="115">
        <v>1466.05</v>
      </c>
      <c r="E2039" s="115">
        <v>1485</v>
      </c>
      <c r="F2039" s="115">
        <v>1477.8</v>
      </c>
      <c r="G2039">
        <v>880</v>
      </c>
      <c r="H2039" s="115"/>
      <c r="I2039" s="115"/>
      <c r="L2039" s="160">
        <v>45005</v>
      </c>
      <c r="M2039" s="115">
        <v>643.9</v>
      </c>
      <c r="N2039" s="115">
        <v>664.35</v>
      </c>
      <c r="O2039" s="115">
        <v>641.20000000000005</v>
      </c>
      <c r="P2039" s="115">
        <v>664.35</v>
      </c>
      <c r="Q2039" s="115">
        <v>643.9</v>
      </c>
      <c r="R2039">
        <v>7368</v>
      </c>
    </row>
    <row r="2040" spans="1:18" x14ac:dyDescent="0.25">
      <c r="A2040" s="160">
        <v>45035</v>
      </c>
      <c r="B2040" s="115">
        <v>1497</v>
      </c>
      <c r="C2040" s="115">
        <v>1493.55</v>
      </c>
      <c r="D2040" s="115">
        <v>1464.05</v>
      </c>
      <c r="E2040" s="115">
        <v>1477.8</v>
      </c>
      <c r="F2040" s="115">
        <v>1493.55</v>
      </c>
      <c r="G2040">
        <v>664</v>
      </c>
      <c r="H2040" s="115"/>
      <c r="I2040" s="115"/>
      <c r="L2040" s="160">
        <v>45006</v>
      </c>
      <c r="M2040" s="115">
        <v>655.20000000000005</v>
      </c>
      <c r="N2040" s="115">
        <v>664.75</v>
      </c>
      <c r="O2040" s="115">
        <v>640</v>
      </c>
      <c r="P2040" s="115">
        <v>647.15</v>
      </c>
      <c r="Q2040" s="115">
        <v>655.20000000000005</v>
      </c>
      <c r="R2040">
        <v>12510</v>
      </c>
    </row>
    <row r="2041" spans="1:18" x14ac:dyDescent="0.25">
      <c r="A2041" s="160">
        <v>45036</v>
      </c>
      <c r="B2041" s="115">
        <v>1511.95</v>
      </c>
      <c r="C2041" s="115">
        <v>1500.75</v>
      </c>
      <c r="D2041" s="115">
        <v>1470.05</v>
      </c>
      <c r="E2041" s="115">
        <v>1470.05</v>
      </c>
      <c r="F2041" s="115">
        <v>1500.75</v>
      </c>
      <c r="G2041">
        <v>1884</v>
      </c>
      <c r="H2041" s="115"/>
      <c r="I2041" s="115"/>
      <c r="L2041" s="160">
        <v>45007</v>
      </c>
      <c r="M2041" s="115">
        <v>647.54999999999995</v>
      </c>
      <c r="N2041" s="115">
        <v>657.55</v>
      </c>
      <c r="O2041" s="115">
        <v>646</v>
      </c>
      <c r="P2041" s="115">
        <v>655.20000000000005</v>
      </c>
      <c r="Q2041" s="115">
        <v>647.54999999999995</v>
      </c>
      <c r="R2041">
        <v>6793</v>
      </c>
    </row>
    <row r="2042" spans="1:18" x14ac:dyDescent="0.25">
      <c r="A2042" s="160">
        <v>45037</v>
      </c>
      <c r="B2042" s="115">
        <v>1530</v>
      </c>
      <c r="C2042" s="115">
        <v>1510.25</v>
      </c>
      <c r="D2042" s="115">
        <v>1460.05</v>
      </c>
      <c r="E2042" s="115">
        <v>1501</v>
      </c>
      <c r="F2042" s="115">
        <v>1510.25</v>
      </c>
      <c r="G2042">
        <v>1160</v>
      </c>
      <c r="H2042" s="115"/>
      <c r="I2042" s="115"/>
      <c r="L2042" s="160">
        <v>45008</v>
      </c>
      <c r="M2042" s="115">
        <v>642.5</v>
      </c>
      <c r="N2042" s="115">
        <v>658</v>
      </c>
      <c r="O2042" s="115">
        <v>641.1</v>
      </c>
      <c r="P2042" s="115">
        <v>645.9</v>
      </c>
      <c r="Q2042" s="115">
        <v>642.5</v>
      </c>
      <c r="R2042">
        <v>22961</v>
      </c>
    </row>
    <row r="2043" spans="1:18" x14ac:dyDescent="0.25">
      <c r="A2043" s="160">
        <v>45040</v>
      </c>
      <c r="B2043" s="115">
        <v>1510</v>
      </c>
      <c r="C2043" s="115">
        <v>1495.15</v>
      </c>
      <c r="D2043" s="115">
        <v>1472</v>
      </c>
      <c r="E2043" s="115">
        <v>1510</v>
      </c>
      <c r="F2043" s="115">
        <v>1495.15</v>
      </c>
      <c r="G2043">
        <v>665</v>
      </c>
      <c r="H2043" s="115"/>
      <c r="I2043" s="115"/>
      <c r="L2043" s="160">
        <v>45009</v>
      </c>
      <c r="M2043" s="115">
        <v>644.79999999999995</v>
      </c>
      <c r="N2043" s="115">
        <v>655</v>
      </c>
      <c r="O2043" s="115">
        <v>642.75</v>
      </c>
      <c r="P2043" s="115">
        <v>644.9</v>
      </c>
      <c r="Q2043" s="115">
        <v>644.79999999999995</v>
      </c>
      <c r="R2043">
        <v>14201</v>
      </c>
    </row>
    <row r="2044" spans="1:18" x14ac:dyDescent="0.25">
      <c r="A2044" s="160">
        <v>45041</v>
      </c>
      <c r="B2044" s="115">
        <v>1529.5</v>
      </c>
      <c r="C2044" s="115">
        <v>1493</v>
      </c>
      <c r="D2044" s="115">
        <v>1470</v>
      </c>
      <c r="E2044" s="115">
        <v>1471</v>
      </c>
      <c r="F2044" s="115">
        <v>1493</v>
      </c>
      <c r="G2044">
        <v>1348</v>
      </c>
      <c r="H2044" s="115"/>
      <c r="I2044" s="115"/>
      <c r="L2044" s="160">
        <v>45012</v>
      </c>
      <c r="M2044" s="115">
        <v>632.79999999999995</v>
      </c>
      <c r="N2044" s="115">
        <v>644</v>
      </c>
      <c r="O2044" s="115">
        <v>632.04999999999995</v>
      </c>
      <c r="P2044" s="115">
        <v>644</v>
      </c>
      <c r="Q2044" s="115">
        <v>632.79999999999995</v>
      </c>
      <c r="R2044">
        <v>9552</v>
      </c>
    </row>
    <row r="2045" spans="1:18" x14ac:dyDescent="0.25">
      <c r="A2045" s="160">
        <v>45042</v>
      </c>
      <c r="B2045" s="115">
        <v>1527.95</v>
      </c>
      <c r="C2045" s="115">
        <v>1522.7</v>
      </c>
      <c r="D2045" s="115">
        <v>1501.5</v>
      </c>
      <c r="E2045" s="115">
        <v>1518</v>
      </c>
      <c r="F2045" s="115">
        <v>1522.7</v>
      </c>
      <c r="G2045">
        <v>549</v>
      </c>
      <c r="H2045" s="115"/>
      <c r="I2045" s="115"/>
      <c r="L2045" s="160">
        <v>45013</v>
      </c>
      <c r="M2045" s="115">
        <v>630.79999999999995</v>
      </c>
      <c r="N2045" s="115">
        <v>641</v>
      </c>
      <c r="O2045" s="115">
        <v>630</v>
      </c>
      <c r="P2045" s="115">
        <v>633</v>
      </c>
      <c r="Q2045" s="115">
        <v>630.79999999999995</v>
      </c>
      <c r="R2045">
        <v>15214</v>
      </c>
    </row>
    <row r="2046" spans="1:18" x14ac:dyDescent="0.25">
      <c r="A2046" s="160">
        <v>45043</v>
      </c>
      <c r="B2046" s="115">
        <v>1525</v>
      </c>
      <c r="C2046" s="115">
        <v>1523.75</v>
      </c>
      <c r="D2046" s="115">
        <v>1505</v>
      </c>
      <c r="E2046" s="115">
        <v>1522.6</v>
      </c>
      <c r="F2046" s="115">
        <v>1523.75</v>
      </c>
      <c r="G2046">
        <v>596</v>
      </c>
      <c r="H2046" s="115"/>
      <c r="I2046" s="115"/>
      <c r="L2046" s="160">
        <v>45014</v>
      </c>
      <c r="M2046" s="115">
        <v>615.20000000000005</v>
      </c>
      <c r="N2046" s="115">
        <v>632.45000000000005</v>
      </c>
      <c r="O2046" s="115">
        <v>610</v>
      </c>
      <c r="P2046" s="115">
        <v>627</v>
      </c>
      <c r="Q2046" s="115">
        <v>615.20000000000005</v>
      </c>
      <c r="R2046">
        <v>18138</v>
      </c>
    </row>
    <row r="2047" spans="1:18" x14ac:dyDescent="0.25">
      <c r="A2047" s="160">
        <v>45044</v>
      </c>
      <c r="B2047" s="115">
        <v>1523.95</v>
      </c>
      <c r="C2047" s="115">
        <v>1516.55</v>
      </c>
      <c r="D2047" s="115">
        <v>1505</v>
      </c>
      <c r="E2047" s="115">
        <v>1510</v>
      </c>
      <c r="F2047" s="115">
        <v>1516.55</v>
      </c>
      <c r="G2047">
        <v>367</v>
      </c>
      <c r="H2047" s="115"/>
      <c r="I2047" s="115"/>
      <c r="L2047" s="160">
        <v>45016</v>
      </c>
      <c r="M2047" s="115">
        <v>611.4</v>
      </c>
      <c r="N2047" s="115">
        <v>623</v>
      </c>
      <c r="O2047" s="115">
        <v>609.75</v>
      </c>
      <c r="P2047" s="115">
        <v>621</v>
      </c>
      <c r="Q2047" s="115">
        <v>611.4</v>
      </c>
      <c r="R2047">
        <v>26307</v>
      </c>
    </row>
    <row r="2048" spans="1:18" x14ac:dyDescent="0.25">
      <c r="A2048" s="160">
        <v>45048</v>
      </c>
      <c r="B2048" s="115">
        <v>1590</v>
      </c>
      <c r="C2048" s="115">
        <v>1550.95</v>
      </c>
      <c r="D2048" s="115">
        <v>1500</v>
      </c>
      <c r="E2048" s="115">
        <v>1500</v>
      </c>
      <c r="F2048" s="115">
        <v>1550.95</v>
      </c>
      <c r="G2048">
        <v>2262</v>
      </c>
      <c r="H2048" s="115"/>
      <c r="I2048" s="115"/>
      <c r="L2048" s="160">
        <v>45019</v>
      </c>
      <c r="M2048" s="115">
        <v>609.9</v>
      </c>
      <c r="N2048" s="115">
        <v>618.95000000000005</v>
      </c>
      <c r="O2048" s="115">
        <v>605.1</v>
      </c>
      <c r="P2048" s="115">
        <v>614.5</v>
      </c>
      <c r="Q2048" s="115">
        <v>609.9</v>
      </c>
      <c r="R2048">
        <v>22013</v>
      </c>
    </row>
    <row r="2049" spans="1:18" x14ac:dyDescent="0.25">
      <c r="A2049" s="160">
        <v>45049</v>
      </c>
      <c r="B2049" s="115">
        <v>1670</v>
      </c>
      <c r="C2049" s="115">
        <v>1636.8</v>
      </c>
      <c r="D2049" s="115">
        <v>1550.95</v>
      </c>
      <c r="E2049" s="115">
        <v>1550.95</v>
      </c>
      <c r="F2049" s="115">
        <v>1636.8</v>
      </c>
      <c r="G2049">
        <v>5721</v>
      </c>
      <c r="H2049" s="115"/>
      <c r="I2049" s="115"/>
      <c r="L2049" s="160">
        <v>45021</v>
      </c>
      <c r="M2049" s="115">
        <v>629.5</v>
      </c>
      <c r="N2049" s="115">
        <v>637.75</v>
      </c>
      <c r="O2049" s="115">
        <v>609.04999999999995</v>
      </c>
      <c r="P2049" s="115">
        <v>611.85</v>
      </c>
      <c r="Q2049" s="115">
        <v>629.5</v>
      </c>
      <c r="R2049">
        <v>20945</v>
      </c>
    </row>
    <row r="2050" spans="1:18" x14ac:dyDescent="0.25">
      <c r="A2050" s="160">
        <v>45050</v>
      </c>
      <c r="B2050" s="115">
        <v>1680</v>
      </c>
      <c r="C2050" s="115">
        <v>1653.3</v>
      </c>
      <c r="D2050" s="115">
        <v>1610</v>
      </c>
      <c r="E2050" s="115">
        <v>1665</v>
      </c>
      <c r="F2050" s="115">
        <v>1653.3</v>
      </c>
      <c r="G2050">
        <v>2449</v>
      </c>
      <c r="H2050" s="115"/>
      <c r="I2050" s="115"/>
      <c r="L2050" s="160">
        <v>45022</v>
      </c>
      <c r="M2050" s="115">
        <v>636.5</v>
      </c>
      <c r="N2050" s="115">
        <v>639.9</v>
      </c>
      <c r="O2050" s="115">
        <v>629</v>
      </c>
      <c r="P2050" s="115">
        <v>635.79999999999995</v>
      </c>
      <c r="Q2050" s="115">
        <v>636.5</v>
      </c>
      <c r="R2050">
        <v>14277</v>
      </c>
    </row>
    <row r="2051" spans="1:18" x14ac:dyDescent="0.25">
      <c r="A2051" s="160">
        <v>45051</v>
      </c>
      <c r="B2051" s="115">
        <v>1707</v>
      </c>
      <c r="C2051" s="115">
        <v>1681.15</v>
      </c>
      <c r="D2051" s="115">
        <v>1635</v>
      </c>
      <c r="E2051" s="115">
        <v>1670</v>
      </c>
      <c r="F2051" s="115">
        <v>1681.15</v>
      </c>
      <c r="G2051">
        <v>2721</v>
      </c>
      <c r="H2051" s="115"/>
      <c r="I2051" s="115"/>
      <c r="L2051" s="160">
        <v>45026</v>
      </c>
      <c r="M2051" s="115">
        <v>638.35</v>
      </c>
      <c r="N2051" s="115">
        <v>641</v>
      </c>
      <c r="O2051" s="115">
        <v>630.85</v>
      </c>
      <c r="P2051" s="115">
        <v>637</v>
      </c>
      <c r="Q2051" s="115">
        <v>638.35</v>
      </c>
      <c r="R2051">
        <v>9583</v>
      </c>
    </row>
    <row r="2052" spans="1:18" x14ac:dyDescent="0.25">
      <c r="A2052" s="160">
        <v>45054</v>
      </c>
      <c r="B2052" s="115">
        <v>1799</v>
      </c>
      <c r="C2052" s="115">
        <v>1770.65</v>
      </c>
      <c r="D2052" s="115">
        <v>1681.15</v>
      </c>
      <c r="E2052" s="115">
        <v>1681.15</v>
      </c>
      <c r="F2052" s="115">
        <v>1770.65</v>
      </c>
      <c r="G2052">
        <v>4824</v>
      </c>
      <c r="H2052" s="115"/>
      <c r="I2052" s="115"/>
      <c r="L2052" s="160">
        <v>45027</v>
      </c>
      <c r="M2052" s="115">
        <v>640.1</v>
      </c>
      <c r="N2052" s="115">
        <v>641.54999999999995</v>
      </c>
      <c r="O2052" s="115">
        <v>632.15</v>
      </c>
      <c r="P2052" s="115">
        <v>638</v>
      </c>
      <c r="Q2052" s="115">
        <v>640.1</v>
      </c>
      <c r="R2052">
        <v>7845</v>
      </c>
    </row>
    <row r="2053" spans="1:18" x14ac:dyDescent="0.25">
      <c r="A2053" s="160">
        <v>45055</v>
      </c>
      <c r="B2053" s="115">
        <v>1909.95</v>
      </c>
      <c r="C2053" s="115">
        <v>1893.8</v>
      </c>
      <c r="D2053" s="115">
        <v>1738</v>
      </c>
      <c r="E2053" s="115">
        <v>1793</v>
      </c>
      <c r="F2053" s="115">
        <v>1893.8</v>
      </c>
      <c r="G2053">
        <v>11113</v>
      </c>
      <c r="H2053" s="115"/>
      <c r="I2053" s="115"/>
      <c r="L2053" s="160">
        <v>45028</v>
      </c>
      <c r="M2053" s="115">
        <v>641.6</v>
      </c>
      <c r="N2053" s="115">
        <v>648.35</v>
      </c>
      <c r="O2053" s="115">
        <v>639.35</v>
      </c>
      <c r="P2053" s="115">
        <v>640.45000000000005</v>
      </c>
      <c r="Q2053" s="115">
        <v>641.6</v>
      </c>
      <c r="R2053">
        <v>9699</v>
      </c>
    </row>
    <row r="2054" spans="1:18" x14ac:dyDescent="0.25">
      <c r="A2054" s="160">
        <v>45056</v>
      </c>
      <c r="B2054" s="115">
        <v>1944</v>
      </c>
      <c r="C2054" s="115">
        <v>1832.15</v>
      </c>
      <c r="D2054" s="115">
        <v>1810.3</v>
      </c>
      <c r="E2054" s="115">
        <v>1919</v>
      </c>
      <c r="F2054" s="115">
        <v>1832.15</v>
      </c>
      <c r="G2054">
        <v>7363</v>
      </c>
      <c r="H2054" s="115"/>
      <c r="I2054" s="115"/>
      <c r="L2054" s="160">
        <v>45029</v>
      </c>
      <c r="M2054" s="115">
        <v>640</v>
      </c>
      <c r="N2054" s="115">
        <v>643.70000000000005</v>
      </c>
      <c r="O2054" s="115">
        <v>639</v>
      </c>
      <c r="P2054" s="115">
        <v>640</v>
      </c>
      <c r="Q2054" s="115">
        <v>640</v>
      </c>
      <c r="R2054">
        <v>4616</v>
      </c>
    </row>
    <row r="2055" spans="1:18" x14ac:dyDescent="0.25">
      <c r="A2055" s="160">
        <v>45057</v>
      </c>
      <c r="B2055" s="115">
        <v>1975</v>
      </c>
      <c r="C2055" s="115">
        <v>1887.7</v>
      </c>
      <c r="D2055" s="115">
        <v>1833.5</v>
      </c>
      <c r="E2055" s="115">
        <v>1833.5</v>
      </c>
      <c r="F2055" s="115">
        <v>1887.7</v>
      </c>
      <c r="G2055">
        <v>7346</v>
      </c>
      <c r="H2055" s="115"/>
      <c r="I2055" s="115"/>
      <c r="L2055" s="160">
        <v>45033</v>
      </c>
      <c r="M2055" s="115">
        <v>645.6</v>
      </c>
      <c r="N2055" s="115">
        <v>650</v>
      </c>
      <c r="O2055" s="115">
        <v>632.54999999999995</v>
      </c>
      <c r="P2055" s="115">
        <v>639.79999999999995</v>
      </c>
      <c r="Q2055" s="115">
        <v>645.6</v>
      </c>
      <c r="R2055">
        <v>19840</v>
      </c>
    </row>
    <row r="2056" spans="1:18" x14ac:dyDescent="0.25">
      <c r="A2056" s="160">
        <v>45058</v>
      </c>
      <c r="B2056" s="115">
        <v>2120</v>
      </c>
      <c r="C2056" s="115">
        <v>2089.4</v>
      </c>
      <c r="D2056" s="115">
        <v>1881.05</v>
      </c>
      <c r="E2056" s="115">
        <v>1938</v>
      </c>
      <c r="F2056" s="115">
        <v>2089.4</v>
      </c>
      <c r="G2056">
        <v>11249</v>
      </c>
      <c r="H2056" s="115"/>
      <c r="I2056" s="115"/>
      <c r="L2056" s="160">
        <v>45034</v>
      </c>
      <c r="M2056" s="115">
        <v>648.85</v>
      </c>
      <c r="N2056" s="115">
        <v>649.95000000000005</v>
      </c>
      <c r="O2056" s="115">
        <v>641.54999999999995</v>
      </c>
      <c r="P2056" s="115">
        <v>645.6</v>
      </c>
      <c r="Q2056" s="115">
        <v>648.85</v>
      </c>
      <c r="R2056">
        <v>8323</v>
      </c>
    </row>
    <row r="2057" spans="1:18" x14ac:dyDescent="0.25">
      <c r="A2057" s="160">
        <v>45061</v>
      </c>
      <c r="B2057" s="115">
        <v>2279</v>
      </c>
      <c r="C2057" s="115">
        <v>2263.4499999999998</v>
      </c>
      <c r="D2057" s="115">
        <v>2085</v>
      </c>
      <c r="E2057" s="115">
        <v>2085</v>
      </c>
      <c r="F2057" s="115">
        <v>2263.4499999999998</v>
      </c>
      <c r="G2057">
        <v>12792</v>
      </c>
      <c r="H2057" s="115"/>
      <c r="I2057" s="115"/>
      <c r="L2057" s="160">
        <v>45035</v>
      </c>
      <c r="M2057" s="115">
        <v>647.35</v>
      </c>
      <c r="N2057" s="115">
        <v>655</v>
      </c>
      <c r="O2057" s="115">
        <v>641.45000000000005</v>
      </c>
      <c r="P2057" s="115">
        <v>648.85</v>
      </c>
      <c r="Q2057" s="115">
        <v>647.35</v>
      </c>
      <c r="R2057">
        <v>9232</v>
      </c>
    </row>
    <row r="2058" spans="1:18" x14ac:dyDescent="0.25">
      <c r="A2058" s="160">
        <v>45062</v>
      </c>
      <c r="B2058" s="115">
        <v>2325</v>
      </c>
      <c r="C2058" s="115">
        <v>2213.85</v>
      </c>
      <c r="D2058" s="115">
        <v>2181</v>
      </c>
      <c r="E2058" s="115">
        <v>2280</v>
      </c>
      <c r="F2058" s="115">
        <v>2213.85</v>
      </c>
      <c r="G2058">
        <v>5091</v>
      </c>
      <c r="H2058" s="115"/>
      <c r="I2058" s="115"/>
      <c r="L2058" s="160">
        <v>45036</v>
      </c>
      <c r="M2058" s="115">
        <v>647.04999999999995</v>
      </c>
      <c r="N2058" s="115">
        <v>652.54999999999995</v>
      </c>
      <c r="O2058" s="115">
        <v>643.25</v>
      </c>
      <c r="P2058" s="115">
        <v>652.54999999999995</v>
      </c>
      <c r="Q2058" s="115">
        <v>647.04999999999995</v>
      </c>
      <c r="R2058">
        <v>3352</v>
      </c>
    </row>
    <row r="2059" spans="1:18" x14ac:dyDescent="0.25">
      <c r="A2059" s="160">
        <v>45063</v>
      </c>
      <c r="B2059" s="115">
        <v>2270</v>
      </c>
      <c r="C2059" s="115">
        <v>2198.35</v>
      </c>
      <c r="D2059" s="115">
        <v>2100</v>
      </c>
      <c r="E2059" s="115">
        <v>2100</v>
      </c>
      <c r="F2059" s="115">
        <v>2198.35</v>
      </c>
      <c r="G2059">
        <v>3132</v>
      </c>
      <c r="H2059" s="115"/>
      <c r="I2059" s="115"/>
      <c r="L2059" s="160">
        <v>45037</v>
      </c>
      <c r="M2059" s="115">
        <v>639.25</v>
      </c>
      <c r="N2059" s="115">
        <v>647.95000000000005</v>
      </c>
      <c r="O2059" s="115">
        <v>637.85</v>
      </c>
      <c r="P2059" s="115">
        <v>645.54999999999995</v>
      </c>
      <c r="Q2059" s="115">
        <v>639.25</v>
      </c>
      <c r="R2059">
        <v>6082</v>
      </c>
    </row>
    <row r="2060" spans="1:18" x14ac:dyDescent="0.25">
      <c r="A2060" s="160">
        <v>45064</v>
      </c>
      <c r="B2060" s="115">
        <v>2320</v>
      </c>
      <c r="C2060" s="115">
        <v>2240.75</v>
      </c>
      <c r="D2060" s="115">
        <v>2220</v>
      </c>
      <c r="E2060" s="115">
        <v>2230</v>
      </c>
      <c r="F2060" s="115">
        <v>2240.75</v>
      </c>
      <c r="G2060">
        <v>2316</v>
      </c>
      <c r="H2060" s="115"/>
      <c r="I2060" s="115"/>
      <c r="L2060" s="160">
        <v>45040</v>
      </c>
      <c r="M2060" s="115">
        <v>635.79999999999995</v>
      </c>
      <c r="N2060" s="115">
        <v>644.4</v>
      </c>
      <c r="O2060" s="115">
        <v>630</v>
      </c>
      <c r="P2060" s="115">
        <v>640</v>
      </c>
      <c r="Q2060" s="115">
        <v>635.79999999999995</v>
      </c>
      <c r="R2060">
        <v>10933</v>
      </c>
    </row>
    <row r="2061" spans="1:18" x14ac:dyDescent="0.25">
      <c r="A2061" s="160">
        <v>45065</v>
      </c>
      <c r="B2061" s="115">
        <v>2289.3000000000002</v>
      </c>
      <c r="C2061" s="115">
        <v>2260</v>
      </c>
      <c r="D2061" s="115">
        <v>2180</v>
      </c>
      <c r="E2061" s="115">
        <v>2280</v>
      </c>
      <c r="F2061" s="115">
        <v>2260</v>
      </c>
      <c r="G2061">
        <v>1603</v>
      </c>
      <c r="H2061" s="115"/>
      <c r="I2061" s="115"/>
      <c r="L2061" s="160">
        <v>45041</v>
      </c>
      <c r="M2061" s="115">
        <v>636.35</v>
      </c>
      <c r="N2061" s="115">
        <v>639.85</v>
      </c>
      <c r="O2061" s="115">
        <v>632.04999999999995</v>
      </c>
      <c r="P2061" s="115">
        <v>634</v>
      </c>
      <c r="Q2061" s="115">
        <v>636.35</v>
      </c>
      <c r="R2061">
        <v>5841</v>
      </c>
    </row>
    <row r="2062" spans="1:18" x14ac:dyDescent="0.25">
      <c r="A2062" s="160">
        <v>45068</v>
      </c>
      <c r="B2062" s="115">
        <v>2324</v>
      </c>
      <c r="C2062" s="115">
        <v>2281.1999999999998</v>
      </c>
      <c r="D2062" s="115">
        <v>2160</v>
      </c>
      <c r="E2062" s="115">
        <v>2260</v>
      </c>
      <c r="F2062" s="115">
        <v>2281.1999999999998</v>
      </c>
      <c r="G2062">
        <v>2464</v>
      </c>
      <c r="H2062" s="115"/>
      <c r="I2062" s="115"/>
      <c r="L2062" s="160">
        <v>45042</v>
      </c>
      <c r="M2062" s="115">
        <v>641.20000000000005</v>
      </c>
      <c r="N2062" s="115">
        <v>645.35</v>
      </c>
      <c r="O2062" s="115">
        <v>632.54999999999995</v>
      </c>
      <c r="P2062" s="115">
        <v>636.35</v>
      </c>
      <c r="Q2062" s="115">
        <v>641.20000000000005</v>
      </c>
      <c r="R2062">
        <v>4761</v>
      </c>
    </row>
    <row r="2063" spans="1:18" x14ac:dyDescent="0.25">
      <c r="A2063" s="160">
        <v>45069</v>
      </c>
      <c r="B2063" s="115">
        <v>2318</v>
      </c>
      <c r="C2063" s="115">
        <v>2265.85</v>
      </c>
      <c r="D2063" s="115">
        <v>2251</v>
      </c>
      <c r="E2063" s="115">
        <v>2299</v>
      </c>
      <c r="F2063" s="115">
        <v>2265.85</v>
      </c>
      <c r="G2063">
        <v>7290</v>
      </c>
      <c r="H2063" s="115"/>
      <c r="I2063" s="115"/>
      <c r="L2063" s="160">
        <v>45043</v>
      </c>
      <c r="M2063" s="115">
        <v>638.79999999999995</v>
      </c>
      <c r="N2063" s="115">
        <v>648</v>
      </c>
      <c r="O2063" s="115">
        <v>636.5</v>
      </c>
      <c r="P2063" s="115">
        <v>648</v>
      </c>
      <c r="Q2063" s="115">
        <v>638.79999999999995</v>
      </c>
      <c r="R2063">
        <v>5647</v>
      </c>
    </row>
    <row r="2064" spans="1:18" x14ac:dyDescent="0.25">
      <c r="A2064" s="160">
        <v>45070</v>
      </c>
      <c r="B2064" s="115">
        <v>2320</v>
      </c>
      <c r="C2064" s="115">
        <v>2237.15</v>
      </c>
      <c r="D2064" s="115">
        <v>2225.1999999999998</v>
      </c>
      <c r="E2064" s="115">
        <v>2275</v>
      </c>
      <c r="F2064" s="115">
        <v>2237.15</v>
      </c>
      <c r="G2064">
        <v>3446</v>
      </c>
      <c r="H2064" s="115"/>
      <c r="I2064" s="115"/>
      <c r="L2064" s="160">
        <v>45044</v>
      </c>
      <c r="M2064" s="115">
        <v>645.25</v>
      </c>
      <c r="N2064" s="115">
        <v>649.45000000000005</v>
      </c>
      <c r="O2064" s="115">
        <v>636.1</v>
      </c>
      <c r="P2064" s="115">
        <v>638.79999999999995</v>
      </c>
      <c r="Q2064" s="115">
        <v>645.25</v>
      </c>
      <c r="R2064">
        <v>16943</v>
      </c>
    </row>
    <row r="2065" spans="1:18" x14ac:dyDescent="0.25">
      <c r="A2065" s="160">
        <v>45071</v>
      </c>
      <c r="B2065" s="115">
        <v>2300</v>
      </c>
      <c r="C2065" s="115">
        <v>2204.65</v>
      </c>
      <c r="D2065" s="115">
        <v>2201.1999999999998</v>
      </c>
      <c r="E2065" s="115">
        <v>2300</v>
      </c>
      <c r="F2065" s="115">
        <v>2204.65</v>
      </c>
      <c r="G2065">
        <v>5244</v>
      </c>
      <c r="H2065" s="115"/>
      <c r="I2065" s="115"/>
      <c r="L2065" s="160">
        <v>45048</v>
      </c>
      <c r="M2065" s="115">
        <v>653.04999999999995</v>
      </c>
      <c r="N2065" s="115">
        <v>666.95</v>
      </c>
      <c r="O2065" s="115">
        <v>645.35</v>
      </c>
      <c r="P2065" s="115">
        <v>648.5</v>
      </c>
      <c r="Q2065" s="115">
        <v>653.04999999999995</v>
      </c>
      <c r="R2065">
        <v>28065</v>
      </c>
    </row>
    <row r="2066" spans="1:18" x14ac:dyDescent="0.25">
      <c r="A2066" s="160">
        <v>45072</v>
      </c>
      <c r="B2066" s="115">
        <v>2190</v>
      </c>
      <c r="C2066" s="115">
        <v>2074.4</v>
      </c>
      <c r="D2066" s="115">
        <v>1891</v>
      </c>
      <c r="E2066" s="115">
        <v>2185</v>
      </c>
      <c r="F2066" s="115">
        <v>2074.4</v>
      </c>
      <c r="G2066">
        <v>17878</v>
      </c>
      <c r="H2066" s="115"/>
      <c r="I2066" s="115"/>
      <c r="L2066" s="160">
        <v>45049</v>
      </c>
      <c r="M2066" s="115">
        <v>651.9</v>
      </c>
      <c r="N2066" s="115">
        <v>655.7</v>
      </c>
      <c r="O2066" s="115">
        <v>644.20000000000005</v>
      </c>
      <c r="P2066" s="115">
        <v>654</v>
      </c>
      <c r="Q2066" s="115">
        <v>651.9</v>
      </c>
      <c r="R2066">
        <v>8024</v>
      </c>
    </row>
    <row r="2067" spans="1:18" x14ac:dyDescent="0.25">
      <c r="A2067" s="160">
        <v>45075</v>
      </c>
      <c r="B2067" s="115">
        <v>2119.5</v>
      </c>
      <c r="C2067" s="115">
        <v>1969.05</v>
      </c>
      <c r="D2067" s="115">
        <v>1950</v>
      </c>
      <c r="E2067" s="115">
        <v>2030</v>
      </c>
      <c r="F2067" s="115">
        <v>1969.05</v>
      </c>
      <c r="G2067">
        <v>5543</v>
      </c>
      <c r="H2067" s="115"/>
      <c r="I2067" s="115"/>
      <c r="L2067" s="160">
        <v>45050</v>
      </c>
      <c r="M2067" s="115">
        <v>659.5</v>
      </c>
      <c r="N2067" s="115">
        <v>664.7</v>
      </c>
      <c r="O2067" s="115">
        <v>652</v>
      </c>
      <c r="P2067" s="115">
        <v>652</v>
      </c>
      <c r="Q2067" s="115">
        <v>659.5</v>
      </c>
      <c r="R2067">
        <v>16063</v>
      </c>
    </row>
    <row r="2068" spans="1:18" x14ac:dyDescent="0.25">
      <c r="A2068" s="160">
        <v>45076</v>
      </c>
      <c r="B2068" s="115">
        <v>2050</v>
      </c>
      <c r="C2068" s="115">
        <v>2024.1</v>
      </c>
      <c r="D2068" s="115">
        <v>1971</v>
      </c>
      <c r="E2068" s="115">
        <v>1971</v>
      </c>
      <c r="F2068" s="115">
        <v>2024.1</v>
      </c>
      <c r="G2068">
        <v>5897</v>
      </c>
      <c r="H2068" s="115"/>
      <c r="I2068" s="115"/>
      <c r="L2068" s="160">
        <v>45051</v>
      </c>
      <c r="M2068" s="115">
        <v>658.65</v>
      </c>
      <c r="N2068" s="115">
        <v>664.45</v>
      </c>
      <c r="O2068" s="115">
        <v>652</v>
      </c>
      <c r="P2068" s="115">
        <v>652</v>
      </c>
      <c r="Q2068" s="115">
        <v>658.65</v>
      </c>
      <c r="R2068">
        <v>16658</v>
      </c>
    </row>
    <row r="2069" spans="1:18" x14ac:dyDescent="0.25">
      <c r="A2069" s="160">
        <v>45077</v>
      </c>
      <c r="B2069" s="115">
        <v>2100</v>
      </c>
      <c r="C2069" s="115">
        <v>2068.15</v>
      </c>
      <c r="D2069" s="115">
        <v>1999</v>
      </c>
      <c r="E2069" s="115">
        <v>1999</v>
      </c>
      <c r="F2069" s="115">
        <v>2068.15</v>
      </c>
      <c r="G2069">
        <v>2640</v>
      </c>
      <c r="H2069" s="115"/>
      <c r="I2069" s="115"/>
      <c r="L2069" s="160">
        <v>45054</v>
      </c>
      <c r="M2069" s="115">
        <v>641.9</v>
      </c>
      <c r="N2069" s="115">
        <v>664</v>
      </c>
      <c r="O2069" s="115">
        <v>638</v>
      </c>
      <c r="P2069" s="115">
        <v>658</v>
      </c>
      <c r="Q2069" s="115">
        <v>641.9</v>
      </c>
      <c r="R2069">
        <v>34842</v>
      </c>
    </row>
    <row r="2070" spans="1:18" x14ac:dyDescent="0.25">
      <c r="A2070" s="160">
        <v>45078</v>
      </c>
      <c r="B2070" s="115">
        <v>2199</v>
      </c>
      <c r="C2070" s="115">
        <v>2159.35</v>
      </c>
      <c r="D2070" s="115">
        <v>2090</v>
      </c>
      <c r="E2070" s="115">
        <v>2094</v>
      </c>
      <c r="F2070" s="115">
        <v>2159.35</v>
      </c>
      <c r="G2070">
        <v>3678</v>
      </c>
      <c r="H2070" s="115"/>
      <c r="I2070" s="115"/>
      <c r="L2070" s="160">
        <v>45055</v>
      </c>
      <c r="M2070" s="115">
        <v>644.4</v>
      </c>
      <c r="N2070" s="115">
        <v>649</v>
      </c>
      <c r="O2070" s="115">
        <v>642.04999999999995</v>
      </c>
      <c r="P2070" s="115">
        <v>642.04999999999995</v>
      </c>
      <c r="Q2070" s="115">
        <v>644.4</v>
      </c>
      <c r="R2070">
        <v>15507</v>
      </c>
    </row>
    <row r="2071" spans="1:18" x14ac:dyDescent="0.25">
      <c r="A2071" s="160">
        <v>45079</v>
      </c>
      <c r="B2071" s="115">
        <v>2200</v>
      </c>
      <c r="C2071" s="115">
        <v>2106.6</v>
      </c>
      <c r="D2071" s="115">
        <v>2080</v>
      </c>
      <c r="E2071" s="115">
        <v>2193</v>
      </c>
      <c r="F2071" s="115">
        <v>2106.6</v>
      </c>
      <c r="G2071">
        <v>2628</v>
      </c>
      <c r="H2071" s="115"/>
      <c r="I2071" s="115"/>
      <c r="L2071" s="160">
        <v>45056</v>
      </c>
      <c r="M2071" s="115">
        <v>646.54999999999995</v>
      </c>
      <c r="N2071" s="115">
        <v>652.04999999999995</v>
      </c>
      <c r="O2071" s="115">
        <v>637.5</v>
      </c>
      <c r="P2071" s="115">
        <v>647.65</v>
      </c>
      <c r="Q2071" s="115">
        <v>646.54999999999995</v>
      </c>
      <c r="R2071">
        <v>14883</v>
      </c>
    </row>
    <row r="2072" spans="1:18" x14ac:dyDescent="0.25">
      <c r="A2072" s="160">
        <v>45082</v>
      </c>
      <c r="B2072" s="115">
        <v>2147</v>
      </c>
      <c r="C2072" s="115">
        <v>2084</v>
      </c>
      <c r="D2072" s="115">
        <v>2075</v>
      </c>
      <c r="E2072" s="115">
        <v>2135</v>
      </c>
      <c r="F2072" s="115">
        <v>2084</v>
      </c>
      <c r="G2072">
        <v>2015</v>
      </c>
      <c r="H2072" s="115"/>
      <c r="I2072" s="115"/>
      <c r="L2072" s="160">
        <v>45057</v>
      </c>
      <c r="M2072" s="115">
        <v>650.65</v>
      </c>
      <c r="N2072" s="115">
        <v>655.9</v>
      </c>
      <c r="O2072" s="115">
        <v>645.5</v>
      </c>
      <c r="P2072" s="115">
        <v>647.1</v>
      </c>
      <c r="Q2072" s="115">
        <v>650.65</v>
      </c>
      <c r="R2072">
        <v>14055</v>
      </c>
    </row>
    <row r="2073" spans="1:18" x14ac:dyDescent="0.25">
      <c r="A2073" s="160">
        <v>45083</v>
      </c>
      <c r="B2073" s="115">
        <v>2130</v>
      </c>
      <c r="C2073" s="115">
        <v>2063.9</v>
      </c>
      <c r="D2073" s="115">
        <v>2010</v>
      </c>
      <c r="E2073" s="115">
        <v>2084</v>
      </c>
      <c r="F2073" s="115">
        <v>2063.9</v>
      </c>
      <c r="G2073">
        <v>2778</v>
      </c>
      <c r="H2073" s="115"/>
      <c r="I2073" s="115"/>
      <c r="L2073" s="160">
        <v>45058</v>
      </c>
      <c r="M2073" s="115">
        <v>650.04999999999995</v>
      </c>
      <c r="N2073" s="115">
        <v>653.95000000000005</v>
      </c>
      <c r="O2073" s="115">
        <v>647</v>
      </c>
      <c r="P2073" s="115">
        <v>650.70000000000005</v>
      </c>
      <c r="Q2073" s="115">
        <v>650.04999999999995</v>
      </c>
      <c r="R2073">
        <v>9020</v>
      </c>
    </row>
    <row r="2074" spans="1:18" x14ac:dyDescent="0.25">
      <c r="A2074" s="160">
        <v>45084</v>
      </c>
      <c r="B2074" s="115">
        <v>2140</v>
      </c>
      <c r="C2074" s="115">
        <v>2021.95</v>
      </c>
      <c r="D2074" s="115">
        <v>1998.9</v>
      </c>
      <c r="E2074" s="115">
        <v>2140</v>
      </c>
      <c r="F2074" s="115">
        <v>2021.95</v>
      </c>
      <c r="G2074">
        <v>2542</v>
      </c>
      <c r="H2074" s="115"/>
      <c r="I2074" s="115"/>
      <c r="L2074" s="160">
        <v>45061</v>
      </c>
      <c r="M2074" s="115">
        <v>656.55</v>
      </c>
      <c r="N2074" s="115">
        <v>660.6</v>
      </c>
      <c r="O2074" s="115">
        <v>642.9</v>
      </c>
      <c r="P2074" s="115">
        <v>650.04999999999995</v>
      </c>
      <c r="Q2074" s="115">
        <v>656.55</v>
      </c>
      <c r="R2074">
        <v>32403</v>
      </c>
    </row>
    <row r="2075" spans="1:18" x14ac:dyDescent="0.25">
      <c r="A2075" s="160">
        <v>45085</v>
      </c>
      <c r="B2075" s="115">
        <v>2099</v>
      </c>
      <c r="C2075" s="115">
        <v>2044.55</v>
      </c>
      <c r="D2075" s="115">
        <v>2018</v>
      </c>
      <c r="E2075" s="115">
        <v>2020</v>
      </c>
      <c r="F2075" s="115">
        <v>2044.55</v>
      </c>
      <c r="G2075">
        <v>1880</v>
      </c>
      <c r="H2075" s="115"/>
      <c r="I2075" s="115"/>
      <c r="L2075" s="160">
        <v>45062</v>
      </c>
      <c r="M2075" s="115">
        <v>665.35</v>
      </c>
      <c r="N2075" s="115">
        <v>670</v>
      </c>
      <c r="O2075" s="115">
        <v>653.85</v>
      </c>
      <c r="P2075" s="115">
        <v>659</v>
      </c>
      <c r="Q2075" s="115">
        <v>665.35</v>
      </c>
      <c r="R2075">
        <v>29997</v>
      </c>
    </row>
    <row r="2076" spans="1:18" x14ac:dyDescent="0.25">
      <c r="A2076" s="160">
        <v>45086</v>
      </c>
      <c r="B2076" s="115">
        <v>2124.9499999999998</v>
      </c>
      <c r="C2076" s="115">
        <v>2067.8000000000002</v>
      </c>
      <c r="D2076" s="115">
        <v>2035</v>
      </c>
      <c r="E2076" s="115">
        <v>2035</v>
      </c>
      <c r="F2076" s="115">
        <v>2067.8000000000002</v>
      </c>
      <c r="G2076">
        <v>1866</v>
      </c>
      <c r="H2076" s="115"/>
      <c r="I2076" s="115"/>
      <c r="L2076" s="160">
        <v>45063</v>
      </c>
      <c r="M2076" s="115">
        <v>667.9</v>
      </c>
      <c r="N2076" s="115">
        <v>674.4</v>
      </c>
      <c r="O2076" s="115">
        <v>661.1</v>
      </c>
      <c r="P2076" s="115">
        <v>665.35</v>
      </c>
      <c r="Q2076" s="115">
        <v>667.9</v>
      </c>
      <c r="R2076">
        <v>17108</v>
      </c>
    </row>
    <row r="2077" spans="1:18" x14ac:dyDescent="0.25">
      <c r="A2077" s="160">
        <v>45089</v>
      </c>
      <c r="B2077" s="115">
        <v>2130</v>
      </c>
      <c r="C2077" s="115">
        <v>2107.1999999999998</v>
      </c>
      <c r="D2077" s="115">
        <v>2080.25</v>
      </c>
      <c r="E2077" s="115">
        <v>2096.5</v>
      </c>
      <c r="F2077" s="115">
        <v>2107.1999999999998</v>
      </c>
      <c r="G2077">
        <v>1224</v>
      </c>
      <c r="H2077" s="115"/>
      <c r="I2077" s="115"/>
      <c r="L2077" s="160">
        <v>45064</v>
      </c>
      <c r="M2077" s="115">
        <v>674.8</v>
      </c>
      <c r="N2077" s="115">
        <v>680</v>
      </c>
      <c r="O2077" s="115">
        <v>667.9</v>
      </c>
      <c r="P2077" s="115">
        <v>668.6</v>
      </c>
      <c r="Q2077" s="115">
        <v>674.8</v>
      </c>
      <c r="R2077">
        <v>19685</v>
      </c>
    </row>
    <row r="2078" spans="1:18" x14ac:dyDescent="0.25">
      <c r="A2078" s="160">
        <v>45090</v>
      </c>
      <c r="B2078" s="115">
        <v>2195</v>
      </c>
      <c r="C2078" s="115">
        <v>2175.65</v>
      </c>
      <c r="D2078" s="115">
        <v>2085.5</v>
      </c>
      <c r="E2078" s="115">
        <v>2115</v>
      </c>
      <c r="F2078" s="115">
        <v>2175.65</v>
      </c>
      <c r="G2078">
        <v>4516</v>
      </c>
      <c r="H2078" s="115"/>
      <c r="I2078" s="115"/>
      <c r="L2078" s="160">
        <v>45065</v>
      </c>
      <c r="M2078" s="115">
        <v>673.05</v>
      </c>
      <c r="N2078" s="115">
        <v>678.2</v>
      </c>
      <c r="O2078" s="115">
        <v>666.55</v>
      </c>
      <c r="P2078" s="115">
        <v>678.2</v>
      </c>
      <c r="Q2078" s="115">
        <v>673.05</v>
      </c>
      <c r="R2078">
        <v>17700</v>
      </c>
    </row>
    <row r="2079" spans="1:18" x14ac:dyDescent="0.25">
      <c r="A2079" s="160">
        <v>45091</v>
      </c>
      <c r="B2079" s="115">
        <v>2288</v>
      </c>
      <c r="C2079" s="115">
        <v>2275.1999999999998</v>
      </c>
      <c r="D2079" s="115">
        <v>2152.6</v>
      </c>
      <c r="E2079" s="115">
        <v>2200</v>
      </c>
      <c r="F2079" s="115">
        <v>2275.1999999999998</v>
      </c>
      <c r="G2079">
        <v>5832</v>
      </c>
      <c r="H2079" s="115"/>
      <c r="I2079" s="115"/>
      <c r="L2079" s="160">
        <v>45068</v>
      </c>
      <c r="M2079" s="115">
        <v>671.05</v>
      </c>
      <c r="N2079" s="115">
        <v>674</v>
      </c>
      <c r="O2079" s="115">
        <v>666.5</v>
      </c>
      <c r="P2079" s="115">
        <v>673.05</v>
      </c>
      <c r="Q2079" s="115">
        <v>671.05</v>
      </c>
      <c r="R2079">
        <v>15125</v>
      </c>
    </row>
    <row r="2080" spans="1:18" x14ac:dyDescent="0.25">
      <c r="A2080" s="160">
        <v>45092</v>
      </c>
      <c r="B2080" s="115">
        <v>2730.2</v>
      </c>
      <c r="C2080" s="115">
        <v>2712.8</v>
      </c>
      <c r="D2080" s="115">
        <v>2351</v>
      </c>
      <c r="E2080" s="115">
        <v>2351</v>
      </c>
      <c r="F2080" s="115">
        <v>2712.8</v>
      </c>
      <c r="G2080">
        <v>38287</v>
      </c>
      <c r="H2080" s="115"/>
      <c r="I2080" s="115"/>
      <c r="L2080" s="160">
        <v>45069</v>
      </c>
      <c r="M2080" s="115">
        <v>679.45</v>
      </c>
      <c r="N2080" s="115">
        <v>682</v>
      </c>
      <c r="O2080" s="115">
        <v>670</v>
      </c>
      <c r="P2080" s="115">
        <v>670</v>
      </c>
      <c r="Q2080" s="115">
        <v>679.45</v>
      </c>
      <c r="R2080">
        <v>17583</v>
      </c>
    </row>
    <row r="2081" spans="1:18" x14ac:dyDescent="0.25">
      <c r="A2081" s="160">
        <v>45093</v>
      </c>
      <c r="B2081" s="115">
        <v>2862</v>
      </c>
      <c r="C2081" s="115">
        <v>2594.25</v>
      </c>
      <c r="D2081" s="115">
        <v>2550</v>
      </c>
      <c r="E2081" s="115">
        <v>2750</v>
      </c>
      <c r="F2081" s="115">
        <v>2594.25</v>
      </c>
      <c r="G2081">
        <v>18510</v>
      </c>
      <c r="H2081" s="115"/>
      <c r="I2081" s="115"/>
      <c r="L2081" s="160">
        <v>45070</v>
      </c>
      <c r="M2081" s="115">
        <v>684.2</v>
      </c>
      <c r="N2081" s="115">
        <v>699.6</v>
      </c>
      <c r="O2081" s="115">
        <v>673</v>
      </c>
      <c r="P2081" s="115">
        <v>682.85</v>
      </c>
      <c r="Q2081" s="115">
        <v>684.2</v>
      </c>
      <c r="R2081">
        <v>12227</v>
      </c>
    </row>
    <row r="2082" spans="1:18" x14ac:dyDescent="0.25">
      <c r="A2082" s="160">
        <v>45096</v>
      </c>
      <c r="B2082" s="115">
        <v>3009</v>
      </c>
      <c r="C2082" s="115">
        <v>2957.8</v>
      </c>
      <c r="D2082" s="115">
        <v>2625</v>
      </c>
      <c r="E2082" s="115">
        <v>2650</v>
      </c>
      <c r="F2082" s="115">
        <v>2957.8</v>
      </c>
      <c r="G2082">
        <v>23666</v>
      </c>
      <c r="H2082" s="115"/>
      <c r="I2082" s="115"/>
      <c r="L2082" s="160">
        <v>45071</v>
      </c>
      <c r="M2082" s="115">
        <v>720.45</v>
      </c>
      <c r="N2082" s="115">
        <v>726.1</v>
      </c>
      <c r="O2082" s="115">
        <v>678.2</v>
      </c>
      <c r="P2082" s="115">
        <v>685.95</v>
      </c>
      <c r="Q2082" s="115">
        <v>720.45</v>
      </c>
      <c r="R2082">
        <v>249834</v>
      </c>
    </row>
    <row r="2083" spans="1:18" x14ac:dyDescent="0.25">
      <c r="A2083" s="160">
        <v>45097</v>
      </c>
      <c r="B2083" s="115">
        <v>3006</v>
      </c>
      <c r="C2083" s="115">
        <v>2891.65</v>
      </c>
      <c r="D2083" s="115">
        <v>2849.95</v>
      </c>
      <c r="E2083" s="115">
        <v>3006</v>
      </c>
      <c r="F2083" s="115">
        <v>2891.65</v>
      </c>
      <c r="G2083">
        <v>10439</v>
      </c>
      <c r="H2083" s="115"/>
      <c r="I2083" s="115"/>
      <c r="L2083" s="160">
        <v>45072</v>
      </c>
      <c r="M2083" s="115">
        <v>708.25</v>
      </c>
      <c r="N2083" s="115">
        <v>723.3</v>
      </c>
      <c r="O2083" s="115">
        <v>700</v>
      </c>
      <c r="P2083" s="115">
        <v>723.3</v>
      </c>
      <c r="Q2083" s="115">
        <v>708.25</v>
      </c>
      <c r="R2083">
        <v>68170</v>
      </c>
    </row>
    <row r="2084" spans="1:18" x14ac:dyDescent="0.25">
      <c r="A2084" s="160">
        <v>45098</v>
      </c>
      <c r="B2084" s="115">
        <v>3006</v>
      </c>
      <c r="C2084" s="115">
        <v>2875.35</v>
      </c>
      <c r="D2084" s="115">
        <v>2850</v>
      </c>
      <c r="E2084" s="115">
        <v>2939</v>
      </c>
      <c r="F2084" s="115">
        <v>2875.35</v>
      </c>
      <c r="G2084">
        <v>8441</v>
      </c>
      <c r="H2084" s="115"/>
      <c r="I2084" s="115"/>
      <c r="L2084" s="160">
        <v>45075</v>
      </c>
      <c r="M2084" s="115">
        <v>716.25</v>
      </c>
      <c r="N2084" s="115">
        <v>719.15</v>
      </c>
      <c r="O2084" s="115">
        <v>708.15</v>
      </c>
      <c r="P2084" s="115">
        <v>711.8</v>
      </c>
      <c r="Q2084" s="115">
        <v>716.25</v>
      </c>
      <c r="R2084">
        <v>40948</v>
      </c>
    </row>
    <row r="2085" spans="1:18" x14ac:dyDescent="0.25">
      <c r="A2085" s="160">
        <v>45099</v>
      </c>
      <c r="B2085" s="115">
        <v>2929</v>
      </c>
      <c r="C2085" s="115">
        <v>2692.9</v>
      </c>
      <c r="D2085" s="115">
        <v>2600</v>
      </c>
      <c r="E2085" s="115">
        <v>2925</v>
      </c>
      <c r="F2085" s="115">
        <v>2692.9</v>
      </c>
      <c r="G2085">
        <v>14110</v>
      </c>
      <c r="H2085" s="115"/>
      <c r="I2085" s="115"/>
      <c r="L2085" s="160">
        <v>45076</v>
      </c>
      <c r="M2085" s="115">
        <v>720</v>
      </c>
      <c r="N2085" s="115">
        <v>724.9</v>
      </c>
      <c r="O2085" s="115">
        <v>711.4</v>
      </c>
      <c r="P2085" s="115">
        <v>719</v>
      </c>
      <c r="Q2085" s="115">
        <v>720</v>
      </c>
      <c r="R2085">
        <v>30516</v>
      </c>
    </row>
    <row r="2086" spans="1:18" x14ac:dyDescent="0.25">
      <c r="A2086" s="160">
        <v>45100</v>
      </c>
      <c r="B2086" s="115">
        <v>2824.65</v>
      </c>
      <c r="C2086" s="115">
        <v>2680.75</v>
      </c>
      <c r="D2086" s="115">
        <v>2663.35</v>
      </c>
      <c r="E2086" s="115">
        <v>2749.95</v>
      </c>
      <c r="F2086" s="115">
        <v>2680.75</v>
      </c>
      <c r="G2086">
        <v>5062</v>
      </c>
      <c r="H2086" s="115"/>
      <c r="I2086" s="115"/>
      <c r="L2086" s="160">
        <v>45077</v>
      </c>
      <c r="M2086" s="115">
        <v>720.3</v>
      </c>
      <c r="N2086" s="115">
        <v>724.95</v>
      </c>
      <c r="O2086" s="115">
        <v>720</v>
      </c>
      <c r="P2086" s="115">
        <v>723.6</v>
      </c>
      <c r="Q2086" s="115">
        <v>720.3</v>
      </c>
      <c r="R2086">
        <v>17571</v>
      </c>
    </row>
    <row r="2087" spans="1:18" x14ac:dyDescent="0.25">
      <c r="A2087" s="160">
        <v>45103</v>
      </c>
      <c r="B2087" s="115">
        <v>2787.95</v>
      </c>
      <c r="C2087" s="115">
        <v>2721.55</v>
      </c>
      <c r="D2087" s="115">
        <v>2695</v>
      </c>
      <c r="E2087" s="115">
        <v>2787.95</v>
      </c>
      <c r="F2087" s="115">
        <v>2721.55</v>
      </c>
      <c r="G2087">
        <v>3481</v>
      </c>
      <c r="H2087" s="115"/>
      <c r="I2087" s="115"/>
      <c r="L2087" s="160">
        <v>45078</v>
      </c>
      <c r="M2087" s="115">
        <v>713.55</v>
      </c>
      <c r="N2087" s="115">
        <v>726.85</v>
      </c>
      <c r="O2087" s="115">
        <v>707</v>
      </c>
      <c r="P2087" s="115">
        <v>726.85</v>
      </c>
      <c r="Q2087" s="115">
        <v>713.55</v>
      </c>
      <c r="R2087">
        <v>16960</v>
      </c>
    </row>
    <row r="2088" spans="1:18" x14ac:dyDescent="0.25">
      <c r="A2088" s="160">
        <v>45104</v>
      </c>
      <c r="B2088" s="115">
        <v>2987</v>
      </c>
      <c r="C2088" s="115">
        <v>2922.85</v>
      </c>
      <c r="D2088" s="115">
        <v>2721.55</v>
      </c>
      <c r="E2088" s="115">
        <v>2721.55</v>
      </c>
      <c r="F2088" s="115">
        <v>2922.85</v>
      </c>
      <c r="G2088">
        <v>8667</v>
      </c>
      <c r="H2088" s="115"/>
      <c r="I2088" s="115"/>
      <c r="L2088" s="160">
        <v>45079</v>
      </c>
      <c r="M2088" s="115">
        <v>713.05</v>
      </c>
      <c r="N2088" s="115">
        <v>716.9</v>
      </c>
      <c r="O2088" s="115">
        <v>704.7</v>
      </c>
      <c r="P2088" s="115">
        <v>714.35</v>
      </c>
      <c r="Q2088" s="115">
        <v>713.05</v>
      </c>
      <c r="R2088">
        <v>29928</v>
      </c>
    </row>
    <row r="2089" spans="1:18" x14ac:dyDescent="0.25">
      <c r="A2089" s="160">
        <v>45105</v>
      </c>
      <c r="B2089" s="115">
        <v>3003</v>
      </c>
      <c r="C2089" s="115">
        <v>2876.4</v>
      </c>
      <c r="D2089" s="115">
        <v>2823.15</v>
      </c>
      <c r="E2089" s="115">
        <v>2932</v>
      </c>
      <c r="F2089" s="115">
        <v>2876.4</v>
      </c>
      <c r="G2089">
        <v>11865</v>
      </c>
      <c r="H2089" s="115"/>
      <c r="I2089" s="115"/>
      <c r="L2089" s="160">
        <v>45082</v>
      </c>
      <c r="M2089" s="115">
        <v>720.35</v>
      </c>
      <c r="N2089" s="115">
        <v>726.95</v>
      </c>
      <c r="O2089" s="115">
        <v>712.15</v>
      </c>
      <c r="P2089" s="115">
        <v>726.95</v>
      </c>
      <c r="Q2089" s="115">
        <v>720.35</v>
      </c>
      <c r="R2089">
        <v>27436</v>
      </c>
    </row>
    <row r="2090" spans="1:18" x14ac:dyDescent="0.25">
      <c r="A2090" s="160">
        <v>45107</v>
      </c>
      <c r="B2090" s="115">
        <v>3001</v>
      </c>
      <c r="C2090" s="115">
        <v>2947.45</v>
      </c>
      <c r="D2090" s="115">
        <v>2851</v>
      </c>
      <c r="E2090" s="115">
        <v>2940</v>
      </c>
      <c r="F2090" s="115">
        <v>2947.45</v>
      </c>
      <c r="G2090">
        <v>13181</v>
      </c>
      <c r="H2090" s="115"/>
      <c r="I2090" s="115"/>
      <c r="L2090" s="160">
        <v>45083</v>
      </c>
      <c r="M2090" s="115">
        <v>777.5</v>
      </c>
      <c r="N2090" s="115">
        <v>818</v>
      </c>
      <c r="O2090" s="115">
        <v>720</v>
      </c>
      <c r="P2090" s="115">
        <v>720</v>
      </c>
      <c r="Q2090" s="115">
        <v>777.5</v>
      </c>
      <c r="R2090">
        <v>726205</v>
      </c>
    </row>
    <row r="2091" spans="1:18" x14ac:dyDescent="0.25">
      <c r="A2091" s="160">
        <v>45110</v>
      </c>
      <c r="B2091" s="115">
        <v>3005</v>
      </c>
      <c r="C2091" s="115">
        <v>2894.85</v>
      </c>
      <c r="D2091" s="115">
        <v>2865.2</v>
      </c>
      <c r="E2091" s="115">
        <v>2998</v>
      </c>
      <c r="F2091" s="115">
        <v>2894.85</v>
      </c>
      <c r="G2091">
        <v>24266</v>
      </c>
      <c r="H2091" s="115"/>
      <c r="I2091" s="115"/>
      <c r="L2091" s="160">
        <v>45084</v>
      </c>
      <c r="M2091" s="115">
        <v>784.8</v>
      </c>
      <c r="N2091" s="115">
        <v>788.8</v>
      </c>
      <c r="O2091" s="115">
        <v>762.2</v>
      </c>
      <c r="P2091" s="115">
        <v>783.9</v>
      </c>
      <c r="Q2091" s="115">
        <v>784.8</v>
      </c>
      <c r="R2091">
        <v>134401</v>
      </c>
    </row>
    <row r="2092" spans="1:18" x14ac:dyDescent="0.25">
      <c r="A2092" s="160">
        <v>45111</v>
      </c>
      <c r="B2092" s="115">
        <v>2948.9</v>
      </c>
      <c r="C2092" s="115">
        <v>2795.8</v>
      </c>
      <c r="D2092" s="115">
        <v>2780</v>
      </c>
      <c r="E2092" s="115">
        <v>2932.95</v>
      </c>
      <c r="F2092" s="115">
        <v>2795.8</v>
      </c>
      <c r="G2092">
        <v>7024</v>
      </c>
      <c r="H2092" s="115"/>
      <c r="I2092" s="115"/>
      <c r="L2092" s="160">
        <v>45085</v>
      </c>
      <c r="M2092" s="115">
        <v>789.75</v>
      </c>
      <c r="N2092" s="115">
        <v>797.2</v>
      </c>
      <c r="O2092" s="115">
        <v>771.4</v>
      </c>
      <c r="P2092" s="115">
        <v>784.8</v>
      </c>
      <c r="Q2092" s="115">
        <v>789.75</v>
      </c>
      <c r="R2092">
        <v>98110</v>
      </c>
    </row>
    <row r="2093" spans="1:18" x14ac:dyDescent="0.25">
      <c r="A2093" s="160">
        <v>45112</v>
      </c>
      <c r="B2093" s="115">
        <v>2837.95</v>
      </c>
      <c r="C2093" s="115">
        <v>2757.65</v>
      </c>
      <c r="D2093" s="115">
        <v>2745</v>
      </c>
      <c r="E2093" s="115">
        <v>2800</v>
      </c>
      <c r="F2093" s="115">
        <v>2757.65</v>
      </c>
      <c r="G2093">
        <v>4400</v>
      </c>
      <c r="H2093" s="115"/>
      <c r="I2093" s="115"/>
      <c r="L2093" s="160">
        <v>45086</v>
      </c>
      <c r="M2093" s="115">
        <v>791.05</v>
      </c>
      <c r="N2093" s="115">
        <v>795.85</v>
      </c>
      <c r="O2093" s="115">
        <v>783.05</v>
      </c>
      <c r="P2093" s="115">
        <v>793</v>
      </c>
      <c r="Q2093" s="115">
        <v>791.05</v>
      </c>
      <c r="R2093">
        <v>45748</v>
      </c>
    </row>
    <row r="2094" spans="1:18" x14ac:dyDescent="0.25">
      <c r="A2094" s="160">
        <v>45113</v>
      </c>
      <c r="B2094" s="115">
        <v>2835</v>
      </c>
      <c r="C2094" s="115">
        <v>2807</v>
      </c>
      <c r="D2094" s="115">
        <v>2773</v>
      </c>
      <c r="E2094" s="115">
        <v>2793</v>
      </c>
      <c r="F2094" s="115">
        <v>2807</v>
      </c>
      <c r="G2094">
        <v>2322</v>
      </c>
      <c r="H2094" s="115"/>
      <c r="I2094" s="115"/>
      <c r="L2094" s="160">
        <v>45089</v>
      </c>
      <c r="M2094" s="115">
        <v>791.05</v>
      </c>
      <c r="N2094" s="115">
        <v>795.05</v>
      </c>
      <c r="O2094" s="115">
        <v>786.3</v>
      </c>
      <c r="P2094" s="115">
        <v>795</v>
      </c>
      <c r="Q2094" s="115">
        <v>791.05</v>
      </c>
      <c r="R2094">
        <v>31023</v>
      </c>
    </row>
    <row r="2095" spans="1:18" x14ac:dyDescent="0.25">
      <c r="A2095" s="160">
        <v>45114</v>
      </c>
      <c r="B2095" s="115">
        <v>2930</v>
      </c>
      <c r="C2095" s="115">
        <v>2801.65</v>
      </c>
      <c r="D2095" s="115">
        <v>2784.2</v>
      </c>
      <c r="E2095" s="115">
        <v>2835</v>
      </c>
      <c r="F2095" s="115">
        <v>2801.65</v>
      </c>
      <c r="G2095">
        <v>3655</v>
      </c>
      <c r="H2095" s="115"/>
      <c r="I2095" s="115"/>
      <c r="L2095" s="160">
        <v>45090</v>
      </c>
      <c r="M2095" s="115">
        <v>792.2</v>
      </c>
      <c r="N2095" s="115">
        <v>797.2</v>
      </c>
      <c r="O2095" s="115">
        <v>788.4</v>
      </c>
      <c r="P2095" s="115">
        <v>793</v>
      </c>
      <c r="Q2095" s="115">
        <v>792.2</v>
      </c>
      <c r="R2095">
        <v>41528</v>
      </c>
    </row>
    <row r="2096" spans="1:18" x14ac:dyDescent="0.25">
      <c r="A2096" s="160">
        <v>45117</v>
      </c>
      <c r="B2096" s="115">
        <v>2930</v>
      </c>
      <c r="C2096" s="115">
        <v>2818.4</v>
      </c>
      <c r="D2096" s="115">
        <v>2765.25</v>
      </c>
      <c r="E2096" s="115">
        <v>2850</v>
      </c>
      <c r="F2096" s="115">
        <v>2818.4</v>
      </c>
      <c r="G2096">
        <v>2170</v>
      </c>
      <c r="H2096" s="115"/>
      <c r="I2096" s="115"/>
      <c r="L2096" s="160">
        <v>45091</v>
      </c>
      <c r="M2096" s="115">
        <v>788.75</v>
      </c>
      <c r="N2096" s="115">
        <v>808.05</v>
      </c>
      <c r="O2096" s="115">
        <v>782</v>
      </c>
      <c r="P2096" s="115">
        <v>796.2</v>
      </c>
      <c r="Q2096" s="115">
        <v>788.75</v>
      </c>
      <c r="R2096">
        <v>64920</v>
      </c>
    </row>
    <row r="2097" spans="1:18" x14ac:dyDescent="0.25">
      <c r="A2097" s="160">
        <v>45118</v>
      </c>
      <c r="B2097" s="115">
        <v>3001</v>
      </c>
      <c r="C2097" s="115">
        <v>2872.8</v>
      </c>
      <c r="D2097" s="115">
        <v>2822</v>
      </c>
      <c r="E2097" s="115">
        <v>2822</v>
      </c>
      <c r="F2097" s="115">
        <v>2872.8</v>
      </c>
      <c r="G2097">
        <v>15443</v>
      </c>
      <c r="H2097" s="115"/>
      <c r="I2097" s="115"/>
      <c r="L2097" s="160">
        <v>45092</v>
      </c>
      <c r="M2097" s="115">
        <v>790.15</v>
      </c>
      <c r="N2097" s="115">
        <v>793</v>
      </c>
      <c r="O2097" s="115">
        <v>777.9</v>
      </c>
      <c r="P2097" s="115">
        <v>787.7</v>
      </c>
      <c r="Q2097" s="115">
        <v>790.15</v>
      </c>
      <c r="R2097">
        <v>29168</v>
      </c>
    </row>
    <row r="2098" spans="1:18" x14ac:dyDescent="0.25">
      <c r="A2098" s="160">
        <v>45119</v>
      </c>
      <c r="B2098" s="115">
        <v>2949</v>
      </c>
      <c r="C2098" s="115">
        <v>2849.15</v>
      </c>
      <c r="D2098" s="115">
        <v>2799.95</v>
      </c>
      <c r="E2098" s="115">
        <v>2930</v>
      </c>
      <c r="F2098" s="115">
        <v>2849.15</v>
      </c>
      <c r="G2098">
        <v>6080</v>
      </c>
      <c r="H2098" s="115"/>
      <c r="I2098" s="115"/>
      <c r="L2098" s="160">
        <v>45093</v>
      </c>
      <c r="M2098" s="115">
        <v>793.5</v>
      </c>
      <c r="N2098" s="115">
        <v>797.75</v>
      </c>
      <c r="O2098" s="115">
        <v>782</v>
      </c>
      <c r="P2098" s="115">
        <v>793</v>
      </c>
      <c r="Q2098" s="115">
        <v>793.5</v>
      </c>
      <c r="R2098">
        <v>38849</v>
      </c>
    </row>
    <row r="2099" spans="1:18" x14ac:dyDescent="0.25">
      <c r="A2099" s="160">
        <v>45120</v>
      </c>
      <c r="B2099" s="115">
        <v>2920</v>
      </c>
      <c r="C2099" s="115">
        <v>2839.3</v>
      </c>
      <c r="D2099" s="115">
        <v>2813</v>
      </c>
      <c r="E2099" s="115">
        <v>2850</v>
      </c>
      <c r="F2099" s="115">
        <v>2839.3</v>
      </c>
      <c r="G2099">
        <v>3161</v>
      </c>
      <c r="H2099" s="115"/>
      <c r="I2099" s="115"/>
      <c r="L2099" s="160">
        <v>45096</v>
      </c>
      <c r="M2099" s="115">
        <v>801.25</v>
      </c>
      <c r="N2099" s="115">
        <v>807</v>
      </c>
      <c r="O2099" s="115">
        <v>786.6</v>
      </c>
      <c r="P2099" s="115">
        <v>794.3</v>
      </c>
      <c r="Q2099" s="115">
        <v>801.25</v>
      </c>
      <c r="R2099">
        <v>45180</v>
      </c>
    </row>
    <row r="2100" spans="1:18" x14ac:dyDescent="0.25">
      <c r="A2100" s="160">
        <v>45121</v>
      </c>
      <c r="B2100" s="115">
        <v>3003</v>
      </c>
      <c r="C2100" s="115">
        <v>2992.95</v>
      </c>
      <c r="D2100" s="115">
        <v>2821</v>
      </c>
      <c r="E2100" s="115">
        <v>2825</v>
      </c>
      <c r="F2100" s="115">
        <v>2992.95</v>
      </c>
      <c r="G2100">
        <v>23902</v>
      </c>
      <c r="H2100" s="115"/>
      <c r="I2100" s="115"/>
      <c r="L2100" s="160">
        <v>45097</v>
      </c>
      <c r="M2100" s="115">
        <v>805.45</v>
      </c>
      <c r="N2100" s="115">
        <v>808.7</v>
      </c>
      <c r="O2100" s="115">
        <v>795</v>
      </c>
      <c r="P2100" s="115">
        <v>804</v>
      </c>
      <c r="Q2100" s="115">
        <v>805.45</v>
      </c>
      <c r="R2100">
        <v>42589</v>
      </c>
    </row>
    <row r="2101" spans="1:18" x14ac:dyDescent="0.25">
      <c r="A2101" s="160">
        <v>45124</v>
      </c>
      <c r="B2101" s="115">
        <v>3000</v>
      </c>
      <c r="C2101" s="115">
        <v>2990.9</v>
      </c>
      <c r="D2101" s="115">
        <v>2905</v>
      </c>
      <c r="E2101" s="115">
        <v>3000</v>
      </c>
      <c r="F2101" s="115">
        <v>2990.9</v>
      </c>
      <c r="G2101">
        <v>7571</v>
      </c>
      <c r="H2101" s="115"/>
      <c r="I2101" s="115"/>
      <c r="L2101" s="160">
        <v>45098</v>
      </c>
      <c r="M2101" s="115">
        <v>806.3</v>
      </c>
      <c r="N2101" s="115">
        <v>815.9</v>
      </c>
      <c r="O2101" s="115">
        <v>799.55</v>
      </c>
      <c r="P2101" s="115">
        <v>805.45</v>
      </c>
      <c r="Q2101" s="115">
        <v>806.3</v>
      </c>
      <c r="R2101">
        <v>57830</v>
      </c>
    </row>
    <row r="2102" spans="1:18" x14ac:dyDescent="0.25">
      <c r="A2102" s="160">
        <v>45125</v>
      </c>
      <c r="B2102" s="115">
        <v>3000</v>
      </c>
      <c r="C2102" s="115">
        <v>2998.3</v>
      </c>
      <c r="D2102" s="115">
        <v>2943.6</v>
      </c>
      <c r="E2102" s="115">
        <v>3000</v>
      </c>
      <c r="F2102" s="115">
        <v>2998.3</v>
      </c>
      <c r="G2102">
        <v>6761</v>
      </c>
      <c r="H2102" s="115"/>
      <c r="I2102" s="115"/>
      <c r="L2102" s="160">
        <v>45099</v>
      </c>
      <c r="M2102" s="115">
        <v>787.6</v>
      </c>
      <c r="N2102" s="115">
        <v>813.9</v>
      </c>
      <c r="O2102" s="115">
        <v>782</v>
      </c>
      <c r="P2102" s="115">
        <v>811.75</v>
      </c>
      <c r="Q2102" s="115">
        <v>787.6</v>
      </c>
      <c r="R2102">
        <v>43038</v>
      </c>
    </row>
    <row r="2103" spans="1:18" x14ac:dyDescent="0.25">
      <c r="A2103" s="160">
        <v>45126</v>
      </c>
      <c r="B2103" s="115">
        <v>3000</v>
      </c>
      <c r="C2103" s="115">
        <v>2984.25</v>
      </c>
      <c r="D2103" s="115">
        <v>2965.05</v>
      </c>
      <c r="E2103" s="115">
        <v>2998.3</v>
      </c>
      <c r="F2103" s="115">
        <v>2984.25</v>
      </c>
      <c r="G2103">
        <v>4356</v>
      </c>
      <c r="H2103" s="115"/>
      <c r="I2103" s="115"/>
      <c r="L2103" s="160">
        <v>45100</v>
      </c>
      <c r="M2103" s="115">
        <v>781.1</v>
      </c>
      <c r="N2103" s="115">
        <v>795.45</v>
      </c>
      <c r="O2103" s="115">
        <v>769.1</v>
      </c>
      <c r="P2103" s="115">
        <v>791.55</v>
      </c>
      <c r="Q2103" s="115">
        <v>781.1</v>
      </c>
      <c r="R2103">
        <v>31231</v>
      </c>
    </row>
    <row r="2104" spans="1:18" x14ac:dyDescent="0.25">
      <c r="A2104" s="160">
        <v>45127</v>
      </c>
      <c r="B2104" s="115">
        <v>2999.95</v>
      </c>
      <c r="C2104" s="115">
        <v>2936.4</v>
      </c>
      <c r="D2104" s="115">
        <v>2911</v>
      </c>
      <c r="E2104" s="115">
        <v>2983.9</v>
      </c>
      <c r="F2104" s="115">
        <v>2936.4</v>
      </c>
      <c r="G2104">
        <v>2852</v>
      </c>
      <c r="H2104" s="115"/>
      <c r="I2104" s="115"/>
      <c r="L2104" s="160">
        <v>45103</v>
      </c>
      <c r="M2104" s="115">
        <v>791.1</v>
      </c>
      <c r="N2104" s="115">
        <v>796</v>
      </c>
      <c r="O2104" s="115">
        <v>779.55</v>
      </c>
      <c r="P2104" s="115">
        <v>785</v>
      </c>
      <c r="Q2104" s="115">
        <v>791.1</v>
      </c>
      <c r="R2104">
        <v>23280</v>
      </c>
    </row>
    <row r="2105" spans="1:18" x14ac:dyDescent="0.25">
      <c r="A2105" s="160">
        <v>45128</v>
      </c>
      <c r="B2105" s="115">
        <v>2969</v>
      </c>
      <c r="C2105" s="115">
        <v>2916.3</v>
      </c>
      <c r="D2105" s="115">
        <v>2901.1</v>
      </c>
      <c r="E2105" s="115">
        <v>2901.1</v>
      </c>
      <c r="F2105" s="115">
        <v>2916.3</v>
      </c>
      <c r="G2105">
        <v>1619</v>
      </c>
      <c r="H2105" s="115"/>
      <c r="I2105" s="115"/>
      <c r="L2105" s="160">
        <v>45104</v>
      </c>
      <c r="M2105" s="115">
        <v>794.05</v>
      </c>
      <c r="N2105" s="115">
        <v>798</v>
      </c>
      <c r="O2105" s="115">
        <v>785.65</v>
      </c>
      <c r="P2105" s="115">
        <v>791.25</v>
      </c>
      <c r="Q2105" s="115">
        <v>794.05</v>
      </c>
      <c r="R2105">
        <v>30073</v>
      </c>
    </row>
    <row r="2106" spans="1:18" x14ac:dyDescent="0.25">
      <c r="A2106" s="160">
        <v>45131</v>
      </c>
      <c r="B2106" s="115">
        <v>2979</v>
      </c>
      <c r="C2106" s="115">
        <v>2876.65</v>
      </c>
      <c r="D2106" s="115">
        <v>2840</v>
      </c>
      <c r="E2106" s="115">
        <v>2979</v>
      </c>
      <c r="F2106" s="115">
        <v>2876.65</v>
      </c>
      <c r="G2106">
        <v>7115</v>
      </c>
      <c r="H2106" s="115"/>
      <c r="I2106" s="115"/>
      <c r="L2106" s="160">
        <v>45105</v>
      </c>
      <c r="M2106" s="115">
        <v>798.2</v>
      </c>
      <c r="N2106" s="115">
        <v>805.95</v>
      </c>
      <c r="O2106" s="115">
        <v>789.9</v>
      </c>
      <c r="P2106" s="115">
        <v>805</v>
      </c>
      <c r="Q2106" s="115">
        <v>798.2</v>
      </c>
      <c r="R2106">
        <v>23914</v>
      </c>
    </row>
    <row r="2107" spans="1:18" x14ac:dyDescent="0.25">
      <c r="A2107" s="160">
        <v>45132</v>
      </c>
      <c r="B2107" s="115">
        <v>2975</v>
      </c>
      <c r="C2107" s="115">
        <v>2949.85</v>
      </c>
      <c r="D2107" s="115">
        <v>2875</v>
      </c>
      <c r="E2107" s="115">
        <v>2878</v>
      </c>
      <c r="F2107" s="115">
        <v>2949.85</v>
      </c>
      <c r="G2107">
        <v>3668</v>
      </c>
      <c r="H2107" s="115"/>
      <c r="I2107" s="115"/>
      <c r="L2107" s="160">
        <v>45107</v>
      </c>
      <c r="M2107" s="115">
        <v>799.95</v>
      </c>
      <c r="N2107" s="115">
        <v>810</v>
      </c>
      <c r="O2107" s="115">
        <v>797.3</v>
      </c>
      <c r="P2107" s="115">
        <v>800</v>
      </c>
      <c r="Q2107" s="115">
        <v>799.95</v>
      </c>
      <c r="R2107">
        <v>44203</v>
      </c>
    </row>
    <row r="2108" spans="1:18" x14ac:dyDescent="0.25">
      <c r="A2108" s="160">
        <v>45133</v>
      </c>
      <c r="B2108" s="115">
        <v>2990</v>
      </c>
      <c r="C2108" s="115">
        <v>2857.05</v>
      </c>
      <c r="D2108" s="115">
        <v>2780</v>
      </c>
      <c r="E2108" s="115">
        <v>2960</v>
      </c>
      <c r="F2108" s="115">
        <v>2857.05</v>
      </c>
      <c r="G2108">
        <v>9058</v>
      </c>
      <c r="H2108" s="115"/>
      <c r="I2108" s="115"/>
      <c r="L2108" s="160">
        <v>45110</v>
      </c>
      <c r="M2108" s="115">
        <v>799.9</v>
      </c>
      <c r="N2108" s="115">
        <v>810</v>
      </c>
      <c r="O2108" s="115">
        <v>798.05</v>
      </c>
      <c r="P2108" s="115">
        <v>809</v>
      </c>
      <c r="Q2108" s="115">
        <v>799.9</v>
      </c>
      <c r="R2108">
        <v>30965</v>
      </c>
    </row>
    <row r="2109" spans="1:18" x14ac:dyDescent="0.25">
      <c r="A2109" s="160">
        <v>45134</v>
      </c>
      <c r="B2109" s="115">
        <v>2920</v>
      </c>
      <c r="C2109" s="115">
        <v>2850.15</v>
      </c>
      <c r="D2109" s="115">
        <v>2830</v>
      </c>
      <c r="E2109" s="115">
        <v>2841.4</v>
      </c>
      <c r="F2109" s="115">
        <v>2850.15</v>
      </c>
      <c r="G2109">
        <v>3473</v>
      </c>
      <c r="H2109" s="115"/>
      <c r="I2109" s="115"/>
      <c r="L2109" s="160">
        <v>45111</v>
      </c>
      <c r="M2109" s="115">
        <v>798.7</v>
      </c>
      <c r="N2109" s="115">
        <v>804.95</v>
      </c>
      <c r="O2109" s="115">
        <v>794</v>
      </c>
      <c r="P2109" s="115">
        <v>797</v>
      </c>
      <c r="Q2109" s="115">
        <v>798.7</v>
      </c>
      <c r="R2109">
        <v>26104</v>
      </c>
    </row>
    <row r="2110" spans="1:18" x14ac:dyDescent="0.25">
      <c r="A2110" s="160">
        <v>45135</v>
      </c>
      <c r="B2110" s="115">
        <v>2899</v>
      </c>
      <c r="C2110" s="115">
        <v>2837</v>
      </c>
      <c r="D2110" s="115">
        <v>2820</v>
      </c>
      <c r="E2110" s="115">
        <v>2889.1</v>
      </c>
      <c r="F2110" s="115">
        <v>2837</v>
      </c>
      <c r="G2110">
        <v>1937</v>
      </c>
      <c r="H2110" s="115"/>
      <c r="I2110" s="115"/>
      <c r="L2110" s="160">
        <v>45112</v>
      </c>
      <c r="M2110" s="115">
        <v>790.55</v>
      </c>
      <c r="N2110" s="115">
        <v>802</v>
      </c>
      <c r="O2110" s="115">
        <v>773.55</v>
      </c>
      <c r="P2110" s="115">
        <v>800</v>
      </c>
      <c r="Q2110" s="115">
        <v>790.55</v>
      </c>
      <c r="R2110">
        <v>48175</v>
      </c>
    </row>
    <row r="2111" spans="1:18" x14ac:dyDescent="0.25">
      <c r="A2111" s="160">
        <v>45138</v>
      </c>
      <c r="B2111" s="115">
        <v>2887</v>
      </c>
      <c r="C2111" s="115">
        <v>2716.7</v>
      </c>
      <c r="D2111" s="115">
        <v>2700</v>
      </c>
      <c r="E2111" s="115">
        <v>2885.6</v>
      </c>
      <c r="F2111" s="115">
        <v>2716.7</v>
      </c>
      <c r="G2111">
        <v>9781</v>
      </c>
      <c r="H2111" s="115"/>
      <c r="I2111" s="115"/>
      <c r="L2111" s="160">
        <v>45113</v>
      </c>
      <c r="M2111" s="115">
        <v>789.15</v>
      </c>
      <c r="N2111" s="115">
        <v>795</v>
      </c>
      <c r="O2111" s="115">
        <v>780</v>
      </c>
      <c r="P2111" s="115">
        <v>793</v>
      </c>
      <c r="Q2111" s="115">
        <v>789.15</v>
      </c>
      <c r="R2111">
        <v>27828</v>
      </c>
    </row>
    <row r="2112" spans="1:18" x14ac:dyDescent="0.25">
      <c r="A2112" s="160">
        <v>45139</v>
      </c>
      <c r="B2112" s="115">
        <v>2758</v>
      </c>
      <c r="C2112" s="115">
        <v>2704.05</v>
      </c>
      <c r="D2112" s="115">
        <v>2650.05</v>
      </c>
      <c r="E2112" s="115">
        <v>2691</v>
      </c>
      <c r="F2112" s="115">
        <v>2704.05</v>
      </c>
      <c r="G2112">
        <v>4155</v>
      </c>
      <c r="H2112" s="115"/>
      <c r="I2112" s="115"/>
      <c r="L2112" s="160">
        <v>45114</v>
      </c>
      <c r="M2112" s="115">
        <v>790.2</v>
      </c>
      <c r="N2112" s="115">
        <v>800</v>
      </c>
      <c r="O2112" s="115">
        <v>778</v>
      </c>
      <c r="P2112" s="115">
        <v>789.15</v>
      </c>
      <c r="Q2112" s="115">
        <v>790.2</v>
      </c>
      <c r="R2112">
        <v>30828</v>
      </c>
    </row>
    <row r="2113" spans="1:18" x14ac:dyDescent="0.25">
      <c r="A2113" s="160">
        <v>45140</v>
      </c>
      <c r="B2113" s="115">
        <v>2773.65</v>
      </c>
      <c r="C2113" s="115">
        <v>2624.05</v>
      </c>
      <c r="D2113" s="115">
        <v>2554.0500000000002</v>
      </c>
      <c r="E2113" s="115">
        <v>2747.9</v>
      </c>
      <c r="F2113" s="115">
        <v>2624.05</v>
      </c>
      <c r="G2113">
        <v>7896</v>
      </c>
      <c r="H2113" s="115"/>
      <c r="I2113" s="115"/>
      <c r="L2113" s="160">
        <v>45117</v>
      </c>
      <c r="M2113" s="115">
        <v>778.75</v>
      </c>
      <c r="N2113" s="115">
        <v>792.95</v>
      </c>
      <c r="O2113" s="115">
        <v>765</v>
      </c>
      <c r="P2113" s="115">
        <v>792.95</v>
      </c>
      <c r="Q2113" s="115">
        <v>778.75</v>
      </c>
      <c r="R2113">
        <v>93588</v>
      </c>
    </row>
    <row r="2114" spans="1:18" x14ac:dyDescent="0.25">
      <c r="A2114" s="160">
        <v>45141</v>
      </c>
      <c r="B2114" s="115">
        <v>2700</v>
      </c>
      <c r="C2114" s="115">
        <v>2605.15</v>
      </c>
      <c r="D2114" s="115">
        <v>2540</v>
      </c>
      <c r="E2114" s="115">
        <v>2648.5</v>
      </c>
      <c r="F2114" s="115">
        <v>2605.15</v>
      </c>
      <c r="G2114">
        <v>7478</v>
      </c>
      <c r="H2114" s="115"/>
      <c r="I2114" s="115"/>
      <c r="L2114" s="160">
        <v>45118</v>
      </c>
      <c r="M2114" s="115">
        <v>775.9</v>
      </c>
      <c r="N2114" s="115">
        <v>782</v>
      </c>
      <c r="O2114" s="115">
        <v>771.2</v>
      </c>
      <c r="P2114" s="115">
        <v>781.95</v>
      </c>
      <c r="Q2114" s="115">
        <v>775.9</v>
      </c>
      <c r="R2114">
        <v>104555</v>
      </c>
    </row>
    <row r="2115" spans="1:18" x14ac:dyDescent="0.25">
      <c r="A2115" s="160">
        <v>45142</v>
      </c>
      <c r="B2115" s="115">
        <v>2684.2</v>
      </c>
      <c r="C2115" s="115">
        <v>2621</v>
      </c>
      <c r="D2115" s="115">
        <v>2561.25</v>
      </c>
      <c r="E2115" s="115">
        <v>2601</v>
      </c>
      <c r="F2115" s="115">
        <v>2621</v>
      </c>
      <c r="G2115">
        <v>3484</v>
      </c>
      <c r="H2115" s="115"/>
      <c r="I2115" s="115"/>
      <c r="L2115" s="160">
        <v>45119</v>
      </c>
      <c r="M2115" s="115">
        <v>777.2</v>
      </c>
      <c r="N2115" s="115">
        <v>789.85</v>
      </c>
      <c r="O2115" s="115">
        <v>774</v>
      </c>
      <c r="P2115" s="115">
        <v>775.9</v>
      </c>
      <c r="Q2115" s="115">
        <v>777.2</v>
      </c>
      <c r="R2115">
        <v>19787</v>
      </c>
    </row>
    <row r="2116" spans="1:18" x14ac:dyDescent="0.25">
      <c r="A2116" s="160">
        <v>45145</v>
      </c>
      <c r="B2116" s="115">
        <v>2673</v>
      </c>
      <c r="C2116" s="115">
        <v>2630.35</v>
      </c>
      <c r="D2116" s="115">
        <v>2610.1</v>
      </c>
      <c r="E2116" s="115">
        <v>2640</v>
      </c>
      <c r="F2116" s="115">
        <v>2630.35</v>
      </c>
      <c r="G2116">
        <v>2588</v>
      </c>
      <c r="H2116" s="115"/>
      <c r="I2116" s="115"/>
      <c r="L2116" s="160">
        <v>45120</v>
      </c>
      <c r="M2116" s="115">
        <v>774.45</v>
      </c>
      <c r="N2116" s="115">
        <v>784.95</v>
      </c>
      <c r="O2116" s="115">
        <v>770.45</v>
      </c>
      <c r="P2116" s="115">
        <v>784.9</v>
      </c>
      <c r="Q2116" s="115">
        <v>774.45</v>
      </c>
      <c r="R2116">
        <v>15828</v>
      </c>
    </row>
    <row r="2117" spans="1:18" x14ac:dyDescent="0.25">
      <c r="A2117" s="160">
        <v>45146</v>
      </c>
      <c r="B2117" s="115">
        <v>2679</v>
      </c>
      <c r="C2117" s="115">
        <v>2580.3000000000002</v>
      </c>
      <c r="D2117" s="115">
        <v>2560.0500000000002</v>
      </c>
      <c r="E2117" s="115">
        <v>2679</v>
      </c>
      <c r="F2117" s="115">
        <v>2580.3000000000002</v>
      </c>
      <c r="G2117">
        <v>2116</v>
      </c>
      <c r="H2117" s="115"/>
      <c r="I2117" s="115"/>
      <c r="L2117" s="160">
        <v>45121</v>
      </c>
      <c r="M2117" s="115">
        <v>775.1</v>
      </c>
      <c r="N2117" s="115">
        <v>778.5</v>
      </c>
      <c r="O2117" s="115">
        <v>766</v>
      </c>
      <c r="P2117" s="115">
        <v>772.1</v>
      </c>
      <c r="Q2117" s="115">
        <v>775.1</v>
      </c>
      <c r="R2117">
        <v>15600</v>
      </c>
    </row>
    <row r="2118" spans="1:18" x14ac:dyDescent="0.25">
      <c r="A2118" s="160">
        <v>45147</v>
      </c>
      <c r="B2118" s="115">
        <v>2608.8000000000002</v>
      </c>
      <c r="C2118" s="115">
        <v>2585.9</v>
      </c>
      <c r="D2118" s="115">
        <v>2505</v>
      </c>
      <c r="E2118" s="115">
        <v>2580.3000000000002</v>
      </c>
      <c r="F2118" s="115">
        <v>2585.9</v>
      </c>
      <c r="G2118">
        <v>1762</v>
      </c>
      <c r="H2118" s="115"/>
      <c r="I2118" s="115"/>
      <c r="L2118" s="160">
        <v>45124</v>
      </c>
      <c r="M2118" s="115">
        <v>776.25</v>
      </c>
      <c r="N2118" s="115">
        <v>800</v>
      </c>
      <c r="O2118" s="115">
        <v>775.1</v>
      </c>
      <c r="P2118" s="115">
        <v>775.2</v>
      </c>
      <c r="Q2118" s="115">
        <v>776.25</v>
      </c>
      <c r="R2118">
        <v>22171</v>
      </c>
    </row>
    <row r="2119" spans="1:18" x14ac:dyDescent="0.25">
      <c r="A2119" s="160">
        <v>45148</v>
      </c>
      <c r="B2119" s="115">
        <v>2662</v>
      </c>
      <c r="C2119" s="115">
        <v>2574.5</v>
      </c>
      <c r="D2119" s="115">
        <v>2571</v>
      </c>
      <c r="E2119" s="115">
        <v>2583.4</v>
      </c>
      <c r="F2119" s="115">
        <v>2574.5</v>
      </c>
      <c r="G2119">
        <v>1366</v>
      </c>
      <c r="H2119" s="115"/>
      <c r="I2119" s="115"/>
      <c r="L2119" s="160">
        <v>45125</v>
      </c>
      <c r="M2119" s="115">
        <v>779.25</v>
      </c>
      <c r="N2119" s="115">
        <v>788.05</v>
      </c>
      <c r="O2119" s="115">
        <v>767</v>
      </c>
      <c r="P2119" s="115">
        <v>787.9</v>
      </c>
      <c r="Q2119" s="115">
        <v>779.25</v>
      </c>
      <c r="R2119">
        <v>15076</v>
      </c>
    </row>
    <row r="2120" spans="1:18" x14ac:dyDescent="0.25">
      <c r="A2120" s="160">
        <v>45149</v>
      </c>
      <c r="B2120" s="115">
        <v>2590</v>
      </c>
      <c r="C2120" s="115">
        <v>2527.25</v>
      </c>
      <c r="D2120" s="115">
        <v>2510</v>
      </c>
      <c r="E2120" s="115">
        <v>2590</v>
      </c>
      <c r="F2120" s="115">
        <v>2527.25</v>
      </c>
      <c r="G2120">
        <v>1742</v>
      </c>
      <c r="H2120" s="115"/>
      <c r="I2120" s="115"/>
      <c r="L2120" s="160">
        <v>45126</v>
      </c>
      <c r="M2120" s="115">
        <v>776.85</v>
      </c>
      <c r="N2120" s="115">
        <v>783</v>
      </c>
      <c r="O2120" s="115">
        <v>770.55</v>
      </c>
      <c r="P2120" s="115">
        <v>778</v>
      </c>
      <c r="Q2120" s="115">
        <v>776.85</v>
      </c>
      <c r="R2120">
        <v>36150</v>
      </c>
    </row>
    <row r="2121" spans="1:18" x14ac:dyDescent="0.25">
      <c r="A2121" s="160">
        <v>45152</v>
      </c>
      <c r="B2121" s="115">
        <v>2580</v>
      </c>
      <c r="C2121" s="115">
        <v>2534.25</v>
      </c>
      <c r="D2121" s="115">
        <v>2500</v>
      </c>
      <c r="E2121" s="115">
        <v>2576.9499999999998</v>
      </c>
      <c r="F2121" s="115">
        <v>2534.25</v>
      </c>
      <c r="G2121">
        <v>1851</v>
      </c>
      <c r="H2121" s="115"/>
      <c r="I2121" s="115"/>
      <c r="L2121" s="160">
        <v>45127</v>
      </c>
      <c r="M2121" s="115">
        <v>777.55</v>
      </c>
      <c r="N2121" s="115">
        <v>782.45</v>
      </c>
      <c r="O2121" s="115">
        <v>770.65</v>
      </c>
      <c r="P2121" s="115">
        <v>776.85</v>
      </c>
      <c r="Q2121" s="115">
        <v>777.55</v>
      </c>
      <c r="R2121">
        <v>39333</v>
      </c>
    </row>
    <row r="2122" spans="1:18" x14ac:dyDescent="0.25">
      <c r="A2122" s="160">
        <v>45154</v>
      </c>
      <c r="B2122" s="115">
        <v>2595</v>
      </c>
      <c r="C2122" s="115">
        <v>2568.1999999999998</v>
      </c>
      <c r="D2122" s="115">
        <v>2530</v>
      </c>
      <c r="E2122" s="115">
        <v>2568.5</v>
      </c>
      <c r="F2122" s="115">
        <v>2568.1999999999998</v>
      </c>
      <c r="G2122">
        <v>1083</v>
      </c>
      <c r="H2122" s="115"/>
      <c r="I2122" s="115"/>
      <c r="L2122" s="160">
        <v>45128</v>
      </c>
      <c r="M2122" s="115">
        <v>775.4</v>
      </c>
      <c r="N2122" s="115">
        <v>784</v>
      </c>
      <c r="O2122" s="115">
        <v>775</v>
      </c>
      <c r="P2122" s="115">
        <v>781.45</v>
      </c>
      <c r="Q2122" s="115">
        <v>775.4</v>
      </c>
      <c r="R2122">
        <v>10901</v>
      </c>
    </row>
    <row r="2123" spans="1:18" x14ac:dyDescent="0.25">
      <c r="A2123" s="160">
        <v>45155</v>
      </c>
      <c r="B2123" s="115">
        <v>2625</v>
      </c>
      <c r="C2123" s="115">
        <v>2577.9</v>
      </c>
      <c r="D2123" s="115">
        <v>2535</v>
      </c>
      <c r="E2123" s="115">
        <v>2584</v>
      </c>
      <c r="F2123" s="115">
        <v>2577.9</v>
      </c>
      <c r="G2123">
        <v>2856</v>
      </c>
      <c r="H2123" s="115"/>
      <c r="I2123" s="115"/>
      <c r="L2123" s="160">
        <v>45131</v>
      </c>
      <c r="M2123" s="115">
        <v>773.55</v>
      </c>
      <c r="N2123" s="115">
        <v>785.05</v>
      </c>
      <c r="O2123" s="115">
        <v>770.6</v>
      </c>
      <c r="P2123" s="115">
        <v>779.3</v>
      </c>
      <c r="Q2123" s="115">
        <v>773.55</v>
      </c>
      <c r="R2123">
        <v>10163</v>
      </c>
    </row>
    <row r="2124" spans="1:18" x14ac:dyDescent="0.25">
      <c r="A2124" s="160">
        <v>45156</v>
      </c>
      <c r="B2124" s="115">
        <v>2637.5</v>
      </c>
      <c r="C2124" s="115">
        <v>2608.4499999999998</v>
      </c>
      <c r="D2124" s="115">
        <v>2580.0500000000002</v>
      </c>
      <c r="E2124" s="115">
        <v>2589</v>
      </c>
      <c r="F2124" s="115">
        <v>2608.4499999999998</v>
      </c>
      <c r="G2124">
        <v>2340</v>
      </c>
      <c r="H2124" s="115"/>
      <c r="I2124" s="115"/>
      <c r="L2124" s="160">
        <v>45132</v>
      </c>
      <c r="M2124" s="115">
        <v>774.9</v>
      </c>
      <c r="N2124" s="115">
        <v>780.9</v>
      </c>
      <c r="O2124" s="115">
        <v>753.15</v>
      </c>
      <c r="P2124" s="115">
        <v>774.95</v>
      </c>
      <c r="Q2124" s="115">
        <v>774.9</v>
      </c>
      <c r="R2124">
        <v>56258</v>
      </c>
    </row>
    <row r="2125" spans="1:18" x14ac:dyDescent="0.25">
      <c r="A2125" s="160">
        <v>45159</v>
      </c>
      <c r="B2125" s="115">
        <v>2748.9</v>
      </c>
      <c r="C2125" s="115">
        <v>2727.75</v>
      </c>
      <c r="D2125" s="115">
        <v>2620.0500000000002</v>
      </c>
      <c r="E2125" s="115">
        <v>2638.9</v>
      </c>
      <c r="F2125" s="115">
        <v>2727.75</v>
      </c>
      <c r="G2125">
        <v>3698</v>
      </c>
      <c r="H2125" s="115"/>
      <c r="I2125" s="115"/>
      <c r="L2125" s="160">
        <v>45133</v>
      </c>
      <c r="M2125" s="115">
        <v>771.3</v>
      </c>
      <c r="N2125" s="115">
        <v>780</v>
      </c>
      <c r="O2125" s="115">
        <v>763.15</v>
      </c>
      <c r="P2125" s="115">
        <v>763.15</v>
      </c>
      <c r="Q2125" s="115">
        <v>771.3</v>
      </c>
      <c r="R2125">
        <v>18544</v>
      </c>
    </row>
    <row r="2126" spans="1:18" x14ac:dyDescent="0.25">
      <c r="A2126" s="160">
        <v>45160</v>
      </c>
      <c r="B2126" s="115">
        <v>2760</v>
      </c>
      <c r="C2126" s="115">
        <v>2693.2</v>
      </c>
      <c r="D2126" s="115">
        <v>2600</v>
      </c>
      <c r="E2126" s="115">
        <v>2760</v>
      </c>
      <c r="F2126" s="115">
        <v>2693.2</v>
      </c>
      <c r="G2126">
        <v>4699</v>
      </c>
      <c r="H2126" s="115"/>
      <c r="I2126" s="115"/>
      <c r="L2126" s="160">
        <v>45134</v>
      </c>
      <c r="M2126" s="115">
        <v>765</v>
      </c>
      <c r="N2126" s="115">
        <v>780</v>
      </c>
      <c r="O2126" s="115">
        <v>761</v>
      </c>
      <c r="P2126" s="115">
        <v>775.2</v>
      </c>
      <c r="Q2126" s="115">
        <v>765</v>
      </c>
      <c r="R2126">
        <v>15796</v>
      </c>
    </row>
    <row r="2127" spans="1:18" x14ac:dyDescent="0.25">
      <c r="A2127" s="160">
        <v>45161</v>
      </c>
      <c r="B2127" s="115">
        <v>2759.95</v>
      </c>
      <c r="C2127" s="115">
        <v>2650.2</v>
      </c>
      <c r="D2127" s="115">
        <v>2640</v>
      </c>
      <c r="E2127" s="115">
        <v>2690.1</v>
      </c>
      <c r="F2127" s="115">
        <v>2650.2</v>
      </c>
      <c r="G2127">
        <v>3964</v>
      </c>
      <c r="H2127" s="115"/>
      <c r="I2127" s="115"/>
      <c r="L2127" s="160">
        <v>45135</v>
      </c>
      <c r="M2127" s="115">
        <v>750.95</v>
      </c>
      <c r="N2127" s="115">
        <v>767.35</v>
      </c>
      <c r="O2127" s="115">
        <v>745.75</v>
      </c>
      <c r="P2127" s="115">
        <v>767.3</v>
      </c>
      <c r="Q2127" s="115">
        <v>750.95</v>
      </c>
      <c r="R2127">
        <v>28418</v>
      </c>
    </row>
    <row r="2128" spans="1:18" x14ac:dyDescent="0.25">
      <c r="A2128" s="160">
        <v>45162</v>
      </c>
      <c r="B2128" s="115">
        <v>2740</v>
      </c>
      <c r="C2128" s="115">
        <v>2735.8</v>
      </c>
      <c r="D2128" s="115">
        <v>2663.05</v>
      </c>
      <c r="E2128" s="115">
        <v>2700</v>
      </c>
      <c r="F2128" s="115">
        <v>2735.8</v>
      </c>
      <c r="G2128">
        <v>2738</v>
      </c>
      <c r="H2128" s="115"/>
      <c r="I2128" s="115"/>
      <c r="L2128" s="160">
        <v>45138</v>
      </c>
      <c r="M2128" s="115">
        <v>755.65</v>
      </c>
      <c r="N2128" s="115">
        <v>768.05</v>
      </c>
      <c r="O2128" s="115">
        <v>751.95</v>
      </c>
      <c r="P2128" s="115">
        <v>751.95</v>
      </c>
      <c r="Q2128" s="115">
        <v>755.65</v>
      </c>
      <c r="R2128">
        <v>26599</v>
      </c>
    </row>
    <row r="2129" spans="1:18" x14ac:dyDescent="0.25">
      <c r="A2129" s="160">
        <v>45163</v>
      </c>
      <c r="B2129" s="115">
        <v>2745</v>
      </c>
      <c r="C2129" s="115">
        <v>2701.65</v>
      </c>
      <c r="D2129" s="115">
        <v>2651.6</v>
      </c>
      <c r="E2129" s="115">
        <v>2717</v>
      </c>
      <c r="F2129" s="115">
        <v>2701.65</v>
      </c>
      <c r="G2129">
        <v>2038</v>
      </c>
      <c r="H2129" s="115"/>
      <c r="I2129" s="115"/>
      <c r="L2129" s="160">
        <v>45139</v>
      </c>
      <c r="M2129" s="115">
        <v>757.2</v>
      </c>
      <c r="N2129" s="115">
        <v>762.95</v>
      </c>
      <c r="O2129" s="115">
        <v>748.1</v>
      </c>
      <c r="P2129" s="115">
        <v>759.45</v>
      </c>
      <c r="Q2129" s="115">
        <v>757.2</v>
      </c>
      <c r="R2129">
        <v>21823</v>
      </c>
    </row>
    <row r="2130" spans="1:18" x14ac:dyDescent="0.25">
      <c r="A2130" s="160">
        <v>45166</v>
      </c>
      <c r="B2130" s="115">
        <v>3001</v>
      </c>
      <c r="C2130" s="115">
        <v>2998.2</v>
      </c>
      <c r="D2130" s="115">
        <v>2661.15</v>
      </c>
      <c r="E2130" s="115">
        <v>2709.95</v>
      </c>
      <c r="F2130" s="115">
        <v>2998.2</v>
      </c>
      <c r="G2130">
        <v>45905</v>
      </c>
      <c r="H2130" s="115"/>
      <c r="I2130" s="115"/>
      <c r="L2130" s="160">
        <v>45140</v>
      </c>
      <c r="M2130" s="115">
        <v>745.65</v>
      </c>
      <c r="N2130" s="115">
        <v>771</v>
      </c>
      <c r="O2130" s="115">
        <v>703.35</v>
      </c>
      <c r="P2130" s="115">
        <v>764</v>
      </c>
      <c r="Q2130" s="115">
        <v>745.65</v>
      </c>
      <c r="R2130">
        <v>95235</v>
      </c>
    </row>
    <row r="2131" spans="1:18" x14ac:dyDescent="0.25">
      <c r="A2131" s="160">
        <v>45167</v>
      </c>
      <c r="B2131" s="115">
        <v>3001</v>
      </c>
      <c r="C2131" s="115">
        <v>2971.9</v>
      </c>
      <c r="D2131" s="115">
        <v>2931.2</v>
      </c>
      <c r="E2131" s="115">
        <v>3000</v>
      </c>
      <c r="F2131" s="115">
        <v>2971.9</v>
      </c>
      <c r="G2131">
        <v>18568</v>
      </c>
      <c r="H2131" s="115"/>
      <c r="I2131" s="115"/>
      <c r="L2131" s="160">
        <v>45141</v>
      </c>
      <c r="M2131" s="115">
        <v>755.9</v>
      </c>
      <c r="N2131" s="115">
        <v>758.8</v>
      </c>
      <c r="O2131" s="115">
        <v>718.55</v>
      </c>
      <c r="P2131" s="115">
        <v>735.8</v>
      </c>
      <c r="Q2131" s="115">
        <v>755.9</v>
      </c>
      <c r="R2131">
        <v>84528</v>
      </c>
    </row>
    <row r="2132" spans="1:18" x14ac:dyDescent="0.25">
      <c r="A2132" s="160">
        <v>45168</v>
      </c>
      <c r="B2132" s="115">
        <v>3030</v>
      </c>
      <c r="C2132" s="115">
        <v>2944.1</v>
      </c>
      <c r="D2132" s="115">
        <v>2915</v>
      </c>
      <c r="E2132" s="115">
        <v>3000</v>
      </c>
      <c r="F2132" s="115">
        <v>2944.1</v>
      </c>
      <c r="G2132">
        <v>12116</v>
      </c>
      <c r="H2132" s="115"/>
      <c r="I2132" s="115"/>
      <c r="L2132" s="160">
        <v>45142</v>
      </c>
      <c r="M2132" s="115">
        <v>768.6</v>
      </c>
      <c r="N2132" s="115">
        <v>772.8</v>
      </c>
      <c r="O2132" s="115">
        <v>756.55</v>
      </c>
      <c r="P2132" s="115">
        <v>757</v>
      </c>
      <c r="Q2132" s="115">
        <v>768.6</v>
      </c>
      <c r="R2132">
        <v>54296</v>
      </c>
    </row>
    <row r="2133" spans="1:18" x14ac:dyDescent="0.25">
      <c r="A2133" s="160">
        <v>45169</v>
      </c>
      <c r="B2133" s="115">
        <v>2990</v>
      </c>
      <c r="C2133" s="115">
        <v>2972.25</v>
      </c>
      <c r="D2133" s="115">
        <v>2920</v>
      </c>
      <c r="E2133" s="115">
        <v>2974.3</v>
      </c>
      <c r="F2133" s="115">
        <v>2972.25</v>
      </c>
      <c r="G2133">
        <v>3450</v>
      </c>
      <c r="H2133" s="115"/>
      <c r="I2133" s="115"/>
      <c r="L2133" s="160">
        <v>45145</v>
      </c>
      <c r="M2133" s="115">
        <v>762.1</v>
      </c>
      <c r="N2133" s="115">
        <v>775.9</v>
      </c>
      <c r="O2133" s="115">
        <v>755</v>
      </c>
      <c r="P2133" s="115">
        <v>772.45</v>
      </c>
      <c r="Q2133" s="115">
        <v>762.1</v>
      </c>
      <c r="R2133">
        <v>34992</v>
      </c>
    </row>
    <row r="2134" spans="1:18" x14ac:dyDescent="0.25">
      <c r="A2134" s="160">
        <v>45170</v>
      </c>
      <c r="B2134" s="115">
        <v>2980</v>
      </c>
      <c r="C2134" s="115">
        <v>2941.3</v>
      </c>
      <c r="D2134" s="115">
        <v>2903</v>
      </c>
      <c r="E2134" s="115">
        <v>2973</v>
      </c>
      <c r="F2134" s="115">
        <v>2941.3</v>
      </c>
      <c r="G2134">
        <v>3654</v>
      </c>
      <c r="H2134" s="115"/>
      <c r="I2134" s="115"/>
      <c r="L2134" s="160">
        <v>45146</v>
      </c>
      <c r="M2134" s="115">
        <v>769.45</v>
      </c>
      <c r="N2134" s="115">
        <v>771.85</v>
      </c>
      <c r="O2134" s="115">
        <v>754.65</v>
      </c>
      <c r="P2134" s="115">
        <v>765.95</v>
      </c>
      <c r="Q2134" s="115">
        <v>769.45</v>
      </c>
      <c r="R2134">
        <v>38443</v>
      </c>
    </row>
    <row r="2135" spans="1:18" x14ac:dyDescent="0.25">
      <c r="A2135" s="160">
        <v>45173</v>
      </c>
      <c r="B2135" s="115">
        <v>2978</v>
      </c>
      <c r="C2135" s="115">
        <v>2916.5</v>
      </c>
      <c r="D2135" s="115">
        <v>2900</v>
      </c>
      <c r="E2135" s="115">
        <v>2978</v>
      </c>
      <c r="F2135" s="115">
        <v>2916.5</v>
      </c>
      <c r="G2135">
        <v>4128</v>
      </c>
      <c r="H2135" s="115"/>
      <c r="I2135" s="115"/>
      <c r="L2135" s="160">
        <v>45147</v>
      </c>
      <c r="M2135" s="115">
        <v>765.65</v>
      </c>
      <c r="N2135" s="115">
        <v>780</v>
      </c>
      <c r="O2135" s="115">
        <v>760.95</v>
      </c>
      <c r="P2135" s="115">
        <v>769.45</v>
      </c>
      <c r="Q2135" s="115">
        <v>765.65</v>
      </c>
      <c r="R2135">
        <v>58634</v>
      </c>
    </row>
    <row r="2136" spans="1:18" x14ac:dyDescent="0.25">
      <c r="A2136" s="160">
        <v>45174</v>
      </c>
      <c r="B2136" s="115">
        <v>2965</v>
      </c>
      <c r="C2136" s="115">
        <v>2889.85</v>
      </c>
      <c r="D2136" s="115">
        <v>2870</v>
      </c>
      <c r="E2136" s="115">
        <v>2964.9</v>
      </c>
      <c r="F2136" s="115">
        <v>2889.85</v>
      </c>
      <c r="G2136">
        <v>3164</v>
      </c>
      <c r="H2136" s="115"/>
      <c r="I2136" s="115"/>
      <c r="L2136" s="160">
        <v>45148</v>
      </c>
      <c r="M2136" s="115">
        <v>765.85</v>
      </c>
      <c r="N2136" s="115">
        <v>769.5</v>
      </c>
      <c r="O2136" s="115">
        <v>752.3</v>
      </c>
      <c r="P2136" s="115">
        <v>761.3</v>
      </c>
      <c r="Q2136" s="115">
        <v>765.85</v>
      </c>
      <c r="R2136">
        <v>37806</v>
      </c>
    </row>
    <row r="2137" spans="1:18" x14ac:dyDescent="0.25">
      <c r="A2137" s="160">
        <v>45175</v>
      </c>
      <c r="B2137" s="115">
        <v>2929</v>
      </c>
      <c r="C2137" s="115">
        <v>2895.15</v>
      </c>
      <c r="D2137" s="115">
        <v>2850</v>
      </c>
      <c r="E2137" s="115">
        <v>2889.85</v>
      </c>
      <c r="F2137" s="115">
        <v>2895.15</v>
      </c>
      <c r="G2137">
        <v>2384</v>
      </c>
      <c r="H2137" s="115"/>
      <c r="I2137" s="115"/>
      <c r="L2137" s="160">
        <v>45149</v>
      </c>
      <c r="M2137" s="115">
        <v>773.6</v>
      </c>
      <c r="N2137" s="115">
        <v>778.95</v>
      </c>
      <c r="O2137" s="115">
        <v>762.15</v>
      </c>
      <c r="P2137" s="115">
        <v>763</v>
      </c>
      <c r="Q2137" s="115">
        <v>773.6</v>
      </c>
      <c r="R2137">
        <v>22185</v>
      </c>
    </row>
    <row r="2138" spans="1:18" x14ac:dyDescent="0.25">
      <c r="A2138" s="160">
        <v>45176</v>
      </c>
      <c r="B2138" s="115">
        <v>2958.5</v>
      </c>
      <c r="C2138" s="115">
        <v>2911.95</v>
      </c>
      <c r="D2138" s="115">
        <v>2880</v>
      </c>
      <c r="E2138" s="115">
        <v>2925</v>
      </c>
      <c r="F2138" s="115">
        <v>2911.95</v>
      </c>
      <c r="G2138">
        <v>2761</v>
      </c>
      <c r="H2138" s="115"/>
      <c r="I2138" s="115"/>
      <c r="L2138" s="160">
        <v>45152</v>
      </c>
      <c r="M2138" s="115">
        <v>778.85</v>
      </c>
      <c r="N2138" s="115">
        <v>789</v>
      </c>
      <c r="O2138" s="115">
        <v>750</v>
      </c>
      <c r="P2138" s="115">
        <v>780</v>
      </c>
      <c r="Q2138" s="115">
        <v>778.85</v>
      </c>
      <c r="R2138">
        <v>72043</v>
      </c>
    </row>
    <row r="2139" spans="1:18" x14ac:dyDescent="0.25">
      <c r="A2139" s="160">
        <v>45177</v>
      </c>
      <c r="B2139" s="115">
        <v>2965</v>
      </c>
      <c r="C2139" s="115">
        <v>2926.05</v>
      </c>
      <c r="D2139" s="115">
        <v>2910</v>
      </c>
      <c r="E2139" s="115">
        <v>2925</v>
      </c>
      <c r="F2139" s="115">
        <v>2926.05</v>
      </c>
      <c r="G2139">
        <v>3567</v>
      </c>
      <c r="H2139" s="115"/>
      <c r="I2139" s="115"/>
      <c r="L2139" s="160">
        <v>45154</v>
      </c>
      <c r="M2139" s="115">
        <v>792.1</v>
      </c>
      <c r="N2139" s="115">
        <v>793.9</v>
      </c>
      <c r="O2139" s="115">
        <v>770.1</v>
      </c>
      <c r="P2139" s="115">
        <v>778.9</v>
      </c>
      <c r="Q2139" s="115">
        <v>792.1</v>
      </c>
      <c r="R2139">
        <v>51743</v>
      </c>
    </row>
    <row r="2140" spans="1:18" x14ac:dyDescent="0.25">
      <c r="A2140" s="160">
        <v>45180</v>
      </c>
      <c r="B2140" s="115">
        <v>2989.8</v>
      </c>
      <c r="C2140" s="115">
        <v>2953.3</v>
      </c>
      <c r="D2140" s="115">
        <v>2911</v>
      </c>
      <c r="E2140" s="115">
        <v>2950</v>
      </c>
      <c r="F2140" s="115">
        <v>2953.3</v>
      </c>
      <c r="G2140">
        <v>1952</v>
      </c>
      <c r="H2140" s="115"/>
      <c r="I2140" s="115"/>
      <c r="L2140" s="160">
        <v>45155</v>
      </c>
      <c r="M2140" s="115">
        <v>782.7</v>
      </c>
      <c r="N2140" s="115">
        <v>797</v>
      </c>
      <c r="O2140" s="115">
        <v>777.85</v>
      </c>
      <c r="P2140" s="115">
        <v>796.1</v>
      </c>
      <c r="Q2140" s="115">
        <v>782.7</v>
      </c>
      <c r="R2140">
        <v>32972</v>
      </c>
    </row>
    <row r="2141" spans="1:18" x14ac:dyDescent="0.25">
      <c r="A2141" s="160">
        <v>45181</v>
      </c>
      <c r="B2141" s="115">
        <v>2970</v>
      </c>
      <c r="C2141" s="115">
        <v>2825.6</v>
      </c>
      <c r="D2141" s="115">
        <v>2805.2</v>
      </c>
      <c r="E2141" s="115">
        <v>2917</v>
      </c>
      <c r="F2141" s="115">
        <v>2825.6</v>
      </c>
      <c r="G2141">
        <v>8184</v>
      </c>
      <c r="H2141" s="115"/>
      <c r="I2141" s="115"/>
      <c r="L2141" s="160">
        <v>45156</v>
      </c>
      <c r="M2141" s="115">
        <v>770.25</v>
      </c>
      <c r="N2141" s="115">
        <v>789.9</v>
      </c>
      <c r="O2141" s="115">
        <v>762.55</v>
      </c>
      <c r="P2141" s="115">
        <v>777.7</v>
      </c>
      <c r="Q2141" s="115">
        <v>770.25</v>
      </c>
      <c r="R2141">
        <v>27424</v>
      </c>
    </row>
    <row r="2142" spans="1:18" x14ac:dyDescent="0.25">
      <c r="A2142" s="160">
        <v>45182</v>
      </c>
      <c r="B2142" s="115">
        <v>2869.9</v>
      </c>
      <c r="C2142" s="115">
        <v>2810.55</v>
      </c>
      <c r="D2142" s="115">
        <v>2724.85</v>
      </c>
      <c r="E2142" s="115">
        <v>2835</v>
      </c>
      <c r="F2142" s="115">
        <v>2810.55</v>
      </c>
      <c r="G2142">
        <v>4737</v>
      </c>
      <c r="H2142" s="115"/>
      <c r="I2142" s="115"/>
      <c r="L2142" s="160">
        <v>45159</v>
      </c>
      <c r="M2142" s="115">
        <v>777.8</v>
      </c>
      <c r="N2142" s="115">
        <v>785</v>
      </c>
      <c r="O2142" s="115">
        <v>757.75</v>
      </c>
      <c r="P2142" s="115">
        <v>770.3</v>
      </c>
      <c r="Q2142" s="115">
        <v>777.8</v>
      </c>
      <c r="R2142">
        <v>90318</v>
      </c>
    </row>
    <row r="2143" spans="1:18" x14ac:dyDescent="0.25">
      <c r="A2143" s="160">
        <v>45183</v>
      </c>
      <c r="B2143" s="115">
        <v>2894.95</v>
      </c>
      <c r="C2143" s="115">
        <v>2841.7</v>
      </c>
      <c r="D2143" s="115">
        <v>2810.55</v>
      </c>
      <c r="E2143" s="115">
        <v>2810.55</v>
      </c>
      <c r="F2143" s="115">
        <v>2841.7</v>
      </c>
      <c r="G2143">
        <v>916</v>
      </c>
      <c r="H2143" s="115"/>
      <c r="I2143" s="115"/>
      <c r="L2143" s="160">
        <v>45160</v>
      </c>
      <c r="M2143" s="115">
        <v>789.4</v>
      </c>
      <c r="N2143" s="115">
        <v>802.1</v>
      </c>
      <c r="O2143" s="115">
        <v>771</v>
      </c>
      <c r="P2143" s="115">
        <v>786.8</v>
      </c>
      <c r="Q2143" s="115">
        <v>789.4</v>
      </c>
      <c r="R2143">
        <v>51235</v>
      </c>
    </row>
    <row r="2144" spans="1:18" x14ac:dyDescent="0.25">
      <c r="A2144" s="160">
        <v>45184</v>
      </c>
      <c r="B2144" s="115">
        <v>2960</v>
      </c>
      <c r="C2144" s="115">
        <v>2855.3</v>
      </c>
      <c r="D2144" s="115">
        <v>2800</v>
      </c>
      <c r="E2144" s="115">
        <v>2859</v>
      </c>
      <c r="F2144" s="115">
        <v>2855.3</v>
      </c>
      <c r="G2144">
        <v>3516</v>
      </c>
      <c r="H2144" s="115"/>
      <c r="I2144" s="115"/>
      <c r="L2144" s="160">
        <v>45161</v>
      </c>
      <c r="M2144" s="115">
        <v>788.8</v>
      </c>
      <c r="N2144" s="115">
        <v>795.7</v>
      </c>
      <c r="O2144" s="115">
        <v>781.1</v>
      </c>
      <c r="P2144" s="115">
        <v>790.9</v>
      </c>
      <c r="Q2144" s="115">
        <v>788.8</v>
      </c>
      <c r="R2144">
        <v>19172</v>
      </c>
    </row>
    <row r="2145" spans="1:18" x14ac:dyDescent="0.25">
      <c r="A2145" s="160">
        <v>45187</v>
      </c>
      <c r="B2145" s="115">
        <v>2960</v>
      </c>
      <c r="C2145" s="115">
        <v>2935.45</v>
      </c>
      <c r="D2145" s="115">
        <v>2827.6</v>
      </c>
      <c r="E2145" s="115">
        <v>2827.6</v>
      </c>
      <c r="F2145" s="115">
        <v>2935.45</v>
      </c>
      <c r="G2145">
        <v>3308</v>
      </c>
      <c r="H2145" s="115"/>
      <c r="I2145" s="115"/>
      <c r="L2145" s="160">
        <v>45162</v>
      </c>
      <c r="M2145" s="115">
        <v>790.9</v>
      </c>
      <c r="N2145" s="115">
        <v>799.4</v>
      </c>
      <c r="O2145" s="115">
        <v>777.65</v>
      </c>
      <c r="P2145" s="115">
        <v>792.75</v>
      </c>
      <c r="Q2145" s="115">
        <v>790.9</v>
      </c>
      <c r="R2145">
        <v>61137</v>
      </c>
    </row>
    <row r="2146" spans="1:18" x14ac:dyDescent="0.25">
      <c r="A2146" s="160">
        <v>45189</v>
      </c>
      <c r="B2146" s="115">
        <v>2960</v>
      </c>
      <c r="C2146" s="115">
        <v>2933.1</v>
      </c>
      <c r="D2146" s="115">
        <v>2862.6</v>
      </c>
      <c r="E2146" s="115">
        <v>2950</v>
      </c>
      <c r="F2146" s="115">
        <v>2933.1</v>
      </c>
      <c r="G2146">
        <v>1256</v>
      </c>
      <c r="H2146" s="115"/>
      <c r="I2146" s="115"/>
      <c r="L2146" s="160">
        <v>45163</v>
      </c>
      <c r="M2146" s="115">
        <v>781.5</v>
      </c>
      <c r="N2146" s="115">
        <v>808.65</v>
      </c>
      <c r="O2146" s="115">
        <v>777</v>
      </c>
      <c r="P2146" s="115">
        <v>790.05</v>
      </c>
      <c r="Q2146" s="115">
        <v>781.5</v>
      </c>
      <c r="R2146">
        <v>54328</v>
      </c>
    </row>
    <row r="2147" spans="1:18" x14ac:dyDescent="0.25">
      <c r="A2147" s="160">
        <v>45190</v>
      </c>
      <c r="B2147" s="115">
        <v>2976.8</v>
      </c>
      <c r="C2147" s="115">
        <v>2860.3</v>
      </c>
      <c r="D2147" s="115">
        <v>2825</v>
      </c>
      <c r="E2147" s="115">
        <v>2939</v>
      </c>
      <c r="F2147" s="115">
        <v>2860.3</v>
      </c>
      <c r="G2147">
        <v>5659</v>
      </c>
      <c r="H2147" s="115"/>
      <c r="I2147" s="115"/>
      <c r="L2147" s="160">
        <v>45166</v>
      </c>
      <c r="M2147" s="115">
        <v>779.7</v>
      </c>
      <c r="N2147" s="115">
        <v>785.4</v>
      </c>
      <c r="O2147" s="115">
        <v>768</v>
      </c>
      <c r="P2147" s="115">
        <v>781.5</v>
      </c>
      <c r="Q2147" s="115">
        <v>779.7</v>
      </c>
      <c r="R2147">
        <v>39106</v>
      </c>
    </row>
    <row r="2148" spans="1:18" x14ac:dyDescent="0.25">
      <c r="A2148" s="160">
        <v>45191</v>
      </c>
      <c r="B2148" s="115">
        <v>2930</v>
      </c>
      <c r="C2148" s="115">
        <v>2913.3</v>
      </c>
      <c r="D2148" s="115">
        <v>2855.25</v>
      </c>
      <c r="E2148" s="115">
        <v>2929.8</v>
      </c>
      <c r="F2148" s="115">
        <v>2913.3</v>
      </c>
      <c r="G2148">
        <v>1773</v>
      </c>
      <c r="H2148" s="115"/>
      <c r="I2148" s="115"/>
      <c r="L2148" s="160">
        <v>45167</v>
      </c>
      <c r="M2148" s="115">
        <v>785</v>
      </c>
      <c r="N2148" s="115">
        <v>796.45</v>
      </c>
      <c r="O2148" s="115">
        <v>776.9</v>
      </c>
      <c r="P2148" s="115">
        <v>783.6</v>
      </c>
      <c r="Q2148" s="115">
        <v>785</v>
      </c>
      <c r="R2148">
        <v>31341</v>
      </c>
    </row>
    <row r="2149" spans="1:18" x14ac:dyDescent="0.25">
      <c r="A2149" s="160">
        <v>45194</v>
      </c>
      <c r="B2149" s="115">
        <v>2930</v>
      </c>
      <c r="C2149" s="115">
        <v>2865.55</v>
      </c>
      <c r="D2149" s="115">
        <v>2851</v>
      </c>
      <c r="E2149" s="115">
        <v>2930</v>
      </c>
      <c r="F2149" s="115">
        <v>2865.55</v>
      </c>
      <c r="G2149">
        <v>1578</v>
      </c>
      <c r="H2149" s="115"/>
      <c r="I2149" s="115"/>
      <c r="L2149" s="160">
        <v>45168</v>
      </c>
      <c r="M2149" s="115">
        <v>791.6</v>
      </c>
      <c r="N2149" s="115">
        <v>796.2</v>
      </c>
      <c r="O2149" s="115">
        <v>776.15</v>
      </c>
      <c r="P2149" s="115">
        <v>792</v>
      </c>
      <c r="Q2149" s="115">
        <v>791.6</v>
      </c>
      <c r="R2149">
        <v>38658</v>
      </c>
    </row>
    <row r="2150" spans="1:18" x14ac:dyDescent="0.25">
      <c r="A2150" s="160">
        <v>45195</v>
      </c>
      <c r="B2150" s="115">
        <v>2923</v>
      </c>
      <c r="C2150" s="115">
        <v>2876.4</v>
      </c>
      <c r="D2150" s="115">
        <v>2854</v>
      </c>
      <c r="E2150" s="115">
        <v>2906.9</v>
      </c>
      <c r="F2150" s="115">
        <v>2876.4</v>
      </c>
      <c r="G2150">
        <v>1433</v>
      </c>
      <c r="H2150" s="115"/>
      <c r="I2150" s="115"/>
      <c r="L2150" s="160">
        <v>45169</v>
      </c>
      <c r="M2150" s="115">
        <v>790.75</v>
      </c>
      <c r="N2150" s="115">
        <v>804</v>
      </c>
      <c r="O2150" s="115">
        <v>780.45</v>
      </c>
      <c r="P2150" s="115">
        <v>795.6</v>
      </c>
      <c r="Q2150" s="115">
        <v>790.75</v>
      </c>
      <c r="R2150">
        <v>26302</v>
      </c>
    </row>
    <row r="2151" spans="1:18" x14ac:dyDescent="0.25">
      <c r="A2151" s="160">
        <v>45196</v>
      </c>
      <c r="B2151" s="115">
        <v>2915</v>
      </c>
      <c r="C2151" s="115">
        <v>2880</v>
      </c>
      <c r="D2151" s="115">
        <v>2834</v>
      </c>
      <c r="E2151" s="115">
        <v>2880</v>
      </c>
      <c r="F2151" s="115">
        <v>2880</v>
      </c>
      <c r="G2151">
        <v>2916</v>
      </c>
      <c r="H2151" s="115"/>
      <c r="I2151" s="115"/>
      <c r="L2151" s="160">
        <v>45170</v>
      </c>
      <c r="M2151" s="115">
        <v>789.1</v>
      </c>
      <c r="N2151" s="115">
        <v>798.9</v>
      </c>
      <c r="O2151" s="115">
        <v>782</v>
      </c>
      <c r="P2151" s="115">
        <v>794.75</v>
      </c>
      <c r="Q2151" s="115">
        <v>789.1</v>
      </c>
      <c r="R2151">
        <v>26286</v>
      </c>
    </row>
    <row r="2152" spans="1:18" x14ac:dyDescent="0.25">
      <c r="A2152" s="160">
        <v>45197</v>
      </c>
      <c r="B2152" s="115">
        <v>2922</v>
      </c>
      <c r="C2152" s="115">
        <v>2686.7</v>
      </c>
      <c r="D2152" s="115">
        <v>2374</v>
      </c>
      <c r="E2152" s="115">
        <v>2922</v>
      </c>
      <c r="F2152" s="115">
        <v>2686.7</v>
      </c>
      <c r="G2152">
        <v>4588</v>
      </c>
      <c r="H2152" s="115"/>
      <c r="I2152" s="115"/>
      <c r="L2152" s="160">
        <v>45173</v>
      </c>
      <c r="M2152" s="115">
        <v>781.65</v>
      </c>
      <c r="N2152" s="115">
        <v>804.1</v>
      </c>
      <c r="O2152" s="115">
        <v>779</v>
      </c>
      <c r="P2152" s="115">
        <v>795</v>
      </c>
      <c r="Q2152" s="115">
        <v>781.65</v>
      </c>
      <c r="R2152">
        <v>23885</v>
      </c>
    </row>
    <row r="2153" spans="1:18" x14ac:dyDescent="0.25">
      <c r="A2153" s="160">
        <v>45198</v>
      </c>
      <c r="B2153" s="115">
        <v>2889.95</v>
      </c>
      <c r="C2153" s="115">
        <v>2879</v>
      </c>
      <c r="D2153" s="115">
        <v>2700</v>
      </c>
      <c r="E2153" s="115">
        <v>2700</v>
      </c>
      <c r="F2153" s="115">
        <v>2879</v>
      </c>
      <c r="G2153">
        <v>2787</v>
      </c>
      <c r="H2153" s="115"/>
      <c r="I2153" s="115"/>
      <c r="L2153" s="160">
        <v>45174</v>
      </c>
      <c r="M2153" s="115">
        <v>783.3</v>
      </c>
      <c r="N2153" s="115">
        <v>794.85</v>
      </c>
      <c r="O2153" s="115">
        <v>767.2</v>
      </c>
      <c r="P2153" s="115">
        <v>789.65</v>
      </c>
      <c r="Q2153" s="115">
        <v>783.3</v>
      </c>
      <c r="R2153">
        <v>58406</v>
      </c>
    </row>
    <row r="2154" spans="1:18" x14ac:dyDescent="0.25">
      <c r="A2154" s="160">
        <v>45202</v>
      </c>
      <c r="B2154" s="115">
        <v>2898.8</v>
      </c>
      <c r="C2154" s="115">
        <v>2808.15</v>
      </c>
      <c r="D2154" s="115">
        <v>2801</v>
      </c>
      <c r="E2154" s="115">
        <v>2879</v>
      </c>
      <c r="F2154" s="115">
        <v>2808.15</v>
      </c>
      <c r="G2154">
        <v>2865</v>
      </c>
      <c r="H2154" s="115"/>
      <c r="I2154" s="115"/>
      <c r="L2154" s="160">
        <v>45175</v>
      </c>
      <c r="M2154" s="115">
        <v>790.05</v>
      </c>
      <c r="N2154" s="115">
        <v>793.95</v>
      </c>
      <c r="O2154" s="115">
        <v>780</v>
      </c>
      <c r="P2154" s="115">
        <v>793</v>
      </c>
      <c r="Q2154" s="115">
        <v>790.05</v>
      </c>
      <c r="R2154">
        <v>41632</v>
      </c>
    </row>
    <row r="2155" spans="1:18" x14ac:dyDescent="0.25">
      <c r="A2155" s="160">
        <v>45203</v>
      </c>
      <c r="B2155" s="115">
        <v>2820.95</v>
      </c>
      <c r="C2155" s="115">
        <v>2793.3</v>
      </c>
      <c r="D2155" s="115">
        <v>2766.55</v>
      </c>
      <c r="E2155" s="115">
        <v>2780.6</v>
      </c>
      <c r="F2155" s="115">
        <v>2793.3</v>
      </c>
      <c r="G2155">
        <v>786</v>
      </c>
      <c r="H2155" s="115"/>
      <c r="I2155" s="115"/>
      <c r="L2155" s="160">
        <v>45176</v>
      </c>
      <c r="M2155" s="115">
        <v>824.15</v>
      </c>
      <c r="N2155" s="115">
        <v>839.2</v>
      </c>
      <c r="O2155" s="115">
        <v>780.1</v>
      </c>
      <c r="P2155" s="115">
        <v>794</v>
      </c>
      <c r="Q2155" s="115">
        <v>824.15</v>
      </c>
      <c r="R2155">
        <v>225069</v>
      </c>
    </row>
    <row r="2156" spans="1:18" x14ac:dyDescent="0.25">
      <c r="A2156" s="160">
        <v>45204</v>
      </c>
      <c r="B2156" s="115">
        <v>2838</v>
      </c>
      <c r="C2156" s="115">
        <v>2791.05</v>
      </c>
      <c r="D2156" s="115">
        <v>2781.1</v>
      </c>
      <c r="E2156" s="115">
        <v>2800</v>
      </c>
      <c r="F2156" s="115">
        <v>2791.05</v>
      </c>
      <c r="G2156">
        <v>1251</v>
      </c>
      <c r="H2156" s="115"/>
      <c r="I2156" s="115"/>
      <c r="L2156" s="160">
        <v>45177</v>
      </c>
      <c r="M2156" s="115">
        <v>840.75</v>
      </c>
      <c r="N2156" s="115">
        <v>848</v>
      </c>
      <c r="O2156" s="115">
        <v>811.2</v>
      </c>
      <c r="P2156" s="115">
        <v>833</v>
      </c>
      <c r="Q2156" s="115">
        <v>840.75</v>
      </c>
      <c r="R2156">
        <v>168341</v>
      </c>
    </row>
    <row r="2157" spans="1:18" x14ac:dyDescent="0.25">
      <c r="A2157" s="160">
        <v>45205</v>
      </c>
      <c r="B2157" s="115">
        <v>2878</v>
      </c>
      <c r="C2157" s="115">
        <v>2844.75</v>
      </c>
      <c r="D2157" s="115">
        <v>2818.25</v>
      </c>
      <c r="E2157" s="115">
        <v>2835</v>
      </c>
      <c r="F2157" s="115">
        <v>2844.75</v>
      </c>
      <c r="G2157">
        <v>1415</v>
      </c>
      <c r="H2157" s="115"/>
      <c r="I2157" s="115"/>
      <c r="L2157" s="160">
        <v>45180</v>
      </c>
      <c r="M2157" s="115">
        <v>877.45</v>
      </c>
      <c r="N2157" s="115">
        <v>889.5</v>
      </c>
      <c r="O2157" s="115">
        <v>831.05</v>
      </c>
      <c r="P2157" s="115">
        <v>855</v>
      </c>
      <c r="Q2157" s="115">
        <v>877.45</v>
      </c>
      <c r="R2157">
        <v>318196</v>
      </c>
    </row>
    <row r="2158" spans="1:18" x14ac:dyDescent="0.25">
      <c r="A2158" s="160">
        <v>45208</v>
      </c>
      <c r="B2158" s="115">
        <v>2850</v>
      </c>
      <c r="C2158" s="115">
        <v>2793.2</v>
      </c>
      <c r="D2158" s="115">
        <v>2786</v>
      </c>
      <c r="E2158" s="115">
        <v>2801</v>
      </c>
      <c r="F2158" s="115">
        <v>2793.2</v>
      </c>
      <c r="G2158">
        <v>1092</v>
      </c>
      <c r="H2158" s="115"/>
      <c r="I2158" s="115"/>
      <c r="L2158" s="160">
        <v>45181</v>
      </c>
      <c r="M2158" s="115">
        <v>842.45</v>
      </c>
      <c r="N2158" s="115">
        <v>904.95</v>
      </c>
      <c r="O2158" s="115">
        <v>824.35</v>
      </c>
      <c r="P2158" s="115">
        <v>889</v>
      </c>
      <c r="Q2158" s="115">
        <v>842.45</v>
      </c>
      <c r="R2158">
        <v>179084</v>
      </c>
    </row>
    <row r="2159" spans="1:18" x14ac:dyDescent="0.25">
      <c r="A2159" s="160">
        <v>45209</v>
      </c>
      <c r="B2159" s="115">
        <v>2880</v>
      </c>
      <c r="C2159" s="115">
        <v>2785.8</v>
      </c>
      <c r="D2159" s="115">
        <v>2769.95</v>
      </c>
      <c r="E2159" s="115">
        <v>2785</v>
      </c>
      <c r="F2159" s="115">
        <v>2785.8</v>
      </c>
      <c r="G2159">
        <v>2211</v>
      </c>
      <c r="H2159" s="115"/>
      <c r="I2159" s="115"/>
      <c r="L2159" s="160">
        <v>45182</v>
      </c>
      <c r="M2159" s="115">
        <v>873.15</v>
      </c>
      <c r="N2159" s="115">
        <v>887.7</v>
      </c>
      <c r="O2159" s="115">
        <v>827.05</v>
      </c>
      <c r="P2159" s="115">
        <v>859.45</v>
      </c>
      <c r="Q2159" s="115">
        <v>873.15</v>
      </c>
      <c r="R2159">
        <v>80352</v>
      </c>
    </row>
    <row r="2160" spans="1:18" x14ac:dyDescent="0.25">
      <c r="A2160" s="160">
        <v>45210</v>
      </c>
      <c r="B2160" s="115">
        <v>2829</v>
      </c>
      <c r="C2160" s="115">
        <v>2785.9</v>
      </c>
      <c r="D2160" s="115">
        <v>2744</v>
      </c>
      <c r="E2160" s="115">
        <v>2829</v>
      </c>
      <c r="F2160" s="115">
        <v>2785.9</v>
      </c>
      <c r="G2160">
        <v>1802</v>
      </c>
      <c r="H2160" s="115"/>
      <c r="I2160" s="115"/>
      <c r="L2160" s="160">
        <v>45183</v>
      </c>
      <c r="M2160" s="115">
        <v>860.5</v>
      </c>
      <c r="N2160" s="115">
        <v>888</v>
      </c>
      <c r="O2160" s="115">
        <v>855.7</v>
      </c>
      <c r="P2160" s="115">
        <v>888</v>
      </c>
      <c r="Q2160" s="115">
        <v>860.5</v>
      </c>
      <c r="R2160">
        <v>47464</v>
      </c>
    </row>
    <row r="2161" spans="1:18" x14ac:dyDescent="0.25">
      <c r="A2161" s="160">
        <v>45211</v>
      </c>
      <c r="B2161" s="115">
        <v>2817</v>
      </c>
      <c r="C2161" s="115">
        <v>2760.25</v>
      </c>
      <c r="D2161" s="115">
        <v>2751.05</v>
      </c>
      <c r="E2161" s="115">
        <v>2776</v>
      </c>
      <c r="F2161" s="115">
        <v>2760.25</v>
      </c>
      <c r="G2161">
        <v>1056</v>
      </c>
      <c r="H2161" s="115"/>
      <c r="I2161" s="115"/>
      <c r="L2161" s="160">
        <v>45184</v>
      </c>
      <c r="M2161" s="115">
        <v>845.7</v>
      </c>
      <c r="N2161" s="115">
        <v>864.85</v>
      </c>
      <c r="O2161" s="115">
        <v>842</v>
      </c>
      <c r="P2161" s="115">
        <v>864.85</v>
      </c>
      <c r="Q2161" s="115">
        <v>845.7</v>
      </c>
      <c r="R2161">
        <v>43981</v>
      </c>
    </row>
    <row r="2162" spans="1:18" x14ac:dyDescent="0.25">
      <c r="A2162" s="160">
        <v>45212</v>
      </c>
      <c r="B2162" s="115">
        <v>2779</v>
      </c>
      <c r="C2162" s="115">
        <v>2749.4</v>
      </c>
      <c r="D2162" s="115">
        <v>2730.25</v>
      </c>
      <c r="E2162" s="115">
        <v>2760.25</v>
      </c>
      <c r="F2162" s="115">
        <v>2749.4</v>
      </c>
      <c r="G2162">
        <v>1547</v>
      </c>
      <c r="H2162" s="115"/>
      <c r="I2162" s="115"/>
      <c r="L2162" s="160">
        <v>45187</v>
      </c>
      <c r="M2162" s="115">
        <v>848</v>
      </c>
      <c r="N2162" s="115">
        <v>874</v>
      </c>
      <c r="O2162" s="115">
        <v>841.05</v>
      </c>
      <c r="P2162" s="115">
        <v>874</v>
      </c>
      <c r="Q2162" s="115">
        <v>848</v>
      </c>
      <c r="R2162">
        <v>28853</v>
      </c>
    </row>
    <row r="2163" spans="1:18" x14ac:dyDescent="0.25">
      <c r="A2163" s="160">
        <v>45215</v>
      </c>
      <c r="B2163" s="115">
        <v>2799.9</v>
      </c>
      <c r="C2163" s="115">
        <v>2693.65</v>
      </c>
      <c r="D2163" s="115">
        <v>2660</v>
      </c>
      <c r="E2163" s="115">
        <v>2789.4</v>
      </c>
      <c r="F2163" s="115">
        <v>2693.65</v>
      </c>
      <c r="G2163">
        <v>4039</v>
      </c>
      <c r="H2163" s="115"/>
      <c r="I2163" s="115"/>
      <c r="L2163" s="160">
        <v>45189</v>
      </c>
      <c r="M2163" s="115">
        <v>835.15</v>
      </c>
      <c r="N2163" s="115">
        <v>852</v>
      </c>
      <c r="O2163" s="115">
        <v>825.9</v>
      </c>
      <c r="P2163" s="115">
        <v>852</v>
      </c>
      <c r="Q2163" s="115">
        <v>835.15</v>
      </c>
      <c r="R2163">
        <v>41293</v>
      </c>
    </row>
    <row r="2164" spans="1:18" x14ac:dyDescent="0.25">
      <c r="A2164" s="160">
        <v>45216</v>
      </c>
      <c r="B2164" s="115">
        <v>2809</v>
      </c>
      <c r="C2164" s="115">
        <v>2790.3</v>
      </c>
      <c r="D2164" s="115">
        <v>2694</v>
      </c>
      <c r="E2164" s="115">
        <v>2694</v>
      </c>
      <c r="F2164" s="115">
        <v>2790.3</v>
      </c>
      <c r="G2164">
        <v>3582</v>
      </c>
      <c r="H2164" s="115"/>
      <c r="I2164" s="115"/>
      <c r="L2164" s="160">
        <v>45190</v>
      </c>
      <c r="M2164" s="115">
        <v>844.75</v>
      </c>
      <c r="N2164" s="115">
        <v>848.1</v>
      </c>
      <c r="O2164" s="115">
        <v>833.55</v>
      </c>
      <c r="P2164" s="115">
        <v>847</v>
      </c>
      <c r="Q2164" s="115">
        <v>844.75</v>
      </c>
      <c r="R2164">
        <v>33656</v>
      </c>
    </row>
    <row r="2165" spans="1:18" x14ac:dyDescent="0.25">
      <c r="A2165" s="160">
        <v>45217</v>
      </c>
      <c r="B2165" s="115">
        <v>3000.95</v>
      </c>
      <c r="C2165" s="115">
        <v>2988.45</v>
      </c>
      <c r="D2165" s="115">
        <v>2810</v>
      </c>
      <c r="E2165" s="115">
        <v>2810</v>
      </c>
      <c r="F2165" s="115">
        <v>2988.45</v>
      </c>
      <c r="G2165">
        <v>26924</v>
      </c>
      <c r="H2165" s="115"/>
      <c r="I2165" s="115"/>
      <c r="L2165" s="160">
        <v>45191</v>
      </c>
      <c r="M2165" s="115">
        <v>855.4</v>
      </c>
      <c r="N2165" s="115">
        <v>861.3</v>
      </c>
      <c r="O2165" s="115">
        <v>844.9</v>
      </c>
      <c r="P2165" s="115">
        <v>849</v>
      </c>
      <c r="Q2165" s="115">
        <v>855.4</v>
      </c>
      <c r="R2165">
        <v>52611</v>
      </c>
    </row>
    <row r="2166" spans="1:18" x14ac:dyDescent="0.25">
      <c r="A2166" s="160">
        <v>45218</v>
      </c>
      <c r="B2166" s="115">
        <v>3290</v>
      </c>
      <c r="C2166" s="115">
        <v>3243.7</v>
      </c>
      <c r="D2166" s="115">
        <v>2958</v>
      </c>
      <c r="E2166" s="115">
        <v>2997.9</v>
      </c>
      <c r="F2166" s="115">
        <v>3243.7</v>
      </c>
      <c r="G2166">
        <v>48097</v>
      </c>
      <c r="H2166" s="115"/>
      <c r="I2166" s="115"/>
      <c r="L2166" s="160">
        <v>45194</v>
      </c>
      <c r="M2166" s="115">
        <v>854.15</v>
      </c>
      <c r="N2166" s="115">
        <v>870</v>
      </c>
      <c r="O2166" s="115">
        <v>845.05</v>
      </c>
      <c r="P2166" s="115">
        <v>870</v>
      </c>
      <c r="Q2166" s="115">
        <v>854.15</v>
      </c>
      <c r="R2166">
        <v>45107</v>
      </c>
    </row>
    <row r="2167" spans="1:18" x14ac:dyDescent="0.25">
      <c r="A2167" s="160">
        <v>45219</v>
      </c>
      <c r="B2167" s="115">
        <v>3250</v>
      </c>
      <c r="C2167" s="115">
        <v>3146.35</v>
      </c>
      <c r="D2167" s="115">
        <v>3120</v>
      </c>
      <c r="E2167" s="115">
        <v>3250</v>
      </c>
      <c r="F2167" s="115">
        <v>3146.35</v>
      </c>
      <c r="G2167">
        <v>8324</v>
      </c>
      <c r="H2167" s="115"/>
      <c r="I2167" s="115"/>
      <c r="L2167" s="160">
        <v>45195</v>
      </c>
      <c r="M2167" s="115">
        <v>852.85</v>
      </c>
      <c r="N2167" s="115">
        <v>865</v>
      </c>
      <c r="O2167" s="115">
        <v>845</v>
      </c>
      <c r="P2167" s="115">
        <v>855</v>
      </c>
      <c r="Q2167" s="115">
        <v>852.85</v>
      </c>
      <c r="R2167">
        <v>36916</v>
      </c>
    </row>
    <row r="2168" spans="1:18" x14ac:dyDescent="0.25">
      <c r="A2168" s="160">
        <v>45222</v>
      </c>
      <c r="B2168" s="115">
        <v>3204.95</v>
      </c>
      <c r="C2168" s="115">
        <v>2849.65</v>
      </c>
      <c r="D2168" s="115">
        <v>2820</v>
      </c>
      <c r="E2168" s="115">
        <v>3186.35</v>
      </c>
      <c r="F2168" s="115">
        <v>2849.65</v>
      </c>
      <c r="G2168">
        <v>12649</v>
      </c>
      <c r="H2168" s="115"/>
      <c r="I2168" s="115"/>
      <c r="L2168" s="160">
        <v>45196</v>
      </c>
      <c r="M2168" s="115">
        <v>846.1</v>
      </c>
      <c r="N2168" s="115">
        <v>859.8</v>
      </c>
      <c r="O2168" s="115">
        <v>843.4</v>
      </c>
      <c r="P2168" s="115">
        <v>849.6</v>
      </c>
      <c r="Q2168" s="115">
        <v>846.1</v>
      </c>
      <c r="R2168">
        <v>36602</v>
      </c>
    </row>
    <row r="2169" spans="1:18" x14ac:dyDescent="0.25">
      <c r="A2169" s="160">
        <v>45224</v>
      </c>
      <c r="B2169" s="115">
        <v>3000</v>
      </c>
      <c r="C2169" s="115">
        <v>2865.9</v>
      </c>
      <c r="D2169" s="115">
        <v>2805.55</v>
      </c>
      <c r="E2169" s="115">
        <v>2960</v>
      </c>
      <c r="F2169" s="115">
        <v>2865.9</v>
      </c>
      <c r="G2169">
        <v>11014</v>
      </c>
      <c r="H2169" s="115"/>
      <c r="I2169" s="115"/>
      <c r="L2169" s="160">
        <v>45197</v>
      </c>
      <c r="M2169" s="115">
        <v>835.45</v>
      </c>
      <c r="N2169" s="115">
        <v>854.4</v>
      </c>
      <c r="O2169" s="115">
        <v>829.6</v>
      </c>
      <c r="P2169" s="115">
        <v>846.1</v>
      </c>
      <c r="Q2169" s="115">
        <v>835.45</v>
      </c>
      <c r="R2169">
        <v>29370</v>
      </c>
    </row>
    <row r="2170" spans="1:18" x14ac:dyDescent="0.25">
      <c r="A2170" s="160">
        <v>45225</v>
      </c>
      <c r="B2170" s="115">
        <v>2964.9</v>
      </c>
      <c r="C2170" s="115">
        <v>2949.15</v>
      </c>
      <c r="D2170" s="115">
        <v>2765</v>
      </c>
      <c r="E2170" s="115">
        <v>2860.2</v>
      </c>
      <c r="F2170" s="115">
        <v>2949.15</v>
      </c>
      <c r="G2170">
        <v>8498</v>
      </c>
      <c r="H2170" s="115"/>
      <c r="I2170" s="115"/>
      <c r="L2170" s="160">
        <v>45198</v>
      </c>
      <c r="M2170" s="115">
        <v>841.6</v>
      </c>
      <c r="N2170" s="115">
        <v>846.75</v>
      </c>
      <c r="O2170" s="115">
        <v>833.1</v>
      </c>
      <c r="P2170" s="115">
        <v>837</v>
      </c>
      <c r="Q2170" s="115">
        <v>841.6</v>
      </c>
      <c r="R2170">
        <v>24511</v>
      </c>
    </row>
    <row r="2171" spans="1:18" x14ac:dyDescent="0.25">
      <c r="A2171" s="160">
        <v>45226</v>
      </c>
      <c r="B2171" s="115">
        <v>3074.8</v>
      </c>
      <c r="C2171" s="115">
        <v>2951.65</v>
      </c>
      <c r="D2171" s="115">
        <v>2910</v>
      </c>
      <c r="E2171" s="115">
        <v>2949.15</v>
      </c>
      <c r="F2171" s="115">
        <v>2951.65</v>
      </c>
      <c r="G2171">
        <v>6951</v>
      </c>
      <c r="H2171" s="115"/>
      <c r="I2171" s="115"/>
      <c r="L2171" s="160">
        <v>45202</v>
      </c>
      <c r="M2171" s="115">
        <v>855.85</v>
      </c>
      <c r="N2171" s="115">
        <v>879</v>
      </c>
      <c r="O2171" s="115">
        <v>826.1</v>
      </c>
      <c r="P2171" s="115">
        <v>842.4</v>
      </c>
      <c r="Q2171" s="115">
        <v>855.85</v>
      </c>
      <c r="R2171">
        <v>35020</v>
      </c>
    </row>
    <row r="2172" spans="1:18" x14ac:dyDescent="0.25">
      <c r="A2172" s="160">
        <v>45229</v>
      </c>
      <c r="B2172" s="115">
        <v>2998</v>
      </c>
      <c r="C2172" s="115">
        <v>2923.2</v>
      </c>
      <c r="D2172" s="115">
        <v>2871</v>
      </c>
      <c r="E2172" s="115">
        <v>2951.65</v>
      </c>
      <c r="F2172" s="115">
        <v>2923.2</v>
      </c>
      <c r="G2172">
        <v>2674</v>
      </c>
      <c r="H2172" s="115"/>
      <c r="I2172" s="115"/>
      <c r="L2172" s="160">
        <v>45203</v>
      </c>
      <c r="M2172" s="115">
        <v>846.25</v>
      </c>
      <c r="N2172" s="115">
        <v>855.95</v>
      </c>
      <c r="O2172" s="115">
        <v>835.65</v>
      </c>
      <c r="P2172" s="115">
        <v>855.9</v>
      </c>
      <c r="Q2172" s="115">
        <v>846.25</v>
      </c>
      <c r="R2172">
        <v>36170</v>
      </c>
    </row>
    <row r="2173" spans="1:18" x14ac:dyDescent="0.25">
      <c r="A2173" s="160">
        <v>45230</v>
      </c>
      <c r="B2173" s="115">
        <v>2976.9</v>
      </c>
      <c r="C2173" s="115">
        <v>2868.15</v>
      </c>
      <c r="D2173" s="115">
        <v>2861</v>
      </c>
      <c r="E2173" s="115">
        <v>2949.95</v>
      </c>
      <c r="F2173" s="115">
        <v>2868.15</v>
      </c>
      <c r="G2173">
        <v>2834</v>
      </c>
      <c r="H2173" s="115"/>
      <c r="I2173" s="115"/>
      <c r="L2173" s="160">
        <v>45204</v>
      </c>
      <c r="M2173" s="115">
        <v>841.9</v>
      </c>
      <c r="N2173" s="115">
        <v>856.6</v>
      </c>
      <c r="O2173" s="115">
        <v>836.55</v>
      </c>
      <c r="P2173" s="115">
        <v>848</v>
      </c>
      <c r="Q2173" s="115">
        <v>841.9</v>
      </c>
      <c r="R2173">
        <v>29637</v>
      </c>
    </row>
    <row r="2174" spans="1:18" x14ac:dyDescent="0.25">
      <c r="A2174" s="160">
        <v>45231</v>
      </c>
      <c r="B2174" s="115">
        <v>2885</v>
      </c>
      <c r="C2174" s="115">
        <v>2808.4</v>
      </c>
      <c r="D2174" s="115">
        <v>2750</v>
      </c>
      <c r="E2174" s="115">
        <v>2875</v>
      </c>
      <c r="F2174" s="115">
        <v>2808.4</v>
      </c>
      <c r="G2174">
        <v>5838</v>
      </c>
      <c r="H2174" s="115"/>
      <c r="I2174" s="115"/>
      <c r="L2174" s="160">
        <v>45205</v>
      </c>
      <c r="M2174" s="115">
        <v>842.95</v>
      </c>
      <c r="N2174" s="115">
        <v>855.5</v>
      </c>
      <c r="O2174" s="115">
        <v>836</v>
      </c>
      <c r="P2174" s="115">
        <v>846.15</v>
      </c>
      <c r="Q2174" s="115">
        <v>842.95</v>
      </c>
      <c r="R2174">
        <v>35432</v>
      </c>
    </row>
    <row r="2175" spans="1:18" x14ac:dyDescent="0.25">
      <c r="A2175" s="160">
        <v>45232</v>
      </c>
      <c r="B2175" s="115">
        <v>2894</v>
      </c>
      <c r="C2175" s="115">
        <v>2816.9</v>
      </c>
      <c r="D2175" s="115">
        <v>2805.05</v>
      </c>
      <c r="E2175" s="115">
        <v>2805.05</v>
      </c>
      <c r="F2175" s="115">
        <v>2816.9</v>
      </c>
      <c r="G2175">
        <v>4617</v>
      </c>
      <c r="H2175" s="115"/>
      <c r="I2175" s="115"/>
      <c r="L2175" s="160">
        <v>45208</v>
      </c>
      <c r="M2175" s="115">
        <v>840.6</v>
      </c>
      <c r="N2175" s="115">
        <v>843.9</v>
      </c>
      <c r="O2175" s="115">
        <v>811.6</v>
      </c>
      <c r="P2175" s="115">
        <v>820</v>
      </c>
      <c r="Q2175" s="115">
        <v>840.6</v>
      </c>
      <c r="R2175">
        <v>52355</v>
      </c>
    </row>
    <row r="2176" spans="1:18" x14ac:dyDescent="0.25">
      <c r="A2176" s="160">
        <v>45233</v>
      </c>
      <c r="B2176" s="115">
        <v>2919.9</v>
      </c>
      <c r="C2176" s="115">
        <v>2894.75</v>
      </c>
      <c r="D2176" s="115">
        <v>2825.05</v>
      </c>
      <c r="E2176" s="115">
        <v>2856.4</v>
      </c>
      <c r="F2176" s="115">
        <v>2894.75</v>
      </c>
      <c r="G2176">
        <v>3001</v>
      </c>
      <c r="H2176" s="115"/>
      <c r="I2176" s="115"/>
      <c r="L2176" s="160">
        <v>45209</v>
      </c>
      <c r="M2176" s="115">
        <v>844.85</v>
      </c>
      <c r="N2176" s="115">
        <v>850.7</v>
      </c>
      <c r="O2176" s="115">
        <v>835.15</v>
      </c>
      <c r="P2176" s="115">
        <v>846</v>
      </c>
      <c r="Q2176" s="115">
        <v>844.85</v>
      </c>
      <c r="R2176">
        <v>37155</v>
      </c>
    </row>
    <row r="2177" spans="1:18" x14ac:dyDescent="0.25">
      <c r="A2177" s="160">
        <v>45236</v>
      </c>
      <c r="B2177" s="115">
        <v>2939</v>
      </c>
      <c r="C2177" s="115">
        <v>2889.75</v>
      </c>
      <c r="D2177" s="115">
        <v>2842</v>
      </c>
      <c r="E2177" s="115">
        <v>2939</v>
      </c>
      <c r="F2177" s="115">
        <v>2889.75</v>
      </c>
      <c r="G2177">
        <v>1240</v>
      </c>
      <c r="H2177" s="115"/>
      <c r="I2177" s="115"/>
      <c r="L2177" s="160">
        <v>45210</v>
      </c>
      <c r="M2177" s="115">
        <v>844.65</v>
      </c>
      <c r="N2177" s="115">
        <v>853.95</v>
      </c>
      <c r="O2177" s="115">
        <v>837.15</v>
      </c>
      <c r="P2177" s="115">
        <v>853</v>
      </c>
      <c r="Q2177" s="115">
        <v>844.65</v>
      </c>
      <c r="R2177">
        <v>25075</v>
      </c>
    </row>
    <row r="2178" spans="1:18" x14ac:dyDescent="0.25">
      <c r="A2178" s="160">
        <v>45237</v>
      </c>
      <c r="B2178" s="115">
        <v>2934.4</v>
      </c>
      <c r="C2178" s="115">
        <v>2918.95</v>
      </c>
      <c r="D2178" s="115">
        <v>2850</v>
      </c>
      <c r="E2178" s="115">
        <v>2889.75</v>
      </c>
      <c r="F2178" s="115">
        <v>2918.95</v>
      </c>
      <c r="G2178">
        <v>2583</v>
      </c>
      <c r="H2178" s="115"/>
      <c r="I2178" s="115"/>
      <c r="L2178" s="160">
        <v>45211</v>
      </c>
      <c r="M2178" s="115">
        <v>837.5</v>
      </c>
      <c r="N2178" s="115">
        <v>848.9</v>
      </c>
      <c r="O2178" s="115">
        <v>834.2</v>
      </c>
      <c r="P2178" s="115">
        <v>847.95</v>
      </c>
      <c r="Q2178" s="115">
        <v>837.5</v>
      </c>
      <c r="R2178">
        <v>18198</v>
      </c>
    </row>
    <row r="2179" spans="1:18" x14ac:dyDescent="0.25">
      <c r="A2179" s="160">
        <v>45238</v>
      </c>
      <c r="B2179" s="115">
        <v>2939</v>
      </c>
      <c r="C2179" s="115">
        <v>2844.9</v>
      </c>
      <c r="D2179" s="115">
        <v>2824.4</v>
      </c>
      <c r="E2179" s="115">
        <v>2918.95</v>
      </c>
      <c r="F2179" s="115">
        <v>2844.9</v>
      </c>
      <c r="G2179">
        <v>4154</v>
      </c>
      <c r="H2179" s="115"/>
      <c r="I2179" s="115"/>
      <c r="L2179" s="160">
        <v>45212</v>
      </c>
      <c r="M2179" s="115">
        <v>839.25</v>
      </c>
      <c r="N2179" s="115">
        <v>850.8</v>
      </c>
      <c r="O2179" s="115">
        <v>832.1</v>
      </c>
      <c r="P2179" s="115">
        <v>835</v>
      </c>
      <c r="Q2179" s="115">
        <v>839.25</v>
      </c>
      <c r="R2179">
        <v>37844</v>
      </c>
    </row>
    <row r="2180" spans="1:18" x14ac:dyDescent="0.25">
      <c r="A2180" s="160">
        <v>45239</v>
      </c>
      <c r="B2180" s="115">
        <v>3100</v>
      </c>
      <c r="C2180" s="115">
        <v>2966.3</v>
      </c>
      <c r="D2180" s="115">
        <v>2775.05</v>
      </c>
      <c r="E2180" s="115">
        <v>2851</v>
      </c>
      <c r="F2180" s="115">
        <v>2966.3</v>
      </c>
      <c r="G2180">
        <v>10724</v>
      </c>
      <c r="H2180" s="115"/>
      <c r="I2180" s="115"/>
      <c r="L2180" s="160">
        <v>45215</v>
      </c>
      <c r="M2180" s="115">
        <v>836.35</v>
      </c>
      <c r="N2180" s="115">
        <v>841.45</v>
      </c>
      <c r="O2180" s="115">
        <v>823.25</v>
      </c>
      <c r="P2180" s="115">
        <v>834</v>
      </c>
      <c r="Q2180" s="115">
        <v>836.35</v>
      </c>
      <c r="R2180">
        <v>38095</v>
      </c>
    </row>
    <row r="2181" spans="1:18" x14ac:dyDescent="0.25">
      <c r="A2181" s="160">
        <v>45240</v>
      </c>
      <c r="B2181" s="115">
        <v>3054.4</v>
      </c>
      <c r="C2181" s="115">
        <v>2956.6</v>
      </c>
      <c r="D2181" s="115">
        <v>2900</v>
      </c>
      <c r="E2181" s="115">
        <v>3014.4</v>
      </c>
      <c r="F2181" s="115">
        <v>2956.6</v>
      </c>
      <c r="G2181">
        <v>4924</v>
      </c>
      <c r="H2181" s="115"/>
      <c r="I2181" s="115"/>
      <c r="L2181" s="160">
        <v>45216</v>
      </c>
      <c r="M2181" s="115">
        <v>839.4</v>
      </c>
      <c r="N2181" s="115">
        <v>844.2</v>
      </c>
      <c r="O2181" s="115">
        <v>834</v>
      </c>
      <c r="P2181" s="115">
        <v>841.45</v>
      </c>
      <c r="Q2181" s="115">
        <v>839.4</v>
      </c>
      <c r="R2181">
        <v>23516</v>
      </c>
    </row>
    <row r="2182" spans="1:18" x14ac:dyDescent="0.25">
      <c r="A2182" s="160">
        <v>45242</v>
      </c>
      <c r="B2182" s="115">
        <v>2994</v>
      </c>
      <c r="C2182" s="115">
        <v>2947.75</v>
      </c>
      <c r="D2182" s="115">
        <v>2913</v>
      </c>
      <c r="E2182" s="115">
        <v>2989.95</v>
      </c>
      <c r="F2182" s="115">
        <v>2947.75</v>
      </c>
      <c r="G2182">
        <v>1594</v>
      </c>
      <c r="H2182" s="115"/>
      <c r="I2182" s="115"/>
      <c r="L2182" s="160">
        <v>45217</v>
      </c>
      <c r="M2182" s="115">
        <v>837.8</v>
      </c>
      <c r="N2182" s="115">
        <v>845.8</v>
      </c>
      <c r="O2182" s="115">
        <v>832.45</v>
      </c>
      <c r="P2182" s="115">
        <v>839.4</v>
      </c>
      <c r="Q2182" s="115">
        <v>837.8</v>
      </c>
      <c r="R2182">
        <v>10531</v>
      </c>
    </row>
    <row r="2183" spans="1:18" x14ac:dyDescent="0.25">
      <c r="A2183" s="160">
        <v>45243</v>
      </c>
      <c r="B2183" s="115">
        <v>3250</v>
      </c>
      <c r="C2183" s="115">
        <v>3236.1</v>
      </c>
      <c r="D2183" s="115">
        <v>2896.5</v>
      </c>
      <c r="E2183" s="115">
        <v>2896.5</v>
      </c>
      <c r="F2183" s="115">
        <v>3236.1</v>
      </c>
      <c r="G2183">
        <v>22537</v>
      </c>
      <c r="H2183" s="115"/>
      <c r="I2183" s="115"/>
      <c r="L2183" s="160">
        <v>45218</v>
      </c>
      <c r="M2183" s="115">
        <v>839.4</v>
      </c>
      <c r="N2183" s="115">
        <v>854.05</v>
      </c>
      <c r="O2183" s="115">
        <v>831.15</v>
      </c>
      <c r="P2183" s="115">
        <v>842</v>
      </c>
      <c r="Q2183" s="115">
        <v>839.4</v>
      </c>
      <c r="R2183">
        <v>46954</v>
      </c>
    </row>
    <row r="2184" spans="1:18" x14ac:dyDescent="0.25">
      <c r="A2184" s="160">
        <v>45245</v>
      </c>
      <c r="B2184" s="115">
        <v>3250</v>
      </c>
      <c r="C2184" s="115">
        <v>3157</v>
      </c>
      <c r="D2184" s="115">
        <v>3150</v>
      </c>
      <c r="E2184" s="115">
        <v>3250</v>
      </c>
      <c r="F2184" s="115">
        <v>3157</v>
      </c>
      <c r="G2184">
        <v>6751</v>
      </c>
      <c r="H2184" s="115"/>
      <c r="I2184" s="115"/>
      <c r="L2184" s="160">
        <v>45219</v>
      </c>
      <c r="M2184" s="115">
        <v>838.65</v>
      </c>
      <c r="N2184" s="115">
        <v>843.6</v>
      </c>
      <c r="O2184" s="115">
        <v>835.25</v>
      </c>
      <c r="P2184" s="115">
        <v>839</v>
      </c>
      <c r="Q2184" s="115">
        <v>838.65</v>
      </c>
      <c r="R2184">
        <v>15103</v>
      </c>
    </row>
    <row r="2185" spans="1:18" x14ac:dyDescent="0.25">
      <c r="A2185" s="160">
        <v>45246</v>
      </c>
      <c r="B2185" s="115">
        <v>3196.4</v>
      </c>
      <c r="C2185" s="115">
        <v>3092.4</v>
      </c>
      <c r="D2185" s="115">
        <v>3060</v>
      </c>
      <c r="E2185" s="115">
        <v>3196.4</v>
      </c>
      <c r="F2185" s="115">
        <v>3092.4</v>
      </c>
      <c r="G2185">
        <v>4151</v>
      </c>
      <c r="H2185" s="115"/>
      <c r="I2185" s="115"/>
      <c r="L2185" s="160">
        <v>45222</v>
      </c>
      <c r="M2185" s="115">
        <v>819.9</v>
      </c>
      <c r="N2185" s="115">
        <v>842.45</v>
      </c>
      <c r="O2185" s="115">
        <v>798.95</v>
      </c>
      <c r="P2185" s="115">
        <v>831</v>
      </c>
      <c r="Q2185" s="115">
        <v>819.9</v>
      </c>
      <c r="R2185">
        <v>68178</v>
      </c>
    </row>
    <row r="2186" spans="1:18" x14ac:dyDescent="0.25">
      <c r="A2186" s="160">
        <v>45247</v>
      </c>
      <c r="B2186" s="115">
        <v>3200</v>
      </c>
      <c r="C2186" s="115">
        <v>3126.25</v>
      </c>
      <c r="D2186" s="115">
        <v>3106</v>
      </c>
      <c r="E2186" s="115">
        <v>3146.4</v>
      </c>
      <c r="F2186" s="115">
        <v>3126.25</v>
      </c>
      <c r="G2186">
        <v>3212</v>
      </c>
      <c r="H2186" s="115"/>
      <c r="I2186" s="115"/>
      <c r="L2186" s="160">
        <v>45224</v>
      </c>
      <c r="M2186" s="115">
        <v>814.15</v>
      </c>
      <c r="N2186" s="115">
        <v>824</v>
      </c>
      <c r="O2186" s="115">
        <v>802</v>
      </c>
      <c r="P2186" s="115">
        <v>802</v>
      </c>
      <c r="Q2186" s="115">
        <v>814.15</v>
      </c>
      <c r="R2186">
        <v>36562</v>
      </c>
    </row>
    <row r="2187" spans="1:18" x14ac:dyDescent="0.25">
      <c r="A2187" s="160">
        <v>45250</v>
      </c>
      <c r="B2187" s="115">
        <v>3199.95</v>
      </c>
      <c r="C2187" s="115">
        <v>3191.4</v>
      </c>
      <c r="D2187" s="115">
        <v>3126.25</v>
      </c>
      <c r="E2187" s="115">
        <v>3126.25</v>
      </c>
      <c r="F2187" s="115">
        <v>3191.4</v>
      </c>
      <c r="G2187">
        <v>3481</v>
      </c>
      <c r="H2187" s="115"/>
      <c r="I2187" s="115"/>
      <c r="L2187" s="160">
        <v>45225</v>
      </c>
      <c r="M2187" s="115">
        <v>812.55</v>
      </c>
      <c r="N2187" s="115">
        <v>818.2</v>
      </c>
      <c r="O2187" s="115">
        <v>786</v>
      </c>
      <c r="P2187" s="115">
        <v>814</v>
      </c>
      <c r="Q2187" s="115">
        <v>812.55</v>
      </c>
      <c r="R2187">
        <v>29947</v>
      </c>
    </row>
    <row r="2188" spans="1:18" x14ac:dyDescent="0.25">
      <c r="A2188" s="160">
        <v>45251</v>
      </c>
      <c r="B2188" s="115">
        <v>3200</v>
      </c>
      <c r="C2188" s="115">
        <v>3150.55</v>
      </c>
      <c r="D2188" s="115">
        <v>3150</v>
      </c>
      <c r="E2188" s="115">
        <v>3200</v>
      </c>
      <c r="F2188" s="115">
        <v>3150.55</v>
      </c>
      <c r="G2188">
        <v>2668</v>
      </c>
      <c r="H2188" s="115"/>
      <c r="I2188" s="115"/>
      <c r="L2188" s="160">
        <v>45226</v>
      </c>
      <c r="M2188" s="115">
        <v>815.5</v>
      </c>
      <c r="N2188" s="115">
        <v>820.05</v>
      </c>
      <c r="O2188" s="115">
        <v>799.05</v>
      </c>
      <c r="P2188" s="115">
        <v>816.65</v>
      </c>
      <c r="Q2188" s="115">
        <v>815.5</v>
      </c>
      <c r="R2188">
        <v>39892</v>
      </c>
    </row>
    <row r="2189" spans="1:18" x14ac:dyDescent="0.25">
      <c r="A2189" s="160">
        <v>45252</v>
      </c>
      <c r="B2189" s="115">
        <v>3149.9</v>
      </c>
      <c r="C2189" s="115">
        <v>3046.45</v>
      </c>
      <c r="D2189" s="115">
        <v>3010.15</v>
      </c>
      <c r="E2189" s="115">
        <v>3119</v>
      </c>
      <c r="F2189" s="115">
        <v>3046.45</v>
      </c>
      <c r="G2189">
        <v>2409</v>
      </c>
      <c r="H2189" s="115"/>
      <c r="I2189" s="115"/>
      <c r="L2189" s="160">
        <v>45229</v>
      </c>
      <c r="M2189" s="115">
        <v>811.95</v>
      </c>
      <c r="N2189" s="115">
        <v>814.9</v>
      </c>
      <c r="O2189" s="115">
        <v>801.95</v>
      </c>
      <c r="P2189" s="115">
        <v>803.5</v>
      </c>
      <c r="Q2189" s="115">
        <v>811.95</v>
      </c>
      <c r="R2189">
        <v>19227</v>
      </c>
    </row>
    <row r="2190" spans="1:18" x14ac:dyDescent="0.25">
      <c r="A2190" s="160">
        <v>45253</v>
      </c>
      <c r="B2190" s="115">
        <v>3086.45</v>
      </c>
      <c r="C2190" s="115">
        <v>3072.9</v>
      </c>
      <c r="D2190" s="115">
        <v>3000</v>
      </c>
      <c r="E2190" s="115">
        <v>3050</v>
      </c>
      <c r="F2190" s="115">
        <v>3072.9</v>
      </c>
      <c r="G2190">
        <v>2019</v>
      </c>
      <c r="H2190" s="115"/>
      <c r="I2190" s="115"/>
      <c r="L2190" s="160">
        <v>45230</v>
      </c>
      <c r="M2190" s="115">
        <v>795.5</v>
      </c>
      <c r="N2190" s="115">
        <v>818.5</v>
      </c>
      <c r="O2190" s="115">
        <v>785.95</v>
      </c>
      <c r="P2190" s="115">
        <v>811.95</v>
      </c>
      <c r="Q2190" s="115">
        <v>795.5</v>
      </c>
      <c r="R2190">
        <v>33173</v>
      </c>
    </row>
    <row r="2191" spans="1:18" x14ac:dyDescent="0.25">
      <c r="A2191" s="160">
        <v>45254</v>
      </c>
      <c r="B2191" s="115">
        <v>3097.9</v>
      </c>
      <c r="C2191" s="115">
        <v>3017.1</v>
      </c>
      <c r="D2191" s="115">
        <v>3010</v>
      </c>
      <c r="E2191" s="115">
        <v>3060.6</v>
      </c>
      <c r="F2191" s="115">
        <v>3017.1</v>
      </c>
      <c r="G2191">
        <v>2353</v>
      </c>
      <c r="H2191" s="115"/>
      <c r="I2191" s="115"/>
      <c r="L2191" s="160">
        <v>45231</v>
      </c>
      <c r="M2191" s="115">
        <v>781.4</v>
      </c>
      <c r="N2191" s="115">
        <v>801.9</v>
      </c>
      <c r="O2191" s="115">
        <v>773.85</v>
      </c>
      <c r="P2191" s="115">
        <v>799.5</v>
      </c>
      <c r="Q2191" s="115">
        <v>781.4</v>
      </c>
      <c r="R2191">
        <v>43607</v>
      </c>
    </row>
    <row r="2192" spans="1:18" x14ac:dyDescent="0.25">
      <c r="A2192" s="160">
        <v>45258</v>
      </c>
      <c r="B2192" s="115">
        <v>3050</v>
      </c>
      <c r="C2192" s="115">
        <v>2947.8</v>
      </c>
      <c r="D2192" s="115">
        <v>2925</v>
      </c>
      <c r="E2192" s="115">
        <v>3025</v>
      </c>
      <c r="F2192" s="115">
        <v>2947.8</v>
      </c>
      <c r="G2192">
        <v>2205</v>
      </c>
      <c r="H2192" s="115"/>
      <c r="I2192" s="115"/>
      <c r="L2192" s="160">
        <v>45232</v>
      </c>
      <c r="M2192" s="115">
        <v>775.75</v>
      </c>
      <c r="N2192" s="115">
        <v>790</v>
      </c>
      <c r="O2192" s="115">
        <v>764.6</v>
      </c>
      <c r="P2192" s="115">
        <v>786.4</v>
      </c>
      <c r="Q2192" s="115">
        <v>775.75</v>
      </c>
      <c r="R2192">
        <v>45442</v>
      </c>
    </row>
    <row r="2193" spans="1:18" x14ac:dyDescent="0.25">
      <c r="A2193" s="160">
        <v>45259</v>
      </c>
      <c r="B2193" s="115">
        <v>2996.9</v>
      </c>
      <c r="C2193" s="115">
        <v>2944.5</v>
      </c>
      <c r="D2193" s="115">
        <v>2930</v>
      </c>
      <c r="E2193" s="115">
        <v>2952.5</v>
      </c>
      <c r="F2193" s="115">
        <v>2944.5</v>
      </c>
      <c r="G2193">
        <v>2021</v>
      </c>
      <c r="H2193" s="115"/>
      <c r="I2193" s="115"/>
      <c r="L2193" s="160">
        <v>45233</v>
      </c>
      <c r="M2193" s="115">
        <v>780.05</v>
      </c>
      <c r="N2193" s="115">
        <v>789</v>
      </c>
      <c r="O2193" s="115">
        <v>773</v>
      </c>
      <c r="P2193" s="115">
        <v>783.5</v>
      </c>
      <c r="Q2193" s="115">
        <v>780.05</v>
      </c>
      <c r="R2193">
        <v>33125</v>
      </c>
    </row>
    <row r="2194" spans="1:18" x14ac:dyDescent="0.25">
      <c r="A2194" s="160">
        <v>45260</v>
      </c>
      <c r="B2194" s="115">
        <v>3170</v>
      </c>
      <c r="C2194" s="115">
        <v>2997.8</v>
      </c>
      <c r="D2194" s="115">
        <v>2922.05</v>
      </c>
      <c r="E2194" s="115">
        <v>2955.05</v>
      </c>
      <c r="F2194" s="115">
        <v>2997.8</v>
      </c>
      <c r="G2194">
        <v>5339</v>
      </c>
      <c r="H2194" s="115"/>
      <c r="I2194" s="115"/>
      <c r="L2194" s="160">
        <v>45236</v>
      </c>
      <c r="M2194" s="115">
        <v>789.6</v>
      </c>
      <c r="N2194" s="115">
        <v>799.9</v>
      </c>
      <c r="O2194" s="115">
        <v>783.85</v>
      </c>
      <c r="P2194" s="115">
        <v>797.7</v>
      </c>
      <c r="Q2194" s="115">
        <v>789.6</v>
      </c>
      <c r="R2194">
        <v>41592</v>
      </c>
    </row>
    <row r="2195" spans="1:18" x14ac:dyDescent="0.25">
      <c r="A2195" s="160">
        <v>45261</v>
      </c>
      <c r="B2195" s="115">
        <v>3046.8</v>
      </c>
      <c r="C2195" s="115">
        <v>2953.9</v>
      </c>
      <c r="D2195" s="115">
        <v>2933.3</v>
      </c>
      <c r="E2195" s="115">
        <v>3000.05</v>
      </c>
      <c r="F2195" s="115">
        <v>2953.9</v>
      </c>
      <c r="G2195">
        <v>2457</v>
      </c>
      <c r="H2195" s="115"/>
      <c r="I2195" s="115"/>
      <c r="L2195" s="160">
        <v>45237</v>
      </c>
      <c r="M2195" s="115">
        <v>874.15</v>
      </c>
      <c r="N2195" s="115">
        <v>909.95</v>
      </c>
      <c r="O2195" s="115">
        <v>789.6</v>
      </c>
      <c r="P2195" s="115">
        <v>790</v>
      </c>
      <c r="Q2195" s="115">
        <v>874.15</v>
      </c>
      <c r="R2195">
        <v>1187097</v>
      </c>
    </row>
    <row r="2196" spans="1:18" x14ac:dyDescent="0.25">
      <c r="A2196" s="160">
        <v>45264</v>
      </c>
      <c r="B2196" s="115">
        <v>3037.75</v>
      </c>
      <c r="C2196" s="115">
        <v>2985.7</v>
      </c>
      <c r="D2196" s="115">
        <v>2966.6</v>
      </c>
      <c r="E2196" s="115">
        <v>3037.75</v>
      </c>
      <c r="F2196" s="115">
        <v>2985.7</v>
      </c>
      <c r="G2196">
        <v>1519</v>
      </c>
      <c r="H2196" s="115"/>
      <c r="I2196" s="115"/>
      <c r="L2196" s="160">
        <v>45238</v>
      </c>
      <c r="M2196" s="115">
        <v>843.4</v>
      </c>
      <c r="N2196" s="115">
        <v>884</v>
      </c>
      <c r="O2196" s="115">
        <v>828.25</v>
      </c>
      <c r="P2196" s="115">
        <v>884</v>
      </c>
      <c r="Q2196" s="115">
        <v>843.4</v>
      </c>
      <c r="R2196">
        <v>389951</v>
      </c>
    </row>
    <row r="2197" spans="1:18" x14ac:dyDescent="0.25">
      <c r="A2197" s="160">
        <v>45265</v>
      </c>
      <c r="B2197" s="115">
        <v>3029.95</v>
      </c>
      <c r="C2197" s="115">
        <v>3018.15</v>
      </c>
      <c r="D2197" s="115">
        <v>2962</v>
      </c>
      <c r="E2197" s="115">
        <v>2998.5</v>
      </c>
      <c r="F2197" s="115">
        <v>3018.15</v>
      </c>
      <c r="G2197">
        <v>2110</v>
      </c>
      <c r="H2197" s="115"/>
      <c r="I2197" s="115"/>
      <c r="L2197" s="160">
        <v>45239</v>
      </c>
      <c r="M2197" s="115">
        <v>832.6</v>
      </c>
      <c r="N2197" s="115">
        <v>855.95</v>
      </c>
      <c r="O2197" s="115">
        <v>825</v>
      </c>
      <c r="P2197" s="115">
        <v>844.1</v>
      </c>
      <c r="Q2197" s="115">
        <v>832.6</v>
      </c>
      <c r="R2197">
        <v>96153</v>
      </c>
    </row>
    <row r="2198" spans="1:18" x14ac:dyDescent="0.25">
      <c r="A2198" s="160">
        <v>45266</v>
      </c>
      <c r="B2198" s="115">
        <v>3040</v>
      </c>
      <c r="C2198" s="115">
        <v>2985.05</v>
      </c>
      <c r="D2198" s="115">
        <v>2968.7</v>
      </c>
      <c r="E2198" s="115">
        <v>2969.05</v>
      </c>
      <c r="F2198" s="115">
        <v>2985.05</v>
      </c>
      <c r="G2198">
        <v>1842</v>
      </c>
      <c r="H2198" s="115"/>
      <c r="I2198" s="115"/>
      <c r="L2198" s="160">
        <v>45240</v>
      </c>
      <c r="M2198" s="115">
        <v>829.85</v>
      </c>
      <c r="N2198" s="115">
        <v>849.95</v>
      </c>
      <c r="O2198" s="115">
        <v>825</v>
      </c>
      <c r="P2198" s="115">
        <v>835</v>
      </c>
      <c r="Q2198" s="115">
        <v>829.85</v>
      </c>
      <c r="R2198">
        <v>112141</v>
      </c>
    </row>
    <row r="2199" spans="1:18" x14ac:dyDescent="0.25">
      <c r="A2199" s="160">
        <v>45267</v>
      </c>
      <c r="B2199" s="115">
        <v>3033</v>
      </c>
      <c r="C2199" s="115">
        <v>2995</v>
      </c>
      <c r="D2199" s="115">
        <v>2960.05</v>
      </c>
      <c r="E2199" s="115">
        <v>3000</v>
      </c>
      <c r="F2199" s="115">
        <v>2995</v>
      </c>
      <c r="G2199">
        <v>1690</v>
      </c>
      <c r="H2199" s="115"/>
      <c r="I2199" s="115"/>
      <c r="L2199" s="160">
        <v>45242</v>
      </c>
      <c r="M2199" s="115">
        <v>830.55</v>
      </c>
      <c r="N2199" s="115">
        <v>841.35</v>
      </c>
      <c r="O2199" s="115">
        <v>824.5</v>
      </c>
      <c r="P2199" s="115">
        <v>836.65</v>
      </c>
      <c r="Q2199" s="115">
        <v>830.55</v>
      </c>
      <c r="R2199">
        <v>22796</v>
      </c>
    </row>
    <row r="2200" spans="1:18" x14ac:dyDescent="0.25">
      <c r="A2200" s="160">
        <v>45268</v>
      </c>
      <c r="B2200" s="115">
        <v>3150.35</v>
      </c>
      <c r="C2200" s="115">
        <v>3099.55</v>
      </c>
      <c r="D2200" s="115">
        <v>2975</v>
      </c>
      <c r="E2200" s="115">
        <v>3026.25</v>
      </c>
      <c r="F2200" s="115">
        <v>3099.55</v>
      </c>
      <c r="G2200">
        <v>4041</v>
      </c>
      <c r="H2200" s="115"/>
      <c r="I2200" s="115"/>
      <c r="L2200" s="160">
        <v>45243</v>
      </c>
      <c r="M2200" s="115">
        <v>857.5</v>
      </c>
      <c r="N2200" s="115">
        <v>866.2</v>
      </c>
      <c r="O2200" s="115">
        <v>833</v>
      </c>
      <c r="P2200" s="115">
        <v>833</v>
      </c>
      <c r="Q2200" s="115">
        <v>857.5</v>
      </c>
      <c r="R2200">
        <v>97980</v>
      </c>
    </row>
    <row r="2201" spans="1:18" x14ac:dyDescent="0.25">
      <c r="A2201" s="160">
        <v>45271</v>
      </c>
      <c r="B2201" s="115">
        <v>3130</v>
      </c>
      <c r="C2201" s="115">
        <v>3069.6</v>
      </c>
      <c r="D2201" s="115">
        <v>3000</v>
      </c>
      <c r="E2201" s="115">
        <v>3014</v>
      </c>
      <c r="F2201" s="115">
        <v>3069.6</v>
      </c>
      <c r="G2201">
        <v>2330</v>
      </c>
      <c r="H2201" s="115"/>
      <c r="I2201" s="115"/>
      <c r="L2201" s="160">
        <v>45245</v>
      </c>
      <c r="M2201" s="115">
        <v>884.45</v>
      </c>
      <c r="N2201" s="115">
        <v>900</v>
      </c>
      <c r="O2201" s="115">
        <v>860.35</v>
      </c>
      <c r="P2201" s="115">
        <v>878</v>
      </c>
      <c r="Q2201" s="115">
        <v>884.45</v>
      </c>
      <c r="R2201">
        <v>149824</v>
      </c>
    </row>
    <row r="2202" spans="1:18" x14ac:dyDescent="0.25">
      <c r="A2202" s="160">
        <v>45272</v>
      </c>
      <c r="B2202" s="115">
        <v>3095.95</v>
      </c>
      <c r="C2202" s="115">
        <v>3040.9</v>
      </c>
      <c r="D2202" s="115">
        <v>2988</v>
      </c>
      <c r="E2202" s="115">
        <v>3095.95</v>
      </c>
      <c r="F2202" s="115">
        <v>3040.9</v>
      </c>
      <c r="G2202">
        <v>4730</v>
      </c>
      <c r="H2202" s="115"/>
      <c r="I2202" s="115"/>
      <c r="L2202" s="160">
        <v>45246</v>
      </c>
      <c r="M2202" s="115">
        <v>870.7</v>
      </c>
      <c r="N2202" s="115">
        <v>895.95</v>
      </c>
      <c r="O2202" s="115">
        <v>867.15</v>
      </c>
      <c r="P2202" s="115">
        <v>889.8</v>
      </c>
      <c r="Q2202" s="115">
        <v>870.7</v>
      </c>
      <c r="R2202">
        <v>104083</v>
      </c>
    </row>
    <row r="2203" spans="1:18" x14ac:dyDescent="0.25">
      <c r="A2203" s="160">
        <v>45273</v>
      </c>
      <c r="B2203" s="115">
        <v>3060</v>
      </c>
      <c r="C2203" s="115">
        <v>2974.3</v>
      </c>
      <c r="D2203" s="115">
        <v>2970</v>
      </c>
      <c r="E2203" s="115">
        <v>3060</v>
      </c>
      <c r="F2203" s="115">
        <v>2974.3</v>
      </c>
      <c r="G2203">
        <v>2803</v>
      </c>
      <c r="H2203" s="115"/>
      <c r="I2203" s="115"/>
      <c r="L2203" s="160">
        <v>45247</v>
      </c>
      <c r="M2203" s="115">
        <v>866.95</v>
      </c>
      <c r="N2203" s="115">
        <v>897.75</v>
      </c>
      <c r="O2203" s="115">
        <v>861.85</v>
      </c>
      <c r="P2203" s="115">
        <v>877</v>
      </c>
      <c r="Q2203" s="115">
        <v>866.95</v>
      </c>
      <c r="R2203">
        <v>54942</v>
      </c>
    </row>
    <row r="2204" spans="1:18" x14ac:dyDescent="0.25">
      <c r="A2204" s="160">
        <v>45274</v>
      </c>
      <c r="B2204" s="115">
        <v>3022.8</v>
      </c>
      <c r="C2204" s="115">
        <v>2985.75</v>
      </c>
      <c r="D2204" s="115">
        <v>2980</v>
      </c>
      <c r="E2204" s="115">
        <v>3022.75</v>
      </c>
      <c r="F2204" s="115">
        <v>2985.75</v>
      </c>
      <c r="G2204">
        <v>2232</v>
      </c>
      <c r="H2204" s="115"/>
      <c r="I2204" s="115"/>
      <c r="L2204" s="160">
        <v>45250</v>
      </c>
      <c r="M2204" s="115">
        <v>876.35</v>
      </c>
      <c r="N2204" s="115">
        <v>892.95</v>
      </c>
      <c r="O2204" s="115">
        <v>864.05</v>
      </c>
      <c r="P2204" s="115">
        <v>870</v>
      </c>
      <c r="Q2204" s="115">
        <v>876.35</v>
      </c>
      <c r="R2204">
        <v>72676</v>
      </c>
    </row>
    <row r="2205" spans="1:18" x14ac:dyDescent="0.25">
      <c r="A2205" s="160">
        <v>45275</v>
      </c>
      <c r="B2205" s="115">
        <v>3018.85</v>
      </c>
      <c r="C2205" s="115">
        <v>2969.2</v>
      </c>
      <c r="D2205" s="115">
        <v>2960</v>
      </c>
      <c r="E2205" s="115">
        <v>3018.85</v>
      </c>
      <c r="F2205" s="115">
        <v>2969.2</v>
      </c>
      <c r="G2205">
        <v>2211</v>
      </c>
      <c r="H2205" s="115"/>
      <c r="I2205" s="115"/>
      <c r="L2205" s="160">
        <v>45251</v>
      </c>
      <c r="M2205" s="115">
        <v>913.1</v>
      </c>
      <c r="N2205" s="115">
        <v>922</v>
      </c>
      <c r="O2205" s="115">
        <v>875</v>
      </c>
      <c r="P2205" s="115">
        <v>878.95</v>
      </c>
      <c r="Q2205" s="115">
        <v>913.1</v>
      </c>
      <c r="R2205">
        <v>257767</v>
      </c>
    </row>
    <row r="2206" spans="1:18" x14ac:dyDescent="0.25">
      <c r="A2206" s="160">
        <v>45278</v>
      </c>
      <c r="B2206" s="115">
        <v>3175</v>
      </c>
      <c r="C2206" s="115">
        <v>3126.95</v>
      </c>
      <c r="D2206" s="115">
        <v>2997.95</v>
      </c>
      <c r="E2206" s="115">
        <v>2997.95</v>
      </c>
      <c r="F2206" s="115">
        <v>3126.95</v>
      </c>
      <c r="G2206">
        <v>7833</v>
      </c>
      <c r="H2206" s="115"/>
      <c r="I2206" s="115"/>
      <c r="L2206" s="160">
        <v>45252</v>
      </c>
      <c r="M2206" s="115">
        <v>894.75</v>
      </c>
      <c r="N2206" s="115">
        <v>948.7</v>
      </c>
      <c r="O2206" s="115">
        <v>883.05</v>
      </c>
      <c r="P2206" s="115">
        <v>924</v>
      </c>
      <c r="Q2206" s="115">
        <v>894.75</v>
      </c>
      <c r="R2206">
        <v>244193</v>
      </c>
    </row>
    <row r="2207" spans="1:18" x14ac:dyDescent="0.25">
      <c r="A2207" s="160">
        <v>45279</v>
      </c>
      <c r="B2207" s="115">
        <v>3199.7</v>
      </c>
      <c r="C2207" s="115">
        <v>3167.55</v>
      </c>
      <c r="D2207" s="115">
        <v>3128</v>
      </c>
      <c r="E2207" s="115">
        <v>3128</v>
      </c>
      <c r="F2207" s="115">
        <v>3167.55</v>
      </c>
      <c r="G2207">
        <v>4481</v>
      </c>
      <c r="H2207" s="115"/>
      <c r="I2207" s="115"/>
      <c r="L2207" s="160">
        <v>45253</v>
      </c>
      <c r="M2207" s="115">
        <v>889.9</v>
      </c>
      <c r="N2207" s="115">
        <v>908.2</v>
      </c>
      <c r="O2207" s="115">
        <v>886.05</v>
      </c>
      <c r="P2207" s="115">
        <v>895</v>
      </c>
      <c r="Q2207" s="115">
        <v>889.9</v>
      </c>
      <c r="R2207">
        <v>51928</v>
      </c>
    </row>
    <row r="2208" spans="1:18" x14ac:dyDescent="0.25">
      <c r="A2208" s="160">
        <v>45280</v>
      </c>
      <c r="B2208" s="115">
        <v>3275</v>
      </c>
      <c r="C2208" s="115">
        <v>3052.9</v>
      </c>
      <c r="D2208" s="115">
        <v>3024</v>
      </c>
      <c r="E2208" s="115">
        <v>3168</v>
      </c>
      <c r="F2208" s="115">
        <v>3052.9</v>
      </c>
      <c r="G2208">
        <v>7195</v>
      </c>
      <c r="H2208" s="115"/>
      <c r="I2208" s="115"/>
      <c r="L2208" s="160">
        <v>45254</v>
      </c>
      <c r="M2208" s="115">
        <v>903.8</v>
      </c>
      <c r="N2208" s="115">
        <v>912.95</v>
      </c>
      <c r="O2208" s="115">
        <v>887.6</v>
      </c>
      <c r="P2208" s="115">
        <v>890</v>
      </c>
      <c r="Q2208" s="115">
        <v>903.8</v>
      </c>
      <c r="R2208">
        <v>51061</v>
      </c>
    </row>
    <row r="2209" spans="1:18" x14ac:dyDescent="0.25">
      <c r="A2209" s="160">
        <v>45281</v>
      </c>
      <c r="B2209" s="115">
        <v>3159.8</v>
      </c>
      <c r="C2209" s="115">
        <v>3136.95</v>
      </c>
      <c r="D2209" s="115">
        <v>2951</v>
      </c>
      <c r="E2209" s="115">
        <v>3052.4</v>
      </c>
      <c r="F2209" s="115">
        <v>3136.95</v>
      </c>
      <c r="G2209">
        <v>2390</v>
      </c>
      <c r="H2209" s="115"/>
      <c r="I2209" s="115"/>
      <c r="L2209" s="160">
        <v>45258</v>
      </c>
      <c r="M2209" s="115">
        <v>912.15</v>
      </c>
      <c r="N2209" s="115">
        <v>929.85</v>
      </c>
      <c r="O2209" s="115">
        <v>903.9</v>
      </c>
      <c r="P2209" s="115">
        <v>910</v>
      </c>
      <c r="Q2209" s="115">
        <v>912.15</v>
      </c>
      <c r="R2209">
        <v>81095</v>
      </c>
    </row>
    <row r="2210" spans="1:18" x14ac:dyDescent="0.25">
      <c r="A2210" s="160">
        <v>45282</v>
      </c>
      <c r="B2210" s="115">
        <v>3172.3</v>
      </c>
      <c r="C2210" s="115">
        <v>3104.45</v>
      </c>
      <c r="D2210" s="115">
        <v>3097</v>
      </c>
      <c r="E2210" s="115">
        <v>3119.95</v>
      </c>
      <c r="F2210" s="115">
        <v>3104.45</v>
      </c>
      <c r="G2210">
        <v>1377</v>
      </c>
      <c r="H2210" s="115"/>
      <c r="I2210" s="115"/>
      <c r="L2210" s="160">
        <v>45259</v>
      </c>
      <c r="M2210" s="115">
        <v>931</v>
      </c>
      <c r="N2210" s="115">
        <v>938</v>
      </c>
      <c r="O2210" s="115">
        <v>910.5</v>
      </c>
      <c r="P2210" s="115">
        <v>920</v>
      </c>
      <c r="Q2210" s="115">
        <v>931</v>
      </c>
      <c r="R2210">
        <v>89086</v>
      </c>
    </row>
    <row r="2211" spans="1:18" x14ac:dyDescent="0.25">
      <c r="A2211" s="160">
        <v>45286</v>
      </c>
      <c r="B2211" s="115">
        <v>3166.8</v>
      </c>
      <c r="C2211" s="115">
        <v>3114.35</v>
      </c>
      <c r="D2211" s="115">
        <v>3052</v>
      </c>
      <c r="E2211" s="115">
        <v>3052</v>
      </c>
      <c r="F2211" s="115">
        <v>3114.35</v>
      </c>
      <c r="G2211">
        <v>1531</v>
      </c>
      <c r="H2211" s="115"/>
      <c r="I2211" s="115"/>
      <c r="L2211" s="160">
        <v>45260</v>
      </c>
      <c r="M2211" s="115">
        <v>944.65</v>
      </c>
      <c r="N2211" s="115">
        <v>958</v>
      </c>
      <c r="O2211" s="115">
        <v>918.45</v>
      </c>
      <c r="P2211" s="115">
        <v>938.4</v>
      </c>
      <c r="Q2211" s="115">
        <v>944.65</v>
      </c>
      <c r="R2211">
        <v>118704</v>
      </c>
    </row>
    <row r="2212" spans="1:18" x14ac:dyDescent="0.25">
      <c r="A2212" s="160">
        <v>45287</v>
      </c>
      <c r="B2212" s="115">
        <v>3149</v>
      </c>
      <c r="C2212" s="115">
        <v>3109.8</v>
      </c>
      <c r="D2212" s="115">
        <v>3077.2</v>
      </c>
      <c r="E2212" s="115">
        <v>3123</v>
      </c>
      <c r="F2212" s="115">
        <v>3109.8</v>
      </c>
      <c r="G2212">
        <v>3270</v>
      </c>
      <c r="H2212" s="115"/>
      <c r="I2212" s="115"/>
      <c r="L2212" s="160">
        <v>45261</v>
      </c>
      <c r="M2212" s="115">
        <v>955.55</v>
      </c>
      <c r="N2212" s="115">
        <v>964.4</v>
      </c>
      <c r="O2212" s="115">
        <v>938.9</v>
      </c>
      <c r="P2212" s="115">
        <v>948.15</v>
      </c>
      <c r="Q2212" s="115">
        <v>955.55</v>
      </c>
      <c r="R2212">
        <v>90830</v>
      </c>
    </row>
    <row r="2213" spans="1:18" x14ac:dyDescent="0.25">
      <c r="A2213" s="160">
        <v>45288</v>
      </c>
      <c r="B2213" s="115">
        <v>3168.45</v>
      </c>
      <c r="C2213" s="115">
        <v>3101.8</v>
      </c>
      <c r="D2213" s="115">
        <v>3070</v>
      </c>
      <c r="E2213" s="115">
        <v>3120.05</v>
      </c>
      <c r="F2213" s="115">
        <v>3101.8</v>
      </c>
      <c r="G2213">
        <v>2585</v>
      </c>
      <c r="H2213" s="115"/>
      <c r="I2213" s="115"/>
      <c r="L2213" s="160">
        <v>45264</v>
      </c>
      <c r="M2213" s="115">
        <v>964.25</v>
      </c>
      <c r="N2213" s="115">
        <v>982</v>
      </c>
      <c r="O2213" s="115">
        <v>956.95</v>
      </c>
      <c r="P2213" s="115">
        <v>969</v>
      </c>
      <c r="Q2213" s="115">
        <v>964.25</v>
      </c>
      <c r="R2213">
        <v>76519</v>
      </c>
    </row>
    <row r="2214" spans="1:18" x14ac:dyDescent="0.25">
      <c r="A2214" s="160">
        <v>45289</v>
      </c>
      <c r="B2214" s="115">
        <v>3148.8</v>
      </c>
      <c r="C2214" s="115">
        <v>3066.75</v>
      </c>
      <c r="D2214" s="115">
        <v>3060</v>
      </c>
      <c r="E2214" s="115">
        <v>3148.8</v>
      </c>
      <c r="F2214" s="115">
        <v>3066.75</v>
      </c>
      <c r="G2214">
        <v>1912</v>
      </c>
      <c r="H2214" s="115"/>
      <c r="I2214" s="115"/>
      <c r="L2214" s="160">
        <v>45265</v>
      </c>
      <c r="M2214" s="115">
        <v>936.45</v>
      </c>
      <c r="N2214" s="115">
        <v>971.9</v>
      </c>
      <c r="O2214" s="115">
        <v>926.5</v>
      </c>
      <c r="P2214" s="115">
        <v>971.9</v>
      </c>
      <c r="Q2214" s="115">
        <v>936.45</v>
      </c>
      <c r="R2214">
        <v>58456</v>
      </c>
    </row>
    <row r="2215" spans="1:18" x14ac:dyDescent="0.25">
      <c r="A2215" s="160">
        <v>45292</v>
      </c>
      <c r="B2215" s="115">
        <v>3096.4</v>
      </c>
      <c r="C2215" s="115">
        <v>3086.25</v>
      </c>
      <c r="D2215" s="115">
        <v>3060.05</v>
      </c>
      <c r="E2215" s="115">
        <v>3096.35</v>
      </c>
      <c r="F2215" s="115">
        <v>3086.25</v>
      </c>
      <c r="G2215">
        <v>1128</v>
      </c>
      <c r="H2215" s="115"/>
      <c r="I2215" s="115"/>
      <c r="L2215" s="160">
        <v>45266</v>
      </c>
      <c r="M2215" s="115">
        <v>914.9</v>
      </c>
      <c r="N2215" s="115">
        <v>943</v>
      </c>
      <c r="O2215" s="115">
        <v>905.55</v>
      </c>
      <c r="P2215" s="115">
        <v>940</v>
      </c>
      <c r="Q2215" s="115">
        <v>914.9</v>
      </c>
      <c r="R2215">
        <v>62756</v>
      </c>
    </row>
    <row r="2216" spans="1:18" x14ac:dyDescent="0.25">
      <c r="A2216" s="160">
        <v>45293</v>
      </c>
      <c r="B2216" s="115">
        <v>3093.3</v>
      </c>
      <c r="C2216" s="115">
        <v>3005.3</v>
      </c>
      <c r="D2216" s="115">
        <v>2990</v>
      </c>
      <c r="E2216" s="115">
        <v>3005</v>
      </c>
      <c r="F2216" s="115">
        <v>3005.3</v>
      </c>
      <c r="G2216">
        <v>5556</v>
      </c>
      <c r="H2216" s="115"/>
      <c r="I2216" s="115"/>
      <c r="L2216" s="160">
        <v>45267</v>
      </c>
      <c r="M2216" s="115">
        <v>913.1</v>
      </c>
      <c r="N2216" s="115">
        <v>930</v>
      </c>
      <c r="O2216" s="115">
        <v>905.1</v>
      </c>
      <c r="P2216" s="115">
        <v>919</v>
      </c>
      <c r="Q2216" s="115">
        <v>913.1</v>
      </c>
      <c r="R2216">
        <v>76219</v>
      </c>
    </row>
    <row r="2217" spans="1:18" x14ac:dyDescent="0.25">
      <c r="A2217" s="160">
        <v>45294</v>
      </c>
      <c r="B2217" s="115">
        <v>3040</v>
      </c>
      <c r="C2217" s="115">
        <v>3012</v>
      </c>
      <c r="D2217" s="115">
        <v>2980.25</v>
      </c>
      <c r="E2217" s="115">
        <v>3010.05</v>
      </c>
      <c r="F2217" s="115">
        <v>3012</v>
      </c>
      <c r="G2217">
        <v>2015</v>
      </c>
      <c r="H2217" s="115"/>
      <c r="I2217" s="115"/>
      <c r="L2217" s="160">
        <v>45268</v>
      </c>
      <c r="M2217" s="115">
        <v>968.3</v>
      </c>
      <c r="N2217" s="115">
        <v>989</v>
      </c>
      <c r="O2217" s="115">
        <v>948.7</v>
      </c>
      <c r="P2217" s="115">
        <v>950</v>
      </c>
      <c r="Q2217" s="115">
        <v>968.3</v>
      </c>
      <c r="R2217">
        <v>362492</v>
      </c>
    </row>
    <row r="2218" spans="1:18" x14ac:dyDescent="0.25">
      <c r="A2218" s="160">
        <v>45295</v>
      </c>
      <c r="B2218" s="115">
        <v>3041.9</v>
      </c>
      <c r="C2218" s="115">
        <v>3002.25</v>
      </c>
      <c r="D2218" s="115">
        <v>2990</v>
      </c>
      <c r="E2218" s="115">
        <v>3041.9</v>
      </c>
      <c r="F2218" s="115">
        <v>3002.25</v>
      </c>
      <c r="G2218">
        <v>2166</v>
      </c>
      <c r="H2218" s="115"/>
      <c r="I2218" s="115"/>
      <c r="L2218" s="160">
        <v>45271</v>
      </c>
      <c r="M2218" s="115">
        <v>974.4</v>
      </c>
      <c r="N2218" s="115">
        <v>980</v>
      </c>
      <c r="O2218" s="115">
        <v>962.7</v>
      </c>
      <c r="P2218" s="115">
        <v>971.55</v>
      </c>
      <c r="Q2218" s="115">
        <v>974.4</v>
      </c>
      <c r="R2218">
        <v>67053</v>
      </c>
    </row>
    <row r="2219" spans="1:18" x14ac:dyDescent="0.25">
      <c r="A2219" s="160">
        <v>45296</v>
      </c>
      <c r="B2219" s="115">
        <v>3062.95</v>
      </c>
      <c r="C2219" s="115">
        <v>2976.8</v>
      </c>
      <c r="D2219" s="115">
        <v>2951.05</v>
      </c>
      <c r="E2219" s="115">
        <v>3062.95</v>
      </c>
      <c r="F2219" s="115">
        <v>2976.8</v>
      </c>
      <c r="G2219">
        <v>2657</v>
      </c>
      <c r="H2219" s="115"/>
      <c r="I2219" s="115"/>
      <c r="L2219" s="160">
        <v>45272</v>
      </c>
      <c r="M2219" s="115">
        <v>985.55</v>
      </c>
      <c r="N2219" s="115">
        <v>989</v>
      </c>
      <c r="O2219" s="115">
        <v>969.1</v>
      </c>
      <c r="P2219" s="115">
        <v>974.9</v>
      </c>
      <c r="Q2219" s="115">
        <v>985.55</v>
      </c>
      <c r="R2219">
        <v>67503</v>
      </c>
    </row>
    <row r="2220" spans="1:18" x14ac:dyDescent="0.25">
      <c r="A2220" s="160">
        <v>45299</v>
      </c>
      <c r="B2220" s="115">
        <v>2999.9</v>
      </c>
      <c r="C2220" s="115">
        <v>2925.95</v>
      </c>
      <c r="D2220" s="115">
        <v>2910</v>
      </c>
      <c r="E2220" s="115">
        <v>2999.85</v>
      </c>
      <c r="F2220" s="115">
        <v>2925.95</v>
      </c>
      <c r="G2220">
        <v>3031</v>
      </c>
      <c r="H2220" s="115"/>
      <c r="I2220" s="115"/>
      <c r="L2220" s="160">
        <v>45273</v>
      </c>
      <c r="M2220" s="115">
        <v>995.1</v>
      </c>
      <c r="N2220" s="115">
        <v>1019.35</v>
      </c>
      <c r="O2220" s="115">
        <v>981.35</v>
      </c>
      <c r="P2220" s="115">
        <v>982.35</v>
      </c>
      <c r="Q2220" s="115">
        <v>995.1</v>
      </c>
      <c r="R2220">
        <v>199531</v>
      </c>
    </row>
    <row r="2221" spans="1:18" x14ac:dyDescent="0.25">
      <c r="A2221" s="160">
        <v>45300</v>
      </c>
      <c r="B2221" s="115">
        <v>3000</v>
      </c>
      <c r="C2221" s="115">
        <v>2981.65</v>
      </c>
      <c r="D2221" s="115">
        <v>2925.95</v>
      </c>
      <c r="E2221" s="115">
        <v>2925.95</v>
      </c>
      <c r="F2221" s="115">
        <v>2981.65</v>
      </c>
      <c r="G2221">
        <v>4366</v>
      </c>
      <c r="H2221" s="115"/>
      <c r="I2221" s="115"/>
      <c r="L2221" s="160">
        <v>45274</v>
      </c>
      <c r="M2221" s="115">
        <v>1019.45</v>
      </c>
      <c r="N2221" s="115">
        <v>1026.95</v>
      </c>
      <c r="O2221" s="115">
        <v>991.6</v>
      </c>
      <c r="P2221" s="115">
        <v>996.1</v>
      </c>
      <c r="Q2221" s="115">
        <v>1019.45</v>
      </c>
      <c r="R2221">
        <v>96739</v>
      </c>
    </row>
    <row r="2222" spans="1:18" x14ac:dyDescent="0.25">
      <c r="A2222" s="160">
        <v>45301</v>
      </c>
      <c r="B2222" s="115">
        <v>3049</v>
      </c>
      <c r="C2222" s="115">
        <v>3022.15</v>
      </c>
      <c r="D2222" s="115">
        <v>2940.25</v>
      </c>
      <c r="E2222" s="115">
        <v>3027.95</v>
      </c>
      <c r="F2222" s="115">
        <v>3022.15</v>
      </c>
      <c r="G2222">
        <v>3675</v>
      </c>
      <c r="H2222" s="115"/>
      <c r="I2222" s="115"/>
      <c r="L2222" s="160">
        <v>45275</v>
      </c>
      <c r="M2222" s="115">
        <v>1030.3499999999999</v>
      </c>
      <c r="N2222" s="115">
        <v>1037</v>
      </c>
      <c r="O2222" s="115">
        <v>1001.4</v>
      </c>
      <c r="P2222" s="115">
        <v>1019.4</v>
      </c>
      <c r="Q2222" s="115">
        <v>1030.3499999999999</v>
      </c>
      <c r="R2222">
        <v>100340</v>
      </c>
    </row>
    <row r="2223" spans="1:18" x14ac:dyDescent="0.25">
      <c r="A2223" s="160">
        <v>45302</v>
      </c>
      <c r="B2223" s="115">
        <v>3048.75</v>
      </c>
      <c r="C2223" s="115">
        <v>3032.95</v>
      </c>
      <c r="D2223" s="115">
        <v>2992.35</v>
      </c>
      <c r="E2223" s="115">
        <v>3030.1</v>
      </c>
      <c r="F2223" s="115">
        <v>3032.95</v>
      </c>
      <c r="G2223">
        <v>3095</v>
      </c>
      <c r="H2223" s="115"/>
      <c r="I2223" s="115"/>
      <c r="L2223" s="160">
        <v>45278</v>
      </c>
      <c r="M2223" s="115">
        <v>1043.75</v>
      </c>
      <c r="N2223" s="115">
        <v>1063.95</v>
      </c>
      <c r="O2223" s="115">
        <v>1025.95</v>
      </c>
      <c r="P2223" s="115">
        <v>1030.3499999999999</v>
      </c>
      <c r="Q2223" s="115">
        <v>1043.75</v>
      </c>
      <c r="R2223">
        <v>102024</v>
      </c>
    </row>
    <row r="2224" spans="1:18" x14ac:dyDescent="0.25">
      <c r="A2224" s="160">
        <v>45303</v>
      </c>
      <c r="B2224" s="115">
        <v>3159.95</v>
      </c>
      <c r="C2224" s="115">
        <v>3103.05</v>
      </c>
      <c r="D2224" s="115">
        <v>3060</v>
      </c>
      <c r="E2224" s="115">
        <v>3085</v>
      </c>
      <c r="F2224" s="115">
        <v>3103.05</v>
      </c>
      <c r="G2224">
        <v>7242</v>
      </c>
      <c r="H2224" s="115"/>
      <c r="I2224" s="115"/>
      <c r="L2224" s="160">
        <v>45279</v>
      </c>
      <c r="M2224" s="115">
        <v>1061.95</v>
      </c>
      <c r="N2224" s="115">
        <v>1068</v>
      </c>
      <c r="O2224" s="115">
        <v>1033.2</v>
      </c>
      <c r="P2224" s="115">
        <v>1043.75</v>
      </c>
      <c r="Q2224" s="115">
        <v>1061.95</v>
      </c>
      <c r="R2224">
        <v>51573</v>
      </c>
    </row>
    <row r="2225" spans="1:18" x14ac:dyDescent="0.25">
      <c r="A2225" s="160">
        <v>45306</v>
      </c>
      <c r="B2225" s="115">
        <v>3214</v>
      </c>
      <c r="C2225" s="115">
        <v>3172.65</v>
      </c>
      <c r="D2225" s="115">
        <v>3121.95</v>
      </c>
      <c r="E2225" s="115">
        <v>3149.85</v>
      </c>
      <c r="F2225" s="115">
        <v>3172.65</v>
      </c>
      <c r="G2225">
        <v>7219</v>
      </c>
      <c r="H2225" s="115"/>
      <c r="I2225" s="115"/>
      <c r="L2225" s="160">
        <v>45280</v>
      </c>
      <c r="M2225" s="115">
        <v>1010.95</v>
      </c>
      <c r="N2225" s="115">
        <v>1065.5</v>
      </c>
      <c r="O2225" s="115">
        <v>995</v>
      </c>
      <c r="P2225" s="115">
        <v>1061</v>
      </c>
      <c r="Q2225" s="115">
        <v>1010.95</v>
      </c>
      <c r="R2225">
        <v>73724</v>
      </c>
    </row>
    <row r="2226" spans="1:18" x14ac:dyDescent="0.25">
      <c r="A2226" s="160">
        <v>45307</v>
      </c>
      <c r="B2226" s="115">
        <v>3501.9</v>
      </c>
      <c r="C2226" s="115">
        <v>3487.1</v>
      </c>
      <c r="D2226" s="115">
        <v>3217</v>
      </c>
      <c r="E2226" s="115">
        <v>3220</v>
      </c>
      <c r="F2226" s="115">
        <v>3487.1</v>
      </c>
      <c r="G2226">
        <v>36154</v>
      </c>
      <c r="H2226" s="115"/>
      <c r="I2226" s="115"/>
      <c r="L2226" s="160">
        <v>45281</v>
      </c>
      <c r="M2226" s="115">
        <v>1020.5</v>
      </c>
      <c r="N2226" s="115">
        <v>1034.0999999999999</v>
      </c>
      <c r="O2226" s="115">
        <v>991.7</v>
      </c>
      <c r="P2226" s="115">
        <v>1008</v>
      </c>
      <c r="Q2226" s="115">
        <v>1020.5</v>
      </c>
      <c r="R2226">
        <v>56824</v>
      </c>
    </row>
    <row r="2227" spans="1:18" x14ac:dyDescent="0.25">
      <c r="A2227" s="160">
        <v>45308</v>
      </c>
      <c r="B2227" s="115">
        <v>3548.95</v>
      </c>
      <c r="C2227" s="115">
        <v>3397.2</v>
      </c>
      <c r="D2227" s="115">
        <v>3372.25</v>
      </c>
      <c r="E2227" s="115">
        <v>3489</v>
      </c>
      <c r="F2227" s="115">
        <v>3397.2</v>
      </c>
      <c r="G2227">
        <v>10263</v>
      </c>
      <c r="H2227" s="115"/>
      <c r="I2227" s="115"/>
      <c r="L2227" s="160">
        <v>45282</v>
      </c>
      <c r="M2227" s="115">
        <v>1047</v>
      </c>
      <c r="N2227" s="115">
        <v>1057.45</v>
      </c>
      <c r="O2227" s="115">
        <v>1022.2</v>
      </c>
      <c r="P2227" s="115">
        <v>1027</v>
      </c>
      <c r="Q2227" s="115">
        <v>1047</v>
      </c>
      <c r="R2227">
        <v>40351</v>
      </c>
    </row>
    <row r="2228" spans="1:18" x14ac:dyDescent="0.25">
      <c r="A2228" s="160">
        <v>45309</v>
      </c>
      <c r="B2228" s="115">
        <v>3619</v>
      </c>
      <c r="C2228" s="115">
        <v>3546.3</v>
      </c>
      <c r="D2228" s="115">
        <v>3265.05</v>
      </c>
      <c r="E2228" s="115">
        <v>3449.95</v>
      </c>
      <c r="F2228" s="115">
        <v>3546.3</v>
      </c>
      <c r="G2228">
        <v>11535</v>
      </c>
      <c r="H2228" s="115"/>
      <c r="I2228" s="115"/>
      <c r="L2228" s="160">
        <v>45286</v>
      </c>
      <c r="M2228" s="115">
        <v>1073.0999999999999</v>
      </c>
      <c r="N2228" s="115">
        <v>1088</v>
      </c>
      <c r="O2228" s="115">
        <v>1050</v>
      </c>
      <c r="P2228" s="115">
        <v>1060</v>
      </c>
      <c r="Q2228" s="115">
        <v>1073.0999999999999</v>
      </c>
      <c r="R2228">
        <v>78679</v>
      </c>
    </row>
    <row r="2229" spans="1:18" x14ac:dyDescent="0.25">
      <c r="A2229" s="160">
        <v>45310</v>
      </c>
      <c r="B2229" s="115">
        <v>3659</v>
      </c>
      <c r="C2229" s="115">
        <v>3589.85</v>
      </c>
      <c r="D2229" s="115">
        <v>3527</v>
      </c>
      <c r="E2229" s="115">
        <v>3598.95</v>
      </c>
      <c r="F2229" s="115">
        <v>3589.85</v>
      </c>
      <c r="G2229">
        <v>6067</v>
      </c>
      <c r="H2229" s="115"/>
      <c r="I2229" s="115"/>
      <c r="L2229" s="160">
        <v>45287</v>
      </c>
      <c r="M2229" s="115">
        <v>1081.8499999999999</v>
      </c>
      <c r="N2229" s="115">
        <v>1097.4000000000001</v>
      </c>
      <c r="O2229" s="115">
        <v>1068.55</v>
      </c>
      <c r="P2229" s="115">
        <v>1081.9000000000001</v>
      </c>
      <c r="Q2229" s="115">
        <v>1081.8499999999999</v>
      </c>
      <c r="R2229">
        <v>60322</v>
      </c>
    </row>
    <row r="2230" spans="1:18" x14ac:dyDescent="0.25">
      <c r="A2230" s="160">
        <v>45311</v>
      </c>
      <c r="B2230" s="115">
        <v>3631.95</v>
      </c>
      <c r="C2230" s="115">
        <v>3398.85</v>
      </c>
      <c r="D2230" s="115">
        <v>3370</v>
      </c>
      <c r="E2230" s="115">
        <v>3565</v>
      </c>
      <c r="F2230" s="115">
        <v>3398.85</v>
      </c>
      <c r="G2230">
        <v>8872</v>
      </c>
      <c r="H2230" s="115"/>
      <c r="I2230" s="115"/>
      <c r="L2230" s="160">
        <v>45288</v>
      </c>
      <c r="M2230" s="115">
        <v>1078.9000000000001</v>
      </c>
      <c r="N2230" s="115">
        <v>1094.7</v>
      </c>
      <c r="O2230" s="115">
        <v>1072.5999999999999</v>
      </c>
      <c r="P2230" s="115">
        <v>1090.8</v>
      </c>
      <c r="Q2230" s="115">
        <v>1078.9000000000001</v>
      </c>
      <c r="R2230">
        <v>43656</v>
      </c>
    </row>
    <row r="2231" spans="1:18" x14ac:dyDescent="0.25">
      <c r="A2231" s="160">
        <v>45314</v>
      </c>
      <c r="B2231" s="115">
        <v>3446.7</v>
      </c>
      <c r="C2231" s="115">
        <v>3249.55</v>
      </c>
      <c r="D2231" s="115">
        <v>3230</v>
      </c>
      <c r="E2231" s="115">
        <v>3430</v>
      </c>
      <c r="F2231" s="115">
        <v>3249.55</v>
      </c>
      <c r="G2231">
        <v>7057</v>
      </c>
      <c r="H2231" s="115"/>
      <c r="I2231" s="115"/>
      <c r="L2231" s="160">
        <v>45289</v>
      </c>
      <c r="M2231" s="115">
        <v>1057</v>
      </c>
      <c r="N2231" s="115">
        <v>1087.3</v>
      </c>
      <c r="O2231" s="115">
        <v>1051.05</v>
      </c>
      <c r="P2231" s="115">
        <v>1087.3</v>
      </c>
      <c r="Q2231" s="115">
        <v>1057</v>
      </c>
      <c r="R2231">
        <v>47146</v>
      </c>
    </row>
    <row r="2232" spans="1:18" x14ac:dyDescent="0.25">
      <c r="A2232" s="160">
        <v>45315</v>
      </c>
      <c r="B2232" s="115">
        <v>3349</v>
      </c>
      <c r="C2232" s="115">
        <v>3324.3</v>
      </c>
      <c r="D2232" s="115">
        <v>3250</v>
      </c>
      <c r="E2232" s="115">
        <v>3339</v>
      </c>
      <c r="F2232" s="115">
        <v>3324.3</v>
      </c>
      <c r="G2232">
        <v>3409</v>
      </c>
      <c r="H2232" s="115"/>
      <c r="I2232" s="115"/>
      <c r="L2232" s="160">
        <v>45292</v>
      </c>
      <c r="M2232" s="115">
        <v>1082.8499999999999</v>
      </c>
      <c r="N2232" s="115">
        <v>1090</v>
      </c>
      <c r="O2232" s="115">
        <v>1047</v>
      </c>
      <c r="P2232" s="115">
        <v>1050</v>
      </c>
      <c r="Q2232" s="115">
        <v>1082.8499999999999</v>
      </c>
      <c r="R2232">
        <v>67758</v>
      </c>
    </row>
    <row r="2233" spans="1:18" x14ac:dyDescent="0.25">
      <c r="A2233" s="160">
        <v>45316</v>
      </c>
      <c r="B2233" s="115">
        <v>3380</v>
      </c>
      <c r="C2233" s="115">
        <v>3297.15</v>
      </c>
      <c r="D2233" s="115">
        <v>3275</v>
      </c>
      <c r="E2233" s="115">
        <v>3340</v>
      </c>
      <c r="F2233" s="115">
        <v>3297.15</v>
      </c>
      <c r="G2233">
        <v>2664</v>
      </c>
      <c r="H2233" s="115"/>
      <c r="I2233" s="115"/>
      <c r="L2233" s="160">
        <v>45293</v>
      </c>
      <c r="M2233" s="115">
        <v>1102.25</v>
      </c>
      <c r="N2233" s="115">
        <v>1106.6500000000001</v>
      </c>
      <c r="O2233" s="115">
        <v>1070.0999999999999</v>
      </c>
      <c r="P2233" s="115">
        <v>1083</v>
      </c>
      <c r="Q2233" s="115">
        <v>1102.25</v>
      </c>
      <c r="R2233">
        <v>64759</v>
      </c>
    </row>
    <row r="2234" spans="1:18" x14ac:dyDescent="0.25">
      <c r="A2234" s="160">
        <v>45320</v>
      </c>
      <c r="B2234" s="115">
        <v>3469</v>
      </c>
      <c r="C2234" s="115">
        <v>3298.55</v>
      </c>
      <c r="D2234" s="115">
        <v>3261</v>
      </c>
      <c r="E2234" s="115">
        <v>3455</v>
      </c>
      <c r="F2234" s="115">
        <v>3298.55</v>
      </c>
      <c r="G2234">
        <v>8459</v>
      </c>
      <c r="H2234" s="115"/>
      <c r="I2234" s="115"/>
      <c r="L2234" s="160">
        <v>45294</v>
      </c>
      <c r="M2234" s="115">
        <v>1150.9000000000001</v>
      </c>
      <c r="N2234" s="115">
        <v>1161</v>
      </c>
      <c r="O2234" s="115">
        <v>1113</v>
      </c>
      <c r="P2234" s="115">
        <v>1139.95</v>
      </c>
      <c r="Q2234" s="115">
        <v>1150.9000000000001</v>
      </c>
      <c r="R2234">
        <v>129839</v>
      </c>
    </row>
    <row r="2235" spans="1:18" x14ac:dyDescent="0.25">
      <c r="A2235" s="160">
        <v>45321</v>
      </c>
      <c r="B2235" s="115">
        <v>3382</v>
      </c>
      <c r="C2235" s="115">
        <v>3287.5</v>
      </c>
      <c r="D2235" s="115">
        <v>3256.05</v>
      </c>
      <c r="E2235" s="115">
        <v>3339.95</v>
      </c>
      <c r="F2235" s="115">
        <v>3287.5</v>
      </c>
      <c r="G2235">
        <v>4319</v>
      </c>
      <c r="H2235" s="115"/>
      <c r="I2235" s="115"/>
      <c r="L2235" s="160">
        <v>45295</v>
      </c>
      <c r="M2235" s="115">
        <v>1148.3499999999999</v>
      </c>
      <c r="N2235" s="115">
        <v>1158</v>
      </c>
      <c r="O2235" s="115">
        <v>1131.1500000000001</v>
      </c>
      <c r="P2235" s="115">
        <v>1142.8</v>
      </c>
      <c r="Q2235" s="115">
        <v>1148.3499999999999</v>
      </c>
      <c r="R2235">
        <v>47849</v>
      </c>
    </row>
    <row r="2236" spans="1:18" x14ac:dyDescent="0.25">
      <c r="A2236" s="160">
        <v>45322</v>
      </c>
      <c r="B2236" s="115">
        <v>3415</v>
      </c>
      <c r="C2236" s="115">
        <v>3384.45</v>
      </c>
      <c r="D2236" s="115">
        <v>3300.05</v>
      </c>
      <c r="E2236" s="115">
        <v>3343.95</v>
      </c>
      <c r="F2236" s="115">
        <v>3384.45</v>
      </c>
      <c r="G2236">
        <v>5989</v>
      </c>
      <c r="H2236" s="115"/>
      <c r="I2236" s="115"/>
      <c r="L2236" s="160">
        <v>45296</v>
      </c>
      <c r="M2236" s="115">
        <v>1171.6500000000001</v>
      </c>
      <c r="N2236" s="115">
        <v>1197</v>
      </c>
      <c r="O2236" s="115">
        <v>1152.9000000000001</v>
      </c>
      <c r="P2236" s="115">
        <v>1160</v>
      </c>
      <c r="Q2236" s="115">
        <v>1171.6500000000001</v>
      </c>
      <c r="R2236">
        <v>107641</v>
      </c>
    </row>
    <row r="2237" spans="1:18" x14ac:dyDescent="0.25">
      <c r="A2237" s="160">
        <v>45323</v>
      </c>
      <c r="B2237" s="115">
        <v>3500.05</v>
      </c>
      <c r="C2237" s="115">
        <v>3424.4</v>
      </c>
      <c r="D2237" s="115">
        <v>3346</v>
      </c>
      <c r="E2237" s="115">
        <v>3414</v>
      </c>
      <c r="F2237" s="115">
        <v>3424.4</v>
      </c>
      <c r="G2237">
        <v>4739</v>
      </c>
      <c r="H2237" s="115"/>
      <c r="I2237" s="115"/>
      <c r="L2237" s="160">
        <v>45299</v>
      </c>
      <c r="M2237" s="115">
        <v>1185.0999999999999</v>
      </c>
      <c r="N2237" s="115">
        <v>1195</v>
      </c>
      <c r="O2237" s="115">
        <v>1157</v>
      </c>
      <c r="P2237" s="115">
        <v>1195</v>
      </c>
      <c r="Q2237" s="115">
        <v>1185.0999999999999</v>
      </c>
      <c r="R2237">
        <v>58853</v>
      </c>
    </row>
    <row r="2238" spans="1:18" x14ac:dyDescent="0.25">
      <c r="A2238" s="160">
        <v>45324</v>
      </c>
      <c r="B2238" s="115">
        <v>3525</v>
      </c>
      <c r="C2238" s="115">
        <v>3426.4</v>
      </c>
      <c r="D2238" s="115">
        <v>3404.1</v>
      </c>
      <c r="E2238" s="115">
        <v>3469.25</v>
      </c>
      <c r="F2238" s="115">
        <v>3426.4</v>
      </c>
      <c r="G2238">
        <v>3318</v>
      </c>
      <c r="H2238" s="115"/>
      <c r="I2238" s="115"/>
      <c r="L2238" s="160">
        <v>45300</v>
      </c>
      <c r="M2238" s="115">
        <v>1185.75</v>
      </c>
      <c r="N2238" s="115">
        <v>1192.5</v>
      </c>
      <c r="O2238" s="115">
        <v>1155</v>
      </c>
      <c r="P2238" s="115">
        <v>1182.0999999999999</v>
      </c>
      <c r="Q2238" s="115">
        <v>1185.75</v>
      </c>
      <c r="R2238">
        <v>61739</v>
      </c>
    </row>
    <row r="2239" spans="1:18" x14ac:dyDescent="0.25">
      <c r="A2239" s="160">
        <v>45327</v>
      </c>
      <c r="B2239" s="115">
        <v>3500</v>
      </c>
      <c r="C2239" s="115">
        <v>3459.3</v>
      </c>
      <c r="D2239" s="115">
        <v>3425</v>
      </c>
      <c r="E2239" s="115">
        <v>3484</v>
      </c>
      <c r="F2239" s="115">
        <v>3459.3</v>
      </c>
      <c r="G2239">
        <v>4840</v>
      </c>
      <c r="H2239" s="115"/>
      <c r="I2239" s="115"/>
      <c r="L2239" s="160">
        <v>45301</v>
      </c>
      <c r="M2239" s="115">
        <v>1220.9000000000001</v>
      </c>
      <c r="N2239" s="115">
        <v>1225</v>
      </c>
      <c r="O2239" s="115">
        <v>1180.55</v>
      </c>
      <c r="P2239" s="115">
        <v>1187</v>
      </c>
      <c r="Q2239" s="115">
        <v>1220.9000000000001</v>
      </c>
      <c r="R2239">
        <v>83999</v>
      </c>
    </row>
    <row r="2240" spans="1:18" x14ac:dyDescent="0.25">
      <c r="A2240" s="160">
        <v>45328</v>
      </c>
      <c r="B2240" s="115">
        <v>3497.75</v>
      </c>
      <c r="C2240" s="115">
        <v>3415.15</v>
      </c>
      <c r="D2240" s="115">
        <v>3367.1</v>
      </c>
      <c r="E2240" s="115">
        <v>3464.1</v>
      </c>
      <c r="F2240" s="115">
        <v>3415.15</v>
      </c>
      <c r="G2240">
        <v>5791</v>
      </c>
      <c r="H2240" s="115"/>
      <c r="I2240" s="115"/>
      <c r="L2240" s="160">
        <v>45302</v>
      </c>
      <c r="M2240" s="115">
        <v>1280.9000000000001</v>
      </c>
      <c r="N2240" s="115">
        <v>1298</v>
      </c>
      <c r="O2240" s="115">
        <v>1194.45</v>
      </c>
      <c r="P2240" s="115">
        <v>1231.7</v>
      </c>
      <c r="Q2240" s="115">
        <v>1280.9000000000001</v>
      </c>
      <c r="R2240">
        <v>83269</v>
      </c>
    </row>
    <row r="2241" spans="1:18" x14ac:dyDescent="0.25">
      <c r="A2241" s="160">
        <v>45329</v>
      </c>
      <c r="B2241" s="115">
        <v>3474</v>
      </c>
      <c r="C2241" s="115">
        <v>3360</v>
      </c>
      <c r="D2241" s="115">
        <v>3320</v>
      </c>
      <c r="E2241" s="115">
        <v>3440</v>
      </c>
      <c r="F2241" s="115">
        <v>3360</v>
      </c>
      <c r="G2241">
        <v>8490</v>
      </c>
      <c r="H2241" s="115"/>
      <c r="I2241" s="115"/>
      <c r="L2241" s="160">
        <v>45303</v>
      </c>
      <c r="M2241" s="115">
        <v>1248.2</v>
      </c>
      <c r="N2241" s="115">
        <v>1294</v>
      </c>
      <c r="O2241" s="115">
        <v>1245.05</v>
      </c>
      <c r="P2241" s="115">
        <v>1287.3499999999999</v>
      </c>
      <c r="Q2241" s="115">
        <v>1248.2</v>
      </c>
      <c r="R2241">
        <v>67614</v>
      </c>
    </row>
    <row r="2242" spans="1:18" x14ac:dyDescent="0.25">
      <c r="A2242" s="160">
        <v>45330</v>
      </c>
      <c r="B2242" s="115">
        <v>3409</v>
      </c>
      <c r="C2242" s="115">
        <v>3379.4</v>
      </c>
      <c r="D2242" s="115">
        <v>3228.9</v>
      </c>
      <c r="E2242" s="115">
        <v>3388.95</v>
      </c>
      <c r="F2242" s="115">
        <v>3379.4</v>
      </c>
      <c r="G2242">
        <v>6949</v>
      </c>
      <c r="H2242" s="115"/>
      <c r="I2242" s="115"/>
      <c r="L2242" s="160">
        <v>45306</v>
      </c>
      <c r="M2242" s="115">
        <v>1244.1500000000001</v>
      </c>
      <c r="N2242" s="115">
        <v>1264.4000000000001</v>
      </c>
      <c r="O2242" s="115">
        <v>1203.6500000000001</v>
      </c>
      <c r="P2242" s="115">
        <v>1255</v>
      </c>
      <c r="Q2242" s="115">
        <v>1244.1500000000001</v>
      </c>
      <c r="R2242">
        <v>50050</v>
      </c>
    </row>
    <row r="2243" spans="1:18" x14ac:dyDescent="0.25">
      <c r="A2243" s="160">
        <v>45331</v>
      </c>
      <c r="B2243" s="115">
        <v>3400</v>
      </c>
      <c r="C2243" s="115">
        <v>3323.4</v>
      </c>
      <c r="D2243" s="115">
        <v>3226</v>
      </c>
      <c r="E2243" s="115">
        <v>3400</v>
      </c>
      <c r="F2243" s="115">
        <v>3323.4</v>
      </c>
      <c r="G2243">
        <v>4264</v>
      </c>
      <c r="H2243" s="115"/>
      <c r="I2243" s="115"/>
      <c r="L2243" s="160">
        <v>45307</v>
      </c>
      <c r="M2243" s="115">
        <v>1261.55</v>
      </c>
      <c r="N2243" s="115">
        <v>1293</v>
      </c>
      <c r="O2243" s="115">
        <v>1238.9000000000001</v>
      </c>
      <c r="P2243" s="115">
        <v>1248</v>
      </c>
      <c r="Q2243" s="115">
        <v>1261.55</v>
      </c>
      <c r="R2243">
        <v>79281</v>
      </c>
    </row>
    <row r="2244" spans="1:18" x14ac:dyDescent="0.25">
      <c r="A2244" s="160">
        <v>45334</v>
      </c>
      <c r="B2244" s="115">
        <v>3350</v>
      </c>
      <c r="C2244" s="115">
        <v>3121.85</v>
      </c>
      <c r="D2244" s="115">
        <v>3067</v>
      </c>
      <c r="E2244" s="115">
        <v>3349</v>
      </c>
      <c r="F2244" s="115">
        <v>3121.85</v>
      </c>
      <c r="G2244">
        <v>7882</v>
      </c>
      <c r="H2244" s="115"/>
      <c r="I2244" s="115"/>
      <c r="L2244" s="160">
        <v>45308</v>
      </c>
      <c r="M2244" s="115">
        <v>1261.8499999999999</v>
      </c>
      <c r="N2244" s="115">
        <v>1272</v>
      </c>
      <c r="O2244" s="115">
        <v>1219.2</v>
      </c>
      <c r="P2244" s="115">
        <v>1237</v>
      </c>
      <c r="Q2244" s="115">
        <v>1261.8499999999999</v>
      </c>
      <c r="R2244">
        <v>44947</v>
      </c>
    </row>
    <row r="2245" spans="1:18" x14ac:dyDescent="0.25">
      <c r="A2245" s="160">
        <v>45335</v>
      </c>
      <c r="B2245" s="115">
        <v>3153</v>
      </c>
      <c r="C2245" s="115">
        <v>3119.05</v>
      </c>
      <c r="D2245" s="115">
        <v>3051.25</v>
      </c>
      <c r="E2245" s="115">
        <v>3121.85</v>
      </c>
      <c r="F2245" s="115">
        <v>3119.05</v>
      </c>
      <c r="G2245">
        <v>4133</v>
      </c>
      <c r="H2245" s="115"/>
      <c r="I2245" s="115"/>
      <c r="L2245" s="160">
        <v>45309</v>
      </c>
      <c r="M2245" s="115">
        <v>1203.3</v>
      </c>
      <c r="N2245" s="115">
        <v>1260</v>
      </c>
      <c r="O2245" s="115">
        <v>1190</v>
      </c>
      <c r="P2245" s="115">
        <v>1260</v>
      </c>
      <c r="Q2245" s="115">
        <v>1203.3</v>
      </c>
      <c r="R2245">
        <v>98659</v>
      </c>
    </row>
    <row r="2246" spans="1:18" x14ac:dyDescent="0.25">
      <c r="A2246" s="160">
        <v>45336</v>
      </c>
      <c r="B2246" s="115">
        <v>3346.75</v>
      </c>
      <c r="C2246" s="115">
        <v>3322.35</v>
      </c>
      <c r="D2246" s="115">
        <v>3101.05</v>
      </c>
      <c r="E2246" s="115">
        <v>3101.05</v>
      </c>
      <c r="F2246" s="115">
        <v>3322.35</v>
      </c>
      <c r="G2246">
        <v>5714</v>
      </c>
      <c r="H2246" s="115"/>
      <c r="I2246" s="115"/>
      <c r="L2246" s="160">
        <v>45310</v>
      </c>
      <c r="M2246" s="115">
        <v>1180.4000000000001</v>
      </c>
      <c r="N2246" s="115">
        <v>1234.3499999999999</v>
      </c>
      <c r="O2246" s="115">
        <v>1169.8</v>
      </c>
      <c r="P2246" s="115">
        <v>1212.95</v>
      </c>
      <c r="Q2246" s="115">
        <v>1180.4000000000001</v>
      </c>
      <c r="R2246">
        <v>53392</v>
      </c>
    </row>
    <row r="2247" spans="1:18" x14ac:dyDescent="0.25">
      <c r="A2247" s="160">
        <v>45337</v>
      </c>
      <c r="B2247" s="115">
        <v>3388.3</v>
      </c>
      <c r="C2247" s="115">
        <v>3262.5</v>
      </c>
      <c r="D2247" s="115">
        <v>3238</v>
      </c>
      <c r="E2247" s="115">
        <v>3388.3</v>
      </c>
      <c r="F2247" s="115">
        <v>3262.5</v>
      </c>
      <c r="G2247">
        <v>2726</v>
      </c>
      <c r="H2247" s="115"/>
      <c r="I2247" s="115"/>
      <c r="L2247" s="160">
        <v>45311</v>
      </c>
      <c r="M2247" s="115">
        <v>1194.55</v>
      </c>
      <c r="N2247" s="115">
        <v>1229.7</v>
      </c>
      <c r="O2247" s="115">
        <v>1166.0999999999999</v>
      </c>
      <c r="P2247" s="115">
        <v>1198.6500000000001</v>
      </c>
      <c r="Q2247" s="115">
        <v>1194.55</v>
      </c>
      <c r="R2247">
        <v>54391</v>
      </c>
    </row>
    <row r="2248" spans="1:18" x14ac:dyDescent="0.25">
      <c r="A2248" s="160">
        <v>45338</v>
      </c>
      <c r="B2248" s="115">
        <v>3275</v>
      </c>
      <c r="C2248" s="115">
        <v>3196.55</v>
      </c>
      <c r="D2248" s="115">
        <v>3182</v>
      </c>
      <c r="E2248" s="115">
        <v>3250</v>
      </c>
      <c r="F2248" s="115">
        <v>3196.55</v>
      </c>
      <c r="G2248">
        <v>2228</v>
      </c>
      <c r="H2248" s="115"/>
      <c r="I2248" s="115"/>
      <c r="L2248" s="160">
        <v>45314</v>
      </c>
      <c r="M2248" s="115">
        <v>1175.05</v>
      </c>
      <c r="N2248" s="115">
        <v>1214.3499999999999</v>
      </c>
      <c r="O2248" s="115">
        <v>1150.3499999999999</v>
      </c>
      <c r="P2248" s="115">
        <v>1184.4000000000001</v>
      </c>
      <c r="Q2248" s="115">
        <v>1175.05</v>
      </c>
      <c r="R2248">
        <v>55020</v>
      </c>
    </row>
    <row r="2249" spans="1:18" x14ac:dyDescent="0.25">
      <c r="A2249" s="160">
        <v>45341</v>
      </c>
      <c r="B2249" s="115">
        <v>3500.5</v>
      </c>
      <c r="C2249" s="115">
        <v>3487.45</v>
      </c>
      <c r="D2249" s="115">
        <v>3240</v>
      </c>
      <c r="E2249" s="115">
        <v>3240</v>
      </c>
      <c r="F2249" s="115">
        <v>3487.45</v>
      </c>
      <c r="G2249">
        <v>29200</v>
      </c>
      <c r="H2249" s="115"/>
      <c r="I2249" s="115"/>
      <c r="L2249" s="160">
        <v>45315</v>
      </c>
      <c r="M2249" s="115">
        <v>1167.8</v>
      </c>
      <c r="N2249" s="115">
        <v>1196.2</v>
      </c>
      <c r="O2249" s="115">
        <v>1152.3</v>
      </c>
      <c r="P2249" s="115">
        <v>1180.9000000000001</v>
      </c>
      <c r="Q2249" s="115">
        <v>1167.8</v>
      </c>
      <c r="R2249">
        <v>77634</v>
      </c>
    </row>
    <row r="2250" spans="1:18" x14ac:dyDescent="0.25">
      <c r="A2250" s="160">
        <v>45342</v>
      </c>
      <c r="B2250" s="115">
        <v>3570</v>
      </c>
      <c r="C2250" s="115">
        <v>3494.95</v>
      </c>
      <c r="D2250" s="115">
        <v>3462.05</v>
      </c>
      <c r="E2250" s="115">
        <v>3570</v>
      </c>
      <c r="F2250" s="115">
        <v>3494.95</v>
      </c>
      <c r="G2250">
        <v>19019</v>
      </c>
      <c r="H2250" s="115"/>
      <c r="I2250" s="115"/>
      <c r="L2250" s="160">
        <v>45316</v>
      </c>
      <c r="M2250" s="115">
        <v>1199.1500000000001</v>
      </c>
      <c r="N2250" s="115">
        <v>1205.95</v>
      </c>
      <c r="O2250" s="115">
        <v>1178.5</v>
      </c>
      <c r="P2250" s="115">
        <v>1186.9000000000001</v>
      </c>
      <c r="Q2250" s="115">
        <v>1199.1500000000001</v>
      </c>
      <c r="R2250">
        <v>36519</v>
      </c>
    </row>
    <row r="2251" spans="1:18" x14ac:dyDescent="0.25">
      <c r="A2251" s="160">
        <v>45343</v>
      </c>
      <c r="B2251" s="115">
        <v>3499.85</v>
      </c>
      <c r="C2251" s="115">
        <v>3390.2</v>
      </c>
      <c r="D2251" s="115">
        <v>3350</v>
      </c>
      <c r="E2251" s="115">
        <v>3475</v>
      </c>
      <c r="F2251" s="115">
        <v>3390.2</v>
      </c>
      <c r="G2251">
        <v>4754</v>
      </c>
      <c r="H2251" s="115"/>
      <c r="I2251" s="115"/>
      <c r="L2251" s="160">
        <v>45320</v>
      </c>
      <c r="M2251" s="115">
        <v>1217.1500000000001</v>
      </c>
      <c r="N2251" s="115">
        <v>1227.3499999999999</v>
      </c>
      <c r="O2251" s="115">
        <v>1198.05</v>
      </c>
      <c r="P2251" s="115">
        <v>1210.5</v>
      </c>
      <c r="Q2251" s="115">
        <v>1217.1500000000001</v>
      </c>
      <c r="R2251">
        <v>48456</v>
      </c>
    </row>
    <row r="2252" spans="1:18" x14ac:dyDescent="0.25">
      <c r="A2252" s="160">
        <v>45344</v>
      </c>
      <c r="B2252" s="115">
        <v>3477.95</v>
      </c>
      <c r="C2252" s="115">
        <v>3426.9</v>
      </c>
      <c r="D2252" s="115">
        <v>3364.75</v>
      </c>
      <c r="E2252" s="115">
        <v>3449.95</v>
      </c>
      <c r="F2252" s="115">
        <v>3426.9</v>
      </c>
      <c r="G2252">
        <v>3264</v>
      </c>
      <c r="H2252" s="115"/>
      <c r="I2252" s="115"/>
      <c r="L2252" s="160">
        <v>45321</v>
      </c>
      <c r="M2252" s="115">
        <v>1197.4000000000001</v>
      </c>
      <c r="N2252" s="115">
        <v>1231.45</v>
      </c>
      <c r="O2252" s="115">
        <v>1185.05</v>
      </c>
      <c r="P2252" s="115">
        <v>1223</v>
      </c>
      <c r="Q2252" s="115">
        <v>1197.4000000000001</v>
      </c>
      <c r="R2252">
        <v>43721</v>
      </c>
    </row>
    <row r="2253" spans="1:18" x14ac:dyDescent="0.25">
      <c r="A2253" s="160">
        <v>45345</v>
      </c>
      <c r="B2253" s="115">
        <v>3500</v>
      </c>
      <c r="C2253" s="115">
        <v>3465.9</v>
      </c>
      <c r="D2253" s="115">
        <v>3355.1</v>
      </c>
      <c r="E2253" s="115">
        <v>3355.1</v>
      </c>
      <c r="F2253" s="115">
        <v>3465.9</v>
      </c>
      <c r="G2253">
        <v>3020</v>
      </c>
      <c r="H2253" s="115"/>
      <c r="I2253" s="115"/>
      <c r="L2253" s="160">
        <v>45322</v>
      </c>
      <c r="M2253" s="115">
        <v>1199.55</v>
      </c>
      <c r="N2253" s="115">
        <v>1232.2</v>
      </c>
      <c r="O2253" s="115">
        <v>1192</v>
      </c>
      <c r="P2253" s="115">
        <v>1197.4000000000001</v>
      </c>
      <c r="Q2253" s="115">
        <v>1199.55</v>
      </c>
      <c r="R2253">
        <v>52193</v>
      </c>
    </row>
    <row r="2254" spans="1:18" x14ac:dyDescent="0.25">
      <c r="A2254" s="160">
        <v>45348</v>
      </c>
      <c r="B2254" s="115">
        <v>3500</v>
      </c>
      <c r="C2254" s="115">
        <v>3421.2</v>
      </c>
      <c r="D2254" s="115">
        <v>3400</v>
      </c>
      <c r="E2254" s="115">
        <v>3465.9</v>
      </c>
      <c r="F2254" s="115">
        <v>3421.2</v>
      </c>
      <c r="G2254">
        <v>6361</v>
      </c>
      <c r="H2254" s="115"/>
      <c r="I2254" s="115"/>
      <c r="L2254" s="160">
        <v>45323</v>
      </c>
      <c r="M2254" s="115">
        <v>1209.45</v>
      </c>
      <c r="N2254" s="115">
        <v>1247</v>
      </c>
      <c r="O2254" s="115">
        <v>1195.0999999999999</v>
      </c>
      <c r="P2254" s="115">
        <v>1246.95</v>
      </c>
      <c r="Q2254" s="115">
        <v>1209.45</v>
      </c>
      <c r="R2254">
        <v>39023</v>
      </c>
    </row>
    <row r="2255" spans="1:18" x14ac:dyDescent="0.25">
      <c r="A2255" s="160">
        <v>45349</v>
      </c>
      <c r="B2255" s="115">
        <v>3454.95</v>
      </c>
      <c r="C2255" s="115">
        <v>3274.9</v>
      </c>
      <c r="D2255" s="115">
        <v>3265</v>
      </c>
      <c r="E2255" s="115">
        <v>3454.95</v>
      </c>
      <c r="F2255" s="115">
        <v>3274.9</v>
      </c>
      <c r="G2255">
        <v>6853</v>
      </c>
      <c r="H2255" s="115"/>
      <c r="I2255" s="115"/>
      <c r="L2255" s="160">
        <v>45324</v>
      </c>
      <c r="M2255" s="115">
        <v>1129.7</v>
      </c>
      <c r="N2255" s="115">
        <v>1222.1500000000001</v>
      </c>
      <c r="O2255" s="115">
        <v>1106.3</v>
      </c>
      <c r="P2255" s="115">
        <v>1212.2</v>
      </c>
      <c r="Q2255" s="115">
        <v>1129.7</v>
      </c>
      <c r="R2255">
        <v>122987</v>
      </c>
    </row>
    <row r="2256" spans="1:18" x14ac:dyDescent="0.25">
      <c r="A2256" s="160">
        <v>45350</v>
      </c>
      <c r="B2256" s="115">
        <v>3379.95</v>
      </c>
      <c r="C2256" s="115">
        <v>3207.85</v>
      </c>
      <c r="D2256" s="115">
        <v>3186.85</v>
      </c>
      <c r="E2256" s="115">
        <v>3349.95</v>
      </c>
      <c r="F2256" s="115">
        <v>3207.85</v>
      </c>
      <c r="G2256">
        <v>4861</v>
      </c>
      <c r="H2256" s="115"/>
      <c r="I2256" s="115"/>
      <c r="L2256" s="160">
        <v>45327</v>
      </c>
      <c r="M2256" s="115">
        <v>1048.5999999999999</v>
      </c>
      <c r="N2256" s="115">
        <v>1129.7</v>
      </c>
      <c r="O2256" s="115">
        <v>1019.95</v>
      </c>
      <c r="P2256" s="115">
        <v>1129.7</v>
      </c>
      <c r="Q2256" s="115">
        <v>1048.5999999999999</v>
      </c>
      <c r="R2256">
        <v>291675</v>
      </c>
    </row>
    <row r="2257" spans="1:18" x14ac:dyDescent="0.25">
      <c r="A2257" s="160">
        <v>45351</v>
      </c>
      <c r="B2257" s="115">
        <v>3247</v>
      </c>
      <c r="C2257" s="115">
        <v>3235.55</v>
      </c>
      <c r="D2257" s="115">
        <v>3166</v>
      </c>
      <c r="E2257" s="115">
        <v>3166</v>
      </c>
      <c r="F2257" s="115">
        <v>3235.55</v>
      </c>
      <c r="G2257">
        <v>1791</v>
      </c>
      <c r="H2257" s="115"/>
      <c r="I2257" s="115"/>
      <c r="L2257" s="160">
        <v>45328</v>
      </c>
      <c r="M2257" s="115">
        <v>1051.75</v>
      </c>
      <c r="N2257" s="115">
        <v>1113.5999999999999</v>
      </c>
      <c r="O2257" s="115">
        <v>1043</v>
      </c>
      <c r="P2257" s="115">
        <v>1049.95</v>
      </c>
      <c r="Q2257" s="115">
        <v>1051.75</v>
      </c>
      <c r="R2257">
        <v>301526</v>
      </c>
    </row>
    <row r="2258" spans="1:18" x14ac:dyDescent="0.25">
      <c r="A2258" s="160">
        <v>45352</v>
      </c>
      <c r="B2258" s="115">
        <v>3380</v>
      </c>
      <c r="C2258" s="115">
        <v>3354.75</v>
      </c>
      <c r="D2258" s="115">
        <v>3205.15</v>
      </c>
      <c r="E2258" s="115">
        <v>3253.5</v>
      </c>
      <c r="F2258" s="115">
        <v>3354.75</v>
      </c>
      <c r="G2258">
        <v>4859</v>
      </c>
      <c r="H2258" s="115"/>
      <c r="I2258" s="115"/>
      <c r="L2258" s="160">
        <v>45329</v>
      </c>
      <c r="M2258" s="115">
        <v>1031.3499999999999</v>
      </c>
      <c r="N2258" s="115">
        <v>1078.0999999999999</v>
      </c>
      <c r="O2258" s="115">
        <v>1025.6500000000001</v>
      </c>
      <c r="P2258" s="115">
        <v>1059.1500000000001</v>
      </c>
      <c r="Q2258" s="115">
        <v>1031.3499999999999</v>
      </c>
      <c r="R2258">
        <v>67362</v>
      </c>
    </row>
    <row r="2259" spans="1:18" x14ac:dyDescent="0.25">
      <c r="A2259" s="160">
        <v>45353</v>
      </c>
      <c r="B2259" s="115">
        <v>3420.05</v>
      </c>
      <c r="C2259" s="115">
        <v>3308.25</v>
      </c>
      <c r="D2259" s="115">
        <v>3257</v>
      </c>
      <c r="E2259" s="115">
        <v>3384.75</v>
      </c>
      <c r="F2259" s="115">
        <v>3308.25</v>
      </c>
      <c r="G2259">
        <v>1237</v>
      </c>
      <c r="H2259" s="115"/>
      <c r="I2259" s="115"/>
      <c r="L2259" s="160">
        <v>45330</v>
      </c>
      <c r="M2259" s="115">
        <v>1063.8</v>
      </c>
      <c r="N2259" s="115">
        <v>1074.5999999999999</v>
      </c>
      <c r="O2259" s="115">
        <v>1030.3499999999999</v>
      </c>
      <c r="P2259" s="115">
        <v>1037.3</v>
      </c>
      <c r="Q2259" s="115">
        <v>1063.8</v>
      </c>
      <c r="R2259">
        <v>117920</v>
      </c>
    </row>
    <row r="2260" spans="1:18" x14ac:dyDescent="0.25">
      <c r="A2260" s="160">
        <v>45355</v>
      </c>
      <c r="B2260" s="115">
        <v>3375</v>
      </c>
      <c r="C2260" s="115">
        <v>3189.2</v>
      </c>
      <c r="D2260" s="115">
        <v>3150</v>
      </c>
      <c r="E2260" s="115">
        <v>3305</v>
      </c>
      <c r="F2260" s="115">
        <v>3189.2</v>
      </c>
      <c r="G2260">
        <v>3743</v>
      </c>
      <c r="H2260" s="115"/>
      <c r="I2260" s="115"/>
      <c r="L2260" s="160">
        <v>45331</v>
      </c>
      <c r="M2260" s="115">
        <v>1067.5</v>
      </c>
      <c r="N2260" s="115">
        <v>1111</v>
      </c>
      <c r="O2260" s="115">
        <v>1051.5999999999999</v>
      </c>
      <c r="P2260" s="115">
        <v>1074</v>
      </c>
      <c r="Q2260" s="115">
        <v>1067.5</v>
      </c>
      <c r="R2260">
        <v>49986</v>
      </c>
    </row>
    <row r="2261" spans="1:18" x14ac:dyDescent="0.25">
      <c r="A2261" s="160">
        <v>45356</v>
      </c>
      <c r="B2261" s="115">
        <v>3249.25</v>
      </c>
      <c r="C2261" s="115">
        <v>3225.25</v>
      </c>
      <c r="D2261" s="115">
        <v>3189.25</v>
      </c>
      <c r="E2261" s="115">
        <v>3189.25</v>
      </c>
      <c r="F2261" s="115">
        <v>3225.25</v>
      </c>
      <c r="G2261">
        <v>1473</v>
      </c>
      <c r="H2261" s="115"/>
      <c r="I2261" s="115"/>
      <c r="L2261" s="160">
        <v>45334</v>
      </c>
      <c r="M2261" s="115">
        <v>1031.75</v>
      </c>
      <c r="N2261" s="115">
        <v>1090</v>
      </c>
      <c r="O2261" s="115">
        <v>1004</v>
      </c>
      <c r="P2261" s="115">
        <v>1071.1500000000001</v>
      </c>
      <c r="Q2261" s="115">
        <v>1031.75</v>
      </c>
      <c r="R2261">
        <v>55479</v>
      </c>
    </row>
    <row r="2262" spans="1:18" x14ac:dyDescent="0.25">
      <c r="A2262" s="160">
        <v>45357</v>
      </c>
      <c r="B2262" s="115">
        <v>3271</v>
      </c>
      <c r="C2262" s="115">
        <v>3257.25</v>
      </c>
      <c r="D2262" s="115">
        <v>3156</v>
      </c>
      <c r="E2262" s="115">
        <v>3234</v>
      </c>
      <c r="F2262" s="115">
        <v>3257.25</v>
      </c>
      <c r="G2262">
        <v>5400</v>
      </c>
      <c r="H2262" s="115"/>
      <c r="I2262" s="115"/>
      <c r="L2262" s="160">
        <v>45335</v>
      </c>
      <c r="M2262" s="115">
        <v>1056.25</v>
      </c>
      <c r="N2262" s="115">
        <v>1069</v>
      </c>
      <c r="O2262" s="115">
        <v>1000</v>
      </c>
      <c r="P2262" s="115">
        <v>1030</v>
      </c>
      <c r="Q2262" s="115">
        <v>1056.25</v>
      </c>
      <c r="R2262">
        <v>67656</v>
      </c>
    </row>
    <row r="2263" spans="1:18" x14ac:dyDescent="0.25">
      <c r="A2263" s="160">
        <v>45358</v>
      </c>
      <c r="B2263" s="115">
        <v>3348.95</v>
      </c>
      <c r="C2263" s="115">
        <v>3329.55</v>
      </c>
      <c r="D2263" s="115">
        <v>3225.5</v>
      </c>
      <c r="E2263" s="115">
        <v>3250</v>
      </c>
      <c r="F2263" s="115">
        <v>3329.55</v>
      </c>
      <c r="G2263">
        <v>3079</v>
      </c>
      <c r="H2263" s="115"/>
      <c r="I2263" s="115"/>
      <c r="L2263" s="160">
        <v>45336</v>
      </c>
      <c r="M2263" s="115">
        <v>1046.05</v>
      </c>
      <c r="N2263" s="115">
        <v>1076.9000000000001</v>
      </c>
      <c r="O2263" s="115">
        <v>1035</v>
      </c>
      <c r="P2263" s="115">
        <v>1053</v>
      </c>
      <c r="Q2263" s="115">
        <v>1046.05</v>
      </c>
      <c r="R2263">
        <v>37118</v>
      </c>
    </row>
    <row r="2264" spans="1:18" x14ac:dyDescent="0.25">
      <c r="A2264" s="160">
        <v>45362</v>
      </c>
      <c r="B2264" s="115">
        <v>3375</v>
      </c>
      <c r="C2264" s="115">
        <v>3341.2</v>
      </c>
      <c r="D2264" s="115">
        <v>3224.05</v>
      </c>
      <c r="E2264" s="115">
        <v>3290</v>
      </c>
      <c r="F2264" s="115">
        <v>3341.2</v>
      </c>
      <c r="G2264">
        <v>4415</v>
      </c>
      <c r="H2264" s="115"/>
      <c r="I2264" s="115"/>
      <c r="L2264" s="160">
        <v>45337</v>
      </c>
      <c r="M2264" s="115">
        <v>1059.25</v>
      </c>
      <c r="N2264" s="115">
        <v>1075</v>
      </c>
      <c r="O2264" s="115">
        <v>1046.05</v>
      </c>
      <c r="P2264" s="115">
        <v>1050</v>
      </c>
      <c r="Q2264" s="115">
        <v>1059.25</v>
      </c>
      <c r="R2264">
        <v>44287</v>
      </c>
    </row>
    <row r="2265" spans="1:18" x14ac:dyDescent="0.25">
      <c r="A2265" s="160">
        <v>45363</v>
      </c>
      <c r="B2265" s="115">
        <v>3339.6</v>
      </c>
      <c r="C2265" s="115">
        <v>3300.5</v>
      </c>
      <c r="D2265" s="115">
        <v>3260.1</v>
      </c>
      <c r="E2265" s="115">
        <v>3339.55</v>
      </c>
      <c r="F2265" s="115">
        <v>3300.5</v>
      </c>
      <c r="G2265">
        <v>5416</v>
      </c>
      <c r="H2265" s="115"/>
      <c r="I2265" s="115"/>
      <c r="L2265" s="160">
        <v>45338</v>
      </c>
      <c r="M2265" s="115">
        <v>1088.95</v>
      </c>
      <c r="N2265" s="115">
        <v>1093.95</v>
      </c>
      <c r="O2265" s="115">
        <v>1057.95</v>
      </c>
      <c r="P2265" s="115">
        <v>1058</v>
      </c>
      <c r="Q2265" s="115">
        <v>1088.95</v>
      </c>
      <c r="R2265">
        <v>38454</v>
      </c>
    </row>
    <row r="2266" spans="1:18" x14ac:dyDescent="0.25">
      <c r="A2266" s="160">
        <v>45364</v>
      </c>
      <c r="B2266" s="115">
        <v>3348.95</v>
      </c>
      <c r="C2266" s="115">
        <v>3300.7</v>
      </c>
      <c r="D2266" s="115">
        <v>3161.45</v>
      </c>
      <c r="E2266" s="115">
        <v>3348.95</v>
      </c>
      <c r="F2266" s="115">
        <v>3300.7</v>
      </c>
      <c r="G2266">
        <v>12933</v>
      </c>
      <c r="H2266" s="115"/>
      <c r="I2266" s="115"/>
      <c r="L2266" s="160">
        <v>45341</v>
      </c>
      <c r="M2266" s="115">
        <v>1133.3</v>
      </c>
      <c r="N2266" s="115">
        <v>1143.9000000000001</v>
      </c>
      <c r="O2266" s="115">
        <v>1090.05</v>
      </c>
      <c r="P2266" s="115">
        <v>1091.95</v>
      </c>
      <c r="Q2266" s="115">
        <v>1133.3</v>
      </c>
      <c r="R2266">
        <v>71619</v>
      </c>
    </row>
    <row r="2267" spans="1:18" x14ac:dyDescent="0.25">
      <c r="A2267" s="160">
        <v>45365</v>
      </c>
      <c r="B2267" s="115">
        <v>3340</v>
      </c>
      <c r="C2267" s="115">
        <v>3323.65</v>
      </c>
      <c r="D2267" s="115">
        <v>3225.05</v>
      </c>
      <c r="E2267" s="115">
        <v>3250.1</v>
      </c>
      <c r="F2267" s="115">
        <v>3323.65</v>
      </c>
      <c r="G2267">
        <v>3206</v>
      </c>
      <c r="H2267" s="115"/>
      <c r="I2267" s="115"/>
      <c r="L2267" s="160">
        <v>45342</v>
      </c>
      <c r="M2267" s="115">
        <v>1125.0999999999999</v>
      </c>
      <c r="N2267" s="115">
        <v>1149.3499999999999</v>
      </c>
      <c r="O2267" s="115">
        <v>1110.7</v>
      </c>
      <c r="P2267" s="115">
        <v>1138.9000000000001</v>
      </c>
      <c r="Q2267" s="115">
        <v>1125.0999999999999</v>
      </c>
      <c r="R2267">
        <v>38802</v>
      </c>
    </row>
    <row r="2268" spans="1:18" x14ac:dyDescent="0.25">
      <c r="A2268" s="160">
        <v>45366</v>
      </c>
      <c r="B2268" s="115">
        <v>3378.9</v>
      </c>
      <c r="C2268" s="115">
        <v>3303.7</v>
      </c>
      <c r="D2268" s="115">
        <v>3218.05</v>
      </c>
      <c r="E2268" s="115">
        <v>3325</v>
      </c>
      <c r="F2268" s="115">
        <v>3303.7</v>
      </c>
      <c r="G2268">
        <v>3840</v>
      </c>
      <c r="H2268" s="115"/>
      <c r="I2268" s="115"/>
      <c r="L2268" s="160">
        <v>45343</v>
      </c>
      <c r="M2268" s="115">
        <v>1156.55</v>
      </c>
      <c r="N2268" s="115">
        <v>1179.9000000000001</v>
      </c>
      <c r="O2268" s="115">
        <v>1123.75</v>
      </c>
      <c r="P2268" s="115">
        <v>1125.1500000000001</v>
      </c>
      <c r="Q2268" s="115">
        <v>1156.55</v>
      </c>
      <c r="R2268">
        <v>58748</v>
      </c>
    </row>
    <row r="2269" spans="1:18" x14ac:dyDescent="0.25">
      <c r="A2269" s="160">
        <v>45369</v>
      </c>
      <c r="B2269" s="115">
        <v>3341</v>
      </c>
      <c r="C2269" s="115">
        <v>3285.6</v>
      </c>
      <c r="D2269" s="115">
        <v>3255</v>
      </c>
      <c r="E2269" s="115">
        <v>3255.05</v>
      </c>
      <c r="F2269" s="115">
        <v>3285.6</v>
      </c>
      <c r="G2269">
        <v>2071</v>
      </c>
      <c r="H2269" s="115"/>
      <c r="I2269" s="115"/>
      <c r="L2269" s="160">
        <v>45344</v>
      </c>
      <c r="M2269" s="115">
        <v>1148.05</v>
      </c>
      <c r="N2269" s="115">
        <v>1190.4000000000001</v>
      </c>
      <c r="O2269" s="115">
        <v>1140</v>
      </c>
      <c r="P2269" s="115">
        <v>1175</v>
      </c>
      <c r="Q2269" s="115">
        <v>1148.05</v>
      </c>
      <c r="R2269">
        <v>63348</v>
      </c>
    </row>
    <row r="2270" spans="1:18" x14ac:dyDescent="0.25">
      <c r="A2270" s="160">
        <v>45370</v>
      </c>
      <c r="B2270" s="115">
        <v>3510</v>
      </c>
      <c r="C2270" s="115">
        <v>3434.95</v>
      </c>
      <c r="D2270" s="115">
        <v>3242.8</v>
      </c>
      <c r="E2270" s="115">
        <v>3250</v>
      </c>
      <c r="F2270" s="115">
        <v>3434.95</v>
      </c>
      <c r="G2270">
        <v>13919</v>
      </c>
      <c r="H2270" s="115"/>
      <c r="I2270" s="115"/>
      <c r="L2270" s="160">
        <v>45345</v>
      </c>
      <c r="M2270" s="115">
        <v>1168.5999999999999</v>
      </c>
      <c r="N2270" s="115">
        <v>1175</v>
      </c>
      <c r="O2270" s="115">
        <v>1146.25</v>
      </c>
      <c r="P2270" s="115">
        <v>1150</v>
      </c>
      <c r="Q2270" s="115">
        <v>1168.5999999999999</v>
      </c>
      <c r="R2270">
        <v>38449</v>
      </c>
    </row>
    <row r="2271" spans="1:18" x14ac:dyDescent="0.25">
      <c r="A2271" s="160">
        <v>45371</v>
      </c>
      <c r="B2271" s="115">
        <v>3484.7</v>
      </c>
      <c r="C2271" s="115">
        <v>3364.5</v>
      </c>
      <c r="D2271" s="115">
        <v>3330</v>
      </c>
      <c r="E2271" s="115">
        <v>3439.05</v>
      </c>
      <c r="F2271" s="115">
        <v>3364.5</v>
      </c>
      <c r="G2271">
        <v>1769</v>
      </c>
      <c r="H2271" s="115"/>
      <c r="I2271" s="115"/>
      <c r="L2271" s="160">
        <v>45348</v>
      </c>
      <c r="M2271" s="115">
        <v>1166.95</v>
      </c>
      <c r="N2271" s="115">
        <v>1195</v>
      </c>
      <c r="O2271" s="115">
        <v>1158</v>
      </c>
      <c r="P2271" s="115">
        <v>1177.55</v>
      </c>
      <c r="Q2271" s="115">
        <v>1166.95</v>
      </c>
      <c r="R2271">
        <v>38321</v>
      </c>
    </row>
    <row r="2272" spans="1:18" x14ac:dyDescent="0.25">
      <c r="A2272" s="160">
        <v>45372</v>
      </c>
      <c r="B2272" s="115">
        <v>3433.95</v>
      </c>
      <c r="C2272" s="115">
        <v>3393.15</v>
      </c>
      <c r="D2272" s="115">
        <v>3311.6</v>
      </c>
      <c r="E2272" s="115">
        <v>3398.5</v>
      </c>
      <c r="F2272" s="115">
        <v>3393.15</v>
      </c>
      <c r="G2272">
        <v>708</v>
      </c>
      <c r="H2272" s="115"/>
      <c r="I2272" s="115"/>
      <c r="L2272" s="160">
        <v>45349</v>
      </c>
      <c r="M2272" s="115">
        <v>1174.5</v>
      </c>
      <c r="N2272" s="115">
        <v>1186</v>
      </c>
      <c r="O2272" s="115">
        <v>1160.05</v>
      </c>
      <c r="P2272" s="115">
        <v>1168.5999999999999</v>
      </c>
      <c r="Q2272" s="115">
        <v>1174.5</v>
      </c>
      <c r="R2272">
        <v>67151</v>
      </c>
    </row>
    <row r="2273" spans="1:18" x14ac:dyDescent="0.25">
      <c r="A2273" s="160">
        <v>45373</v>
      </c>
      <c r="B2273" s="115">
        <v>3460</v>
      </c>
      <c r="C2273" s="115">
        <v>3419.35</v>
      </c>
      <c r="D2273" s="115">
        <v>3380.5</v>
      </c>
      <c r="E2273" s="115">
        <v>3432.95</v>
      </c>
      <c r="F2273" s="115">
        <v>3419.35</v>
      </c>
      <c r="G2273">
        <v>1119</v>
      </c>
      <c r="H2273" s="115"/>
      <c r="I2273" s="115"/>
      <c r="L2273" s="160">
        <v>45350</v>
      </c>
      <c r="M2273" s="115">
        <v>1133.25</v>
      </c>
      <c r="N2273" s="115">
        <v>1180.8</v>
      </c>
      <c r="O2273" s="115">
        <v>1125.0999999999999</v>
      </c>
      <c r="P2273" s="115">
        <v>1176.8</v>
      </c>
      <c r="Q2273" s="115">
        <v>1133.25</v>
      </c>
      <c r="R2273">
        <v>58646</v>
      </c>
    </row>
    <row r="2274" spans="1:18" x14ac:dyDescent="0.25">
      <c r="A2274" s="160">
        <v>45377</v>
      </c>
      <c r="B2274" s="115">
        <v>3466.95</v>
      </c>
      <c r="C2274" s="115">
        <v>3429.35</v>
      </c>
      <c r="D2274" s="115">
        <v>3409.6</v>
      </c>
      <c r="E2274" s="115">
        <v>3449.95</v>
      </c>
      <c r="F2274" s="115">
        <v>3429.35</v>
      </c>
      <c r="G2274">
        <v>1780</v>
      </c>
      <c r="H2274" s="115"/>
      <c r="I2274" s="115"/>
      <c r="L2274" s="160">
        <v>45351</v>
      </c>
      <c r="M2274" s="115">
        <v>1063.5999999999999</v>
      </c>
      <c r="N2274" s="115">
        <v>1135</v>
      </c>
      <c r="O2274" s="115">
        <v>1052.2</v>
      </c>
      <c r="P2274" s="115">
        <v>1135</v>
      </c>
      <c r="Q2274" s="115">
        <v>1063.5999999999999</v>
      </c>
      <c r="R2274">
        <v>264850</v>
      </c>
    </row>
    <row r="2275" spans="1:18" x14ac:dyDescent="0.25">
      <c r="A2275" s="160">
        <v>45378</v>
      </c>
      <c r="B2275" s="115">
        <v>3430</v>
      </c>
      <c r="C2275" s="115">
        <v>3353.55</v>
      </c>
      <c r="D2275" s="115">
        <v>3345</v>
      </c>
      <c r="E2275" s="115">
        <v>3429.95</v>
      </c>
      <c r="F2275" s="115">
        <v>3353.55</v>
      </c>
      <c r="G2275">
        <v>2410</v>
      </c>
      <c r="H2275" s="115"/>
      <c r="I2275" s="115"/>
      <c r="L2275" s="160">
        <v>45352</v>
      </c>
      <c r="M2275" s="115">
        <v>1028.0999999999999</v>
      </c>
      <c r="N2275" s="115">
        <v>1068.0999999999999</v>
      </c>
      <c r="O2275" s="115">
        <v>1022</v>
      </c>
      <c r="P2275" s="115">
        <v>1063.5999999999999</v>
      </c>
      <c r="Q2275" s="115">
        <v>1028.0999999999999</v>
      </c>
      <c r="R2275">
        <v>68211</v>
      </c>
    </row>
    <row r="2276" spans="1:18" x14ac:dyDescent="0.25">
      <c r="A2276" s="160">
        <v>45379</v>
      </c>
      <c r="B2276" s="115">
        <v>3409.9</v>
      </c>
      <c r="C2276" s="115">
        <v>3296.45</v>
      </c>
      <c r="D2276" s="115">
        <v>3270.95</v>
      </c>
      <c r="E2276" s="115">
        <v>3409.9</v>
      </c>
      <c r="F2276" s="115">
        <v>3296.45</v>
      </c>
      <c r="G2276">
        <v>2793</v>
      </c>
      <c r="H2276" s="115"/>
      <c r="I2276" s="115"/>
      <c r="L2276" s="160">
        <v>45353</v>
      </c>
      <c r="M2276" s="115">
        <v>1045.05</v>
      </c>
      <c r="N2276" s="115">
        <v>1070</v>
      </c>
      <c r="O2276" s="115">
        <v>1018.85</v>
      </c>
      <c r="P2276" s="115">
        <v>1029</v>
      </c>
      <c r="Q2276" s="115">
        <v>1045.05</v>
      </c>
      <c r="R2276">
        <v>6483</v>
      </c>
    </row>
    <row r="2277" spans="1:18" x14ac:dyDescent="0.25">
      <c r="A2277" s="160">
        <v>45383</v>
      </c>
      <c r="B2277" s="115">
        <v>3370</v>
      </c>
      <c r="C2277" s="115">
        <v>3341.85</v>
      </c>
      <c r="D2277" s="115">
        <v>3275</v>
      </c>
      <c r="E2277" s="115">
        <v>3296.4</v>
      </c>
      <c r="F2277" s="115">
        <v>3341.85</v>
      </c>
      <c r="G2277">
        <v>1606</v>
      </c>
      <c r="H2277" s="115"/>
      <c r="I2277" s="115"/>
      <c r="L2277" s="160">
        <v>45355</v>
      </c>
      <c r="M2277" s="115">
        <v>1038.3</v>
      </c>
      <c r="N2277" s="115">
        <v>1065</v>
      </c>
      <c r="O2277" s="115">
        <v>1014</v>
      </c>
      <c r="P2277" s="115">
        <v>1051</v>
      </c>
      <c r="Q2277" s="115">
        <v>1038.3</v>
      </c>
      <c r="R2277">
        <v>59795</v>
      </c>
    </row>
    <row r="2278" spans="1:18" x14ac:dyDescent="0.25">
      <c r="A2278" s="160">
        <v>45384</v>
      </c>
      <c r="B2278" s="115">
        <v>3375</v>
      </c>
      <c r="C2278" s="115">
        <v>3280.05</v>
      </c>
      <c r="D2278" s="115">
        <v>3269.95</v>
      </c>
      <c r="E2278" s="115">
        <v>3349.85</v>
      </c>
      <c r="F2278" s="115">
        <v>3280.05</v>
      </c>
      <c r="G2278">
        <v>3399</v>
      </c>
      <c r="H2278" s="115"/>
      <c r="I2278" s="115"/>
      <c r="L2278" s="160">
        <v>45356</v>
      </c>
      <c r="M2278" s="115">
        <v>1059.5999999999999</v>
      </c>
      <c r="N2278" s="115">
        <v>1077.2</v>
      </c>
      <c r="O2278" s="115">
        <v>1024.3</v>
      </c>
      <c r="P2278" s="115">
        <v>1035</v>
      </c>
      <c r="Q2278" s="115">
        <v>1059.5999999999999</v>
      </c>
      <c r="R2278">
        <v>61871</v>
      </c>
    </row>
    <row r="2279" spans="1:18" x14ac:dyDescent="0.25">
      <c r="A2279" s="160">
        <v>45385</v>
      </c>
      <c r="B2279" s="115">
        <v>3369.9</v>
      </c>
      <c r="C2279" s="115">
        <v>3262.7</v>
      </c>
      <c r="D2279" s="115">
        <v>3249.95</v>
      </c>
      <c r="E2279" s="115">
        <v>3300</v>
      </c>
      <c r="F2279" s="115">
        <v>3262.7</v>
      </c>
      <c r="G2279">
        <v>4908</v>
      </c>
      <c r="H2279" s="115"/>
      <c r="I2279" s="115"/>
      <c r="L2279" s="160">
        <v>45357</v>
      </c>
      <c r="M2279" s="115">
        <v>1027.1500000000001</v>
      </c>
      <c r="N2279" s="115">
        <v>1059</v>
      </c>
      <c r="O2279" s="115">
        <v>1018.05</v>
      </c>
      <c r="P2279" s="115">
        <v>1047</v>
      </c>
      <c r="Q2279" s="115">
        <v>1027.1500000000001</v>
      </c>
      <c r="R2279">
        <v>29838</v>
      </c>
    </row>
    <row r="2280" spans="1:18" x14ac:dyDescent="0.25">
      <c r="A2280" s="160">
        <v>45386</v>
      </c>
      <c r="B2280" s="115">
        <v>3398</v>
      </c>
      <c r="C2280" s="115">
        <v>3354.15</v>
      </c>
      <c r="D2280" s="115">
        <v>3201</v>
      </c>
      <c r="E2280" s="115">
        <v>3280.05</v>
      </c>
      <c r="F2280" s="115">
        <v>3354.15</v>
      </c>
      <c r="G2280">
        <v>3440</v>
      </c>
      <c r="H2280" s="115"/>
      <c r="I2280" s="115"/>
      <c r="L2280" s="160">
        <v>45358</v>
      </c>
      <c r="M2280" s="115">
        <v>1040.8</v>
      </c>
      <c r="N2280" s="115">
        <v>1052.05</v>
      </c>
      <c r="O2280" s="115">
        <v>1025.55</v>
      </c>
      <c r="P2280" s="115">
        <v>1027.1500000000001</v>
      </c>
      <c r="Q2280" s="115">
        <v>1040.8</v>
      </c>
      <c r="R2280">
        <v>27829</v>
      </c>
    </row>
    <row r="2281" spans="1:18" x14ac:dyDescent="0.25">
      <c r="A2281" s="160">
        <v>45387</v>
      </c>
      <c r="B2281" s="115">
        <v>3470</v>
      </c>
      <c r="C2281" s="115">
        <v>3407.7</v>
      </c>
      <c r="D2281" s="115">
        <v>3315</v>
      </c>
      <c r="E2281" s="115">
        <v>3387.95</v>
      </c>
      <c r="F2281" s="115">
        <v>3407.7</v>
      </c>
      <c r="G2281">
        <v>3103</v>
      </c>
      <c r="H2281" s="115"/>
      <c r="I2281" s="115"/>
      <c r="L2281" s="160">
        <v>45362</v>
      </c>
      <c r="M2281" s="115">
        <v>1027.6500000000001</v>
      </c>
      <c r="N2281" s="115">
        <v>1064.95</v>
      </c>
      <c r="O2281" s="115">
        <v>1020</v>
      </c>
      <c r="P2281" s="115">
        <v>1043</v>
      </c>
      <c r="Q2281" s="115">
        <v>1027.6500000000001</v>
      </c>
      <c r="R2281">
        <v>27145</v>
      </c>
    </row>
    <row r="2282" spans="1:18" x14ac:dyDescent="0.25">
      <c r="A2282" s="160">
        <v>45390</v>
      </c>
      <c r="B2282" s="115">
        <v>3450</v>
      </c>
      <c r="C2282" s="115">
        <v>3436.7</v>
      </c>
      <c r="D2282" s="115">
        <v>3356</v>
      </c>
      <c r="E2282" s="115">
        <v>3405</v>
      </c>
      <c r="F2282" s="115">
        <v>3436.7</v>
      </c>
      <c r="G2282">
        <v>2344</v>
      </c>
      <c r="H2282" s="115"/>
      <c r="I2282" s="115"/>
      <c r="L2282" s="160">
        <v>45363</v>
      </c>
      <c r="M2282" s="115">
        <v>1038.6500000000001</v>
      </c>
      <c r="N2282" s="115">
        <v>1050</v>
      </c>
      <c r="O2282" s="115">
        <v>1016</v>
      </c>
      <c r="P2282" s="115">
        <v>1031</v>
      </c>
      <c r="Q2282" s="115">
        <v>1038.6500000000001</v>
      </c>
      <c r="R2282">
        <v>22481</v>
      </c>
    </row>
    <row r="2283" spans="1:18" x14ac:dyDescent="0.25">
      <c r="A2283" s="160">
        <v>45391</v>
      </c>
      <c r="B2283" s="115">
        <v>3456.85</v>
      </c>
      <c r="C2283" s="115">
        <v>3381.6</v>
      </c>
      <c r="D2283" s="115">
        <v>3299.95</v>
      </c>
      <c r="E2283" s="115">
        <v>3440.15</v>
      </c>
      <c r="F2283" s="115">
        <v>3381.6</v>
      </c>
      <c r="G2283">
        <v>2656</v>
      </c>
      <c r="H2283" s="115"/>
      <c r="I2283" s="115"/>
      <c r="L2283" s="160">
        <v>45364</v>
      </c>
      <c r="M2283" s="115">
        <v>982.5</v>
      </c>
      <c r="N2283" s="115">
        <v>1057.4000000000001</v>
      </c>
      <c r="O2283" s="115">
        <v>963.35</v>
      </c>
      <c r="P2283" s="115">
        <v>1037.0999999999999</v>
      </c>
      <c r="Q2283" s="115">
        <v>982.5</v>
      </c>
      <c r="R2283">
        <v>52239</v>
      </c>
    </row>
    <row r="2284" spans="1:18" x14ac:dyDescent="0.25">
      <c r="A2284" s="160">
        <v>45392</v>
      </c>
      <c r="B2284" s="115">
        <v>3394</v>
      </c>
      <c r="C2284" s="115">
        <v>3362.4</v>
      </c>
      <c r="D2284" s="115">
        <v>3336.1</v>
      </c>
      <c r="E2284" s="115">
        <v>3336.15</v>
      </c>
      <c r="F2284" s="115">
        <v>3362.4</v>
      </c>
      <c r="G2284">
        <v>935</v>
      </c>
      <c r="H2284" s="115"/>
      <c r="I2284" s="115"/>
      <c r="L2284" s="160">
        <v>45365</v>
      </c>
      <c r="M2284" s="115">
        <v>1005.75</v>
      </c>
      <c r="N2284" s="115">
        <v>1019</v>
      </c>
      <c r="O2284" s="115">
        <v>965</v>
      </c>
      <c r="P2284" s="115">
        <v>987.4</v>
      </c>
      <c r="Q2284" s="115">
        <v>1005.75</v>
      </c>
      <c r="R2284">
        <v>63194</v>
      </c>
    </row>
    <row r="2285" spans="1:18" x14ac:dyDescent="0.25">
      <c r="A2285" s="160">
        <v>45394</v>
      </c>
      <c r="B2285" s="115">
        <v>3387.85</v>
      </c>
      <c r="C2285" s="115">
        <v>3350.8</v>
      </c>
      <c r="D2285" s="115">
        <v>3257.85</v>
      </c>
      <c r="E2285" s="115">
        <v>3369.95</v>
      </c>
      <c r="F2285" s="115">
        <v>3350.8</v>
      </c>
      <c r="G2285">
        <v>3301</v>
      </c>
      <c r="H2285" s="115"/>
      <c r="I2285" s="115"/>
      <c r="L2285" s="160">
        <v>45366</v>
      </c>
      <c r="M2285" s="115">
        <v>990.8</v>
      </c>
      <c r="N2285" s="115">
        <v>1026.3</v>
      </c>
      <c r="O2285" s="115">
        <v>967.2</v>
      </c>
      <c r="P2285" s="115">
        <v>1010</v>
      </c>
      <c r="Q2285" s="115">
        <v>990.8</v>
      </c>
      <c r="R2285">
        <v>32041</v>
      </c>
    </row>
    <row r="2286" spans="1:18" x14ac:dyDescent="0.25">
      <c r="A2286" s="160">
        <v>45397</v>
      </c>
      <c r="B2286" s="115">
        <v>3430</v>
      </c>
      <c r="C2286" s="115">
        <v>3419.55</v>
      </c>
      <c r="D2286" s="115">
        <v>3226</v>
      </c>
      <c r="E2286" s="115">
        <v>3350</v>
      </c>
      <c r="F2286" s="115">
        <v>3419.55</v>
      </c>
      <c r="G2286">
        <v>2726</v>
      </c>
      <c r="H2286" s="115"/>
      <c r="I2286" s="115"/>
      <c r="L2286" s="160">
        <v>45369</v>
      </c>
      <c r="M2286" s="115">
        <v>971.3</v>
      </c>
      <c r="N2286" s="115">
        <v>1010.9</v>
      </c>
      <c r="O2286" s="115">
        <v>964.6</v>
      </c>
      <c r="P2286" s="115">
        <v>992</v>
      </c>
      <c r="Q2286" s="115">
        <v>971.3</v>
      </c>
      <c r="R2286">
        <v>33563</v>
      </c>
    </row>
    <row r="2287" spans="1:18" x14ac:dyDescent="0.25">
      <c r="A2287" s="160">
        <v>45398</v>
      </c>
      <c r="B2287" s="115">
        <v>3600.5</v>
      </c>
      <c r="C2287" s="115">
        <v>3593.5</v>
      </c>
      <c r="D2287" s="115">
        <v>3369</v>
      </c>
      <c r="E2287" s="115">
        <v>3418</v>
      </c>
      <c r="F2287" s="115">
        <v>3593.5</v>
      </c>
      <c r="G2287">
        <v>11797</v>
      </c>
      <c r="H2287" s="115"/>
      <c r="I2287" s="115"/>
      <c r="L2287" s="160">
        <v>45370</v>
      </c>
      <c r="M2287" s="115">
        <v>973.8</v>
      </c>
      <c r="N2287" s="115">
        <v>988.25</v>
      </c>
      <c r="O2287" s="115">
        <v>965.1</v>
      </c>
      <c r="P2287" s="115">
        <v>979</v>
      </c>
      <c r="Q2287" s="115">
        <v>973.8</v>
      </c>
      <c r="R2287">
        <v>27358</v>
      </c>
    </row>
    <row r="2288" spans="1:18" x14ac:dyDescent="0.25">
      <c r="A2288" s="160">
        <v>45400</v>
      </c>
      <c r="B2288" s="115">
        <v>3601</v>
      </c>
      <c r="C2288" s="115">
        <v>3520.7</v>
      </c>
      <c r="D2288" s="115">
        <v>3461</v>
      </c>
      <c r="E2288" s="115">
        <v>3597</v>
      </c>
      <c r="F2288" s="115">
        <v>3520.7</v>
      </c>
      <c r="G2288">
        <v>6605</v>
      </c>
      <c r="H2288" s="115"/>
      <c r="I2288" s="115"/>
      <c r="L2288" s="160">
        <v>45371</v>
      </c>
      <c r="M2288" s="115">
        <v>946.7</v>
      </c>
      <c r="N2288" s="115">
        <v>1014.95</v>
      </c>
      <c r="O2288" s="115">
        <v>933.8</v>
      </c>
      <c r="P2288" s="115">
        <v>976</v>
      </c>
      <c r="Q2288" s="115">
        <v>946.7</v>
      </c>
      <c r="R2288">
        <v>131016</v>
      </c>
    </row>
    <row r="2289" spans="1:18" x14ac:dyDescent="0.25">
      <c r="A2289" s="160">
        <v>45401</v>
      </c>
      <c r="B2289" s="115">
        <v>3555.5</v>
      </c>
      <c r="C2289" s="115">
        <v>3499.8</v>
      </c>
      <c r="D2289" s="115">
        <v>3456</v>
      </c>
      <c r="E2289" s="115">
        <v>3520.25</v>
      </c>
      <c r="F2289" s="115">
        <v>3499.8</v>
      </c>
      <c r="G2289">
        <v>1812</v>
      </c>
      <c r="H2289" s="115"/>
      <c r="I2289" s="115"/>
      <c r="L2289" s="160">
        <v>45372</v>
      </c>
      <c r="M2289" s="115">
        <v>950.7</v>
      </c>
      <c r="N2289" s="115">
        <v>981.15</v>
      </c>
      <c r="O2289" s="115">
        <v>945</v>
      </c>
      <c r="P2289" s="115">
        <v>951.05</v>
      </c>
      <c r="Q2289" s="115">
        <v>950.7</v>
      </c>
      <c r="R2289">
        <v>39708</v>
      </c>
    </row>
    <row r="2290" spans="1:18" x14ac:dyDescent="0.25">
      <c r="A2290" s="160">
        <v>45404</v>
      </c>
      <c r="B2290" s="115">
        <v>3625.5</v>
      </c>
      <c r="C2290" s="115">
        <v>3624.7</v>
      </c>
      <c r="D2290" s="115">
        <v>3515.05</v>
      </c>
      <c r="E2290" s="115">
        <v>3585</v>
      </c>
      <c r="F2290" s="115">
        <v>3624.7</v>
      </c>
      <c r="G2290">
        <v>5801</v>
      </c>
      <c r="H2290" s="115"/>
      <c r="I2290" s="115"/>
      <c r="L2290" s="160">
        <v>45373</v>
      </c>
      <c r="M2290" s="115">
        <v>958.5</v>
      </c>
      <c r="N2290" s="115">
        <v>970</v>
      </c>
      <c r="O2290" s="115">
        <v>946.9</v>
      </c>
      <c r="P2290" s="115">
        <v>953.95</v>
      </c>
      <c r="Q2290" s="115">
        <v>958.5</v>
      </c>
      <c r="R2290">
        <v>23442</v>
      </c>
    </row>
    <row r="2291" spans="1:18" x14ac:dyDescent="0.25">
      <c r="A2291" s="160">
        <v>45405</v>
      </c>
      <c r="B2291" s="115">
        <v>3625</v>
      </c>
      <c r="C2291" s="115">
        <v>3593.65</v>
      </c>
      <c r="D2291" s="115">
        <v>3555</v>
      </c>
      <c r="E2291" s="115">
        <v>3625</v>
      </c>
      <c r="F2291" s="115">
        <v>3593.65</v>
      </c>
      <c r="G2291">
        <v>3466</v>
      </c>
      <c r="H2291" s="115"/>
      <c r="I2291" s="115"/>
      <c r="L2291" s="160">
        <v>45377</v>
      </c>
      <c r="M2291" s="115">
        <v>963.25</v>
      </c>
      <c r="N2291" s="115">
        <v>975</v>
      </c>
      <c r="O2291" s="115">
        <v>948.5</v>
      </c>
      <c r="P2291" s="115">
        <v>956.25</v>
      </c>
      <c r="Q2291" s="115">
        <v>963.25</v>
      </c>
      <c r="R2291">
        <v>30769</v>
      </c>
    </row>
    <row r="2292" spans="1:18" x14ac:dyDescent="0.25">
      <c r="A2292" s="160">
        <v>45406</v>
      </c>
      <c r="B2292" s="115">
        <v>3600</v>
      </c>
      <c r="C2292" s="115">
        <v>3524</v>
      </c>
      <c r="D2292" s="115">
        <v>3520</v>
      </c>
      <c r="E2292" s="115">
        <v>3600</v>
      </c>
      <c r="F2292" s="115">
        <v>3524</v>
      </c>
      <c r="G2292">
        <v>2780</v>
      </c>
      <c r="H2292" s="115"/>
      <c r="I2292" s="115"/>
      <c r="L2292" s="160">
        <v>45378</v>
      </c>
      <c r="M2292" s="115">
        <v>1016.3</v>
      </c>
      <c r="N2292" s="115">
        <v>1030</v>
      </c>
      <c r="O2292" s="115">
        <v>957.8</v>
      </c>
      <c r="P2292" s="115">
        <v>957.8</v>
      </c>
      <c r="Q2292" s="115">
        <v>1016.3</v>
      </c>
      <c r="R2292">
        <v>98672</v>
      </c>
    </row>
    <row r="2293" spans="1:18" x14ac:dyDescent="0.25">
      <c r="A2293" s="160">
        <v>45407</v>
      </c>
      <c r="B2293" s="115">
        <v>3700.5</v>
      </c>
      <c r="C2293" s="115">
        <v>3689.25</v>
      </c>
      <c r="D2293" s="115">
        <v>3525.1</v>
      </c>
      <c r="E2293" s="115">
        <v>3589.5</v>
      </c>
      <c r="F2293" s="115">
        <v>3689.25</v>
      </c>
      <c r="G2293">
        <v>22338</v>
      </c>
      <c r="H2293" s="115"/>
      <c r="I2293" s="115"/>
      <c r="L2293" s="160">
        <v>45379</v>
      </c>
      <c r="M2293" s="115">
        <v>1025.8499999999999</v>
      </c>
      <c r="N2293" s="115">
        <v>1034.75</v>
      </c>
      <c r="O2293" s="115">
        <v>996.05</v>
      </c>
      <c r="P2293" s="115">
        <v>1021</v>
      </c>
      <c r="Q2293" s="115">
        <v>1025.8499999999999</v>
      </c>
      <c r="R2293">
        <v>57997</v>
      </c>
    </row>
    <row r="2294" spans="1:18" x14ac:dyDescent="0.25">
      <c r="A2294" s="160">
        <v>45408</v>
      </c>
      <c r="B2294" s="115">
        <v>3759.6</v>
      </c>
      <c r="C2294" s="115">
        <v>3724.35</v>
      </c>
      <c r="D2294" s="115">
        <v>3662.35</v>
      </c>
      <c r="E2294" s="115">
        <v>3725</v>
      </c>
      <c r="F2294" s="115">
        <v>3724.35</v>
      </c>
      <c r="G2294">
        <v>13992</v>
      </c>
      <c r="H2294" s="115"/>
      <c r="I2294" s="115"/>
      <c r="L2294" s="160">
        <v>45383</v>
      </c>
      <c r="M2294" s="115">
        <v>1005.6</v>
      </c>
      <c r="N2294" s="115">
        <v>1052</v>
      </c>
      <c r="O2294" s="115">
        <v>1000</v>
      </c>
      <c r="P2294" s="115">
        <v>1052</v>
      </c>
      <c r="Q2294" s="115">
        <v>1005.6</v>
      </c>
      <c r="R2294">
        <v>42967</v>
      </c>
    </row>
    <row r="2295" spans="1:18" x14ac:dyDescent="0.25">
      <c r="A2295" s="160">
        <v>45411</v>
      </c>
      <c r="B2295" s="115">
        <v>3750</v>
      </c>
      <c r="C2295" s="115">
        <v>3738.45</v>
      </c>
      <c r="D2295" s="115">
        <v>3665</v>
      </c>
      <c r="E2295" s="115">
        <v>3750</v>
      </c>
      <c r="F2295" s="115">
        <v>3738.45</v>
      </c>
      <c r="G2295">
        <v>5143</v>
      </c>
      <c r="H2295" s="115"/>
      <c r="I2295" s="115"/>
      <c r="L2295" s="160">
        <v>45384</v>
      </c>
      <c r="M2295" s="115">
        <v>1051.9000000000001</v>
      </c>
      <c r="N2295" s="115">
        <v>1060</v>
      </c>
      <c r="O2295" s="115">
        <v>1018.05</v>
      </c>
      <c r="P2295" s="115">
        <v>1048</v>
      </c>
      <c r="Q2295" s="115">
        <v>1051.9000000000001</v>
      </c>
      <c r="R2295">
        <v>47172</v>
      </c>
    </row>
    <row r="2296" spans="1:18" x14ac:dyDescent="0.25">
      <c r="A2296" s="160">
        <v>45412</v>
      </c>
      <c r="B2296" s="115">
        <v>3744.85</v>
      </c>
      <c r="C2296" s="115">
        <v>3709.15</v>
      </c>
      <c r="D2296" s="115">
        <v>3700</v>
      </c>
      <c r="E2296" s="115">
        <v>3733.95</v>
      </c>
      <c r="F2296" s="115">
        <v>3709.15</v>
      </c>
      <c r="G2296">
        <v>5653</v>
      </c>
      <c r="H2296" s="115"/>
      <c r="I2296" s="115"/>
      <c r="L2296" s="160">
        <v>45385</v>
      </c>
      <c r="M2296" s="115">
        <v>1088.6500000000001</v>
      </c>
      <c r="N2296" s="115">
        <v>1098.95</v>
      </c>
      <c r="O2296" s="115">
        <v>1020.05</v>
      </c>
      <c r="P2296" s="115">
        <v>1052.05</v>
      </c>
      <c r="Q2296" s="115">
        <v>1088.6500000000001</v>
      </c>
      <c r="R2296">
        <v>69662</v>
      </c>
    </row>
    <row r="2297" spans="1:18" x14ac:dyDescent="0.25">
      <c r="A2297" s="160">
        <v>45414</v>
      </c>
      <c r="B2297" s="115">
        <v>3750</v>
      </c>
      <c r="C2297" s="115">
        <v>3741.8</v>
      </c>
      <c r="D2297" s="115">
        <v>3711</v>
      </c>
      <c r="E2297" s="115">
        <v>3725</v>
      </c>
      <c r="F2297" s="115">
        <v>3741.8</v>
      </c>
      <c r="G2297">
        <v>5036</v>
      </c>
      <c r="H2297" s="115"/>
      <c r="I2297" s="115"/>
      <c r="L2297" s="160">
        <v>45386</v>
      </c>
      <c r="M2297" s="115">
        <v>1087.1500000000001</v>
      </c>
      <c r="N2297" s="115">
        <v>1104.5999999999999</v>
      </c>
      <c r="O2297" s="115">
        <v>1067</v>
      </c>
      <c r="P2297" s="115">
        <v>1098</v>
      </c>
      <c r="Q2297" s="115">
        <v>1087.1500000000001</v>
      </c>
      <c r="R2297">
        <v>16055</v>
      </c>
    </row>
    <row r="2298" spans="1:18" x14ac:dyDescent="0.25">
      <c r="A2298" s="160">
        <v>45415</v>
      </c>
      <c r="B2298" s="115">
        <v>3765</v>
      </c>
      <c r="C2298" s="115">
        <v>3762.55</v>
      </c>
      <c r="D2298" s="115">
        <v>3716.1</v>
      </c>
      <c r="E2298" s="115">
        <v>3716.1</v>
      </c>
      <c r="F2298" s="115">
        <v>3762.55</v>
      </c>
      <c r="G2298">
        <v>6133</v>
      </c>
      <c r="H2298" s="115"/>
      <c r="I2298" s="115"/>
      <c r="L2298" s="160">
        <v>45387</v>
      </c>
      <c r="M2298" s="115">
        <v>1096.5999999999999</v>
      </c>
      <c r="N2298" s="115">
        <v>1100</v>
      </c>
      <c r="O2298" s="115">
        <v>1068.0999999999999</v>
      </c>
      <c r="P2298" s="115">
        <v>1088.8</v>
      </c>
      <c r="Q2298" s="115">
        <v>1096.5999999999999</v>
      </c>
      <c r="R2298">
        <v>21226</v>
      </c>
    </row>
    <row r="2299" spans="1:18" x14ac:dyDescent="0.25">
      <c r="A2299" s="160">
        <v>45418</v>
      </c>
      <c r="B2299" s="115">
        <v>3780</v>
      </c>
      <c r="C2299" s="115">
        <v>3764.2</v>
      </c>
      <c r="D2299" s="115">
        <v>3743.05</v>
      </c>
      <c r="E2299" s="115">
        <v>3765</v>
      </c>
      <c r="F2299" s="115">
        <v>3764.2</v>
      </c>
      <c r="G2299">
        <v>8329</v>
      </c>
      <c r="H2299" s="115"/>
      <c r="I2299" s="115"/>
      <c r="L2299" s="160">
        <v>45390</v>
      </c>
      <c r="M2299" s="115">
        <v>1152.75</v>
      </c>
      <c r="N2299" s="115">
        <v>1158.95</v>
      </c>
      <c r="O2299" s="115">
        <v>1100.05</v>
      </c>
      <c r="P2299" s="115">
        <v>1105.6500000000001</v>
      </c>
      <c r="Q2299" s="115">
        <v>1152.75</v>
      </c>
      <c r="R2299">
        <v>77700</v>
      </c>
    </row>
    <row r="2300" spans="1:18" x14ac:dyDescent="0.25">
      <c r="A2300" s="160">
        <v>45419</v>
      </c>
      <c r="B2300" s="115">
        <v>3780</v>
      </c>
      <c r="C2300" s="115">
        <v>3684.25</v>
      </c>
      <c r="D2300" s="115">
        <v>3580.05</v>
      </c>
      <c r="E2300" s="115">
        <v>3775</v>
      </c>
      <c r="F2300" s="115">
        <v>3684.25</v>
      </c>
      <c r="G2300">
        <v>6732</v>
      </c>
      <c r="H2300" s="115"/>
      <c r="I2300" s="115"/>
      <c r="L2300" s="160">
        <v>45391</v>
      </c>
      <c r="M2300" s="115">
        <v>1170.8499999999999</v>
      </c>
      <c r="N2300" s="115">
        <v>1175.55</v>
      </c>
      <c r="O2300" s="115">
        <v>1131</v>
      </c>
      <c r="P2300" s="115">
        <v>1160</v>
      </c>
      <c r="Q2300" s="115">
        <v>1170.8499999999999</v>
      </c>
      <c r="R2300">
        <v>41847</v>
      </c>
    </row>
    <row r="2301" spans="1:18" x14ac:dyDescent="0.25">
      <c r="A2301" s="160">
        <v>45420</v>
      </c>
      <c r="B2301" s="115">
        <v>3780</v>
      </c>
      <c r="C2301" s="115">
        <v>3767.15</v>
      </c>
      <c r="D2301" s="115">
        <v>3684.25</v>
      </c>
      <c r="E2301" s="115">
        <v>3684.25</v>
      </c>
      <c r="F2301" s="115">
        <v>3767.15</v>
      </c>
      <c r="G2301">
        <v>2318</v>
      </c>
      <c r="H2301" s="115"/>
      <c r="I2301" s="115"/>
      <c r="L2301" s="160">
        <v>45392</v>
      </c>
      <c r="M2301" s="115">
        <v>1178.8499999999999</v>
      </c>
      <c r="N2301" s="115">
        <v>1184.9000000000001</v>
      </c>
      <c r="O2301" s="115">
        <v>1147.1500000000001</v>
      </c>
      <c r="P2301" s="115">
        <v>1177</v>
      </c>
      <c r="Q2301" s="115">
        <v>1178.8499999999999</v>
      </c>
      <c r="R2301">
        <v>29731</v>
      </c>
    </row>
    <row r="2302" spans="1:18" x14ac:dyDescent="0.25">
      <c r="A2302" s="160">
        <v>45421</v>
      </c>
      <c r="B2302" s="115">
        <v>3785</v>
      </c>
      <c r="C2302" s="115">
        <v>3638.75</v>
      </c>
      <c r="D2302" s="115">
        <v>3610</v>
      </c>
      <c r="E2302" s="115">
        <v>3770</v>
      </c>
      <c r="F2302" s="115">
        <v>3638.75</v>
      </c>
      <c r="G2302">
        <v>4044</v>
      </c>
      <c r="H2302" s="115"/>
      <c r="I2302" s="115"/>
      <c r="L2302" s="160">
        <v>45394</v>
      </c>
      <c r="M2302" s="115">
        <v>1197.6500000000001</v>
      </c>
      <c r="N2302" s="115">
        <v>1201</v>
      </c>
      <c r="O2302" s="115">
        <v>1155.05</v>
      </c>
      <c r="P2302" s="115">
        <v>1178</v>
      </c>
      <c r="Q2302" s="115">
        <v>1197.6500000000001</v>
      </c>
      <c r="R2302">
        <v>36558</v>
      </c>
    </row>
    <row r="2303" spans="1:18" x14ac:dyDescent="0.25">
      <c r="A2303" s="160">
        <v>45422</v>
      </c>
      <c r="B2303" s="115">
        <v>3638.75</v>
      </c>
      <c r="C2303" s="115">
        <v>3505.35</v>
      </c>
      <c r="D2303" s="115">
        <v>3461</v>
      </c>
      <c r="E2303" s="115">
        <v>3638.75</v>
      </c>
      <c r="F2303" s="115">
        <v>3505.35</v>
      </c>
      <c r="G2303">
        <v>5687</v>
      </c>
      <c r="H2303" s="115"/>
      <c r="I2303" s="115"/>
      <c r="L2303" s="160">
        <v>45397</v>
      </c>
      <c r="M2303" s="115">
        <v>1184.25</v>
      </c>
      <c r="N2303" s="115">
        <v>1198</v>
      </c>
      <c r="O2303" s="115">
        <v>1133.0999999999999</v>
      </c>
      <c r="P2303" s="115">
        <v>1195</v>
      </c>
      <c r="Q2303" s="115">
        <v>1184.25</v>
      </c>
      <c r="R2303">
        <v>37583</v>
      </c>
    </row>
    <row r="2304" spans="1:18" x14ac:dyDescent="0.25">
      <c r="A2304" s="160">
        <v>45425</v>
      </c>
      <c r="B2304" s="115">
        <v>3858</v>
      </c>
      <c r="C2304" s="115">
        <v>3793.75</v>
      </c>
      <c r="D2304" s="115">
        <v>3480</v>
      </c>
      <c r="E2304" s="115">
        <v>3515</v>
      </c>
      <c r="F2304" s="115">
        <v>3793.75</v>
      </c>
      <c r="G2304">
        <v>10925</v>
      </c>
      <c r="H2304" s="115"/>
      <c r="I2304" s="115"/>
      <c r="L2304" s="160">
        <v>45398</v>
      </c>
      <c r="M2304" s="115">
        <v>1223.45</v>
      </c>
      <c r="N2304" s="115">
        <v>1233.9000000000001</v>
      </c>
      <c r="O2304" s="115">
        <v>1141.6500000000001</v>
      </c>
      <c r="P2304" s="115">
        <v>1177.9000000000001</v>
      </c>
      <c r="Q2304" s="115">
        <v>1223.45</v>
      </c>
      <c r="R2304">
        <v>85666</v>
      </c>
    </row>
    <row r="2305" spans="1:18" x14ac:dyDescent="0.25">
      <c r="A2305" s="160">
        <v>45426</v>
      </c>
      <c r="B2305" s="115">
        <v>3379.9</v>
      </c>
      <c r="C2305" s="115">
        <v>3293.45</v>
      </c>
      <c r="D2305" s="115">
        <v>3126.1</v>
      </c>
      <c r="E2305" s="115">
        <v>3126.1</v>
      </c>
      <c r="F2305" s="115">
        <v>3293.45</v>
      </c>
      <c r="G2305">
        <v>39267</v>
      </c>
      <c r="H2305" s="115"/>
      <c r="I2305" s="115"/>
      <c r="L2305" s="160">
        <v>45400</v>
      </c>
      <c r="M2305" s="115">
        <v>1265.4000000000001</v>
      </c>
      <c r="N2305" s="115">
        <v>1283</v>
      </c>
      <c r="O2305" s="115">
        <v>1210.7</v>
      </c>
      <c r="P2305" s="115">
        <v>1223.45</v>
      </c>
      <c r="Q2305" s="115">
        <v>1265.4000000000001</v>
      </c>
      <c r="R2305">
        <v>141923</v>
      </c>
    </row>
    <row r="2306" spans="1:18" x14ac:dyDescent="0.25">
      <c r="A2306" s="160">
        <v>45427</v>
      </c>
      <c r="B2306" s="115">
        <v>3344.85</v>
      </c>
      <c r="C2306" s="115">
        <v>3208.4</v>
      </c>
      <c r="D2306" s="115">
        <v>3199.9</v>
      </c>
      <c r="E2306" s="115">
        <v>3293.45</v>
      </c>
      <c r="F2306" s="115">
        <v>3208.4</v>
      </c>
      <c r="G2306">
        <v>10922</v>
      </c>
      <c r="H2306" s="115"/>
      <c r="I2306" s="115"/>
      <c r="L2306" s="160">
        <v>45401</v>
      </c>
      <c r="M2306" s="115">
        <v>1261.25</v>
      </c>
      <c r="N2306" s="115">
        <v>1276.8</v>
      </c>
      <c r="O2306" s="115">
        <v>1240</v>
      </c>
      <c r="P2306" s="115">
        <v>1271.7</v>
      </c>
      <c r="Q2306" s="115">
        <v>1261.25</v>
      </c>
      <c r="R2306">
        <v>84034</v>
      </c>
    </row>
    <row r="2307" spans="1:18" x14ac:dyDescent="0.25">
      <c r="A2307" s="160">
        <v>45428</v>
      </c>
      <c r="B2307" s="115">
        <v>3480</v>
      </c>
      <c r="C2307" s="115">
        <v>3383.85</v>
      </c>
      <c r="D2307" s="115">
        <v>3210</v>
      </c>
      <c r="E2307" s="115">
        <v>3216</v>
      </c>
      <c r="F2307" s="115">
        <v>3383.85</v>
      </c>
      <c r="G2307">
        <v>14945</v>
      </c>
      <c r="H2307" s="115"/>
      <c r="I2307" s="115"/>
      <c r="L2307" s="160">
        <v>45404</v>
      </c>
      <c r="M2307" s="115">
        <v>1323.85</v>
      </c>
      <c r="N2307" s="115">
        <v>1395.9</v>
      </c>
      <c r="O2307" s="115">
        <v>1254.05</v>
      </c>
      <c r="P2307" s="115">
        <v>1263</v>
      </c>
      <c r="Q2307" s="115">
        <v>1323.85</v>
      </c>
      <c r="R2307">
        <v>59405</v>
      </c>
    </row>
    <row r="2308" spans="1:18" x14ac:dyDescent="0.25">
      <c r="A2308" s="160">
        <v>45429</v>
      </c>
      <c r="B2308" s="115">
        <v>3949.95</v>
      </c>
      <c r="C2308" s="115">
        <v>3799.8</v>
      </c>
      <c r="D2308" s="115">
        <v>3399.65</v>
      </c>
      <c r="E2308" s="115">
        <v>3399.65</v>
      </c>
      <c r="F2308" s="115">
        <v>3799.8</v>
      </c>
      <c r="G2308">
        <v>21880</v>
      </c>
      <c r="H2308" s="115"/>
      <c r="I2308" s="115"/>
      <c r="L2308" s="160">
        <v>45405</v>
      </c>
      <c r="M2308" s="115">
        <v>1375.25</v>
      </c>
      <c r="N2308" s="115">
        <v>1398.7</v>
      </c>
      <c r="O2308" s="115">
        <v>1335.95</v>
      </c>
      <c r="P2308" s="115">
        <v>1356.9</v>
      </c>
      <c r="Q2308" s="115">
        <v>1375.25</v>
      </c>
      <c r="R2308">
        <v>103584</v>
      </c>
    </row>
    <row r="2309" spans="1:18" x14ac:dyDescent="0.25">
      <c r="A2309" s="160">
        <v>45430</v>
      </c>
      <c r="B2309" s="115">
        <v>3929.8</v>
      </c>
      <c r="C2309" s="115">
        <v>3887.2</v>
      </c>
      <c r="D2309" s="115">
        <v>3796.95</v>
      </c>
      <c r="E2309" s="115">
        <v>3800</v>
      </c>
      <c r="F2309" s="115">
        <v>3887.2</v>
      </c>
      <c r="G2309">
        <v>3965</v>
      </c>
      <c r="H2309" s="115"/>
      <c r="I2309" s="115"/>
      <c r="L2309" s="160">
        <v>45406</v>
      </c>
      <c r="M2309" s="115">
        <v>1349.85</v>
      </c>
      <c r="N2309" s="115">
        <v>1385.25</v>
      </c>
      <c r="O2309" s="115">
        <v>1340</v>
      </c>
      <c r="P2309" s="115">
        <v>1376.95</v>
      </c>
      <c r="Q2309" s="115">
        <v>1349.85</v>
      </c>
      <c r="R2309">
        <v>38912</v>
      </c>
    </row>
    <row r="2310" spans="1:18" x14ac:dyDescent="0.25">
      <c r="A2310" s="160">
        <v>45433</v>
      </c>
      <c r="B2310" s="115">
        <v>4064</v>
      </c>
      <c r="C2310" s="115">
        <v>3968.9</v>
      </c>
      <c r="D2310" s="115">
        <v>3816.15</v>
      </c>
      <c r="E2310" s="115">
        <v>3850</v>
      </c>
      <c r="F2310" s="115">
        <v>3968.9</v>
      </c>
      <c r="G2310">
        <v>10285</v>
      </c>
      <c r="H2310" s="115"/>
      <c r="I2310" s="115"/>
      <c r="L2310" s="160">
        <v>45407</v>
      </c>
      <c r="M2310" s="115">
        <v>1349.8</v>
      </c>
      <c r="N2310" s="115">
        <v>1360</v>
      </c>
      <c r="O2310" s="115">
        <v>1290.3499999999999</v>
      </c>
      <c r="P2310" s="115">
        <v>1346.05</v>
      </c>
      <c r="Q2310" s="115">
        <v>1349.8</v>
      </c>
      <c r="R2310">
        <v>73465</v>
      </c>
    </row>
    <row r="2311" spans="1:18" x14ac:dyDescent="0.25">
      <c r="A2311" s="160">
        <v>45434</v>
      </c>
      <c r="B2311" s="115">
        <v>4047.95</v>
      </c>
      <c r="C2311" s="115">
        <v>4003.2</v>
      </c>
      <c r="D2311" s="115">
        <v>3940</v>
      </c>
      <c r="E2311" s="115">
        <v>3979.9</v>
      </c>
      <c r="F2311" s="115">
        <v>4003.2</v>
      </c>
      <c r="G2311">
        <v>4032</v>
      </c>
      <c r="H2311" s="115"/>
      <c r="I2311" s="115"/>
      <c r="L2311" s="160">
        <v>45408</v>
      </c>
      <c r="M2311" s="115">
        <v>1396.6</v>
      </c>
      <c r="N2311" s="115">
        <v>1424.65</v>
      </c>
      <c r="O2311" s="115">
        <v>1340.95</v>
      </c>
      <c r="P2311" s="115">
        <v>1341</v>
      </c>
      <c r="Q2311" s="115">
        <v>1396.6</v>
      </c>
      <c r="R2311">
        <v>106195</v>
      </c>
    </row>
    <row r="2312" spans="1:18" x14ac:dyDescent="0.25">
      <c r="A2312" s="160">
        <v>45435</v>
      </c>
      <c r="B2312" s="115">
        <v>4019.4</v>
      </c>
      <c r="C2312" s="115">
        <v>3941</v>
      </c>
      <c r="D2312" s="115">
        <v>3900</v>
      </c>
      <c r="E2312" s="115">
        <v>3960</v>
      </c>
      <c r="F2312" s="115">
        <v>3941</v>
      </c>
      <c r="G2312">
        <v>2932</v>
      </c>
      <c r="H2312" s="115"/>
      <c r="I2312" s="115"/>
      <c r="L2312" s="160">
        <v>45411</v>
      </c>
      <c r="M2312" s="115">
        <v>1399.15</v>
      </c>
      <c r="N2312" s="115">
        <v>1428.95</v>
      </c>
      <c r="O2312" s="115">
        <v>1375</v>
      </c>
      <c r="P2312" s="115">
        <v>1411.1</v>
      </c>
      <c r="Q2312" s="115">
        <v>1399.15</v>
      </c>
      <c r="R2312">
        <v>37531</v>
      </c>
    </row>
    <row r="2313" spans="1:18" x14ac:dyDescent="0.25">
      <c r="A2313" s="160">
        <v>45436</v>
      </c>
      <c r="B2313" s="115">
        <v>3900</v>
      </c>
      <c r="C2313" s="115">
        <v>3807.55</v>
      </c>
      <c r="D2313" s="115">
        <v>3702.55</v>
      </c>
      <c r="E2313" s="115">
        <v>3899.95</v>
      </c>
      <c r="F2313" s="115">
        <v>3807.55</v>
      </c>
      <c r="G2313">
        <v>5966</v>
      </c>
      <c r="H2313" s="115"/>
      <c r="I2313" s="115"/>
      <c r="L2313" s="160">
        <v>45412</v>
      </c>
      <c r="M2313" s="115">
        <v>1397.1</v>
      </c>
      <c r="N2313" s="115">
        <v>1415.7</v>
      </c>
      <c r="O2313" s="115">
        <v>1361.05</v>
      </c>
      <c r="P2313" s="115">
        <v>1398.7</v>
      </c>
      <c r="Q2313" s="115">
        <v>1397.1</v>
      </c>
      <c r="R2313">
        <v>43964</v>
      </c>
    </row>
    <row r="2314" spans="1:18" x14ac:dyDescent="0.25">
      <c r="A2314" s="160">
        <v>45439</v>
      </c>
      <c r="B2314" s="115">
        <v>3847.9</v>
      </c>
      <c r="C2314" s="115">
        <v>3737.6</v>
      </c>
      <c r="D2314" s="115">
        <v>3717.55</v>
      </c>
      <c r="E2314" s="115">
        <v>3815</v>
      </c>
      <c r="F2314" s="115">
        <v>3737.6</v>
      </c>
      <c r="G2314">
        <v>2697</v>
      </c>
      <c r="H2314" s="115"/>
      <c r="I2314" s="115"/>
      <c r="L2314" s="160">
        <v>45414</v>
      </c>
      <c r="M2314" s="115">
        <v>1388.9</v>
      </c>
      <c r="N2314" s="115">
        <v>1407.95</v>
      </c>
      <c r="O2314" s="115">
        <v>1372.05</v>
      </c>
      <c r="P2314" s="115">
        <v>1400</v>
      </c>
      <c r="Q2314" s="115">
        <v>1388.9</v>
      </c>
      <c r="R2314">
        <v>38603</v>
      </c>
    </row>
    <row r="2315" spans="1:18" x14ac:dyDescent="0.25">
      <c r="A2315" s="160">
        <v>45440</v>
      </c>
      <c r="B2315" s="115">
        <v>3749</v>
      </c>
      <c r="C2315" s="115">
        <v>3683.85</v>
      </c>
      <c r="D2315" s="115">
        <v>3635.05</v>
      </c>
      <c r="E2315" s="115">
        <v>3681</v>
      </c>
      <c r="F2315" s="115">
        <v>3683.85</v>
      </c>
      <c r="G2315">
        <v>2723</v>
      </c>
      <c r="H2315" s="115"/>
      <c r="I2315" s="115"/>
      <c r="L2315" s="160">
        <v>45415</v>
      </c>
      <c r="M2315" s="115">
        <v>1368.8</v>
      </c>
      <c r="N2315" s="115">
        <v>1400</v>
      </c>
      <c r="O2315" s="115">
        <v>1360.35</v>
      </c>
      <c r="P2315" s="115">
        <v>1400</v>
      </c>
      <c r="Q2315" s="115">
        <v>1368.8</v>
      </c>
      <c r="R2315">
        <v>23646</v>
      </c>
    </row>
    <row r="2316" spans="1:18" x14ac:dyDescent="0.25">
      <c r="A2316" s="160">
        <v>45441</v>
      </c>
      <c r="B2316" s="115">
        <v>3698.65</v>
      </c>
      <c r="C2316" s="115">
        <v>3627.75</v>
      </c>
      <c r="D2316" s="115">
        <v>3615</v>
      </c>
      <c r="E2316" s="115">
        <v>3698.65</v>
      </c>
      <c r="F2316" s="115">
        <v>3627.75</v>
      </c>
      <c r="G2316">
        <v>2109</v>
      </c>
      <c r="H2316" s="115"/>
      <c r="I2316" s="115"/>
      <c r="L2316" s="160">
        <v>45418</v>
      </c>
      <c r="M2316" s="115">
        <v>1390.9</v>
      </c>
      <c r="N2316" s="115">
        <v>1409</v>
      </c>
      <c r="O2316" s="115">
        <v>1342</v>
      </c>
      <c r="P2316" s="115">
        <v>1375.65</v>
      </c>
      <c r="Q2316" s="115">
        <v>1390.9</v>
      </c>
      <c r="R2316">
        <v>37752</v>
      </c>
    </row>
    <row r="2317" spans="1:18" x14ac:dyDescent="0.25">
      <c r="A2317" s="160">
        <v>45442</v>
      </c>
      <c r="B2317" s="115">
        <v>3836.85</v>
      </c>
      <c r="C2317" s="115">
        <v>3681.3</v>
      </c>
      <c r="D2317" s="115">
        <v>3600</v>
      </c>
      <c r="E2317" s="115">
        <v>3605</v>
      </c>
      <c r="F2317" s="115">
        <v>3681.3</v>
      </c>
      <c r="G2317">
        <v>5519</v>
      </c>
      <c r="H2317" s="115"/>
      <c r="I2317" s="115"/>
      <c r="L2317" s="160">
        <v>45419</v>
      </c>
      <c r="M2317" s="115">
        <v>1332.25</v>
      </c>
      <c r="N2317" s="115">
        <v>1397.9</v>
      </c>
      <c r="O2317" s="115">
        <v>1306.75</v>
      </c>
      <c r="P2317" s="115">
        <v>1395.05</v>
      </c>
      <c r="Q2317" s="115">
        <v>1332.25</v>
      </c>
      <c r="R2317">
        <v>57672</v>
      </c>
    </row>
    <row r="2318" spans="1:18" x14ac:dyDescent="0.25">
      <c r="A2318" s="160">
        <v>45443</v>
      </c>
      <c r="B2318" s="115">
        <v>3695</v>
      </c>
      <c r="C2318" s="115">
        <v>3639.15</v>
      </c>
      <c r="D2318" s="115">
        <v>3625</v>
      </c>
      <c r="E2318" s="115">
        <v>3681.3</v>
      </c>
      <c r="F2318" s="115">
        <v>3639.15</v>
      </c>
      <c r="G2318">
        <v>1806</v>
      </c>
      <c r="H2318" s="115"/>
      <c r="I2318" s="115"/>
      <c r="L2318" s="160">
        <v>45420</v>
      </c>
      <c r="M2318" s="115">
        <v>1310.0999999999999</v>
      </c>
      <c r="N2318" s="115">
        <v>1341.1</v>
      </c>
      <c r="O2318" s="115">
        <v>1300</v>
      </c>
      <c r="P2318" s="115">
        <v>1312.25</v>
      </c>
      <c r="Q2318" s="115">
        <v>1310.0999999999999</v>
      </c>
      <c r="R2318">
        <v>31679</v>
      </c>
    </row>
    <row r="2319" spans="1:18" x14ac:dyDescent="0.25">
      <c r="A2319" s="160">
        <v>45446</v>
      </c>
      <c r="B2319" s="115">
        <v>3780</v>
      </c>
      <c r="C2319" s="115">
        <v>3675.85</v>
      </c>
      <c r="D2319" s="115">
        <v>3657</v>
      </c>
      <c r="E2319" s="115">
        <v>3712</v>
      </c>
      <c r="F2319" s="115">
        <v>3675.85</v>
      </c>
      <c r="G2319">
        <v>2640</v>
      </c>
      <c r="H2319" s="115"/>
      <c r="I2319" s="115"/>
      <c r="L2319" s="160">
        <v>45421</v>
      </c>
      <c r="M2319" s="115">
        <v>1270.8499999999999</v>
      </c>
      <c r="N2319" s="115">
        <v>1325</v>
      </c>
      <c r="O2319" s="115">
        <v>1261.1500000000001</v>
      </c>
      <c r="P2319" s="115">
        <v>1320.4</v>
      </c>
      <c r="Q2319" s="115">
        <v>1270.8499999999999</v>
      </c>
      <c r="R2319">
        <v>22373</v>
      </c>
    </row>
    <row r="2320" spans="1:18" x14ac:dyDescent="0.25">
      <c r="A2320" s="160">
        <v>45447</v>
      </c>
      <c r="B2320" s="115">
        <v>3732.4</v>
      </c>
      <c r="C2320" s="115">
        <v>3427.85</v>
      </c>
      <c r="D2320" s="115">
        <v>3255</v>
      </c>
      <c r="E2320" s="115">
        <v>3732.4</v>
      </c>
      <c r="F2320" s="115">
        <v>3427.85</v>
      </c>
      <c r="G2320">
        <v>11450</v>
      </c>
      <c r="H2320" s="115"/>
      <c r="I2320" s="115"/>
      <c r="L2320" s="160">
        <v>45422</v>
      </c>
      <c r="M2320" s="115">
        <v>1281.05</v>
      </c>
      <c r="N2320" s="115">
        <v>1292.95</v>
      </c>
      <c r="O2320" s="115">
        <v>1250.2</v>
      </c>
      <c r="P2320" s="115">
        <v>1270.8499999999999</v>
      </c>
      <c r="Q2320" s="115">
        <v>1281.05</v>
      </c>
      <c r="R2320">
        <v>19589</v>
      </c>
    </row>
    <row r="2321" spans="1:18" x14ac:dyDescent="0.25">
      <c r="A2321" s="160">
        <v>45448</v>
      </c>
      <c r="B2321" s="115">
        <v>3635.95</v>
      </c>
      <c r="C2321" s="115">
        <v>3595.8</v>
      </c>
      <c r="D2321" s="115">
        <v>3250.5</v>
      </c>
      <c r="E2321" s="115">
        <v>3427.85</v>
      </c>
      <c r="F2321" s="115">
        <v>3595.8</v>
      </c>
      <c r="G2321">
        <v>4748</v>
      </c>
      <c r="H2321" s="115"/>
      <c r="I2321" s="115"/>
      <c r="L2321" s="160">
        <v>45425</v>
      </c>
      <c r="M2321" s="115">
        <v>1287.45</v>
      </c>
      <c r="N2321" s="115">
        <v>1303.3</v>
      </c>
      <c r="O2321" s="115">
        <v>1240.05</v>
      </c>
      <c r="P2321" s="115">
        <v>1279.95</v>
      </c>
      <c r="Q2321" s="115">
        <v>1287.45</v>
      </c>
      <c r="R2321">
        <v>43165</v>
      </c>
    </row>
    <row r="2322" spans="1:18" x14ac:dyDescent="0.25">
      <c r="A2322" s="160">
        <v>45449</v>
      </c>
      <c r="B2322" s="115">
        <v>3900.25</v>
      </c>
      <c r="C2322" s="115">
        <v>3763.1</v>
      </c>
      <c r="D2322" s="115">
        <v>3611</v>
      </c>
      <c r="E2322" s="115">
        <v>3611.05</v>
      </c>
      <c r="F2322" s="115">
        <v>3763.1</v>
      </c>
      <c r="G2322">
        <v>5057</v>
      </c>
      <c r="H2322" s="115"/>
      <c r="I2322" s="115"/>
      <c r="L2322" s="160">
        <v>45426</v>
      </c>
      <c r="M2322" s="115">
        <v>1334.95</v>
      </c>
      <c r="N2322" s="115">
        <v>1345</v>
      </c>
      <c r="O2322" s="115">
        <v>1278.3</v>
      </c>
      <c r="P2322" s="115">
        <v>1301.9000000000001</v>
      </c>
      <c r="Q2322" s="115">
        <v>1334.95</v>
      </c>
      <c r="R2322">
        <v>31544</v>
      </c>
    </row>
    <row r="2323" spans="1:18" x14ac:dyDescent="0.25">
      <c r="A2323" s="160">
        <v>45450</v>
      </c>
      <c r="B2323" s="115">
        <v>3939.95</v>
      </c>
      <c r="C2323" s="115">
        <v>3895.25</v>
      </c>
      <c r="D2323" s="115">
        <v>3722.1</v>
      </c>
      <c r="E2323" s="115">
        <v>3795.35</v>
      </c>
      <c r="F2323" s="115">
        <v>3895.25</v>
      </c>
      <c r="G2323">
        <v>2782</v>
      </c>
      <c r="H2323" s="115"/>
      <c r="I2323" s="115"/>
      <c r="L2323" s="160">
        <v>45427</v>
      </c>
      <c r="M2323" s="115">
        <v>1349.95</v>
      </c>
      <c r="N2323" s="115">
        <v>1377.9</v>
      </c>
      <c r="O2323" s="115">
        <v>1314.75</v>
      </c>
      <c r="P2323" s="115">
        <v>1349.9</v>
      </c>
      <c r="Q2323" s="115">
        <v>1349.95</v>
      </c>
      <c r="R2323">
        <v>37641</v>
      </c>
    </row>
    <row r="2324" spans="1:18" x14ac:dyDescent="0.25">
      <c r="A2324" s="160">
        <v>45453</v>
      </c>
      <c r="B2324" s="115">
        <v>4039</v>
      </c>
      <c r="C2324" s="115">
        <v>3965.15</v>
      </c>
      <c r="D2324" s="115">
        <v>3805</v>
      </c>
      <c r="E2324" s="115">
        <v>3895.25</v>
      </c>
      <c r="F2324" s="115">
        <v>3965.15</v>
      </c>
      <c r="G2324">
        <v>6295</v>
      </c>
      <c r="H2324" s="115"/>
      <c r="I2324" s="115"/>
      <c r="L2324" s="160">
        <v>45428</v>
      </c>
      <c r="M2324" s="115">
        <v>1341.15</v>
      </c>
      <c r="N2324" s="115">
        <v>1364.4</v>
      </c>
      <c r="O2324" s="115">
        <v>1329.9</v>
      </c>
      <c r="P2324" s="115">
        <v>1356.7</v>
      </c>
      <c r="Q2324" s="115">
        <v>1341.15</v>
      </c>
      <c r="R2324">
        <v>16867</v>
      </c>
    </row>
    <row r="2325" spans="1:18" x14ac:dyDescent="0.25">
      <c r="A2325" s="160">
        <v>45454</v>
      </c>
      <c r="B2325" s="115">
        <v>3990</v>
      </c>
      <c r="C2325" s="115">
        <v>3969.2</v>
      </c>
      <c r="D2325" s="115">
        <v>3855.1</v>
      </c>
      <c r="E2325" s="115">
        <v>3921.1</v>
      </c>
      <c r="F2325" s="115">
        <v>3969.2</v>
      </c>
      <c r="G2325">
        <v>1679</v>
      </c>
      <c r="H2325" s="115"/>
      <c r="I2325" s="115"/>
      <c r="L2325" s="160">
        <v>45429</v>
      </c>
      <c r="M2325" s="115">
        <v>1323.95</v>
      </c>
      <c r="N2325" s="115">
        <v>1363.4</v>
      </c>
      <c r="O2325" s="115">
        <v>1287.55</v>
      </c>
      <c r="P2325" s="115">
        <v>1347.85</v>
      </c>
      <c r="Q2325" s="115">
        <v>1323.95</v>
      </c>
      <c r="R2325">
        <v>93362</v>
      </c>
    </row>
    <row r="2326" spans="1:18" x14ac:dyDescent="0.25">
      <c r="A2326" s="160">
        <v>45455</v>
      </c>
      <c r="B2326" s="115">
        <v>4200</v>
      </c>
      <c r="C2326" s="115">
        <v>4151.1499999999996</v>
      </c>
      <c r="D2326" s="115">
        <v>3903.35</v>
      </c>
      <c r="E2326" s="115">
        <v>3903.35</v>
      </c>
      <c r="F2326" s="115">
        <v>4151.1499999999996</v>
      </c>
      <c r="G2326">
        <v>8708</v>
      </c>
      <c r="H2326" s="115"/>
      <c r="I2326" s="115"/>
      <c r="L2326" s="160">
        <v>45430</v>
      </c>
      <c r="M2326" s="115">
        <v>1315.65</v>
      </c>
      <c r="N2326" s="115">
        <v>1340</v>
      </c>
      <c r="O2326" s="115">
        <v>1307.05</v>
      </c>
      <c r="P2326" s="115">
        <v>1340</v>
      </c>
      <c r="Q2326" s="115">
        <v>1315.65</v>
      </c>
      <c r="R2326">
        <v>5935</v>
      </c>
    </row>
    <row r="2327" spans="1:18" x14ac:dyDescent="0.25">
      <c r="A2327" s="160">
        <v>45456</v>
      </c>
      <c r="B2327" s="115">
        <v>4339.95</v>
      </c>
      <c r="C2327" s="115">
        <v>4165</v>
      </c>
      <c r="D2327" s="115">
        <v>4113</v>
      </c>
      <c r="E2327" s="115">
        <v>4175</v>
      </c>
      <c r="F2327" s="115">
        <v>4165</v>
      </c>
      <c r="G2327">
        <v>9018</v>
      </c>
      <c r="H2327" s="115"/>
      <c r="I2327" s="115"/>
      <c r="L2327" s="160">
        <v>45433</v>
      </c>
      <c r="M2327" s="115">
        <v>1242.3</v>
      </c>
      <c r="N2327" s="115">
        <v>1335.4</v>
      </c>
      <c r="O2327" s="115">
        <v>1232.8</v>
      </c>
      <c r="P2327" s="115">
        <v>1326.55</v>
      </c>
      <c r="Q2327" s="115">
        <v>1242.3</v>
      </c>
      <c r="R2327">
        <v>87943</v>
      </c>
    </row>
    <row r="2328" spans="1:18" x14ac:dyDescent="0.25">
      <c r="A2328" s="160">
        <v>45457</v>
      </c>
      <c r="B2328" s="115">
        <v>4329</v>
      </c>
      <c r="C2328" s="115">
        <v>4227.95</v>
      </c>
      <c r="D2328" s="115">
        <v>4104.3500000000004</v>
      </c>
      <c r="E2328" s="115">
        <v>4269.8999999999996</v>
      </c>
      <c r="F2328" s="115">
        <v>4227.95</v>
      </c>
      <c r="G2328">
        <v>8777</v>
      </c>
      <c r="H2328" s="115"/>
      <c r="I2328" s="115"/>
      <c r="L2328" s="160">
        <v>45434</v>
      </c>
      <c r="M2328" s="115">
        <v>1281.45</v>
      </c>
      <c r="N2328" s="115">
        <v>1297.9000000000001</v>
      </c>
      <c r="O2328" s="115">
        <v>1243.95</v>
      </c>
      <c r="P2328" s="115">
        <v>1243.95</v>
      </c>
      <c r="Q2328" s="115">
        <v>1281.45</v>
      </c>
      <c r="R2328">
        <v>34549</v>
      </c>
    </row>
    <row r="2329" spans="1:18" x14ac:dyDescent="0.25">
      <c r="A2329" s="160">
        <v>45461</v>
      </c>
      <c r="B2329" s="115">
        <v>4400</v>
      </c>
      <c r="C2329" s="115">
        <v>4351.8500000000004</v>
      </c>
      <c r="D2329" s="115">
        <v>4241.3</v>
      </c>
      <c r="E2329" s="115">
        <v>4241.3</v>
      </c>
      <c r="F2329" s="115">
        <v>4351.8500000000004</v>
      </c>
      <c r="G2329">
        <v>6737</v>
      </c>
      <c r="H2329" s="115"/>
      <c r="I2329" s="115"/>
      <c r="L2329" s="160">
        <v>45435</v>
      </c>
      <c r="M2329" s="115">
        <v>1283.25</v>
      </c>
      <c r="N2329" s="115">
        <v>1293.8</v>
      </c>
      <c r="O2329" s="115">
        <v>1267.75</v>
      </c>
      <c r="P2329" s="115">
        <v>1281.45</v>
      </c>
      <c r="Q2329" s="115">
        <v>1283.25</v>
      </c>
      <c r="R2329">
        <v>14886</v>
      </c>
    </row>
    <row r="2330" spans="1:18" x14ac:dyDescent="0.25">
      <c r="A2330" s="160">
        <v>45462</v>
      </c>
      <c r="B2330" s="115">
        <v>4450</v>
      </c>
      <c r="C2330" s="115">
        <v>4335.6000000000004</v>
      </c>
      <c r="D2330" s="115">
        <v>4301</v>
      </c>
      <c r="E2330" s="115">
        <v>4398.8999999999996</v>
      </c>
      <c r="F2330" s="115">
        <v>4335.6000000000004</v>
      </c>
      <c r="G2330">
        <v>5920</v>
      </c>
      <c r="H2330" s="115"/>
      <c r="I2330" s="115"/>
      <c r="L2330" s="160">
        <v>45436</v>
      </c>
      <c r="M2330" s="115">
        <v>1291.9000000000001</v>
      </c>
      <c r="N2330" s="115">
        <v>1311.25</v>
      </c>
      <c r="O2330" s="115">
        <v>1261</v>
      </c>
      <c r="P2330" s="115">
        <v>1283.25</v>
      </c>
      <c r="Q2330" s="115">
        <v>1291.9000000000001</v>
      </c>
      <c r="R2330">
        <v>32455</v>
      </c>
    </row>
    <row r="2331" spans="1:18" x14ac:dyDescent="0.25">
      <c r="A2331" s="160">
        <v>45463</v>
      </c>
      <c r="B2331" s="115">
        <v>4500</v>
      </c>
      <c r="C2331" s="115">
        <v>4476.8999999999996</v>
      </c>
      <c r="D2331" s="115">
        <v>4301</v>
      </c>
      <c r="E2331" s="115">
        <v>4349.95</v>
      </c>
      <c r="F2331" s="115">
        <v>4476.8999999999996</v>
      </c>
      <c r="G2331">
        <v>5805</v>
      </c>
      <c r="H2331" s="115"/>
      <c r="I2331" s="115"/>
      <c r="L2331" s="160">
        <v>45439</v>
      </c>
      <c r="M2331" s="115">
        <v>1265.6500000000001</v>
      </c>
      <c r="N2331" s="115">
        <v>1298</v>
      </c>
      <c r="O2331" s="115">
        <v>1251</v>
      </c>
      <c r="P2331" s="115">
        <v>1291.9000000000001</v>
      </c>
      <c r="Q2331" s="115">
        <v>1265.6500000000001</v>
      </c>
      <c r="R2331">
        <v>23994</v>
      </c>
    </row>
    <row r="2332" spans="1:18" x14ac:dyDescent="0.25">
      <c r="A2332" s="160">
        <v>45464</v>
      </c>
      <c r="B2332" s="115">
        <v>4576</v>
      </c>
      <c r="C2332" s="115">
        <v>4552.2</v>
      </c>
      <c r="D2332" s="115">
        <v>4485</v>
      </c>
      <c r="E2332" s="115">
        <v>4485.05</v>
      </c>
      <c r="F2332" s="115">
        <v>4552.2</v>
      </c>
      <c r="G2332">
        <v>3721</v>
      </c>
      <c r="H2332" s="115"/>
      <c r="I2332" s="115"/>
      <c r="L2332" s="160">
        <v>45440</v>
      </c>
      <c r="M2332" s="115">
        <v>1260.8499999999999</v>
      </c>
      <c r="N2332" s="115">
        <v>1278.95</v>
      </c>
      <c r="O2332" s="115">
        <v>1226.0999999999999</v>
      </c>
      <c r="P2332" s="115">
        <v>1270</v>
      </c>
      <c r="Q2332" s="115">
        <v>1260.8499999999999</v>
      </c>
      <c r="R2332">
        <v>31412</v>
      </c>
    </row>
    <row r="2333" spans="1:18" x14ac:dyDescent="0.25">
      <c r="A2333" s="160">
        <v>45467</v>
      </c>
      <c r="B2333" s="115">
        <v>5462.6</v>
      </c>
      <c r="C2333" s="115">
        <v>5462.6</v>
      </c>
      <c r="D2333" s="115">
        <v>4502.2</v>
      </c>
      <c r="E2333" s="115">
        <v>4552.2</v>
      </c>
      <c r="F2333" s="115">
        <v>5462.6</v>
      </c>
      <c r="G2333">
        <v>13459</v>
      </c>
      <c r="H2333" s="115"/>
      <c r="I2333" s="115"/>
      <c r="L2333" s="160">
        <v>45441</v>
      </c>
      <c r="M2333" s="115">
        <v>1258.6500000000001</v>
      </c>
      <c r="N2333" s="115">
        <v>1269.7</v>
      </c>
      <c r="O2333" s="115">
        <v>1245</v>
      </c>
      <c r="P2333" s="115">
        <v>1260.8499999999999</v>
      </c>
      <c r="Q2333" s="115">
        <v>1258.6500000000001</v>
      </c>
      <c r="R2333">
        <v>16261</v>
      </c>
    </row>
    <row r="2334" spans="1:18" x14ac:dyDescent="0.25">
      <c r="A2334" s="160">
        <v>45468</v>
      </c>
      <c r="B2334" s="115">
        <v>6443</v>
      </c>
      <c r="C2334" s="115">
        <v>6013.25</v>
      </c>
      <c r="D2334" s="115">
        <v>5462.6</v>
      </c>
      <c r="E2334" s="115">
        <v>5462.6</v>
      </c>
      <c r="F2334" s="115">
        <v>6013.25</v>
      </c>
      <c r="G2334">
        <v>39390</v>
      </c>
      <c r="H2334" s="115"/>
      <c r="I2334" s="115"/>
      <c r="L2334" s="160">
        <v>45442</v>
      </c>
      <c r="M2334" s="115">
        <v>1254.2</v>
      </c>
      <c r="N2334" s="115">
        <v>1268.6500000000001</v>
      </c>
      <c r="O2334" s="115">
        <v>1246</v>
      </c>
      <c r="P2334" s="115">
        <v>1268.3499999999999</v>
      </c>
      <c r="Q2334" s="115">
        <v>1254.2</v>
      </c>
      <c r="R2334">
        <v>14599</v>
      </c>
    </row>
    <row r="2335" spans="1:18" x14ac:dyDescent="0.25">
      <c r="A2335" s="160">
        <v>45469</v>
      </c>
      <c r="B2335" s="115">
        <v>6150</v>
      </c>
      <c r="C2335" s="115">
        <v>5790.1</v>
      </c>
      <c r="D2335" s="115">
        <v>5740</v>
      </c>
      <c r="E2335" s="115">
        <v>6138</v>
      </c>
      <c r="F2335" s="115">
        <v>5790.1</v>
      </c>
      <c r="G2335">
        <v>9351</v>
      </c>
      <c r="H2335" s="115"/>
      <c r="I2335" s="115"/>
      <c r="L2335" s="160">
        <v>45443</v>
      </c>
      <c r="M2335" s="115">
        <v>1275.5</v>
      </c>
      <c r="N2335" s="115">
        <v>1285</v>
      </c>
      <c r="O2335" s="115">
        <v>1230</v>
      </c>
      <c r="P2335" s="115">
        <v>1230.2</v>
      </c>
      <c r="Q2335" s="115">
        <v>1275.5</v>
      </c>
      <c r="R2335">
        <v>30758</v>
      </c>
    </row>
    <row r="2336" spans="1:18" x14ac:dyDescent="0.25">
      <c r="A2336" s="160">
        <v>45470</v>
      </c>
      <c r="B2336" s="115">
        <v>6280</v>
      </c>
      <c r="C2336" s="115">
        <v>6089.7</v>
      </c>
      <c r="D2336" s="115">
        <v>5799.95</v>
      </c>
      <c r="E2336" s="115">
        <v>5850</v>
      </c>
      <c r="F2336" s="115">
        <v>6089.7</v>
      </c>
      <c r="G2336">
        <v>12841</v>
      </c>
      <c r="H2336" s="115"/>
      <c r="I2336" s="115"/>
      <c r="L2336" s="160">
        <v>45446</v>
      </c>
      <c r="M2336" s="115">
        <v>1286.05</v>
      </c>
      <c r="N2336" s="115">
        <v>1296.0999999999999</v>
      </c>
      <c r="O2336" s="115">
        <v>1250</v>
      </c>
      <c r="P2336" s="115">
        <v>1285</v>
      </c>
      <c r="Q2336" s="115">
        <v>1286.05</v>
      </c>
      <c r="R2336">
        <v>48042</v>
      </c>
    </row>
    <row r="2337" spans="1:18" x14ac:dyDescent="0.25">
      <c r="A2337" s="160">
        <v>45471</v>
      </c>
      <c r="B2337" s="115">
        <v>6350</v>
      </c>
      <c r="C2337" s="115">
        <v>5998.15</v>
      </c>
      <c r="D2337" s="115">
        <v>5960</v>
      </c>
      <c r="E2337" s="115">
        <v>6219</v>
      </c>
      <c r="F2337" s="115">
        <v>5998.15</v>
      </c>
      <c r="G2337">
        <v>5611</v>
      </c>
      <c r="H2337" s="115"/>
      <c r="I2337" s="115"/>
      <c r="L2337" s="160">
        <v>45447</v>
      </c>
      <c r="M2337" s="115">
        <v>1210.1500000000001</v>
      </c>
      <c r="N2337" s="115">
        <v>1299</v>
      </c>
      <c r="O2337" s="115">
        <v>1170</v>
      </c>
      <c r="P2337" s="115">
        <v>1296</v>
      </c>
      <c r="Q2337" s="115">
        <v>1210.1500000000001</v>
      </c>
      <c r="R2337">
        <v>41502</v>
      </c>
    </row>
    <row r="2338" spans="1:18" x14ac:dyDescent="0.25">
      <c r="A2338" s="160">
        <v>45474</v>
      </c>
      <c r="B2338" s="115">
        <v>6240</v>
      </c>
      <c r="C2338" s="115">
        <v>5902.65</v>
      </c>
      <c r="D2338" s="115">
        <v>5799</v>
      </c>
      <c r="E2338" s="115">
        <v>5999.95</v>
      </c>
      <c r="F2338" s="115">
        <v>5902.65</v>
      </c>
      <c r="G2338">
        <v>7788</v>
      </c>
      <c r="H2338" s="115"/>
      <c r="I2338" s="115"/>
      <c r="L2338" s="160">
        <v>45448</v>
      </c>
      <c r="M2338" s="115">
        <v>1314.8</v>
      </c>
      <c r="N2338" s="115">
        <v>1330</v>
      </c>
      <c r="O2338" s="115">
        <v>1175.3</v>
      </c>
      <c r="P2338" s="115">
        <v>1210</v>
      </c>
      <c r="Q2338" s="115">
        <v>1314.8</v>
      </c>
      <c r="R2338">
        <v>48673</v>
      </c>
    </row>
    <row r="2339" spans="1:18" x14ac:dyDescent="0.25">
      <c r="A2339" s="160">
        <v>45475</v>
      </c>
      <c r="B2339" s="115">
        <v>5994.95</v>
      </c>
      <c r="C2339" s="115">
        <v>5905.65</v>
      </c>
      <c r="D2339" s="115">
        <v>5821.2</v>
      </c>
      <c r="E2339" s="115">
        <v>5850</v>
      </c>
      <c r="F2339" s="115">
        <v>5905.65</v>
      </c>
      <c r="G2339">
        <v>3772</v>
      </c>
      <c r="H2339" s="115"/>
      <c r="I2339" s="115"/>
      <c r="L2339" s="160">
        <v>45449</v>
      </c>
      <c r="M2339" s="115">
        <v>1387.05</v>
      </c>
      <c r="N2339" s="115">
        <v>1398.9</v>
      </c>
      <c r="O2339" s="115">
        <v>1310</v>
      </c>
      <c r="P2339" s="115">
        <v>1314</v>
      </c>
      <c r="Q2339" s="115">
        <v>1387.05</v>
      </c>
      <c r="R2339">
        <v>59623</v>
      </c>
    </row>
    <row r="2340" spans="1:18" x14ac:dyDescent="0.25">
      <c r="A2340" s="160">
        <v>45476</v>
      </c>
      <c r="B2340" s="115">
        <v>5989</v>
      </c>
      <c r="C2340" s="115">
        <v>5700.05</v>
      </c>
      <c r="D2340" s="115">
        <v>5680</v>
      </c>
      <c r="E2340" s="115">
        <v>5949.9</v>
      </c>
      <c r="F2340" s="115">
        <v>5700.05</v>
      </c>
      <c r="G2340">
        <v>5633</v>
      </c>
      <c r="H2340" s="115"/>
      <c r="I2340" s="115"/>
      <c r="L2340" s="160">
        <v>45450</v>
      </c>
      <c r="M2340" s="115">
        <v>1368.5</v>
      </c>
      <c r="N2340" s="115">
        <v>1398.2</v>
      </c>
      <c r="O2340" s="115">
        <v>1300</v>
      </c>
      <c r="P2340" s="115">
        <v>1395</v>
      </c>
      <c r="Q2340" s="115">
        <v>1368.5</v>
      </c>
      <c r="R2340">
        <v>40991</v>
      </c>
    </row>
    <row r="2341" spans="1:18" x14ac:dyDescent="0.25">
      <c r="A2341" s="160">
        <v>45477</v>
      </c>
      <c r="B2341" s="115">
        <v>5776</v>
      </c>
      <c r="C2341" s="115">
        <v>5542.45</v>
      </c>
      <c r="D2341" s="115">
        <v>5510</v>
      </c>
      <c r="E2341" s="115">
        <v>5711</v>
      </c>
      <c r="F2341" s="115">
        <v>5542.45</v>
      </c>
      <c r="G2341">
        <v>6366</v>
      </c>
      <c r="H2341" s="115"/>
      <c r="I2341" s="115"/>
      <c r="L2341" s="160">
        <v>45453</v>
      </c>
      <c r="M2341" s="115">
        <v>1521.7</v>
      </c>
      <c r="N2341" s="115">
        <v>1544.05</v>
      </c>
      <c r="O2341" s="115">
        <v>1359.05</v>
      </c>
      <c r="P2341" s="115">
        <v>1382.35</v>
      </c>
      <c r="Q2341" s="115">
        <v>1521.7</v>
      </c>
      <c r="R2341">
        <v>219863</v>
      </c>
    </row>
    <row r="2342" spans="1:18" x14ac:dyDescent="0.25">
      <c r="A2342" s="160">
        <v>45478</v>
      </c>
      <c r="B2342" s="115">
        <v>5650</v>
      </c>
      <c r="C2342" s="115">
        <v>5587.65</v>
      </c>
      <c r="D2342" s="115">
        <v>5500.05</v>
      </c>
      <c r="E2342" s="115">
        <v>5544.9</v>
      </c>
      <c r="F2342" s="115">
        <v>5587.65</v>
      </c>
      <c r="G2342">
        <v>3071</v>
      </c>
      <c r="H2342" s="115"/>
      <c r="I2342" s="115"/>
      <c r="L2342" s="160">
        <v>45454</v>
      </c>
      <c r="M2342" s="115">
        <v>1622.35</v>
      </c>
      <c r="N2342" s="115">
        <v>1640</v>
      </c>
      <c r="O2342" s="115">
        <v>1487.5</v>
      </c>
      <c r="P2342" s="115">
        <v>1519</v>
      </c>
      <c r="Q2342" s="115">
        <v>1622.35</v>
      </c>
      <c r="R2342">
        <v>217302</v>
      </c>
    </row>
    <row r="2343" spans="1:18" x14ac:dyDescent="0.25">
      <c r="A2343" s="160">
        <v>45481</v>
      </c>
      <c r="B2343" s="115">
        <v>6146.4</v>
      </c>
      <c r="C2343" s="115">
        <v>6146.4</v>
      </c>
      <c r="D2343" s="115">
        <v>5600</v>
      </c>
      <c r="E2343" s="115">
        <v>5675</v>
      </c>
      <c r="F2343" s="115">
        <v>6146.4</v>
      </c>
      <c r="G2343">
        <v>9498</v>
      </c>
      <c r="H2343" s="115"/>
      <c r="I2343" s="115"/>
      <c r="L2343" s="160">
        <v>45455</v>
      </c>
      <c r="M2343" s="115">
        <v>1577</v>
      </c>
      <c r="N2343" s="115">
        <v>1669.9</v>
      </c>
      <c r="O2343" s="115">
        <v>1546</v>
      </c>
      <c r="P2343" s="115">
        <v>1620</v>
      </c>
      <c r="Q2343" s="115">
        <v>1577</v>
      </c>
      <c r="R2343">
        <v>218336</v>
      </c>
    </row>
    <row r="2344" spans="1:18" x14ac:dyDescent="0.25">
      <c r="A2344" s="160">
        <v>45482</v>
      </c>
      <c r="B2344" s="115">
        <v>6399</v>
      </c>
      <c r="C2344" s="115">
        <v>6126.55</v>
      </c>
      <c r="D2344" s="115">
        <v>5998.85</v>
      </c>
      <c r="E2344" s="115">
        <v>6345.95</v>
      </c>
      <c r="F2344" s="115">
        <v>6126.55</v>
      </c>
      <c r="G2344">
        <v>7216</v>
      </c>
      <c r="H2344" s="115"/>
      <c r="I2344" s="115"/>
      <c r="L2344" s="160">
        <v>45456</v>
      </c>
      <c r="M2344" s="115">
        <v>1613.3</v>
      </c>
      <c r="N2344" s="115">
        <v>1632</v>
      </c>
      <c r="O2344" s="115">
        <v>1551</v>
      </c>
      <c r="P2344" s="115">
        <v>1604.65</v>
      </c>
      <c r="Q2344" s="115">
        <v>1613.3</v>
      </c>
      <c r="R2344">
        <v>57538</v>
      </c>
    </row>
    <row r="2345" spans="1:18" x14ac:dyDescent="0.25">
      <c r="A2345" s="160">
        <v>45483</v>
      </c>
      <c r="B2345" s="115">
        <v>6300</v>
      </c>
      <c r="C2345" s="115">
        <v>6013.45</v>
      </c>
      <c r="D2345" s="115">
        <v>5850</v>
      </c>
      <c r="E2345" s="115">
        <v>6199.95</v>
      </c>
      <c r="F2345" s="115">
        <v>6013.45</v>
      </c>
      <c r="G2345">
        <v>7656</v>
      </c>
      <c r="H2345" s="115"/>
      <c r="I2345" s="115"/>
      <c r="L2345" s="160">
        <v>45457</v>
      </c>
      <c r="M2345" s="115">
        <v>1585.35</v>
      </c>
      <c r="N2345" s="115">
        <v>1626.6</v>
      </c>
      <c r="O2345" s="115">
        <v>1555.05</v>
      </c>
      <c r="P2345" s="115">
        <v>1621.85</v>
      </c>
      <c r="Q2345" s="115">
        <v>1585.35</v>
      </c>
      <c r="R2345">
        <v>38192</v>
      </c>
    </row>
    <row r="2346" spans="1:18" x14ac:dyDescent="0.25">
      <c r="A2346" s="160">
        <v>45484</v>
      </c>
      <c r="B2346" s="115">
        <v>6124</v>
      </c>
      <c r="C2346" s="115">
        <v>5999.1</v>
      </c>
      <c r="D2346" s="115">
        <v>5926.6</v>
      </c>
      <c r="E2346" s="115">
        <v>6120</v>
      </c>
      <c r="F2346" s="115">
        <v>5999.1</v>
      </c>
      <c r="G2346">
        <v>3062</v>
      </c>
      <c r="H2346" s="115"/>
      <c r="I2346" s="115"/>
      <c r="L2346" s="160">
        <v>45461</v>
      </c>
      <c r="M2346" s="115">
        <v>1544.25</v>
      </c>
      <c r="N2346" s="115">
        <v>1602.3</v>
      </c>
      <c r="O2346" s="115">
        <v>1529.4</v>
      </c>
      <c r="P2346" s="115">
        <v>1585.35</v>
      </c>
      <c r="Q2346" s="115">
        <v>1544.25</v>
      </c>
      <c r="R2346">
        <v>63837</v>
      </c>
    </row>
    <row r="2347" spans="1:18" x14ac:dyDescent="0.25">
      <c r="A2347" s="160">
        <v>45485</v>
      </c>
      <c r="B2347" s="115">
        <v>6050</v>
      </c>
      <c r="C2347" s="115">
        <v>5944.05</v>
      </c>
      <c r="D2347" s="115">
        <v>5911</v>
      </c>
      <c r="E2347" s="115">
        <v>6049.95</v>
      </c>
      <c r="F2347" s="115">
        <v>5944.05</v>
      </c>
      <c r="G2347">
        <v>1892</v>
      </c>
      <c r="H2347" s="115"/>
      <c r="I2347" s="115"/>
      <c r="L2347" s="160">
        <v>45462</v>
      </c>
      <c r="M2347" s="115">
        <v>1575.95</v>
      </c>
      <c r="N2347" s="115">
        <v>1616</v>
      </c>
      <c r="O2347" s="115">
        <v>1526.4</v>
      </c>
      <c r="P2347" s="115">
        <v>1547.15</v>
      </c>
      <c r="Q2347" s="115">
        <v>1575.95</v>
      </c>
      <c r="R2347">
        <v>57125</v>
      </c>
    </row>
    <row r="2348" spans="1:18" x14ac:dyDescent="0.25">
      <c r="A2348" s="160">
        <v>45488</v>
      </c>
      <c r="B2348" s="115">
        <v>5943.85</v>
      </c>
      <c r="C2348" s="115">
        <v>5761</v>
      </c>
      <c r="D2348" s="115">
        <v>5748.9</v>
      </c>
      <c r="E2348" s="115">
        <v>5862.65</v>
      </c>
      <c r="F2348" s="115">
        <v>5761</v>
      </c>
      <c r="G2348">
        <v>3127</v>
      </c>
      <c r="H2348" s="115"/>
      <c r="I2348" s="115"/>
      <c r="L2348" s="160">
        <v>45463</v>
      </c>
      <c r="M2348" s="115">
        <v>1685.65</v>
      </c>
      <c r="N2348" s="115">
        <v>1699.85</v>
      </c>
      <c r="O2348" s="115">
        <v>1576</v>
      </c>
      <c r="P2348" s="115">
        <v>1592.4</v>
      </c>
      <c r="Q2348" s="115">
        <v>1685.65</v>
      </c>
      <c r="R2348">
        <v>104264</v>
      </c>
    </row>
    <row r="2349" spans="1:18" x14ac:dyDescent="0.25">
      <c r="A2349" s="160">
        <v>45489</v>
      </c>
      <c r="B2349" s="115">
        <v>6179.8</v>
      </c>
      <c r="C2349" s="115">
        <v>6081.55</v>
      </c>
      <c r="D2349" s="115">
        <v>5748.9</v>
      </c>
      <c r="E2349" s="115">
        <v>5749.95</v>
      </c>
      <c r="F2349" s="115">
        <v>6081.55</v>
      </c>
      <c r="G2349">
        <v>5091</v>
      </c>
      <c r="H2349" s="115"/>
      <c r="I2349" s="115"/>
      <c r="L2349" s="160">
        <v>45464</v>
      </c>
      <c r="M2349" s="115">
        <v>1688.5</v>
      </c>
      <c r="N2349" s="115">
        <v>1733</v>
      </c>
      <c r="O2349" s="115">
        <v>1645.6</v>
      </c>
      <c r="P2349" s="115">
        <v>1700</v>
      </c>
      <c r="Q2349" s="115">
        <v>1688.5</v>
      </c>
      <c r="R2349">
        <v>61519</v>
      </c>
    </row>
    <row r="2350" spans="1:18" x14ac:dyDescent="0.25">
      <c r="A2350" s="160">
        <v>45491</v>
      </c>
      <c r="B2350" s="115">
        <v>6140</v>
      </c>
      <c r="C2350" s="115">
        <v>5858.65</v>
      </c>
      <c r="D2350" s="115">
        <v>5780</v>
      </c>
      <c r="E2350" s="115">
        <v>6050</v>
      </c>
      <c r="F2350" s="115">
        <v>5858.65</v>
      </c>
      <c r="G2350">
        <v>3918</v>
      </c>
      <c r="H2350" s="115"/>
      <c r="I2350" s="115"/>
      <c r="L2350" s="160">
        <v>45467</v>
      </c>
      <c r="M2350" s="115">
        <v>1687</v>
      </c>
      <c r="N2350" s="115">
        <v>1702.8</v>
      </c>
      <c r="O2350" s="115">
        <v>1606.7</v>
      </c>
      <c r="P2350" s="115">
        <v>1689</v>
      </c>
      <c r="Q2350" s="115">
        <v>1687</v>
      </c>
      <c r="R2350">
        <v>51401</v>
      </c>
    </row>
    <row r="2351" spans="1:18" x14ac:dyDescent="0.25">
      <c r="A2351" s="160">
        <v>45492</v>
      </c>
      <c r="B2351" s="115">
        <v>5999</v>
      </c>
      <c r="C2351" s="115">
        <v>5760.95</v>
      </c>
      <c r="D2351" s="115">
        <v>5748.9</v>
      </c>
      <c r="E2351" s="115">
        <v>5964.85</v>
      </c>
      <c r="F2351" s="115">
        <v>5760.95</v>
      </c>
      <c r="G2351">
        <v>3366</v>
      </c>
      <c r="H2351" s="115"/>
      <c r="I2351" s="115"/>
      <c r="L2351" s="160">
        <v>45468</v>
      </c>
      <c r="M2351" s="115">
        <v>1706.15</v>
      </c>
      <c r="N2351" s="115">
        <v>1719</v>
      </c>
      <c r="O2351" s="115">
        <v>1652.35</v>
      </c>
      <c r="P2351" s="115">
        <v>1676.5</v>
      </c>
      <c r="Q2351" s="115">
        <v>1706.15</v>
      </c>
      <c r="R2351">
        <v>87021</v>
      </c>
    </row>
    <row r="2352" spans="1:18" x14ac:dyDescent="0.25">
      <c r="A2352" s="160">
        <v>45495</v>
      </c>
      <c r="B2352" s="115">
        <v>5928.8</v>
      </c>
      <c r="C2352" s="115">
        <v>5788.5</v>
      </c>
      <c r="D2352" s="115">
        <v>5736</v>
      </c>
      <c r="E2352" s="115">
        <v>5800</v>
      </c>
      <c r="F2352" s="115">
        <v>5788.5</v>
      </c>
      <c r="G2352">
        <v>1618</v>
      </c>
      <c r="H2352" s="115"/>
      <c r="I2352" s="115"/>
      <c r="L2352" s="160">
        <v>45469</v>
      </c>
      <c r="M2352" s="115">
        <v>1665.5</v>
      </c>
      <c r="N2352" s="115">
        <v>1709.9</v>
      </c>
      <c r="O2352" s="115">
        <v>1635.5</v>
      </c>
      <c r="P2352" s="115">
        <v>1709.9</v>
      </c>
      <c r="Q2352" s="115">
        <v>1665.5</v>
      </c>
      <c r="R2352">
        <v>67705</v>
      </c>
    </row>
    <row r="2353" spans="1:18" x14ac:dyDescent="0.25">
      <c r="A2353" s="160">
        <v>45496</v>
      </c>
      <c r="B2353" s="115">
        <v>5900.05</v>
      </c>
      <c r="C2353" s="115">
        <v>5763.2</v>
      </c>
      <c r="D2353" s="115">
        <v>5523</v>
      </c>
      <c r="E2353" s="115">
        <v>5889.95</v>
      </c>
      <c r="F2353" s="115">
        <v>5763.2</v>
      </c>
      <c r="G2353">
        <v>4421</v>
      </c>
      <c r="H2353" s="115"/>
      <c r="I2353" s="115"/>
      <c r="L2353" s="160">
        <v>45470</v>
      </c>
      <c r="M2353" s="115">
        <v>1668.65</v>
      </c>
      <c r="N2353" s="115">
        <v>1695.7</v>
      </c>
      <c r="O2353" s="115">
        <v>1622.35</v>
      </c>
      <c r="P2353" s="115">
        <v>1648</v>
      </c>
      <c r="Q2353" s="115">
        <v>1668.65</v>
      </c>
      <c r="R2353">
        <v>41637</v>
      </c>
    </row>
    <row r="2354" spans="1:18" x14ac:dyDescent="0.25">
      <c r="A2354" s="160">
        <v>45497</v>
      </c>
      <c r="B2354" s="115">
        <v>5947</v>
      </c>
      <c r="C2354" s="115">
        <v>5860.5</v>
      </c>
      <c r="D2354" s="115">
        <v>5800</v>
      </c>
      <c r="E2354" s="115">
        <v>5855</v>
      </c>
      <c r="F2354" s="115">
        <v>5860.5</v>
      </c>
      <c r="G2354">
        <v>2540</v>
      </c>
      <c r="H2354" s="115"/>
      <c r="I2354" s="115"/>
      <c r="L2354" s="160">
        <v>45471</v>
      </c>
      <c r="M2354" s="115">
        <v>1685.9</v>
      </c>
      <c r="N2354" s="115">
        <v>1691</v>
      </c>
      <c r="O2354" s="115">
        <v>1625</v>
      </c>
      <c r="P2354" s="115">
        <v>1670</v>
      </c>
      <c r="Q2354" s="115">
        <v>1685.9</v>
      </c>
      <c r="R2354">
        <v>32516</v>
      </c>
    </row>
    <row r="2355" spans="1:18" x14ac:dyDescent="0.25">
      <c r="A2355" s="160">
        <v>45498</v>
      </c>
      <c r="B2355" s="115">
        <v>5938.9</v>
      </c>
      <c r="C2355" s="115">
        <v>5771</v>
      </c>
      <c r="D2355" s="115">
        <v>5763.2</v>
      </c>
      <c r="E2355" s="115">
        <v>5869</v>
      </c>
      <c r="F2355" s="115">
        <v>5771</v>
      </c>
      <c r="G2355">
        <v>3301</v>
      </c>
      <c r="H2355" s="115"/>
      <c r="I2355" s="115"/>
      <c r="L2355" s="160">
        <v>45474</v>
      </c>
      <c r="M2355" s="115">
        <v>1645.6</v>
      </c>
      <c r="N2355" s="115">
        <v>1685.9</v>
      </c>
      <c r="O2355" s="115">
        <v>1640</v>
      </c>
      <c r="P2355" s="115">
        <v>1684</v>
      </c>
      <c r="Q2355" s="115">
        <v>1645.6</v>
      </c>
      <c r="R2355">
        <v>32319</v>
      </c>
    </row>
    <row r="2356" spans="1:18" x14ac:dyDescent="0.25">
      <c r="A2356" s="160">
        <v>45499</v>
      </c>
      <c r="B2356" s="115">
        <v>5873.95</v>
      </c>
      <c r="C2356" s="115">
        <v>5749.75</v>
      </c>
      <c r="D2356" s="115">
        <v>5611.1</v>
      </c>
      <c r="E2356" s="115">
        <v>5873.95</v>
      </c>
      <c r="F2356" s="115">
        <v>5749.75</v>
      </c>
      <c r="G2356">
        <v>3388</v>
      </c>
      <c r="H2356" s="115"/>
      <c r="I2356" s="115"/>
      <c r="L2356" s="160">
        <v>45475</v>
      </c>
      <c r="M2356" s="115">
        <v>1655.65</v>
      </c>
      <c r="N2356" s="115">
        <v>1672.15</v>
      </c>
      <c r="O2356" s="115">
        <v>1603.7</v>
      </c>
      <c r="P2356" s="115">
        <v>1645.6</v>
      </c>
      <c r="Q2356" s="115">
        <v>1655.65</v>
      </c>
      <c r="R2356">
        <v>59128</v>
      </c>
    </row>
    <row r="2357" spans="1:18" x14ac:dyDescent="0.25">
      <c r="A2357" s="160">
        <v>45502</v>
      </c>
      <c r="B2357" s="115">
        <v>6324.7</v>
      </c>
      <c r="C2357" s="115">
        <v>5881.15</v>
      </c>
      <c r="D2357" s="115">
        <v>5788</v>
      </c>
      <c r="E2357" s="115">
        <v>5864.95</v>
      </c>
      <c r="F2357" s="115">
        <v>5881.15</v>
      </c>
      <c r="G2357">
        <v>12614</v>
      </c>
      <c r="H2357" s="115"/>
      <c r="I2357" s="115"/>
      <c r="L2357" s="160">
        <v>45476</v>
      </c>
      <c r="M2357" s="115">
        <v>1643.75</v>
      </c>
      <c r="N2357" s="115">
        <v>1660</v>
      </c>
      <c r="O2357" s="115">
        <v>1620.35</v>
      </c>
      <c r="P2357" s="115">
        <v>1660</v>
      </c>
      <c r="Q2357" s="115">
        <v>1643.75</v>
      </c>
      <c r="R2357">
        <v>20635</v>
      </c>
    </row>
    <row r="2358" spans="1:18" x14ac:dyDescent="0.25">
      <c r="A2358" s="160">
        <v>45503</v>
      </c>
      <c r="B2358" s="115">
        <v>5990</v>
      </c>
      <c r="C2358" s="115">
        <v>5961.05</v>
      </c>
      <c r="D2358" s="115">
        <v>5882.1</v>
      </c>
      <c r="E2358" s="115">
        <v>5922.95</v>
      </c>
      <c r="F2358" s="115">
        <v>5961.05</v>
      </c>
      <c r="G2358">
        <v>1406</v>
      </c>
      <c r="H2358" s="115"/>
      <c r="I2358" s="115"/>
      <c r="L2358" s="160">
        <v>45477</v>
      </c>
      <c r="M2358" s="115">
        <v>1695.7</v>
      </c>
      <c r="N2358" s="115">
        <v>1710</v>
      </c>
      <c r="O2358" s="115">
        <v>1618</v>
      </c>
      <c r="P2358" s="115">
        <v>1648</v>
      </c>
      <c r="Q2358" s="115">
        <v>1695.7</v>
      </c>
      <c r="R2358">
        <v>80629</v>
      </c>
    </row>
    <row r="2359" spans="1:18" x14ac:dyDescent="0.25">
      <c r="A2359" s="160">
        <v>45504</v>
      </c>
      <c r="B2359" s="115">
        <v>6045</v>
      </c>
      <c r="C2359" s="115">
        <v>5909.25</v>
      </c>
      <c r="D2359" s="115">
        <v>5850.05</v>
      </c>
      <c r="E2359" s="115">
        <v>6039.95</v>
      </c>
      <c r="F2359" s="115">
        <v>5909.25</v>
      </c>
      <c r="G2359">
        <v>2721</v>
      </c>
      <c r="H2359" s="115"/>
      <c r="I2359" s="115"/>
      <c r="L2359" s="160">
        <v>45478</v>
      </c>
      <c r="M2359" s="115">
        <v>1790.2</v>
      </c>
      <c r="N2359" s="115">
        <v>1800</v>
      </c>
      <c r="O2359" s="115">
        <v>1674.15</v>
      </c>
      <c r="P2359" s="115">
        <v>1693.9</v>
      </c>
      <c r="Q2359" s="115">
        <v>1790.2</v>
      </c>
      <c r="R2359">
        <v>133347</v>
      </c>
    </row>
    <row r="2360" spans="1:18" x14ac:dyDescent="0.25">
      <c r="A2360" s="160">
        <v>45505</v>
      </c>
      <c r="B2360" s="115">
        <v>5624</v>
      </c>
      <c r="C2360" s="115">
        <v>5318.35</v>
      </c>
      <c r="D2360" s="115">
        <v>5318.35</v>
      </c>
      <c r="E2360" s="115">
        <v>5623</v>
      </c>
      <c r="F2360" s="115">
        <v>5318.35</v>
      </c>
      <c r="G2360">
        <v>43260</v>
      </c>
      <c r="H2360" s="115"/>
      <c r="I2360" s="115"/>
      <c r="L2360" s="160">
        <v>45481</v>
      </c>
      <c r="M2360" s="115">
        <v>1777.6</v>
      </c>
      <c r="N2360" s="115">
        <v>1803.95</v>
      </c>
      <c r="O2360" s="115">
        <v>1745</v>
      </c>
      <c r="P2360" s="115">
        <v>1790</v>
      </c>
      <c r="Q2360" s="115">
        <v>1777.6</v>
      </c>
      <c r="R2360">
        <v>79770</v>
      </c>
    </row>
    <row r="2361" spans="1:18" x14ac:dyDescent="0.25">
      <c r="A2361" s="160">
        <v>45506</v>
      </c>
      <c r="B2361" s="115">
        <v>5400</v>
      </c>
      <c r="C2361" s="115">
        <v>5369.75</v>
      </c>
      <c r="D2361" s="115">
        <v>4915.6499999999996</v>
      </c>
      <c r="E2361" s="115">
        <v>5199.7</v>
      </c>
      <c r="F2361" s="115">
        <v>5369.75</v>
      </c>
      <c r="G2361">
        <v>11835</v>
      </c>
      <c r="H2361" s="115"/>
      <c r="I2361" s="115"/>
      <c r="L2361" s="160">
        <v>45482</v>
      </c>
      <c r="M2361" s="115">
        <v>1774.5</v>
      </c>
      <c r="N2361" s="115">
        <v>1799</v>
      </c>
      <c r="O2361" s="115">
        <v>1732</v>
      </c>
      <c r="P2361" s="115">
        <v>1776.75</v>
      </c>
      <c r="Q2361" s="115">
        <v>1774.5</v>
      </c>
      <c r="R2361">
        <v>65164</v>
      </c>
    </row>
    <row r="2362" spans="1:18" x14ac:dyDescent="0.25">
      <c r="A2362" s="160">
        <v>45509</v>
      </c>
      <c r="B2362" s="115">
        <v>5288</v>
      </c>
      <c r="C2362" s="115">
        <v>4992.3</v>
      </c>
      <c r="D2362" s="115">
        <v>4900</v>
      </c>
      <c r="E2362" s="115">
        <v>5151</v>
      </c>
      <c r="F2362" s="115">
        <v>4992.3</v>
      </c>
      <c r="G2362">
        <v>16099</v>
      </c>
      <c r="H2362" s="115"/>
      <c r="I2362" s="115"/>
      <c r="L2362" s="160">
        <v>45483</v>
      </c>
      <c r="M2362" s="115">
        <v>1723.2</v>
      </c>
      <c r="N2362" s="115">
        <v>1769.8</v>
      </c>
      <c r="O2362" s="115">
        <v>1701.05</v>
      </c>
      <c r="P2362" s="115">
        <v>1769.35</v>
      </c>
      <c r="Q2362" s="115">
        <v>1723.2</v>
      </c>
      <c r="R2362">
        <v>41559</v>
      </c>
    </row>
    <row r="2363" spans="1:18" x14ac:dyDescent="0.25">
      <c r="A2363" s="160">
        <v>45510</v>
      </c>
      <c r="B2363" s="115">
        <v>5233.95</v>
      </c>
      <c r="C2363" s="115">
        <v>4895.95</v>
      </c>
      <c r="D2363" s="115">
        <v>4850</v>
      </c>
      <c r="E2363" s="115">
        <v>5149</v>
      </c>
      <c r="F2363" s="115">
        <v>4895.95</v>
      </c>
      <c r="G2363">
        <v>3947</v>
      </c>
      <c r="H2363" s="115"/>
      <c r="I2363" s="115"/>
      <c r="L2363" s="160">
        <v>45484</v>
      </c>
      <c r="M2363" s="115">
        <v>1681.2</v>
      </c>
      <c r="N2363" s="115">
        <v>1729.15</v>
      </c>
      <c r="O2363" s="115">
        <v>1673</v>
      </c>
      <c r="P2363" s="115">
        <v>1723.2</v>
      </c>
      <c r="Q2363" s="115">
        <v>1681.2</v>
      </c>
      <c r="R2363">
        <v>30448</v>
      </c>
    </row>
    <row r="2364" spans="1:18" x14ac:dyDescent="0.25">
      <c r="A2364" s="160">
        <v>45511</v>
      </c>
      <c r="B2364" s="115">
        <v>5180</v>
      </c>
      <c r="C2364" s="115">
        <v>5030.05</v>
      </c>
      <c r="D2364" s="115">
        <v>4931.1000000000004</v>
      </c>
      <c r="E2364" s="115">
        <v>5000</v>
      </c>
      <c r="F2364" s="115">
        <v>5030.05</v>
      </c>
      <c r="G2364">
        <v>5274</v>
      </c>
      <c r="H2364" s="115"/>
      <c r="I2364" s="115"/>
      <c r="L2364" s="160">
        <v>45485</v>
      </c>
      <c r="M2364" s="115">
        <v>1700</v>
      </c>
      <c r="N2364" s="115">
        <v>1721.8</v>
      </c>
      <c r="O2364" s="115">
        <v>1670</v>
      </c>
      <c r="P2364" s="115">
        <v>1687</v>
      </c>
      <c r="Q2364" s="115">
        <v>1700</v>
      </c>
      <c r="R2364">
        <v>44920</v>
      </c>
    </row>
    <row r="2365" spans="1:18" x14ac:dyDescent="0.25">
      <c r="A2365" s="160">
        <v>45512</v>
      </c>
      <c r="B2365" s="115">
        <v>5142</v>
      </c>
      <c r="C2365" s="115">
        <v>4961.95</v>
      </c>
      <c r="D2365" s="115">
        <v>4900</v>
      </c>
      <c r="E2365" s="115">
        <v>5100.05</v>
      </c>
      <c r="F2365" s="115">
        <v>4961.95</v>
      </c>
      <c r="G2365">
        <v>3096</v>
      </c>
      <c r="H2365" s="115"/>
      <c r="I2365" s="115"/>
      <c r="L2365" s="160">
        <v>45488</v>
      </c>
      <c r="M2365" s="115">
        <v>1720.05</v>
      </c>
      <c r="N2365" s="115">
        <v>1729</v>
      </c>
      <c r="O2365" s="115">
        <v>1652.45</v>
      </c>
      <c r="P2365" s="115">
        <v>1713.15</v>
      </c>
      <c r="Q2365" s="115">
        <v>1720.05</v>
      </c>
      <c r="R2365">
        <v>88094</v>
      </c>
    </row>
    <row r="2366" spans="1:18" x14ac:dyDescent="0.25">
      <c r="A2366" s="160">
        <v>45513</v>
      </c>
      <c r="B2366" s="115">
        <v>5100</v>
      </c>
      <c r="C2366" s="115">
        <v>5037.8500000000004</v>
      </c>
      <c r="D2366" s="115">
        <v>4901.05</v>
      </c>
      <c r="E2366" s="115">
        <v>5074.8999999999996</v>
      </c>
      <c r="F2366" s="115">
        <v>5037.8500000000004</v>
      </c>
      <c r="G2366">
        <v>3648</v>
      </c>
      <c r="H2366" s="115"/>
      <c r="I2366" s="115"/>
      <c r="L2366" s="160">
        <v>45489</v>
      </c>
      <c r="M2366" s="115">
        <v>1683.55</v>
      </c>
      <c r="N2366" s="115">
        <v>1729.9</v>
      </c>
      <c r="O2366" s="115">
        <v>1676</v>
      </c>
      <c r="P2366" s="115">
        <v>1729.9</v>
      </c>
      <c r="Q2366" s="115">
        <v>1683.55</v>
      </c>
      <c r="R2366">
        <v>38062</v>
      </c>
    </row>
    <row r="2367" spans="1:18" x14ac:dyDescent="0.25">
      <c r="A2367" s="160">
        <v>45516</v>
      </c>
      <c r="B2367" s="115">
        <v>5021</v>
      </c>
      <c r="C2367" s="115">
        <v>4939.2</v>
      </c>
      <c r="D2367" s="115">
        <v>4910</v>
      </c>
      <c r="E2367" s="115">
        <v>5021</v>
      </c>
      <c r="F2367" s="115">
        <v>4939.2</v>
      </c>
      <c r="G2367">
        <v>1999</v>
      </c>
      <c r="H2367" s="115"/>
      <c r="I2367" s="115"/>
      <c r="L2367" s="160">
        <v>45491</v>
      </c>
      <c r="M2367" s="115">
        <v>1691.35</v>
      </c>
      <c r="N2367" s="115">
        <v>1700</v>
      </c>
      <c r="O2367" s="115">
        <v>1661.05</v>
      </c>
      <c r="P2367" s="115">
        <v>1683.6</v>
      </c>
      <c r="Q2367" s="115">
        <v>1691.35</v>
      </c>
      <c r="R2367">
        <v>18377</v>
      </c>
    </row>
    <row r="2368" spans="1:18" x14ac:dyDescent="0.25">
      <c r="A2368" s="160">
        <v>45517</v>
      </c>
      <c r="B2368" s="115">
        <v>5019.8999999999996</v>
      </c>
      <c r="C2368" s="115">
        <v>4660.1499999999996</v>
      </c>
      <c r="D2368" s="115">
        <v>4551</v>
      </c>
      <c r="E2368" s="115">
        <v>4912.1000000000004</v>
      </c>
      <c r="F2368" s="115">
        <v>4660.1499999999996</v>
      </c>
      <c r="G2368">
        <v>9306</v>
      </c>
      <c r="H2368" s="115"/>
      <c r="I2368" s="115"/>
      <c r="L2368" s="160">
        <v>45492</v>
      </c>
      <c r="M2368" s="115">
        <v>1684.1</v>
      </c>
      <c r="N2368" s="115">
        <v>1707.35</v>
      </c>
      <c r="O2368" s="115">
        <v>1648</v>
      </c>
      <c r="P2368" s="115">
        <v>1695.75</v>
      </c>
      <c r="Q2368" s="115">
        <v>1684.1</v>
      </c>
      <c r="R2368">
        <v>29208</v>
      </c>
    </row>
    <row r="2369" spans="1:18" x14ac:dyDescent="0.25">
      <c r="A2369" s="160">
        <v>45518</v>
      </c>
      <c r="B2369" s="115">
        <v>4756.6499999999996</v>
      </c>
      <c r="C2369" s="115">
        <v>4587.95</v>
      </c>
      <c r="D2369" s="115">
        <v>4560.55</v>
      </c>
      <c r="E2369" s="115">
        <v>4681.2</v>
      </c>
      <c r="F2369" s="115">
        <v>4587.95</v>
      </c>
      <c r="G2369">
        <v>2967</v>
      </c>
      <c r="H2369" s="115"/>
      <c r="I2369" s="115"/>
      <c r="L2369" s="160">
        <v>45495</v>
      </c>
      <c r="M2369" s="115">
        <v>1663.25</v>
      </c>
      <c r="N2369" s="115">
        <v>1689.95</v>
      </c>
      <c r="O2369" s="115">
        <v>1631.7</v>
      </c>
      <c r="P2369" s="115">
        <v>1675.05</v>
      </c>
      <c r="Q2369" s="115">
        <v>1663.25</v>
      </c>
      <c r="R2369">
        <v>26065</v>
      </c>
    </row>
    <row r="2370" spans="1:18" x14ac:dyDescent="0.25">
      <c r="A2370" s="160">
        <v>45520</v>
      </c>
      <c r="B2370" s="115">
        <v>4748.8500000000004</v>
      </c>
      <c r="C2370" s="115">
        <v>4683.2</v>
      </c>
      <c r="D2370" s="115">
        <v>4602.1499999999996</v>
      </c>
      <c r="E2370" s="115">
        <v>4715</v>
      </c>
      <c r="F2370" s="115">
        <v>4683.2</v>
      </c>
      <c r="G2370">
        <v>2931</v>
      </c>
      <c r="H2370" s="115"/>
      <c r="I2370" s="115"/>
      <c r="L2370" s="160">
        <v>45496</v>
      </c>
      <c r="M2370" s="115">
        <v>1669</v>
      </c>
      <c r="N2370" s="115">
        <v>1823.95</v>
      </c>
      <c r="O2370" s="115">
        <v>1631.35</v>
      </c>
      <c r="P2370" s="115">
        <v>1698</v>
      </c>
      <c r="Q2370" s="115">
        <v>1669</v>
      </c>
      <c r="R2370">
        <v>427997</v>
      </c>
    </row>
    <row r="2371" spans="1:18" x14ac:dyDescent="0.25">
      <c r="A2371" s="160">
        <v>45523</v>
      </c>
      <c r="B2371" s="115">
        <v>5100</v>
      </c>
      <c r="C2371" s="115">
        <v>5066.6000000000004</v>
      </c>
      <c r="D2371" s="115">
        <v>4716</v>
      </c>
      <c r="E2371" s="115">
        <v>4764.8999999999996</v>
      </c>
      <c r="F2371" s="115">
        <v>5066.6000000000004</v>
      </c>
      <c r="G2371">
        <v>6235</v>
      </c>
      <c r="H2371" s="115"/>
      <c r="I2371" s="115"/>
      <c r="L2371" s="160">
        <v>45497</v>
      </c>
      <c r="M2371" s="115">
        <v>1724.55</v>
      </c>
      <c r="N2371" s="115">
        <v>1735.9</v>
      </c>
      <c r="O2371" s="115">
        <v>1680.15</v>
      </c>
      <c r="P2371" s="115">
        <v>1680.15</v>
      </c>
      <c r="Q2371" s="115">
        <v>1724.55</v>
      </c>
      <c r="R2371">
        <v>58009</v>
      </c>
    </row>
    <row r="2372" spans="1:18" x14ac:dyDescent="0.25">
      <c r="A2372" s="160">
        <v>45524</v>
      </c>
      <c r="B2372" s="115">
        <v>5487.95</v>
      </c>
      <c r="C2372" s="115">
        <v>5429.6</v>
      </c>
      <c r="D2372" s="115">
        <v>5170</v>
      </c>
      <c r="E2372" s="115">
        <v>5200</v>
      </c>
      <c r="F2372" s="115">
        <v>5429.6</v>
      </c>
      <c r="G2372">
        <v>13576</v>
      </c>
      <c r="H2372" s="115"/>
      <c r="I2372" s="115"/>
      <c r="L2372" s="160">
        <v>45498</v>
      </c>
      <c r="M2372" s="115">
        <v>1691.2</v>
      </c>
      <c r="N2372" s="115">
        <v>1729</v>
      </c>
      <c r="O2372" s="115">
        <v>1681</v>
      </c>
      <c r="P2372" s="115">
        <v>1712</v>
      </c>
      <c r="Q2372" s="115">
        <v>1691.2</v>
      </c>
      <c r="R2372">
        <v>24782</v>
      </c>
    </row>
    <row r="2373" spans="1:18" x14ac:dyDescent="0.25">
      <c r="A2373" s="160">
        <v>45525</v>
      </c>
      <c r="B2373" s="115">
        <v>5570</v>
      </c>
      <c r="C2373" s="115">
        <v>5405.3</v>
      </c>
      <c r="D2373" s="115">
        <v>5369.05</v>
      </c>
      <c r="E2373" s="115">
        <v>5490</v>
      </c>
      <c r="F2373" s="115">
        <v>5405.3</v>
      </c>
      <c r="G2373">
        <v>5949</v>
      </c>
      <c r="H2373" s="115"/>
      <c r="I2373" s="115"/>
      <c r="L2373" s="160">
        <v>45499</v>
      </c>
      <c r="M2373" s="115">
        <v>1692.3</v>
      </c>
      <c r="N2373" s="115">
        <v>1731.95</v>
      </c>
      <c r="O2373" s="115">
        <v>1670</v>
      </c>
      <c r="P2373" s="115">
        <v>1690</v>
      </c>
      <c r="Q2373" s="115">
        <v>1692.3</v>
      </c>
      <c r="R2373">
        <v>74513</v>
      </c>
    </row>
    <row r="2374" spans="1:18" x14ac:dyDescent="0.25">
      <c r="A2374" s="160">
        <v>45526</v>
      </c>
      <c r="B2374" s="115">
        <v>5550</v>
      </c>
      <c r="C2374" s="115">
        <v>5417.55</v>
      </c>
      <c r="D2374" s="115">
        <v>5400</v>
      </c>
      <c r="E2374" s="115">
        <v>5494.65</v>
      </c>
      <c r="F2374" s="115">
        <v>5417.55</v>
      </c>
      <c r="G2374">
        <v>4878</v>
      </c>
      <c r="H2374" s="115"/>
      <c r="I2374" s="115"/>
      <c r="L2374" s="160">
        <v>45502</v>
      </c>
      <c r="M2374" s="115">
        <v>1707.6</v>
      </c>
      <c r="N2374" s="115">
        <v>1745.95</v>
      </c>
      <c r="O2374" s="115">
        <v>1686</v>
      </c>
      <c r="P2374" s="115">
        <v>1694.85</v>
      </c>
      <c r="Q2374" s="115">
        <v>1707.6</v>
      </c>
      <c r="R2374">
        <v>37900</v>
      </c>
    </row>
    <row r="2375" spans="1:18" x14ac:dyDescent="0.25">
      <c r="A2375" s="160">
        <v>45527</v>
      </c>
      <c r="B2375" s="115">
        <v>5515</v>
      </c>
      <c r="C2375" s="115">
        <v>5409.8</v>
      </c>
      <c r="D2375" s="115">
        <v>5382.1</v>
      </c>
      <c r="E2375" s="115">
        <v>5477.15</v>
      </c>
      <c r="F2375" s="115">
        <v>5409.8</v>
      </c>
      <c r="G2375">
        <v>3603</v>
      </c>
      <c r="H2375" s="115"/>
      <c r="I2375" s="115"/>
      <c r="L2375" s="160">
        <v>45503</v>
      </c>
      <c r="M2375" s="115">
        <v>1691.7</v>
      </c>
      <c r="N2375" s="115">
        <v>1719.7</v>
      </c>
      <c r="O2375" s="115">
        <v>1678.6</v>
      </c>
      <c r="P2375" s="115">
        <v>1719.7</v>
      </c>
      <c r="Q2375" s="115">
        <v>1691.7</v>
      </c>
      <c r="R2375">
        <v>25608</v>
      </c>
    </row>
    <row r="2376" spans="1:18" x14ac:dyDescent="0.25">
      <c r="A2376" s="160">
        <v>45530</v>
      </c>
      <c r="B2376" s="115">
        <v>5512.6</v>
      </c>
      <c r="C2376" s="115">
        <v>5415.15</v>
      </c>
      <c r="D2376" s="115">
        <v>5402.4</v>
      </c>
      <c r="E2376" s="115">
        <v>5512.6</v>
      </c>
      <c r="F2376" s="115">
        <v>5415.15</v>
      </c>
      <c r="G2376">
        <v>2767</v>
      </c>
      <c r="H2376" s="115"/>
      <c r="I2376" s="115"/>
      <c r="L2376" s="160">
        <v>45504</v>
      </c>
      <c r="M2376" s="115">
        <v>1731.35</v>
      </c>
      <c r="N2376" s="115">
        <v>1758</v>
      </c>
      <c r="O2376" s="115">
        <v>1714</v>
      </c>
      <c r="P2376" s="115">
        <v>1745</v>
      </c>
      <c r="Q2376" s="115">
        <v>1731.35</v>
      </c>
      <c r="R2376">
        <v>79351</v>
      </c>
    </row>
    <row r="2377" spans="1:18" x14ac:dyDescent="0.25">
      <c r="A2377" s="160">
        <v>45531</v>
      </c>
      <c r="B2377" s="115">
        <v>5460.55</v>
      </c>
      <c r="C2377" s="115">
        <v>5374.95</v>
      </c>
      <c r="D2377" s="115">
        <v>5365</v>
      </c>
      <c r="E2377" s="115">
        <v>5415.15</v>
      </c>
      <c r="F2377" s="115">
        <v>5374.95</v>
      </c>
      <c r="G2377">
        <v>1827</v>
      </c>
      <c r="H2377" s="115"/>
      <c r="I2377" s="115"/>
      <c r="L2377" s="160">
        <v>45505</v>
      </c>
      <c r="M2377" s="115">
        <v>1735</v>
      </c>
      <c r="N2377" s="115">
        <v>1755</v>
      </c>
      <c r="O2377" s="115">
        <v>1715</v>
      </c>
      <c r="P2377" s="115">
        <v>1755</v>
      </c>
      <c r="Q2377" s="115">
        <v>1735</v>
      </c>
      <c r="R2377">
        <v>24496</v>
      </c>
    </row>
    <row r="2378" spans="1:18" x14ac:dyDescent="0.25">
      <c r="A2378" s="160">
        <v>45532</v>
      </c>
      <c r="B2378" s="115">
        <v>5400</v>
      </c>
      <c r="C2378" s="115">
        <v>5192</v>
      </c>
      <c r="D2378" s="115">
        <v>5122.3500000000004</v>
      </c>
      <c r="E2378" s="115">
        <v>5370.3</v>
      </c>
      <c r="F2378" s="115">
        <v>5192</v>
      </c>
      <c r="G2378">
        <v>4016</v>
      </c>
      <c r="H2378" s="115"/>
      <c r="I2378" s="115"/>
      <c r="L2378" s="160">
        <v>45506</v>
      </c>
      <c r="M2378" s="115">
        <v>1821.45</v>
      </c>
      <c r="N2378" s="115">
        <v>1828</v>
      </c>
      <c r="O2378" s="115">
        <v>1711.15</v>
      </c>
      <c r="P2378" s="115">
        <v>1724.5</v>
      </c>
      <c r="Q2378" s="115">
        <v>1821.45</v>
      </c>
      <c r="R2378">
        <v>436654</v>
      </c>
    </row>
    <row r="2379" spans="1:18" x14ac:dyDescent="0.25">
      <c r="A2379" s="160">
        <v>45533</v>
      </c>
      <c r="B2379" s="115">
        <v>5247.85</v>
      </c>
      <c r="C2379" s="115">
        <v>5094.1499999999996</v>
      </c>
      <c r="D2379" s="115">
        <v>5071.05</v>
      </c>
      <c r="E2379" s="115">
        <v>5192</v>
      </c>
      <c r="F2379" s="115">
        <v>5094.1499999999996</v>
      </c>
      <c r="G2379">
        <v>4296</v>
      </c>
      <c r="H2379" s="115"/>
      <c r="I2379" s="115"/>
      <c r="L2379" s="160">
        <v>45509</v>
      </c>
      <c r="M2379" s="115">
        <v>1762.95</v>
      </c>
      <c r="N2379" s="115">
        <v>1925.8</v>
      </c>
      <c r="O2379" s="115">
        <v>1748</v>
      </c>
      <c r="P2379" s="115">
        <v>1798.8</v>
      </c>
      <c r="Q2379" s="115">
        <v>1762.95</v>
      </c>
      <c r="R2379">
        <v>429080</v>
      </c>
    </row>
    <row r="2380" spans="1:18" x14ac:dyDescent="0.25">
      <c r="A2380" s="160">
        <v>45534</v>
      </c>
      <c r="B2380" s="115">
        <v>5140</v>
      </c>
      <c r="C2380" s="115">
        <v>5084.7</v>
      </c>
      <c r="D2380" s="115">
        <v>5005</v>
      </c>
      <c r="E2380" s="115">
        <v>5140</v>
      </c>
      <c r="F2380" s="115">
        <v>5084.7</v>
      </c>
      <c r="G2380">
        <v>2378</v>
      </c>
      <c r="H2380" s="115"/>
      <c r="I2380" s="115"/>
      <c r="L2380" s="160">
        <v>45510</v>
      </c>
      <c r="M2380" s="115">
        <v>1744.05</v>
      </c>
      <c r="N2380" s="115">
        <v>1843.9</v>
      </c>
      <c r="O2380" s="115">
        <v>1725.65</v>
      </c>
      <c r="P2380" s="115">
        <v>1790.05</v>
      </c>
      <c r="Q2380" s="115">
        <v>1744.05</v>
      </c>
      <c r="R2380">
        <v>103673</v>
      </c>
    </row>
    <row r="2381" spans="1:18" x14ac:dyDescent="0.25">
      <c r="A2381" s="160">
        <v>45537</v>
      </c>
      <c r="B2381" s="115">
        <v>5149</v>
      </c>
      <c r="C2381" s="115">
        <v>5045.5</v>
      </c>
      <c r="D2381" s="115">
        <v>5030</v>
      </c>
      <c r="E2381" s="115">
        <v>5075</v>
      </c>
      <c r="F2381" s="115">
        <v>5045.5</v>
      </c>
      <c r="G2381">
        <v>1258</v>
      </c>
      <c r="H2381" s="115"/>
      <c r="I2381" s="115"/>
      <c r="L2381" s="160">
        <v>45511</v>
      </c>
      <c r="M2381" s="115">
        <v>1812.85</v>
      </c>
      <c r="N2381" s="115">
        <v>1840</v>
      </c>
      <c r="O2381" s="115">
        <v>1789.1</v>
      </c>
      <c r="P2381" s="115">
        <v>1840</v>
      </c>
      <c r="Q2381" s="115">
        <v>1812.85</v>
      </c>
      <c r="R2381">
        <v>84016</v>
      </c>
    </row>
    <row r="2382" spans="1:18" x14ac:dyDescent="0.25">
      <c r="A2382" s="160">
        <v>45538</v>
      </c>
      <c r="B2382" s="115">
        <v>5189.95</v>
      </c>
      <c r="C2382" s="115">
        <v>5058.7</v>
      </c>
      <c r="D2382" s="115">
        <v>5050</v>
      </c>
      <c r="E2382" s="115">
        <v>5126.95</v>
      </c>
      <c r="F2382" s="115">
        <v>5058.7</v>
      </c>
      <c r="G2382">
        <v>1385</v>
      </c>
      <c r="H2382" s="115"/>
      <c r="I2382" s="115"/>
      <c r="L2382" s="160">
        <v>45512</v>
      </c>
      <c r="M2382" s="115">
        <v>1827</v>
      </c>
      <c r="N2382" s="115">
        <v>1860</v>
      </c>
      <c r="O2382" s="115">
        <v>1804.85</v>
      </c>
      <c r="P2382" s="115">
        <v>1820.75</v>
      </c>
      <c r="Q2382" s="115">
        <v>1827</v>
      </c>
      <c r="R2382">
        <v>102182</v>
      </c>
    </row>
    <row r="2383" spans="1:18" x14ac:dyDescent="0.25">
      <c r="A2383" s="160">
        <v>45539</v>
      </c>
      <c r="B2383" s="115">
        <v>5250</v>
      </c>
      <c r="C2383" s="115">
        <v>5051.55</v>
      </c>
      <c r="D2383" s="115">
        <v>5005.1499999999996</v>
      </c>
      <c r="E2383" s="115">
        <v>5040</v>
      </c>
      <c r="F2383" s="115">
        <v>5051.55</v>
      </c>
      <c r="G2383">
        <v>1668</v>
      </c>
      <c r="H2383" s="115"/>
      <c r="I2383" s="115"/>
      <c r="L2383" s="160">
        <v>45513</v>
      </c>
      <c r="M2383" s="115">
        <v>1846.75</v>
      </c>
      <c r="N2383" s="115">
        <v>1852</v>
      </c>
      <c r="O2383" s="115">
        <v>1815.8</v>
      </c>
      <c r="P2383" s="115">
        <v>1836.45</v>
      </c>
      <c r="Q2383" s="115">
        <v>1846.75</v>
      </c>
      <c r="R2383">
        <v>51275</v>
      </c>
    </row>
    <row r="2384" spans="1:18" x14ac:dyDescent="0.25">
      <c r="A2384" s="160">
        <v>45540</v>
      </c>
      <c r="B2384" s="115">
        <v>5219.95</v>
      </c>
      <c r="C2384" s="115">
        <v>5095.25</v>
      </c>
      <c r="D2384" s="115">
        <v>5067.3500000000004</v>
      </c>
      <c r="E2384" s="115">
        <v>5209.95</v>
      </c>
      <c r="F2384" s="115">
        <v>5095.25</v>
      </c>
      <c r="G2384">
        <v>1585</v>
      </c>
      <c r="H2384" s="115"/>
      <c r="I2384" s="115"/>
      <c r="L2384" s="160">
        <v>45516</v>
      </c>
      <c r="M2384" s="115">
        <v>1818.5</v>
      </c>
      <c r="N2384" s="115">
        <v>1872.9</v>
      </c>
      <c r="O2384" s="115">
        <v>1810.1</v>
      </c>
      <c r="P2384" s="115">
        <v>1861.3</v>
      </c>
      <c r="Q2384" s="115">
        <v>1818.5</v>
      </c>
      <c r="R2384">
        <v>59528</v>
      </c>
    </row>
    <row r="2385" spans="1:18" x14ac:dyDescent="0.25">
      <c r="A2385" s="160">
        <v>45541</v>
      </c>
      <c r="B2385" s="115">
        <v>5150</v>
      </c>
      <c r="C2385" s="115">
        <v>5026.8500000000004</v>
      </c>
      <c r="D2385" s="115">
        <v>5000</v>
      </c>
      <c r="E2385" s="115">
        <v>5094</v>
      </c>
      <c r="F2385" s="115">
        <v>5026.8500000000004</v>
      </c>
      <c r="G2385">
        <v>1979</v>
      </c>
      <c r="H2385" s="115"/>
      <c r="I2385" s="115"/>
      <c r="L2385" s="160">
        <v>45517</v>
      </c>
      <c r="M2385" s="115">
        <v>1801.65</v>
      </c>
      <c r="N2385" s="115">
        <v>1848.95</v>
      </c>
      <c r="O2385" s="115">
        <v>1776.05</v>
      </c>
      <c r="P2385" s="115">
        <v>1848.95</v>
      </c>
      <c r="Q2385" s="115">
        <v>1801.65</v>
      </c>
      <c r="R2385">
        <v>67847</v>
      </c>
    </row>
    <row r="2386" spans="1:18" x14ac:dyDescent="0.25">
      <c r="A2386" s="160">
        <v>45544</v>
      </c>
      <c r="B2386" s="115">
        <v>5299</v>
      </c>
      <c r="C2386" s="115">
        <v>5166.5</v>
      </c>
      <c r="D2386" s="115">
        <v>5078</v>
      </c>
      <c r="E2386" s="115">
        <v>5089</v>
      </c>
      <c r="F2386" s="115">
        <v>5166.5</v>
      </c>
      <c r="G2386">
        <v>4332</v>
      </c>
      <c r="H2386" s="115"/>
      <c r="I2386" s="115"/>
      <c r="L2386" s="160">
        <v>45518</v>
      </c>
      <c r="M2386" s="115">
        <v>1820.6</v>
      </c>
      <c r="N2386" s="115">
        <v>1848.95</v>
      </c>
      <c r="O2386" s="115">
        <v>1791</v>
      </c>
      <c r="P2386" s="115">
        <v>1848.95</v>
      </c>
      <c r="Q2386" s="115">
        <v>1820.6</v>
      </c>
      <c r="R2386">
        <v>41643</v>
      </c>
    </row>
    <row r="2387" spans="1:18" x14ac:dyDescent="0.25">
      <c r="A2387" s="160">
        <v>45545</v>
      </c>
      <c r="B2387" s="115">
        <v>5295</v>
      </c>
      <c r="C2387" s="115">
        <v>5097.6499999999996</v>
      </c>
      <c r="D2387" s="115">
        <v>5050</v>
      </c>
      <c r="E2387" s="115">
        <v>5239.95</v>
      </c>
      <c r="F2387" s="115">
        <v>5097.6499999999996</v>
      </c>
      <c r="G2387">
        <v>2939</v>
      </c>
      <c r="H2387" s="115"/>
      <c r="I2387" s="115"/>
      <c r="L2387" s="160">
        <v>45520</v>
      </c>
      <c r="M2387" s="115">
        <v>1788.5</v>
      </c>
      <c r="N2387" s="115">
        <v>1813.9</v>
      </c>
      <c r="O2387" s="115">
        <v>1783.1</v>
      </c>
      <c r="P2387" s="115">
        <v>1799</v>
      </c>
      <c r="Q2387" s="115">
        <v>1788.5</v>
      </c>
      <c r="R2387">
        <v>33517</v>
      </c>
    </row>
    <row r="2388" spans="1:18" x14ac:dyDescent="0.25">
      <c r="A2388" s="160">
        <v>45546</v>
      </c>
      <c r="B2388" s="115">
        <v>5356.05</v>
      </c>
      <c r="C2388" s="115">
        <v>5208.6000000000004</v>
      </c>
      <c r="D2388" s="115">
        <v>5125</v>
      </c>
      <c r="E2388" s="115">
        <v>5174.95</v>
      </c>
      <c r="F2388" s="115">
        <v>5208.6000000000004</v>
      </c>
      <c r="G2388">
        <v>3358</v>
      </c>
      <c r="H2388" s="115"/>
      <c r="I2388" s="115"/>
      <c r="L2388" s="160">
        <v>45523</v>
      </c>
      <c r="M2388" s="115">
        <v>1794.75</v>
      </c>
      <c r="N2388" s="115">
        <v>1815</v>
      </c>
      <c r="O2388" s="115">
        <v>1775</v>
      </c>
      <c r="P2388" s="115">
        <v>1790</v>
      </c>
      <c r="Q2388" s="115">
        <v>1794.75</v>
      </c>
      <c r="R2388">
        <v>20789</v>
      </c>
    </row>
    <row r="2389" spans="1:18" x14ac:dyDescent="0.25">
      <c r="A2389" s="160">
        <v>45547</v>
      </c>
      <c r="B2389" s="115">
        <v>5325</v>
      </c>
      <c r="C2389" s="115">
        <v>5314.6</v>
      </c>
      <c r="D2389" s="115">
        <v>5172.05</v>
      </c>
      <c r="E2389" s="115">
        <v>5279.7</v>
      </c>
      <c r="F2389" s="115">
        <v>5314.6</v>
      </c>
      <c r="G2389">
        <v>3164</v>
      </c>
      <c r="H2389" s="115"/>
      <c r="I2389" s="115"/>
      <c r="L2389" s="160">
        <v>45524</v>
      </c>
      <c r="M2389" s="115">
        <v>1747.4</v>
      </c>
      <c r="N2389" s="115">
        <v>1808.95</v>
      </c>
      <c r="O2389" s="115">
        <v>1735.65</v>
      </c>
      <c r="P2389" s="115">
        <v>1808.95</v>
      </c>
      <c r="Q2389" s="115">
        <v>1747.4</v>
      </c>
      <c r="R2389">
        <v>46038</v>
      </c>
    </row>
    <row r="2390" spans="1:18" x14ac:dyDescent="0.25">
      <c r="A2390" s="160">
        <v>45548</v>
      </c>
      <c r="B2390" s="115">
        <v>5494</v>
      </c>
      <c r="C2390" s="115">
        <v>5464.3</v>
      </c>
      <c r="D2390" s="115">
        <v>5315</v>
      </c>
      <c r="E2390" s="115">
        <v>5350</v>
      </c>
      <c r="F2390" s="115">
        <v>5464.3</v>
      </c>
      <c r="G2390">
        <v>4767</v>
      </c>
      <c r="H2390" s="115"/>
      <c r="I2390" s="115"/>
      <c r="L2390" s="160">
        <v>45525</v>
      </c>
      <c r="M2390" s="115">
        <v>1794.85</v>
      </c>
      <c r="N2390" s="115">
        <v>1870</v>
      </c>
      <c r="O2390" s="115">
        <v>1755</v>
      </c>
      <c r="P2390" s="115">
        <v>1810.45</v>
      </c>
      <c r="Q2390" s="115">
        <v>1794.85</v>
      </c>
      <c r="R2390">
        <v>65738</v>
      </c>
    </row>
    <row r="2391" spans="1:18" x14ac:dyDescent="0.25">
      <c r="A2391" s="160">
        <v>45551</v>
      </c>
      <c r="B2391" s="115">
        <v>5448.85</v>
      </c>
      <c r="C2391" s="115">
        <v>5414.5</v>
      </c>
      <c r="D2391" s="115">
        <v>5366.65</v>
      </c>
      <c r="E2391" s="115">
        <v>5416.8</v>
      </c>
      <c r="F2391" s="115">
        <v>5414.5</v>
      </c>
      <c r="G2391">
        <v>2021</v>
      </c>
      <c r="H2391" s="115"/>
      <c r="I2391" s="115"/>
      <c r="L2391" s="160">
        <v>45526</v>
      </c>
      <c r="M2391" s="115">
        <v>1795.1</v>
      </c>
      <c r="N2391" s="115">
        <v>1804.65</v>
      </c>
      <c r="O2391" s="115">
        <v>1780.05</v>
      </c>
      <c r="P2391" s="115">
        <v>1794.85</v>
      </c>
      <c r="Q2391" s="115">
        <v>1795.1</v>
      </c>
      <c r="R2391">
        <v>17094</v>
      </c>
    </row>
    <row r="2392" spans="1:18" x14ac:dyDescent="0.25">
      <c r="A2392" s="160">
        <v>45552</v>
      </c>
      <c r="B2392" s="115">
        <v>5454.95</v>
      </c>
      <c r="C2392" s="115">
        <v>5380.45</v>
      </c>
      <c r="D2392" s="115">
        <v>5301</v>
      </c>
      <c r="E2392" s="115">
        <v>5335.05</v>
      </c>
      <c r="F2392" s="115">
        <v>5380.45</v>
      </c>
      <c r="G2392">
        <v>1068</v>
      </c>
      <c r="H2392" s="115"/>
      <c r="I2392" s="115"/>
      <c r="L2392" s="160">
        <v>45527</v>
      </c>
      <c r="M2392" s="115">
        <v>1796.45</v>
      </c>
      <c r="N2392" s="115">
        <v>1803</v>
      </c>
      <c r="O2392" s="115">
        <v>1783.05</v>
      </c>
      <c r="P2392" s="115">
        <v>1795.1</v>
      </c>
      <c r="Q2392" s="115">
        <v>1796.45</v>
      </c>
      <c r="R2392">
        <v>13248</v>
      </c>
    </row>
    <row r="2393" spans="1:18" x14ac:dyDescent="0.25">
      <c r="A2393" s="160">
        <v>45553</v>
      </c>
      <c r="B2393" s="115">
        <v>5460</v>
      </c>
      <c r="C2393" s="115">
        <v>5262.15</v>
      </c>
      <c r="D2393" s="115">
        <v>5229.8999999999996</v>
      </c>
      <c r="E2393" s="115">
        <v>5384</v>
      </c>
      <c r="F2393" s="115">
        <v>5262.15</v>
      </c>
      <c r="G2393">
        <v>1669</v>
      </c>
      <c r="H2393" s="115"/>
      <c r="I2393" s="115"/>
      <c r="L2393" s="160">
        <v>45530</v>
      </c>
      <c r="M2393" s="115">
        <v>1808.95</v>
      </c>
      <c r="N2393" s="115">
        <v>1825</v>
      </c>
      <c r="O2393" s="115">
        <v>1796.45</v>
      </c>
      <c r="P2393" s="115">
        <v>1797.7</v>
      </c>
      <c r="Q2393" s="115">
        <v>1808.95</v>
      </c>
      <c r="R2393">
        <v>19054</v>
      </c>
    </row>
    <row r="2394" spans="1:18" x14ac:dyDescent="0.25">
      <c r="A2394" s="160">
        <v>45554</v>
      </c>
      <c r="B2394" s="115">
        <v>5445.9</v>
      </c>
      <c r="C2394" s="115">
        <v>5131.3</v>
      </c>
      <c r="D2394" s="115">
        <v>5008.3</v>
      </c>
      <c r="E2394" s="115">
        <v>5295</v>
      </c>
      <c r="F2394" s="115">
        <v>5131.3</v>
      </c>
      <c r="G2394">
        <v>2636</v>
      </c>
      <c r="H2394" s="115"/>
      <c r="I2394" s="115"/>
      <c r="L2394" s="160">
        <v>45531</v>
      </c>
      <c r="M2394" s="115">
        <v>1820.1</v>
      </c>
      <c r="N2394" s="115">
        <v>1869.45</v>
      </c>
      <c r="O2394" s="115">
        <v>1801.05</v>
      </c>
      <c r="P2394" s="115">
        <v>1819.9</v>
      </c>
      <c r="Q2394" s="115">
        <v>1820.1</v>
      </c>
      <c r="R2394">
        <v>72353</v>
      </c>
    </row>
    <row r="2395" spans="1:18" x14ac:dyDescent="0.25">
      <c r="A2395" s="160">
        <v>45555</v>
      </c>
      <c r="B2395" s="115">
        <v>5240.8500000000004</v>
      </c>
      <c r="C2395" s="115">
        <v>5152.6499999999996</v>
      </c>
      <c r="D2395" s="115">
        <v>5101.05</v>
      </c>
      <c r="E2395" s="115">
        <v>5102.05</v>
      </c>
      <c r="F2395" s="115">
        <v>5152.6499999999996</v>
      </c>
      <c r="G2395">
        <v>661</v>
      </c>
      <c r="H2395" s="115"/>
      <c r="I2395" s="115"/>
      <c r="L2395" s="160">
        <v>45532</v>
      </c>
      <c r="M2395" s="115">
        <v>1763.6</v>
      </c>
      <c r="N2395" s="115">
        <v>1850.95</v>
      </c>
      <c r="O2395" s="115">
        <v>1740.85</v>
      </c>
      <c r="P2395" s="115">
        <v>1850</v>
      </c>
      <c r="Q2395" s="115">
        <v>1763.6</v>
      </c>
      <c r="R2395">
        <v>42273</v>
      </c>
    </row>
    <row r="2396" spans="1:18" x14ac:dyDescent="0.25">
      <c r="A2396" s="160">
        <v>45558</v>
      </c>
      <c r="B2396" s="115">
        <v>5243.95</v>
      </c>
      <c r="C2396" s="115">
        <v>5149.7</v>
      </c>
      <c r="D2396" s="115">
        <v>5110</v>
      </c>
      <c r="E2396" s="115">
        <v>5110</v>
      </c>
      <c r="F2396" s="115">
        <v>5149.7</v>
      </c>
      <c r="G2396">
        <v>2232</v>
      </c>
      <c r="H2396" s="115"/>
      <c r="I2396" s="115"/>
      <c r="L2396" s="160">
        <v>45533</v>
      </c>
      <c r="M2396" s="115">
        <v>1747.2</v>
      </c>
      <c r="N2396" s="115">
        <v>1771.65</v>
      </c>
      <c r="O2396" s="115">
        <v>1733.6</v>
      </c>
      <c r="P2396" s="115">
        <v>1761</v>
      </c>
      <c r="Q2396" s="115">
        <v>1747.2</v>
      </c>
      <c r="R2396">
        <v>18067</v>
      </c>
    </row>
    <row r="2397" spans="1:18" x14ac:dyDescent="0.25">
      <c r="A2397" s="160">
        <v>45559</v>
      </c>
      <c r="B2397" s="115">
        <v>5575</v>
      </c>
      <c r="C2397" s="115">
        <v>5521.15</v>
      </c>
      <c r="D2397" s="115">
        <v>5179.95</v>
      </c>
      <c r="E2397" s="115">
        <v>5239.6499999999996</v>
      </c>
      <c r="F2397" s="115">
        <v>5521.15</v>
      </c>
      <c r="G2397">
        <v>12517</v>
      </c>
      <c r="H2397" s="115"/>
      <c r="I2397" s="115"/>
      <c r="L2397" s="160">
        <v>45534</v>
      </c>
      <c r="M2397" s="115">
        <v>1825.9</v>
      </c>
      <c r="N2397" s="115">
        <v>1840</v>
      </c>
      <c r="O2397" s="115">
        <v>1735</v>
      </c>
      <c r="P2397" s="115">
        <v>1748.65</v>
      </c>
      <c r="Q2397" s="115">
        <v>1825.9</v>
      </c>
      <c r="R2397">
        <v>72393</v>
      </c>
    </row>
    <row r="2398" spans="1:18" x14ac:dyDescent="0.25">
      <c r="A2398" s="160">
        <v>45560</v>
      </c>
      <c r="B2398" s="115">
        <v>6300</v>
      </c>
      <c r="C2398" s="115">
        <v>5961.65</v>
      </c>
      <c r="D2398" s="115">
        <v>5501.05</v>
      </c>
      <c r="E2398" s="115">
        <v>5564.95</v>
      </c>
      <c r="F2398" s="115">
        <v>5961.65</v>
      </c>
      <c r="G2398">
        <v>29344</v>
      </c>
      <c r="H2398" s="115"/>
      <c r="I2398" s="115"/>
      <c r="L2398" s="160">
        <v>45537</v>
      </c>
      <c r="M2398" s="115">
        <v>1771.35</v>
      </c>
      <c r="N2398" s="115">
        <v>1849.95</v>
      </c>
      <c r="O2398" s="115">
        <v>1752.95</v>
      </c>
      <c r="P2398" s="115">
        <v>1840</v>
      </c>
      <c r="Q2398" s="115">
        <v>1771.35</v>
      </c>
      <c r="R2398">
        <v>35826</v>
      </c>
    </row>
    <row r="2399" spans="1:18" x14ac:dyDescent="0.25">
      <c r="A2399" s="160">
        <v>45561</v>
      </c>
      <c r="B2399" s="115">
        <v>6262</v>
      </c>
      <c r="C2399" s="115">
        <v>5869.9</v>
      </c>
      <c r="D2399" s="115">
        <v>5800</v>
      </c>
      <c r="E2399" s="115">
        <v>6055</v>
      </c>
      <c r="F2399" s="115">
        <v>5869.9</v>
      </c>
      <c r="G2399">
        <v>6793</v>
      </c>
      <c r="H2399" s="115"/>
      <c r="I2399" s="115"/>
      <c r="L2399" s="160">
        <v>45538</v>
      </c>
      <c r="M2399" s="115">
        <v>1778.8</v>
      </c>
      <c r="N2399" s="115">
        <v>1800</v>
      </c>
      <c r="O2399" s="115">
        <v>1752.1</v>
      </c>
      <c r="P2399" s="115">
        <v>1790</v>
      </c>
      <c r="Q2399" s="115">
        <v>1778.8</v>
      </c>
      <c r="R2399">
        <v>28767</v>
      </c>
    </row>
    <row r="2400" spans="1:18" x14ac:dyDescent="0.25">
      <c r="A2400" s="160">
        <v>45562</v>
      </c>
      <c r="B2400" s="115">
        <v>5974.95</v>
      </c>
      <c r="C2400" s="115">
        <v>5887.4</v>
      </c>
      <c r="D2400" s="115">
        <v>5850</v>
      </c>
      <c r="E2400" s="115">
        <v>5974.95</v>
      </c>
      <c r="F2400" s="115">
        <v>5887.4</v>
      </c>
      <c r="G2400">
        <v>2025</v>
      </c>
      <c r="H2400" s="115"/>
      <c r="I2400" s="115"/>
      <c r="L2400" s="160">
        <v>45539</v>
      </c>
      <c r="M2400" s="115">
        <v>1684.75</v>
      </c>
      <c r="N2400" s="115">
        <v>1775</v>
      </c>
      <c r="O2400" s="115">
        <v>1680</v>
      </c>
      <c r="P2400" s="115">
        <v>1775</v>
      </c>
      <c r="Q2400" s="115">
        <v>1684.75</v>
      </c>
      <c r="R2400">
        <v>114072</v>
      </c>
    </row>
    <row r="2401" spans="1:18" x14ac:dyDescent="0.25">
      <c r="A2401" s="160">
        <v>45565</v>
      </c>
      <c r="B2401" s="115">
        <v>5939</v>
      </c>
      <c r="C2401" s="115">
        <v>5744.6</v>
      </c>
      <c r="D2401" s="115">
        <v>5723</v>
      </c>
      <c r="E2401" s="115">
        <v>5783</v>
      </c>
      <c r="F2401" s="115">
        <v>5744.6</v>
      </c>
      <c r="G2401">
        <v>1679</v>
      </c>
      <c r="H2401" s="115"/>
      <c r="I2401" s="115"/>
      <c r="L2401" s="160">
        <v>45540</v>
      </c>
      <c r="M2401" s="115">
        <v>1659.6</v>
      </c>
      <c r="N2401" s="115">
        <v>1720</v>
      </c>
      <c r="O2401" s="115">
        <v>1653.5</v>
      </c>
      <c r="P2401" s="115">
        <v>1715</v>
      </c>
      <c r="Q2401" s="115">
        <v>1659.6</v>
      </c>
      <c r="R2401">
        <v>81954</v>
      </c>
    </row>
    <row r="2402" spans="1:18" x14ac:dyDescent="0.25">
      <c r="A2402" s="160">
        <v>45566</v>
      </c>
      <c r="B2402" s="115">
        <v>6068.9</v>
      </c>
      <c r="C2402" s="115">
        <v>5954.95</v>
      </c>
      <c r="D2402" s="115">
        <v>5744.6</v>
      </c>
      <c r="E2402" s="115">
        <v>5744.6</v>
      </c>
      <c r="F2402" s="115">
        <v>5954.95</v>
      </c>
      <c r="G2402">
        <v>3107</v>
      </c>
      <c r="H2402" s="115"/>
      <c r="I2402" s="115"/>
      <c r="L2402" s="160">
        <v>45541</v>
      </c>
      <c r="M2402" s="115">
        <v>1588.8</v>
      </c>
      <c r="N2402" s="115">
        <v>1667.6</v>
      </c>
      <c r="O2402" s="115">
        <v>1581.4</v>
      </c>
      <c r="P2402" s="115">
        <v>1663.95</v>
      </c>
      <c r="Q2402" s="115">
        <v>1588.8</v>
      </c>
      <c r="R2402">
        <v>102265</v>
      </c>
    </row>
    <row r="2403" spans="1:18" x14ac:dyDescent="0.25">
      <c r="A2403" s="160">
        <v>45568</v>
      </c>
      <c r="B2403" s="115">
        <v>5899</v>
      </c>
      <c r="C2403" s="115">
        <v>5676.05</v>
      </c>
      <c r="D2403" s="115">
        <v>5640</v>
      </c>
      <c r="E2403" s="115">
        <v>5800</v>
      </c>
      <c r="F2403" s="115">
        <v>5676.05</v>
      </c>
      <c r="G2403">
        <v>4090</v>
      </c>
      <c r="H2403" s="115"/>
      <c r="I2403" s="115"/>
      <c r="L2403" s="160">
        <v>45544</v>
      </c>
      <c r="M2403" s="115">
        <v>1589.1</v>
      </c>
      <c r="N2403" s="115">
        <v>1600</v>
      </c>
      <c r="O2403" s="115">
        <v>1533.4</v>
      </c>
      <c r="P2403" s="115">
        <v>1588.8</v>
      </c>
      <c r="Q2403" s="115">
        <v>1589.1</v>
      </c>
      <c r="R2403">
        <v>64981</v>
      </c>
    </row>
    <row r="2404" spans="1:18" x14ac:dyDescent="0.25">
      <c r="A2404" s="160">
        <v>45569</v>
      </c>
      <c r="B2404" s="115">
        <v>5910</v>
      </c>
      <c r="C2404" s="115">
        <v>5772.75</v>
      </c>
      <c r="D2404" s="115">
        <v>5600</v>
      </c>
      <c r="E2404" s="115">
        <v>5632.1</v>
      </c>
      <c r="F2404" s="115">
        <v>5772.75</v>
      </c>
      <c r="G2404">
        <v>3403</v>
      </c>
      <c r="H2404" s="115"/>
      <c r="I2404" s="115"/>
      <c r="L2404" s="160">
        <v>45545</v>
      </c>
      <c r="M2404" s="115">
        <v>1678.2</v>
      </c>
      <c r="N2404" s="115">
        <v>1690</v>
      </c>
      <c r="O2404" s="115">
        <v>1598</v>
      </c>
      <c r="P2404" s="115">
        <v>1598</v>
      </c>
      <c r="Q2404" s="115">
        <v>1678.2</v>
      </c>
      <c r="R2404">
        <v>180991</v>
      </c>
    </row>
    <row r="2405" spans="1:18" x14ac:dyDescent="0.25">
      <c r="A2405" s="160">
        <v>45572</v>
      </c>
      <c r="B2405" s="115">
        <v>5775</v>
      </c>
      <c r="C2405" s="115">
        <v>5430.65</v>
      </c>
      <c r="D2405" s="115">
        <v>5415.05</v>
      </c>
      <c r="E2405" s="115">
        <v>5775</v>
      </c>
      <c r="F2405" s="115">
        <v>5430.65</v>
      </c>
      <c r="G2405">
        <v>3181</v>
      </c>
      <c r="H2405" s="115"/>
      <c r="I2405" s="115"/>
      <c r="L2405" s="160">
        <v>45546</v>
      </c>
      <c r="M2405" s="115">
        <v>1606.05</v>
      </c>
      <c r="N2405" s="115">
        <v>1654.6</v>
      </c>
      <c r="O2405" s="115">
        <v>1600.95</v>
      </c>
      <c r="P2405" s="115">
        <v>1645.6</v>
      </c>
      <c r="Q2405" s="115">
        <v>1606.05</v>
      </c>
      <c r="R2405">
        <v>53674</v>
      </c>
    </row>
    <row r="2406" spans="1:18" x14ac:dyDescent="0.25">
      <c r="A2406" s="160">
        <v>45573</v>
      </c>
      <c r="B2406" s="115">
        <v>5673.95</v>
      </c>
      <c r="C2406" s="115">
        <v>5625.75</v>
      </c>
      <c r="D2406" s="115">
        <v>5342</v>
      </c>
      <c r="E2406" s="115">
        <v>5342</v>
      </c>
      <c r="F2406" s="115">
        <v>5625.75</v>
      </c>
      <c r="G2406">
        <v>1269</v>
      </c>
      <c r="H2406" s="115"/>
      <c r="I2406" s="115"/>
      <c r="L2406" s="160">
        <v>45547</v>
      </c>
      <c r="M2406" s="115">
        <v>1586.5</v>
      </c>
      <c r="N2406" s="115">
        <v>1626.3</v>
      </c>
      <c r="O2406" s="115">
        <v>1580.2</v>
      </c>
      <c r="P2406" s="115">
        <v>1608</v>
      </c>
      <c r="Q2406" s="115">
        <v>1586.5</v>
      </c>
      <c r="R2406">
        <v>30416</v>
      </c>
    </row>
    <row r="2407" spans="1:18" x14ac:dyDescent="0.25">
      <c r="A2407" s="160">
        <v>45574</v>
      </c>
      <c r="B2407" s="115">
        <v>5724.9</v>
      </c>
      <c r="C2407" s="115">
        <v>5571.4</v>
      </c>
      <c r="D2407" s="115">
        <v>5517</v>
      </c>
      <c r="E2407" s="115">
        <v>5724.9</v>
      </c>
      <c r="F2407" s="115">
        <v>5571.4</v>
      </c>
      <c r="G2407">
        <v>1727</v>
      </c>
      <c r="H2407" s="115"/>
      <c r="I2407" s="115"/>
      <c r="L2407" s="160">
        <v>45548</v>
      </c>
      <c r="M2407" s="115">
        <v>1593.35</v>
      </c>
      <c r="N2407" s="115">
        <v>1609.9</v>
      </c>
      <c r="O2407" s="115">
        <v>1565</v>
      </c>
      <c r="P2407" s="115">
        <v>1588</v>
      </c>
      <c r="Q2407" s="115">
        <v>1593.35</v>
      </c>
      <c r="R2407">
        <v>21086</v>
      </c>
    </row>
    <row r="2408" spans="1:18" x14ac:dyDescent="0.25">
      <c r="A2408" s="160">
        <v>45575</v>
      </c>
      <c r="B2408" s="115">
        <v>5745.95</v>
      </c>
      <c r="C2408" s="115">
        <v>5665.35</v>
      </c>
      <c r="D2408" s="115">
        <v>5605</v>
      </c>
      <c r="E2408" s="115">
        <v>5692.85</v>
      </c>
      <c r="F2408" s="115">
        <v>5665.35</v>
      </c>
      <c r="G2408">
        <v>1203</v>
      </c>
      <c r="H2408" s="115"/>
      <c r="I2408" s="115"/>
      <c r="L2408" s="160">
        <v>45551</v>
      </c>
      <c r="M2408" s="115">
        <v>1603.15</v>
      </c>
      <c r="N2408" s="115">
        <v>1610</v>
      </c>
      <c r="O2408" s="115">
        <v>1582.55</v>
      </c>
      <c r="P2408" s="115">
        <v>1599</v>
      </c>
      <c r="Q2408" s="115">
        <v>1603.15</v>
      </c>
      <c r="R2408">
        <v>17165</v>
      </c>
    </row>
    <row r="2409" spans="1:18" x14ac:dyDescent="0.25">
      <c r="A2409" s="160">
        <v>45576</v>
      </c>
      <c r="B2409" s="115">
        <v>5888</v>
      </c>
      <c r="C2409" s="115">
        <v>5803.45</v>
      </c>
      <c r="D2409" s="115">
        <v>5631.05</v>
      </c>
      <c r="E2409" s="115">
        <v>5778</v>
      </c>
      <c r="F2409" s="115">
        <v>5803.45</v>
      </c>
      <c r="G2409">
        <v>1771</v>
      </c>
      <c r="H2409" s="115"/>
      <c r="I2409" s="115"/>
      <c r="L2409" s="160">
        <v>45552</v>
      </c>
      <c r="M2409" s="115">
        <v>1582.1</v>
      </c>
      <c r="N2409" s="115">
        <v>1602.85</v>
      </c>
      <c r="O2409" s="115">
        <v>1565</v>
      </c>
      <c r="P2409" s="115">
        <v>1599</v>
      </c>
      <c r="Q2409" s="115">
        <v>1582.1</v>
      </c>
      <c r="R2409">
        <v>26317</v>
      </c>
    </row>
    <row r="2410" spans="1:18" x14ac:dyDescent="0.25">
      <c r="A2410" s="160">
        <v>45579</v>
      </c>
      <c r="B2410" s="115">
        <v>6100</v>
      </c>
      <c r="C2410" s="115">
        <v>5839.3</v>
      </c>
      <c r="D2410" s="115">
        <v>5755.15</v>
      </c>
      <c r="E2410" s="115">
        <v>6099</v>
      </c>
      <c r="F2410" s="115">
        <v>5839.3</v>
      </c>
      <c r="G2410">
        <v>3993</v>
      </c>
      <c r="H2410" s="115"/>
      <c r="I2410" s="115"/>
      <c r="L2410" s="160">
        <v>45553</v>
      </c>
      <c r="M2410" s="115">
        <v>1553.55</v>
      </c>
      <c r="N2410" s="115">
        <v>1590</v>
      </c>
      <c r="O2410" s="115">
        <v>1549.6</v>
      </c>
      <c r="P2410" s="115">
        <v>1590</v>
      </c>
      <c r="Q2410" s="115">
        <v>1553.55</v>
      </c>
      <c r="R2410">
        <v>30442</v>
      </c>
    </row>
    <row r="2411" spans="1:18" x14ac:dyDescent="0.25">
      <c r="A2411" s="160">
        <v>45580</v>
      </c>
      <c r="B2411" s="115">
        <v>6035</v>
      </c>
      <c r="C2411" s="115">
        <v>5796.4</v>
      </c>
      <c r="D2411" s="115">
        <v>5757</v>
      </c>
      <c r="E2411" s="115">
        <v>5879</v>
      </c>
      <c r="F2411" s="115">
        <v>5796.4</v>
      </c>
      <c r="G2411">
        <v>5693</v>
      </c>
      <c r="H2411" s="115"/>
      <c r="I2411" s="115"/>
      <c r="L2411" s="160">
        <v>45554</v>
      </c>
      <c r="M2411" s="115">
        <v>1514.45</v>
      </c>
      <c r="N2411" s="115">
        <v>1579.35</v>
      </c>
      <c r="O2411" s="115">
        <v>1489.65</v>
      </c>
      <c r="P2411" s="115">
        <v>1565</v>
      </c>
      <c r="Q2411" s="115">
        <v>1514.45</v>
      </c>
      <c r="R2411">
        <v>36902</v>
      </c>
    </row>
    <row r="2412" spans="1:18" x14ac:dyDescent="0.25">
      <c r="A2412" s="160">
        <v>45581</v>
      </c>
      <c r="B2412" s="115">
        <v>5980</v>
      </c>
      <c r="C2412" s="115">
        <v>5897.7</v>
      </c>
      <c r="D2412" s="115">
        <v>5761.05</v>
      </c>
      <c r="E2412" s="115">
        <v>5900.05</v>
      </c>
      <c r="F2412" s="115">
        <v>5897.7</v>
      </c>
      <c r="G2412">
        <v>3301</v>
      </c>
      <c r="H2412" s="115"/>
      <c r="I2412" s="115"/>
      <c r="L2412" s="160">
        <v>45555</v>
      </c>
      <c r="M2412" s="115">
        <v>1557.65</v>
      </c>
      <c r="N2412" s="115">
        <v>1591.8</v>
      </c>
      <c r="O2412" s="115">
        <v>1516</v>
      </c>
      <c r="P2412" s="115">
        <v>1518</v>
      </c>
      <c r="Q2412" s="115">
        <v>1557.65</v>
      </c>
      <c r="R2412">
        <v>56349</v>
      </c>
    </row>
    <row r="2413" spans="1:18" x14ac:dyDescent="0.25">
      <c r="A2413" s="160">
        <v>45582</v>
      </c>
      <c r="B2413" s="115">
        <v>5980</v>
      </c>
      <c r="C2413" s="115">
        <v>5876.95</v>
      </c>
      <c r="D2413" s="115">
        <v>5820</v>
      </c>
      <c r="E2413" s="115">
        <v>5944</v>
      </c>
      <c r="F2413" s="115">
        <v>5876.95</v>
      </c>
      <c r="G2413">
        <v>3002</v>
      </c>
      <c r="H2413" s="115"/>
      <c r="I2413" s="115"/>
      <c r="L2413" s="160">
        <v>45558</v>
      </c>
      <c r="M2413" s="115">
        <v>1493.65</v>
      </c>
      <c r="N2413" s="115">
        <v>1550</v>
      </c>
      <c r="O2413" s="115">
        <v>1489.8</v>
      </c>
      <c r="P2413" s="115">
        <v>1550</v>
      </c>
      <c r="Q2413" s="115">
        <v>1493.65</v>
      </c>
      <c r="R2413">
        <v>71659</v>
      </c>
    </row>
    <row r="2414" spans="1:18" x14ac:dyDescent="0.25">
      <c r="A2414" s="160">
        <v>45583</v>
      </c>
      <c r="B2414" s="115">
        <v>5865.05</v>
      </c>
      <c r="C2414" s="115">
        <v>5758.75</v>
      </c>
      <c r="D2414" s="115">
        <v>5699.95</v>
      </c>
      <c r="E2414" s="115">
        <v>5865.05</v>
      </c>
      <c r="F2414" s="115">
        <v>5758.75</v>
      </c>
      <c r="G2414">
        <v>3091</v>
      </c>
      <c r="H2414" s="115"/>
      <c r="I2414" s="115"/>
      <c r="L2414" s="160">
        <v>45559</v>
      </c>
      <c r="M2414" s="115">
        <v>1557.9</v>
      </c>
      <c r="N2414" s="115">
        <v>1573</v>
      </c>
      <c r="O2414" s="115">
        <v>1500</v>
      </c>
      <c r="P2414" s="115">
        <v>1500</v>
      </c>
      <c r="Q2414" s="115">
        <v>1557.9</v>
      </c>
      <c r="R2414">
        <v>108756</v>
      </c>
    </row>
    <row r="2415" spans="1:18" x14ac:dyDescent="0.25">
      <c r="A2415" s="160">
        <v>45586</v>
      </c>
      <c r="B2415" s="115">
        <v>5877.95</v>
      </c>
      <c r="C2415" s="115">
        <v>5555.75</v>
      </c>
      <c r="D2415" s="115">
        <v>5522.5</v>
      </c>
      <c r="E2415" s="115">
        <v>5877.95</v>
      </c>
      <c r="F2415" s="115">
        <v>5555.75</v>
      </c>
      <c r="G2415">
        <v>2710</v>
      </c>
      <c r="H2415" s="115"/>
      <c r="I2415" s="115"/>
      <c r="L2415" s="160">
        <v>45560</v>
      </c>
      <c r="M2415" s="115">
        <v>1515.55</v>
      </c>
      <c r="N2415" s="115">
        <v>1574.55</v>
      </c>
      <c r="O2415" s="115">
        <v>1508.05</v>
      </c>
      <c r="P2415" s="115">
        <v>1570</v>
      </c>
      <c r="Q2415" s="115">
        <v>1515.55</v>
      </c>
      <c r="R2415">
        <v>43475</v>
      </c>
    </row>
    <row r="2416" spans="1:18" x14ac:dyDescent="0.25">
      <c r="A2416" s="160">
        <v>45587</v>
      </c>
      <c r="B2416" s="115">
        <v>5779.9</v>
      </c>
      <c r="C2416" s="115">
        <v>5313.85</v>
      </c>
      <c r="D2416" s="115">
        <v>5200.05</v>
      </c>
      <c r="E2416" s="115">
        <v>5670</v>
      </c>
      <c r="F2416" s="115">
        <v>5313.85</v>
      </c>
      <c r="G2416">
        <v>3687</v>
      </c>
      <c r="H2416" s="115"/>
      <c r="I2416" s="115"/>
      <c r="L2416" s="160">
        <v>45561</v>
      </c>
      <c r="M2416" s="115">
        <v>1505.25</v>
      </c>
      <c r="N2416" s="115">
        <v>1530.65</v>
      </c>
      <c r="O2416" s="115">
        <v>1502.8</v>
      </c>
      <c r="P2416" s="115">
        <v>1519.25</v>
      </c>
      <c r="Q2416" s="115">
        <v>1505.25</v>
      </c>
      <c r="R2416">
        <v>52161</v>
      </c>
    </row>
    <row r="2417" spans="1:18" x14ac:dyDescent="0.25">
      <c r="A2417" s="160">
        <v>45588</v>
      </c>
      <c r="B2417" s="115">
        <v>5450</v>
      </c>
      <c r="C2417" s="115">
        <v>5312.55</v>
      </c>
      <c r="D2417" s="115">
        <v>5269.95</v>
      </c>
      <c r="E2417" s="115">
        <v>5398</v>
      </c>
      <c r="F2417" s="115">
        <v>5312.55</v>
      </c>
      <c r="G2417">
        <v>1721</v>
      </c>
      <c r="H2417" s="115"/>
      <c r="I2417" s="115"/>
      <c r="L2417" s="160">
        <v>45562</v>
      </c>
      <c r="M2417" s="115">
        <v>1530.5</v>
      </c>
      <c r="N2417" s="115">
        <v>1535</v>
      </c>
      <c r="O2417" s="115">
        <v>1511.75</v>
      </c>
      <c r="P2417" s="115">
        <v>1511.75</v>
      </c>
      <c r="Q2417" s="115">
        <v>1530.5</v>
      </c>
      <c r="R2417">
        <v>16900</v>
      </c>
    </row>
    <row r="2418" spans="1:18" x14ac:dyDescent="0.25">
      <c r="A2418" s="160">
        <v>45589</v>
      </c>
      <c r="B2418" s="115">
        <v>5388</v>
      </c>
      <c r="C2418" s="115">
        <v>5255.55</v>
      </c>
      <c r="D2418" s="115">
        <v>5240</v>
      </c>
      <c r="E2418" s="115">
        <v>5386.35</v>
      </c>
      <c r="F2418" s="115">
        <v>5255.55</v>
      </c>
      <c r="G2418">
        <v>1969</v>
      </c>
      <c r="H2418" s="115"/>
      <c r="I2418" s="115"/>
      <c r="L2418" s="160">
        <v>45565</v>
      </c>
      <c r="M2418" s="115">
        <v>1546.45</v>
      </c>
      <c r="N2418" s="115">
        <v>1560.5</v>
      </c>
      <c r="O2418" s="115">
        <v>1530.5</v>
      </c>
      <c r="P2418" s="115">
        <v>1530.5</v>
      </c>
      <c r="Q2418" s="115">
        <v>1546.45</v>
      </c>
      <c r="R2418">
        <v>20406</v>
      </c>
    </row>
    <row r="2419" spans="1:18" x14ac:dyDescent="0.25">
      <c r="A2419" s="160">
        <v>45590</v>
      </c>
      <c r="B2419" s="115">
        <v>5327.45</v>
      </c>
      <c r="C2419" s="115">
        <v>4950.8500000000004</v>
      </c>
      <c r="D2419" s="115">
        <v>4890</v>
      </c>
      <c r="E2419" s="115">
        <v>5327.45</v>
      </c>
      <c r="F2419" s="115">
        <v>4950.8500000000004</v>
      </c>
      <c r="G2419">
        <v>5799</v>
      </c>
      <c r="H2419" s="115"/>
      <c r="I2419" s="115"/>
      <c r="L2419" s="160">
        <v>45566</v>
      </c>
      <c r="M2419" s="115">
        <v>1571.6</v>
      </c>
      <c r="N2419" s="115">
        <v>1580</v>
      </c>
      <c r="O2419" s="115">
        <v>1553.15</v>
      </c>
      <c r="P2419" s="115">
        <v>1571.5</v>
      </c>
      <c r="Q2419" s="115">
        <v>1571.6</v>
      </c>
      <c r="R2419">
        <v>30995</v>
      </c>
    </row>
    <row r="2420" spans="1:18" x14ac:dyDescent="0.25">
      <c r="A2420" s="160">
        <v>45593</v>
      </c>
      <c r="B2420" s="115">
        <v>5188</v>
      </c>
      <c r="C2420" s="115">
        <v>5077.1000000000004</v>
      </c>
      <c r="D2420" s="115">
        <v>4982.1000000000004</v>
      </c>
      <c r="E2420" s="115">
        <v>5100</v>
      </c>
      <c r="F2420" s="115">
        <v>5077.1000000000004</v>
      </c>
      <c r="G2420">
        <v>2965</v>
      </c>
      <c r="H2420" s="115"/>
      <c r="I2420" s="115"/>
      <c r="L2420" s="160">
        <v>45568</v>
      </c>
      <c r="M2420" s="115">
        <v>1546.65</v>
      </c>
      <c r="N2420" s="115">
        <v>1574.25</v>
      </c>
      <c r="O2420" s="115">
        <v>1531.1</v>
      </c>
      <c r="P2420" s="115">
        <v>1571.6</v>
      </c>
      <c r="Q2420" s="115">
        <v>1546.65</v>
      </c>
      <c r="R2420">
        <v>17107</v>
      </c>
    </row>
    <row r="2421" spans="1:18" x14ac:dyDescent="0.25">
      <c r="A2421" s="160">
        <v>45594</v>
      </c>
      <c r="B2421" s="115">
        <v>4848.8500000000004</v>
      </c>
      <c r="C2421" s="115">
        <v>4722.7</v>
      </c>
      <c r="D2421" s="115">
        <v>4650.05</v>
      </c>
      <c r="E2421" s="115">
        <v>4725</v>
      </c>
      <c r="F2421" s="115">
        <v>4722.7</v>
      </c>
      <c r="G2421">
        <v>9505</v>
      </c>
      <c r="H2421" s="115"/>
      <c r="I2421" s="115"/>
      <c r="L2421" s="160">
        <v>45569</v>
      </c>
      <c r="M2421" s="115">
        <v>1547.45</v>
      </c>
      <c r="N2421" s="115">
        <v>1574</v>
      </c>
      <c r="O2421" s="115">
        <v>1480.7</v>
      </c>
      <c r="P2421" s="115">
        <v>1541</v>
      </c>
      <c r="Q2421" s="115">
        <v>1547.45</v>
      </c>
      <c r="R2421">
        <v>20108</v>
      </c>
    </row>
    <row r="2422" spans="1:18" x14ac:dyDescent="0.25">
      <c r="A2422" s="160">
        <v>45595</v>
      </c>
      <c r="B2422" s="115">
        <v>4879.8999999999996</v>
      </c>
      <c r="C2422" s="115">
        <v>4798.8999999999996</v>
      </c>
      <c r="D2422" s="115">
        <v>4730</v>
      </c>
      <c r="E2422" s="115">
        <v>4745</v>
      </c>
      <c r="F2422" s="115">
        <v>4798.8999999999996</v>
      </c>
      <c r="G2422">
        <v>2594</v>
      </c>
      <c r="H2422" s="115"/>
      <c r="I2422" s="115"/>
      <c r="L2422" s="160">
        <v>45572</v>
      </c>
      <c r="M2422" s="115">
        <v>1460.05</v>
      </c>
      <c r="N2422" s="115">
        <v>1550.8</v>
      </c>
      <c r="O2422" s="115">
        <v>1453.5</v>
      </c>
      <c r="P2422" s="115">
        <v>1547.95</v>
      </c>
      <c r="Q2422" s="115">
        <v>1460.05</v>
      </c>
      <c r="R2422">
        <v>24284</v>
      </c>
    </row>
    <row r="2423" spans="1:18" x14ac:dyDescent="0.25">
      <c r="A2423" s="160">
        <v>45596</v>
      </c>
      <c r="B2423" s="115">
        <v>5079.95</v>
      </c>
      <c r="C2423" s="115">
        <v>5011.8</v>
      </c>
      <c r="D2423" s="115">
        <v>4825.1000000000004</v>
      </c>
      <c r="E2423" s="115">
        <v>4869.95</v>
      </c>
      <c r="F2423" s="115">
        <v>5011.8</v>
      </c>
      <c r="G2423">
        <v>3783</v>
      </c>
      <c r="H2423" s="115"/>
      <c r="I2423" s="115"/>
      <c r="L2423" s="160">
        <v>45573</v>
      </c>
      <c r="M2423" s="115">
        <v>1478.85</v>
      </c>
      <c r="N2423" s="115">
        <v>1507</v>
      </c>
      <c r="O2423" s="115">
        <v>1444.55</v>
      </c>
      <c r="P2423" s="115">
        <v>1460.05</v>
      </c>
      <c r="Q2423" s="115">
        <v>1478.85</v>
      </c>
      <c r="R2423">
        <v>31114</v>
      </c>
    </row>
    <row r="2424" spans="1:18" x14ac:dyDescent="0.25">
      <c r="A2424" s="160">
        <v>45597</v>
      </c>
      <c r="B2424" s="115">
        <v>5295</v>
      </c>
      <c r="C2424" s="115">
        <v>5218</v>
      </c>
      <c r="D2424" s="115">
        <v>5120.05</v>
      </c>
      <c r="E2424" s="115">
        <v>5168</v>
      </c>
      <c r="F2424" s="115">
        <v>5218</v>
      </c>
      <c r="G2424">
        <v>2773</v>
      </c>
      <c r="H2424" s="115"/>
      <c r="I2424" s="115"/>
      <c r="L2424" s="160">
        <v>45574</v>
      </c>
      <c r="M2424" s="115">
        <v>1512.8</v>
      </c>
      <c r="N2424" s="115">
        <v>1522.45</v>
      </c>
      <c r="O2424" s="115">
        <v>1486.05</v>
      </c>
      <c r="P2424" s="115">
        <v>1493.15</v>
      </c>
      <c r="Q2424" s="115">
        <v>1512.8</v>
      </c>
      <c r="R2424">
        <v>9985</v>
      </c>
    </row>
    <row r="2425" spans="1:18" x14ac:dyDescent="0.25">
      <c r="A2425" s="160">
        <v>45600</v>
      </c>
      <c r="B2425" s="115">
        <v>5269.9</v>
      </c>
      <c r="C2425" s="115">
        <v>5088.95</v>
      </c>
      <c r="D2425" s="115">
        <v>5040</v>
      </c>
      <c r="E2425" s="115">
        <v>5269.9</v>
      </c>
      <c r="F2425" s="115">
        <v>5088.95</v>
      </c>
      <c r="G2425">
        <v>1456</v>
      </c>
      <c r="H2425" s="115"/>
      <c r="I2425" s="115"/>
      <c r="L2425" s="160">
        <v>45575</v>
      </c>
      <c r="M2425" s="115">
        <v>1495.45</v>
      </c>
      <c r="N2425" s="115">
        <v>1523.3</v>
      </c>
      <c r="O2425" s="115">
        <v>1492</v>
      </c>
      <c r="P2425" s="115">
        <v>1512.9</v>
      </c>
      <c r="Q2425" s="115">
        <v>1495.45</v>
      </c>
      <c r="R2425">
        <v>10220</v>
      </c>
    </row>
    <row r="2426" spans="1:18" x14ac:dyDescent="0.25">
      <c r="A2426" s="160">
        <v>45601</v>
      </c>
      <c r="B2426" s="115">
        <v>5190.75</v>
      </c>
      <c r="C2426" s="115">
        <v>5103.05</v>
      </c>
      <c r="D2426" s="115">
        <v>5050.1000000000004</v>
      </c>
      <c r="E2426" s="115">
        <v>5190.75</v>
      </c>
      <c r="F2426" s="115">
        <v>5103.05</v>
      </c>
      <c r="G2426">
        <v>1187</v>
      </c>
      <c r="H2426" s="115"/>
      <c r="I2426" s="115"/>
      <c r="L2426" s="160">
        <v>45576</v>
      </c>
      <c r="M2426" s="115">
        <v>1493.35</v>
      </c>
      <c r="N2426" s="115">
        <v>1508.95</v>
      </c>
      <c r="O2426" s="115">
        <v>1480</v>
      </c>
      <c r="P2426" s="115">
        <v>1507.6</v>
      </c>
      <c r="Q2426" s="115">
        <v>1493.35</v>
      </c>
      <c r="R2426">
        <v>11543</v>
      </c>
    </row>
    <row r="2427" spans="1:18" x14ac:dyDescent="0.25">
      <c r="A2427" s="160">
        <v>45602</v>
      </c>
      <c r="B2427" s="115">
        <v>5425</v>
      </c>
      <c r="C2427" s="115">
        <v>5332.15</v>
      </c>
      <c r="D2427" s="115">
        <v>5112</v>
      </c>
      <c r="E2427" s="115">
        <v>5199.8999999999996</v>
      </c>
      <c r="F2427" s="115">
        <v>5332.15</v>
      </c>
      <c r="G2427">
        <v>3209</v>
      </c>
      <c r="H2427" s="115"/>
      <c r="I2427" s="115"/>
      <c r="L2427" s="160">
        <v>45579</v>
      </c>
      <c r="M2427" s="115">
        <v>1486.85</v>
      </c>
      <c r="N2427" s="115">
        <v>1514.95</v>
      </c>
      <c r="O2427" s="115">
        <v>1480.6</v>
      </c>
      <c r="P2427" s="115">
        <v>1493.35</v>
      </c>
      <c r="Q2427" s="115">
        <v>1486.85</v>
      </c>
      <c r="R2427">
        <v>8277</v>
      </c>
    </row>
    <row r="2428" spans="1:18" x14ac:dyDescent="0.25">
      <c r="A2428" s="160">
        <v>45603</v>
      </c>
      <c r="B2428" s="115">
        <v>5438.9</v>
      </c>
      <c r="C2428" s="115">
        <v>5295.65</v>
      </c>
      <c r="D2428" s="115">
        <v>5162.3999999999996</v>
      </c>
      <c r="E2428" s="115">
        <v>5369.95</v>
      </c>
      <c r="F2428" s="115">
        <v>5295.65</v>
      </c>
      <c r="G2428">
        <v>1269</v>
      </c>
      <c r="H2428" s="115"/>
      <c r="I2428" s="115"/>
      <c r="L2428" s="160">
        <v>45580</v>
      </c>
      <c r="M2428" s="115">
        <v>1496.55</v>
      </c>
      <c r="N2428" s="115">
        <v>1505</v>
      </c>
      <c r="O2428" s="115">
        <v>1485.9</v>
      </c>
      <c r="P2428" s="115">
        <v>1489.9</v>
      </c>
      <c r="Q2428" s="115">
        <v>1496.55</v>
      </c>
      <c r="R2428">
        <v>9123</v>
      </c>
    </row>
    <row r="2429" spans="1:18" x14ac:dyDescent="0.25">
      <c r="A2429" s="160">
        <v>45604</v>
      </c>
      <c r="B2429" s="115">
        <v>5305</v>
      </c>
      <c r="C2429" s="115">
        <v>5216.8500000000004</v>
      </c>
      <c r="D2429" s="115">
        <v>5200.05</v>
      </c>
      <c r="E2429" s="115">
        <v>5295.55</v>
      </c>
      <c r="F2429" s="115">
        <v>5216.8500000000004</v>
      </c>
      <c r="G2429">
        <v>1126</v>
      </c>
      <c r="H2429" s="115"/>
      <c r="I2429" s="115"/>
      <c r="L2429" s="160">
        <v>45581</v>
      </c>
      <c r="M2429" s="115">
        <v>1560.65</v>
      </c>
      <c r="N2429" s="115">
        <v>1575.75</v>
      </c>
      <c r="O2429" s="115">
        <v>1507</v>
      </c>
      <c r="P2429" s="115">
        <v>1508.05</v>
      </c>
      <c r="Q2429" s="115">
        <v>1560.65</v>
      </c>
      <c r="R2429">
        <v>68318</v>
      </c>
    </row>
    <row r="2430" spans="1:18" x14ac:dyDescent="0.25">
      <c r="A2430" s="160">
        <v>45607</v>
      </c>
      <c r="B2430" s="115">
        <v>5220.95</v>
      </c>
      <c r="C2430" s="115">
        <v>5088.25</v>
      </c>
      <c r="D2430" s="115">
        <v>5075.05</v>
      </c>
      <c r="E2430" s="115">
        <v>5175.1000000000004</v>
      </c>
      <c r="F2430" s="115">
        <v>5088.25</v>
      </c>
      <c r="G2430">
        <v>1035</v>
      </c>
      <c r="H2430" s="115"/>
      <c r="I2430" s="115"/>
      <c r="L2430" s="160">
        <v>45582</v>
      </c>
      <c r="M2430" s="115">
        <v>1524.6</v>
      </c>
      <c r="N2430" s="115">
        <v>1567.9</v>
      </c>
      <c r="O2430" s="115">
        <v>1510</v>
      </c>
      <c r="P2430" s="115">
        <v>1563</v>
      </c>
      <c r="Q2430" s="115">
        <v>1524.6</v>
      </c>
      <c r="R2430">
        <v>17102</v>
      </c>
    </row>
    <row r="2431" spans="1:18" x14ac:dyDescent="0.25">
      <c r="A2431" s="160">
        <v>45608</v>
      </c>
      <c r="B2431" s="115">
        <v>5205</v>
      </c>
      <c r="C2431" s="115">
        <v>5145.3</v>
      </c>
      <c r="D2431" s="115">
        <v>5053</v>
      </c>
      <c r="E2431" s="115">
        <v>5053</v>
      </c>
      <c r="F2431" s="115">
        <v>5145.3</v>
      </c>
      <c r="G2431">
        <v>1291</v>
      </c>
      <c r="H2431" s="115"/>
      <c r="I2431" s="115"/>
      <c r="L2431" s="160">
        <v>45583</v>
      </c>
      <c r="M2431" s="115">
        <v>1507.25</v>
      </c>
      <c r="N2431" s="115">
        <v>1538.2</v>
      </c>
      <c r="O2431" s="115">
        <v>1482.65</v>
      </c>
      <c r="P2431" s="115">
        <v>1524.6</v>
      </c>
      <c r="Q2431" s="115">
        <v>1507.25</v>
      </c>
      <c r="R2431">
        <v>49565</v>
      </c>
    </row>
    <row r="2432" spans="1:18" x14ac:dyDescent="0.25">
      <c r="A2432" s="160">
        <v>45609</v>
      </c>
      <c r="B2432" s="115">
        <v>5240</v>
      </c>
      <c r="C2432" s="115">
        <v>4877.7</v>
      </c>
      <c r="D2432" s="115">
        <v>4811.1000000000004</v>
      </c>
      <c r="E2432" s="115">
        <v>5240</v>
      </c>
      <c r="F2432" s="115">
        <v>4877.7</v>
      </c>
      <c r="G2432">
        <v>4032</v>
      </c>
      <c r="H2432" s="115"/>
      <c r="I2432" s="115"/>
      <c r="L2432" s="160">
        <v>45586</v>
      </c>
      <c r="M2432" s="115">
        <v>1491.1</v>
      </c>
      <c r="N2432" s="115">
        <v>1508.65</v>
      </c>
      <c r="O2432" s="115">
        <v>1485.15</v>
      </c>
      <c r="P2432" s="115">
        <v>1507.2</v>
      </c>
      <c r="Q2432" s="115">
        <v>1491.1</v>
      </c>
      <c r="R2432">
        <v>13959</v>
      </c>
    </row>
    <row r="2433" spans="1:18" x14ac:dyDescent="0.25">
      <c r="A2433" s="160">
        <v>45610</v>
      </c>
      <c r="B2433" s="115">
        <v>5060</v>
      </c>
      <c r="C2433" s="115">
        <v>4894.3</v>
      </c>
      <c r="D2433" s="115">
        <v>4800</v>
      </c>
      <c r="E2433" s="115">
        <v>5060</v>
      </c>
      <c r="F2433" s="115">
        <v>4894.3</v>
      </c>
      <c r="G2433">
        <v>1607</v>
      </c>
      <c r="H2433" s="115"/>
      <c r="I2433" s="115"/>
      <c r="L2433" s="160">
        <v>45587</v>
      </c>
      <c r="M2433" s="115">
        <v>1438.85</v>
      </c>
      <c r="N2433" s="115">
        <v>1500</v>
      </c>
      <c r="O2433" s="115">
        <v>1433.7</v>
      </c>
      <c r="P2433" s="115">
        <v>1480</v>
      </c>
      <c r="Q2433" s="115">
        <v>1438.85</v>
      </c>
      <c r="R2433">
        <v>19097</v>
      </c>
    </row>
    <row r="2434" spans="1:18" x14ac:dyDescent="0.25">
      <c r="A2434" s="160">
        <v>45614</v>
      </c>
      <c r="B2434" s="115">
        <v>5080</v>
      </c>
      <c r="C2434" s="115">
        <v>4986.3500000000004</v>
      </c>
      <c r="D2434" s="115">
        <v>4911.1499999999996</v>
      </c>
      <c r="E2434" s="115">
        <v>4955.05</v>
      </c>
      <c r="F2434" s="115">
        <v>4986.3500000000004</v>
      </c>
      <c r="G2434">
        <v>1528</v>
      </c>
      <c r="H2434" s="115"/>
      <c r="I2434" s="115"/>
      <c r="L2434" s="160">
        <v>45588</v>
      </c>
      <c r="M2434" s="115">
        <v>1444.25</v>
      </c>
      <c r="N2434" s="115">
        <v>1450</v>
      </c>
      <c r="O2434" s="115">
        <v>1402</v>
      </c>
      <c r="P2434" s="115">
        <v>1430</v>
      </c>
      <c r="Q2434" s="115">
        <v>1444.25</v>
      </c>
      <c r="R2434">
        <v>22339</v>
      </c>
    </row>
    <row r="2435" spans="1:18" x14ac:dyDescent="0.25">
      <c r="A2435" s="160">
        <v>45615</v>
      </c>
      <c r="B2435" s="115">
        <v>5371</v>
      </c>
      <c r="C2435" s="115">
        <v>4931.6000000000004</v>
      </c>
      <c r="D2435" s="115">
        <v>4870</v>
      </c>
      <c r="E2435" s="115">
        <v>5030</v>
      </c>
      <c r="F2435" s="115">
        <v>4931.6000000000004</v>
      </c>
      <c r="G2435">
        <v>7118</v>
      </c>
      <c r="H2435" s="115"/>
      <c r="I2435" s="115"/>
      <c r="L2435" s="160">
        <v>45589</v>
      </c>
      <c r="M2435" s="115">
        <v>1438.95</v>
      </c>
      <c r="N2435" s="115">
        <v>1455.9</v>
      </c>
      <c r="O2435" s="115">
        <v>1420</v>
      </c>
      <c r="P2435" s="115">
        <v>1444</v>
      </c>
      <c r="Q2435" s="115">
        <v>1438.95</v>
      </c>
      <c r="R2435">
        <v>11727</v>
      </c>
    </row>
    <row r="2436" spans="1:18" x14ac:dyDescent="0.25">
      <c r="A2436" s="160">
        <v>45617</v>
      </c>
      <c r="B2436" s="115">
        <v>4989.6499999999996</v>
      </c>
      <c r="C2436" s="115">
        <v>4887.5</v>
      </c>
      <c r="D2436" s="115">
        <v>4872.05</v>
      </c>
      <c r="E2436" s="115">
        <v>4955.6000000000004</v>
      </c>
      <c r="F2436" s="115">
        <v>4887.5</v>
      </c>
      <c r="G2436">
        <v>1926</v>
      </c>
      <c r="H2436" s="115"/>
      <c r="I2436" s="115"/>
      <c r="L2436" s="160">
        <v>45590</v>
      </c>
      <c r="M2436" s="115">
        <v>1367.1</v>
      </c>
      <c r="N2436" s="115">
        <v>1447.35</v>
      </c>
      <c r="O2436" s="115">
        <v>1343.25</v>
      </c>
      <c r="P2436" s="115">
        <v>1447.35</v>
      </c>
      <c r="Q2436" s="115">
        <v>1367.1</v>
      </c>
      <c r="R2436">
        <v>29564</v>
      </c>
    </row>
    <row r="2437" spans="1:18" x14ac:dyDescent="0.25">
      <c r="A2437" s="160">
        <v>45618</v>
      </c>
      <c r="B2437" s="115">
        <v>4989.95</v>
      </c>
      <c r="C2437" s="115">
        <v>4840</v>
      </c>
      <c r="D2437" s="115">
        <v>4811.25</v>
      </c>
      <c r="E2437" s="115">
        <v>4946</v>
      </c>
      <c r="F2437" s="115">
        <v>4840</v>
      </c>
      <c r="G2437">
        <v>2106</v>
      </c>
      <c r="H2437" s="115"/>
      <c r="I2437" s="115"/>
      <c r="L2437" s="160">
        <v>45593</v>
      </c>
      <c r="M2437" s="115">
        <v>1455.75</v>
      </c>
      <c r="N2437" s="115">
        <v>1481</v>
      </c>
      <c r="O2437" s="115">
        <v>1360.55</v>
      </c>
      <c r="P2437" s="115">
        <v>1380</v>
      </c>
      <c r="Q2437" s="115">
        <v>1455.75</v>
      </c>
      <c r="R2437">
        <v>22320</v>
      </c>
    </row>
    <row r="2438" spans="1:18" x14ac:dyDescent="0.25">
      <c r="A2438" s="160">
        <v>45621</v>
      </c>
      <c r="B2438" s="115">
        <v>4979.8999999999996</v>
      </c>
      <c r="C2438" s="115">
        <v>4689.3999999999996</v>
      </c>
      <c r="D2438" s="115">
        <v>4670</v>
      </c>
      <c r="E2438" s="115">
        <v>4979.8999999999996</v>
      </c>
      <c r="F2438" s="115">
        <v>4689.3999999999996</v>
      </c>
      <c r="G2438">
        <v>6769</v>
      </c>
      <c r="H2438" s="115"/>
      <c r="I2438" s="115"/>
      <c r="L2438" s="160">
        <v>45594</v>
      </c>
      <c r="M2438" s="115">
        <v>1464.6</v>
      </c>
      <c r="N2438" s="115">
        <v>1470</v>
      </c>
      <c r="O2438" s="115">
        <v>1429.6</v>
      </c>
      <c r="P2438" s="115">
        <v>1461.15</v>
      </c>
      <c r="Q2438" s="115">
        <v>1464.6</v>
      </c>
      <c r="R2438">
        <v>9214</v>
      </c>
    </row>
    <row r="2439" spans="1:18" x14ac:dyDescent="0.25">
      <c r="A2439" s="160">
        <v>45622</v>
      </c>
      <c r="B2439" s="115">
        <v>4726.95</v>
      </c>
      <c r="C2439" s="115">
        <v>4652.7</v>
      </c>
      <c r="D2439" s="115">
        <v>4605</v>
      </c>
      <c r="E2439" s="115">
        <v>4705.05</v>
      </c>
      <c r="F2439" s="115">
        <v>4652.7</v>
      </c>
      <c r="G2439">
        <v>2855</v>
      </c>
      <c r="H2439" s="115"/>
      <c r="I2439" s="115"/>
      <c r="L2439" s="160">
        <v>45595</v>
      </c>
      <c r="M2439" s="115">
        <v>1527.25</v>
      </c>
      <c r="N2439" s="115">
        <v>1550</v>
      </c>
      <c r="O2439" s="115">
        <v>1463.1</v>
      </c>
      <c r="P2439" s="115">
        <v>1475.8</v>
      </c>
      <c r="Q2439" s="115">
        <v>1527.25</v>
      </c>
      <c r="R2439">
        <v>19438</v>
      </c>
    </row>
    <row r="2440" spans="1:18" x14ac:dyDescent="0.25">
      <c r="A2440" s="160">
        <v>45623</v>
      </c>
      <c r="B2440" s="115">
        <v>4745</v>
      </c>
      <c r="C2440" s="115">
        <v>4734.45</v>
      </c>
      <c r="D2440" s="115">
        <v>4600</v>
      </c>
      <c r="E2440" s="115">
        <v>4728</v>
      </c>
      <c r="F2440" s="115">
        <v>4734.45</v>
      </c>
      <c r="G2440">
        <v>2174</v>
      </c>
      <c r="H2440" s="115"/>
      <c r="I2440" s="115"/>
      <c r="L2440" s="160">
        <v>45596</v>
      </c>
      <c r="M2440" s="115">
        <v>1571.4</v>
      </c>
      <c r="N2440" s="115">
        <v>1578.8</v>
      </c>
      <c r="O2440" s="115">
        <v>1512.05</v>
      </c>
      <c r="P2440" s="115">
        <v>1527.25</v>
      </c>
      <c r="Q2440" s="115">
        <v>1571.4</v>
      </c>
      <c r="R2440">
        <v>28438</v>
      </c>
    </row>
    <row r="2441" spans="1:18" x14ac:dyDescent="0.25">
      <c r="A2441" s="160">
        <v>45624</v>
      </c>
      <c r="B2441" s="115">
        <v>4835</v>
      </c>
      <c r="C2441" s="115">
        <v>4713.6499999999996</v>
      </c>
      <c r="D2441" s="115">
        <v>4620</v>
      </c>
      <c r="E2441" s="115">
        <v>4750</v>
      </c>
      <c r="F2441" s="115">
        <v>4713.6499999999996</v>
      </c>
      <c r="G2441">
        <v>3290</v>
      </c>
      <c r="H2441" s="115"/>
      <c r="I2441" s="115"/>
      <c r="L2441" s="160">
        <v>45597</v>
      </c>
      <c r="M2441" s="115">
        <v>1567.6</v>
      </c>
      <c r="N2441" s="115">
        <v>1579</v>
      </c>
      <c r="O2441" s="115">
        <v>1555</v>
      </c>
      <c r="P2441" s="115">
        <v>1579</v>
      </c>
      <c r="Q2441" s="115">
        <v>1567.6</v>
      </c>
      <c r="R2441">
        <v>3680</v>
      </c>
    </row>
    <row r="2442" spans="1:18" x14ac:dyDescent="0.25">
      <c r="A2442" s="160">
        <v>45625</v>
      </c>
      <c r="B2442" s="115">
        <v>4920</v>
      </c>
      <c r="C2442" s="115">
        <v>4891</v>
      </c>
      <c r="D2442" s="115">
        <v>4750</v>
      </c>
      <c r="E2442" s="115">
        <v>4798.5</v>
      </c>
      <c r="F2442" s="115">
        <v>4891</v>
      </c>
      <c r="G2442">
        <v>3363</v>
      </c>
      <c r="H2442" s="115"/>
      <c r="I2442" s="115"/>
      <c r="L2442" s="160">
        <v>45600</v>
      </c>
      <c r="M2442" s="115">
        <v>1573.8</v>
      </c>
      <c r="N2442" s="115">
        <v>1596</v>
      </c>
      <c r="O2442" s="115">
        <v>1532</v>
      </c>
      <c r="P2442" s="115">
        <v>1567.65</v>
      </c>
      <c r="Q2442" s="115">
        <v>1573.8</v>
      </c>
      <c r="R2442">
        <v>24802</v>
      </c>
    </row>
    <row r="2443" spans="1:18" x14ac:dyDescent="0.25">
      <c r="A2443" s="160">
        <v>45628</v>
      </c>
      <c r="B2443" s="115">
        <v>4939.8999999999996</v>
      </c>
      <c r="C2443" s="115">
        <v>4807.6000000000004</v>
      </c>
      <c r="D2443" s="115">
        <v>4708.3</v>
      </c>
      <c r="E2443" s="115">
        <v>4855</v>
      </c>
      <c r="F2443" s="115">
        <v>4807.6000000000004</v>
      </c>
      <c r="G2443">
        <v>1897</v>
      </c>
      <c r="H2443" s="115"/>
      <c r="I2443" s="115"/>
      <c r="L2443" s="160">
        <v>45601</v>
      </c>
      <c r="M2443" s="115">
        <v>1565.15</v>
      </c>
      <c r="N2443" s="115">
        <v>1583.95</v>
      </c>
      <c r="O2443" s="115">
        <v>1540.15</v>
      </c>
      <c r="P2443" s="115">
        <v>1569.95</v>
      </c>
      <c r="Q2443" s="115">
        <v>1565.15</v>
      </c>
      <c r="R2443">
        <v>13307</v>
      </c>
    </row>
    <row r="2444" spans="1:18" x14ac:dyDescent="0.25">
      <c r="A2444" s="160">
        <v>45629</v>
      </c>
      <c r="B2444" s="115">
        <v>5000</v>
      </c>
      <c r="C2444" s="115">
        <v>4953.55</v>
      </c>
      <c r="D2444" s="115">
        <v>4820.05</v>
      </c>
      <c r="E2444" s="115">
        <v>4898.5</v>
      </c>
      <c r="F2444" s="115">
        <v>4953.55</v>
      </c>
      <c r="G2444">
        <v>1676</v>
      </c>
      <c r="H2444" s="115"/>
      <c r="I2444" s="115"/>
      <c r="L2444" s="160">
        <v>45602</v>
      </c>
      <c r="M2444" s="115">
        <v>1616.45</v>
      </c>
      <c r="N2444" s="115">
        <v>1664.85</v>
      </c>
      <c r="O2444" s="115">
        <v>1510.1</v>
      </c>
      <c r="P2444" s="115">
        <v>1565</v>
      </c>
      <c r="Q2444" s="115">
        <v>1616.45</v>
      </c>
      <c r="R2444">
        <v>171918</v>
      </c>
    </row>
    <row r="2445" spans="1:18" x14ac:dyDescent="0.25">
      <c r="A2445" s="160">
        <v>45630</v>
      </c>
      <c r="B2445" s="115">
        <v>4988.95</v>
      </c>
      <c r="C2445" s="115">
        <v>4937.3999999999996</v>
      </c>
      <c r="D2445" s="115">
        <v>4895</v>
      </c>
      <c r="E2445" s="115">
        <v>4902.6000000000004</v>
      </c>
      <c r="F2445" s="115">
        <v>4937.3999999999996</v>
      </c>
      <c r="G2445">
        <v>764</v>
      </c>
      <c r="H2445" s="115"/>
      <c r="I2445" s="115"/>
      <c r="L2445" s="160">
        <v>45603</v>
      </c>
      <c r="M2445" s="115">
        <v>1613.3</v>
      </c>
      <c r="N2445" s="115">
        <v>1670</v>
      </c>
      <c r="O2445" s="115">
        <v>1590</v>
      </c>
      <c r="P2445" s="115">
        <v>1668</v>
      </c>
      <c r="Q2445" s="115">
        <v>1613.3</v>
      </c>
      <c r="R2445">
        <v>207186</v>
      </c>
    </row>
    <row r="2446" spans="1:18" x14ac:dyDescent="0.25">
      <c r="A2446" s="160">
        <v>45631</v>
      </c>
      <c r="B2446" s="115">
        <v>5039</v>
      </c>
      <c r="C2446" s="115">
        <v>4915.2</v>
      </c>
      <c r="D2446" s="115">
        <v>4875</v>
      </c>
      <c r="E2446" s="115">
        <v>5039</v>
      </c>
      <c r="F2446" s="115">
        <v>4915.2</v>
      </c>
      <c r="G2446">
        <v>1004</v>
      </c>
      <c r="H2446" s="115"/>
      <c r="I2446" s="115"/>
      <c r="L2446" s="160">
        <v>45604</v>
      </c>
      <c r="M2446" s="115">
        <v>1600.55</v>
      </c>
      <c r="N2446" s="115">
        <v>1631.65</v>
      </c>
      <c r="O2446" s="115">
        <v>1587.45</v>
      </c>
      <c r="P2446" s="115">
        <v>1627.1</v>
      </c>
      <c r="Q2446" s="115">
        <v>1600.55</v>
      </c>
      <c r="R2446">
        <v>52953</v>
      </c>
    </row>
    <row r="2447" spans="1:18" x14ac:dyDescent="0.25">
      <c r="A2447" s="160">
        <v>45632</v>
      </c>
      <c r="B2447" s="115">
        <v>4959</v>
      </c>
      <c r="C2447" s="115">
        <v>4908.7</v>
      </c>
      <c r="D2447" s="115">
        <v>4800</v>
      </c>
      <c r="E2447" s="115">
        <v>4910.1000000000004</v>
      </c>
      <c r="F2447" s="115">
        <v>4908.7</v>
      </c>
      <c r="G2447">
        <v>1039</v>
      </c>
      <c r="H2447" s="115"/>
      <c r="I2447" s="115"/>
      <c r="L2447" s="160">
        <v>45607</v>
      </c>
      <c r="M2447" s="115">
        <v>1619.45</v>
      </c>
      <c r="N2447" s="115">
        <v>1643.95</v>
      </c>
      <c r="O2447" s="115">
        <v>1580.55</v>
      </c>
      <c r="P2447" s="115">
        <v>1600.55</v>
      </c>
      <c r="Q2447" s="115">
        <v>1619.45</v>
      </c>
      <c r="R2447">
        <v>62709</v>
      </c>
    </row>
    <row r="2448" spans="1:18" x14ac:dyDescent="0.25">
      <c r="A2448" s="160">
        <v>45635</v>
      </c>
      <c r="B2448" s="115">
        <v>4945</v>
      </c>
      <c r="C2448" s="115">
        <v>4835.45</v>
      </c>
      <c r="D2448" s="115">
        <v>4820.05</v>
      </c>
      <c r="E2448" s="115">
        <v>4944.95</v>
      </c>
      <c r="F2448" s="115">
        <v>4835.45</v>
      </c>
      <c r="G2448">
        <v>1858</v>
      </c>
      <c r="H2448" s="115"/>
      <c r="I2448" s="115"/>
      <c r="L2448" s="160">
        <v>45608</v>
      </c>
      <c r="M2448" s="115">
        <v>1555.7</v>
      </c>
      <c r="N2448" s="115">
        <v>1630</v>
      </c>
      <c r="O2448" s="115">
        <v>1540</v>
      </c>
      <c r="P2448" s="115">
        <v>1619.5</v>
      </c>
      <c r="Q2448" s="115">
        <v>1555.7</v>
      </c>
      <c r="R2448">
        <v>33869</v>
      </c>
    </row>
    <row r="2449" spans="1:18" x14ac:dyDescent="0.25">
      <c r="A2449" s="160">
        <v>45636</v>
      </c>
      <c r="B2449" s="115">
        <v>4899.95</v>
      </c>
      <c r="C2449" s="115">
        <v>4872.55</v>
      </c>
      <c r="D2449" s="115">
        <v>4830</v>
      </c>
      <c r="E2449" s="115">
        <v>4835.45</v>
      </c>
      <c r="F2449" s="115">
        <v>4872.55</v>
      </c>
      <c r="G2449">
        <v>1926</v>
      </c>
      <c r="H2449" s="115"/>
      <c r="I2449" s="115"/>
      <c r="L2449" s="160">
        <v>45609</v>
      </c>
      <c r="M2449" s="115">
        <v>1524.85</v>
      </c>
      <c r="N2449" s="115">
        <v>1590</v>
      </c>
      <c r="O2449" s="115">
        <v>1514</v>
      </c>
      <c r="P2449" s="115">
        <v>1555.7</v>
      </c>
      <c r="Q2449" s="115">
        <v>1524.85</v>
      </c>
      <c r="R2449">
        <v>54563</v>
      </c>
    </row>
    <row r="2450" spans="1:18" x14ac:dyDescent="0.25">
      <c r="A2450" s="160">
        <v>45637</v>
      </c>
      <c r="B2450" s="115">
        <v>4920</v>
      </c>
      <c r="C2450" s="115">
        <v>4839.5</v>
      </c>
      <c r="D2450" s="115">
        <v>4800</v>
      </c>
      <c r="E2450" s="115">
        <v>4872.6000000000004</v>
      </c>
      <c r="F2450" s="115">
        <v>4839.5</v>
      </c>
      <c r="G2450">
        <v>1940</v>
      </c>
      <c r="H2450" s="115"/>
      <c r="I2450" s="115"/>
      <c r="L2450" s="160">
        <v>45610</v>
      </c>
      <c r="M2450" s="115">
        <v>1527.15</v>
      </c>
      <c r="N2450" s="115">
        <v>1545.7</v>
      </c>
      <c r="O2450" s="115">
        <v>1503.05</v>
      </c>
      <c r="P2450" s="115">
        <v>1533.5</v>
      </c>
      <c r="Q2450" s="115">
        <v>1527.15</v>
      </c>
      <c r="R2450">
        <v>45033</v>
      </c>
    </row>
    <row r="2451" spans="1:18" x14ac:dyDescent="0.25">
      <c r="A2451" s="160">
        <v>45638</v>
      </c>
      <c r="B2451" s="115">
        <v>4970</v>
      </c>
      <c r="C2451" s="115">
        <v>4914.8999999999996</v>
      </c>
      <c r="D2451" s="115">
        <v>4803.05</v>
      </c>
      <c r="E2451" s="115">
        <v>4803.05</v>
      </c>
      <c r="F2451" s="115">
        <v>4914.8999999999996</v>
      </c>
      <c r="G2451">
        <v>4289</v>
      </c>
      <c r="H2451" s="115"/>
      <c r="I2451" s="115"/>
      <c r="L2451" s="160">
        <v>45614</v>
      </c>
      <c r="M2451" s="115">
        <v>1492.65</v>
      </c>
      <c r="N2451" s="115">
        <v>1531.6</v>
      </c>
      <c r="O2451" s="115">
        <v>1482</v>
      </c>
      <c r="P2451" s="115">
        <v>1531.5</v>
      </c>
      <c r="Q2451" s="115">
        <v>1492.65</v>
      </c>
      <c r="R2451">
        <v>24577</v>
      </c>
    </row>
    <row r="2452" spans="1:18" x14ac:dyDescent="0.25">
      <c r="A2452" s="160">
        <v>45639</v>
      </c>
      <c r="B2452" s="115">
        <v>4958.95</v>
      </c>
      <c r="C2452" s="115">
        <v>4888.7</v>
      </c>
      <c r="D2452" s="115">
        <v>4770</v>
      </c>
      <c r="E2452" s="115">
        <v>4891.05</v>
      </c>
      <c r="F2452" s="115">
        <v>4888.7</v>
      </c>
      <c r="G2452">
        <v>2155</v>
      </c>
      <c r="H2452" s="115"/>
      <c r="I2452" s="115"/>
      <c r="L2452" s="160">
        <v>45615</v>
      </c>
      <c r="M2452" s="115">
        <v>1501.35</v>
      </c>
      <c r="N2452" s="115">
        <v>1525.3</v>
      </c>
      <c r="O2452" s="115">
        <v>1485</v>
      </c>
      <c r="P2452" s="115">
        <v>1504.45</v>
      </c>
      <c r="Q2452" s="115">
        <v>1501.35</v>
      </c>
      <c r="R2452">
        <v>17221</v>
      </c>
    </row>
    <row r="2453" spans="1:18" x14ac:dyDescent="0.25">
      <c r="A2453" s="160">
        <v>45642</v>
      </c>
      <c r="B2453" s="115">
        <v>4932.3500000000004</v>
      </c>
      <c r="C2453" s="115">
        <v>4829.95</v>
      </c>
      <c r="D2453" s="115">
        <v>4811.25</v>
      </c>
      <c r="E2453" s="115">
        <v>4875</v>
      </c>
      <c r="F2453" s="115">
        <v>4829.95</v>
      </c>
      <c r="G2453">
        <v>1400</v>
      </c>
      <c r="H2453" s="115"/>
      <c r="I2453" s="115"/>
      <c r="L2453" s="160">
        <v>45617</v>
      </c>
      <c r="M2453" s="115">
        <v>1481.1</v>
      </c>
      <c r="N2453" s="115">
        <v>1515.15</v>
      </c>
      <c r="O2453" s="115">
        <v>1469.3</v>
      </c>
      <c r="P2453" s="115">
        <v>1501.4</v>
      </c>
      <c r="Q2453" s="115">
        <v>1481.1</v>
      </c>
      <c r="R2453">
        <v>24258</v>
      </c>
    </row>
    <row r="2454" spans="1:18" x14ac:dyDescent="0.25">
      <c r="A2454" s="160">
        <v>45643</v>
      </c>
      <c r="B2454" s="115">
        <v>4883.95</v>
      </c>
      <c r="C2454" s="115">
        <v>4800.8999999999996</v>
      </c>
      <c r="D2454" s="115">
        <v>4781</v>
      </c>
      <c r="E2454" s="115">
        <v>4883.95</v>
      </c>
      <c r="F2454" s="115">
        <v>4800.8999999999996</v>
      </c>
      <c r="G2454">
        <v>1428</v>
      </c>
      <c r="H2454" s="115"/>
      <c r="I2454" s="115"/>
      <c r="L2454" s="160">
        <v>45618</v>
      </c>
      <c r="M2454" s="115">
        <v>1479.55</v>
      </c>
      <c r="N2454" s="115">
        <v>1500</v>
      </c>
      <c r="O2454" s="115">
        <v>1468</v>
      </c>
      <c r="P2454" s="115">
        <v>1481.1</v>
      </c>
      <c r="Q2454" s="115">
        <v>1479.55</v>
      </c>
      <c r="R2454">
        <v>21889</v>
      </c>
    </row>
    <row r="2455" spans="1:18" x14ac:dyDescent="0.25">
      <c r="A2455" s="160">
        <v>45644</v>
      </c>
      <c r="B2455" s="115">
        <v>4889</v>
      </c>
      <c r="C2455" s="115">
        <v>4762</v>
      </c>
      <c r="D2455" s="115">
        <v>4750</v>
      </c>
      <c r="E2455" s="115">
        <v>4889</v>
      </c>
      <c r="F2455" s="115">
        <v>4762</v>
      </c>
      <c r="G2455">
        <v>744</v>
      </c>
      <c r="H2455" s="115"/>
      <c r="I2455" s="115"/>
      <c r="L2455" s="160">
        <v>45621</v>
      </c>
      <c r="M2455" s="115">
        <v>1499.25</v>
      </c>
      <c r="N2455" s="115">
        <v>1555.95</v>
      </c>
      <c r="O2455" s="115">
        <v>1481.35</v>
      </c>
      <c r="P2455" s="115">
        <v>1491.4</v>
      </c>
      <c r="Q2455" s="115">
        <v>1499.25</v>
      </c>
      <c r="R2455">
        <v>88860</v>
      </c>
    </row>
    <row r="2456" spans="1:18" x14ac:dyDescent="0.25">
      <c r="A2456" s="160">
        <v>45645</v>
      </c>
      <c r="B2456" s="115">
        <v>4815</v>
      </c>
      <c r="C2456" s="115">
        <v>4721.5</v>
      </c>
      <c r="D2456" s="115">
        <v>4700</v>
      </c>
      <c r="E2456" s="115">
        <v>4749</v>
      </c>
      <c r="F2456" s="115">
        <v>4721.5</v>
      </c>
      <c r="G2456">
        <v>1162</v>
      </c>
      <c r="H2456" s="115"/>
      <c r="I2456" s="115"/>
      <c r="L2456" s="160">
        <v>45622</v>
      </c>
      <c r="M2456" s="115">
        <v>1541.1</v>
      </c>
      <c r="N2456" s="115">
        <v>1574.2</v>
      </c>
      <c r="O2456" s="115">
        <v>1504.05</v>
      </c>
      <c r="P2456" s="115">
        <v>1517.05</v>
      </c>
      <c r="Q2456" s="115">
        <v>1541.1</v>
      </c>
      <c r="R2456">
        <v>58540</v>
      </c>
    </row>
    <row r="2457" spans="1:18" x14ac:dyDescent="0.25">
      <c r="A2457" s="160">
        <v>45646</v>
      </c>
      <c r="B2457" s="115">
        <v>4825.8999999999996</v>
      </c>
      <c r="C2457" s="115">
        <v>4656.25</v>
      </c>
      <c r="D2457" s="115">
        <v>4645</v>
      </c>
      <c r="E2457" s="115">
        <v>4825.8999999999996</v>
      </c>
      <c r="F2457" s="115">
        <v>4656.25</v>
      </c>
      <c r="G2457">
        <v>1189</v>
      </c>
      <c r="H2457" s="115"/>
      <c r="I2457" s="115"/>
      <c r="L2457" s="160">
        <v>45623</v>
      </c>
      <c r="M2457" s="115">
        <v>1537.25</v>
      </c>
      <c r="N2457" s="115">
        <v>1556.95</v>
      </c>
      <c r="O2457" s="115">
        <v>1514.7</v>
      </c>
      <c r="P2457" s="115">
        <v>1545.6</v>
      </c>
      <c r="Q2457" s="115">
        <v>1537.25</v>
      </c>
      <c r="R2457">
        <v>27856</v>
      </c>
    </row>
    <row r="2458" spans="1:18" x14ac:dyDescent="0.25">
      <c r="A2458" s="160">
        <v>45649</v>
      </c>
      <c r="B2458" s="115">
        <v>4780</v>
      </c>
      <c r="C2458" s="115">
        <v>4433.75</v>
      </c>
      <c r="D2458" s="115">
        <v>4315</v>
      </c>
      <c r="E2458" s="115">
        <v>4780</v>
      </c>
      <c r="F2458" s="115">
        <v>4433.75</v>
      </c>
      <c r="G2458">
        <v>2663</v>
      </c>
      <c r="H2458" s="115"/>
      <c r="I2458" s="115"/>
      <c r="L2458" s="160">
        <v>45624</v>
      </c>
      <c r="M2458" s="115">
        <v>1527.25</v>
      </c>
      <c r="N2458" s="115">
        <v>1560</v>
      </c>
      <c r="O2458" s="115">
        <v>1520.7</v>
      </c>
      <c r="P2458" s="115">
        <v>1537.25</v>
      </c>
      <c r="Q2458" s="115">
        <v>1527.25</v>
      </c>
      <c r="R2458">
        <v>21258</v>
      </c>
    </row>
    <row r="2459" spans="1:18" x14ac:dyDescent="0.25">
      <c r="A2459" s="160">
        <v>45650</v>
      </c>
      <c r="B2459" s="115">
        <v>4499.8500000000004</v>
      </c>
      <c r="C2459" s="115">
        <v>4438.1000000000004</v>
      </c>
      <c r="D2459" s="115">
        <v>4409.05</v>
      </c>
      <c r="E2459" s="115">
        <v>4492.95</v>
      </c>
      <c r="F2459" s="115">
        <v>4438.1000000000004</v>
      </c>
      <c r="G2459">
        <v>1413</v>
      </c>
      <c r="H2459" s="115"/>
      <c r="I2459" s="115"/>
      <c r="L2459" s="160">
        <v>45625</v>
      </c>
      <c r="M2459" s="115">
        <v>1516.95</v>
      </c>
      <c r="N2459" s="115">
        <v>1537.1</v>
      </c>
      <c r="O2459" s="115">
        <v>1500</v>
      </c>
      <c r="P2459" s="115">
        <v>1530</v>
      </c>
      <c r="Q2459" s="115">
        <v>1516.95</v>
      </c>
      <c r="R2459">
        <v>34225</v>
      </c>
    </row>
    <row r="2460" spans="1:18" x14ac:dyDescent="0.25">
      <c r="A2460" s="160">
        <v>45652</v>
      </c>
      <c r="B2460" s="115">
        <v>4487.95</v>
      </c>
      <c r="C2460" s="115">
        <v>4327.6000000000004</v>
      </c>
      <c r="D2460" s="115">
        <v>4275</v>
      </c>
      <c r="E2460" s="115">
        <v>4468</v>
      </c>
      <c r="F2460" s="115">
        <v>4327.6000000000004</v>
      </c>
      <c r="G2460">
        <v>1978</v>
      </c>
      <c r="H2460" s="115"/>
      <c r="I2460" s="115"/>
      <c r="L2460" s="160">
        <v>45628</v>
      </c>
      <c r="M2460" s="115">
        <v>1516</v>
      </c>
      <c r="N2460" s="115">
        <v>1553.95</v>
      </c>
      <c r="O2460" s="115">
        <v>1496.2</v>
      </c>
      <c r="P2460" s="115">
        <v>1509.95</v>
      </c>
      <c r="Q2460" s="115">
        <v>1516</v>
      </c>
      <c r="R2460">
        <v>38732</v>
      </c>
    </row>
    <row r="2461" spans="1:18" x14ac:dyDescent="0.25">
      <c r="A2461" s="160">
        <v>45653</v>
      </c>
      <c r="B2461" s="115">
        <v>4378.95</v>
      </c>
      <c r="C2461" s="115">
        <v>4272.6000000000004</v>
      </c>
      <c r="D2461" s="115">
        <v>4153</v>
      </c>
      <c r="E2461" s="115">
        <v>4378.95</v>
      </c>
      <c r="F2461" s="115">
        <v>4272.6000000000004</v>
      </c>
      <c r="G2461">
        <v>2571</v>
      </c>
      <c r="H2461" s="115"/>
      <c r="I2461" s="115"/>
      <c r="L2461" s="160">
        <v>45629</v>
      </c>
      <c r="M2461" s="115">
        <v>1540.45</v>
      </c>
      <c r="N2461" s="115">
        <v>1566</v>
      </c>
      <c r="O2461" s="115">
        <v>1516</v>
      </c>
      <c r="P2461" s="115">
        <v>1529</v>
      </c>
      <c r="Q2461" s="115">
        <v>1540.45</v>
      </c>
      <c r="R2461">
        <v>37054</v>
      </c>
    </row>
    <row r="2462" spans="1:18" x14ac:dyDescent="0.25">
      <c r="A2462" s="160">
        <v>45656</v>
      </c>
      <c r="B2462" s="115">
        <v>4300.05</v>
      </c>
      <c r="C2462" s="115">
        <v>4137.2</v>
      </c>
      <c r="D2462" s="115">
        <v>4110</v>
      </c>
      <c r="E2462" s="115">
        <v>4300</v>
      </c>
      <c r="F2462" s="115">
        <v>4137.2</v>
      </c>
      <c r="G2462">
        <v>2710</v>
      </c>
      <c r="H2462" s="115"/>
      <c r="I2462" s="115"/>
      <c r="L2462" s="160">
        <v>45630</v>
      </c>
      <c r="M2462" s="115">
        <v>1583.8</v>
      </c>
      <c r="N2462" s="115">
        <v>1648.75</v>
      </c>
      <c r="O2462" s="115">
        <v>1571</v>
      </c>
      <c r="P2462" s="115">
        <v>1572.1</v>
      </c>
      <c r="Q2462" s="115">
        <v>1583.8</v>
      </c>
      <c r="R2462">
        <v>143211</v>
      </c>
    </row>
    <row r="2463" spans="1:18" x14ac:dyDescent="0.25">
      <c r="A2463" s="160">
        <v>45657</v>
      </c>
      <c r="B2463" s="115">
        <v>4200.05</v>
      </c>
      <c r="C2463" s="115">
        <v>4184.5</v>
      </c>
      <c r="D2463" s="115">
        <v>4105</v>
      </c>
      <c r="E2463" s="115">
        <v>4193.95</v>
      </c>
      <c r="F2463" s="115">
        <v>4184.5</v>
      </c>
      <c r="G2463">
        <v>1963</v>
      </c>
      <c r="H2463" s="115"/>
      <c r="I2463" s="115"/>
      <c r="L2463" s="160">
        <v>45631</v>
      </c>
      <c r="M2463" s="115">
        <v>1577.6</v>
      </c>
      <c r="N2463" s="115">
        <v>1623.75</v>
      </c>
      <c r="O2463" s="115">
        <v>1563.35</v>
      </c>
      <c r="P2463" s="115">
        <v>1602.1</v>
      </c>
      <c r="Q2463" s="115">
        <v>1577.6</v>
      </c>
      <c r="R2463">
        <v>28853</v>
      </c>
    </row>
    <row r="2464" spans="1:18" x14ac:dyDescent="0.25">
      <c r="A2464" s="160">
        <v>45658</v>
      </c>
      <c r="B2464" s="115">
        <v>4376</v>
      </c>
      <c r="C2464" s="115">
        <v>4192.1000000000004</v>
      </c>
      <c r="D2464" s="115">
        <v>4120</v>
      </c>
      <c r="E2464" s="115">
        <v>4229</v>
      </c>
      <c r="F2464" s="115">
        <v>4192.1000000000004</v>
      </c>
      <c r="G2464">
        <v>2706</v>
      </c>
      <c r="H2464" s="115"/>
      <c r="I2464" s="115"/>
      <c r="L2464" s="160">
        <v>45632</v>
      </c>
      <c r="M2464" s="115">
        <v>1599.7</v>
      </c>
      <c r="N2464" s="115">
        <v>1620</v>
      </c>
      <c r="O2464" s="115">
        <v>1560.25</v>
      </c>
      <c r="P2464" s="115">
        <v>1589.95</v>
      </c>
      <c r="Q2464" s="115">
        <v>1599.7</v>
      </c>
      <c r="R2464">
        <v>36410</v>
      </c>
    </row>
    <row r="2465" spans="1:18" x14ac:dyDescent="0.25">
      <c r="A2465" s="160">
        <v>45659</v>
      </c>
      <c r="B2465" s="115">
        <v>4310</v>
      </c>
      <c r="C2465" s="115">
        <v>4238.05</v>
      </c>
      <c r="D2465" s="115">
        <v>4160</v>
      </c>
      <c r="E2465" s="115">
        <v>4160</v>
      </c>
      <c r="F2465" s="115">
        <v>4238.05</v>
      </c>
      <c r="G2465">
        <v>2284</v>
      </c>
      <c r="H2465" s="115"/>
      <c r="I2465" s="115"/>
      <c r="L2465" s="160">
        <v>45635</v>
      </c>
      <c r="M2465" s="115">
        <v>1591.55</v>
      </c>
      <c r="N2465" s="115">
        <v>1620</v>
      </c>
      <c r="O2465" s="115">
        <v>1570.05</v>
      </c>
      <c r="P2465" s="115">
        <v>1600</v>
      </c>
      <c r="Q2465" s="115">
        <v>1591.55</v>
      </c>
      <c r="R2465">
        <v>29396</v>
      </c>
    </row>
    <row r="2466" spans="1:18" x14ac:dyDescent="0.25">
      <c r="A2466" s="160">
        <v>45660</v>
      </c>
      <c r="B2466" s="115">
        <v>4374</v>
      </c>
      <c r="C2466" s="115">
        <v>4253.7</v>
      </c>
      <c r="D2466" s="115">
        <v>4210</v>
      </c>
      <c r="E2466" s="115">
        <v>4374</v>
      </c>
      <c r="F2466" s="115">
        <v>4253.7</v>
      </c>
      <c r="G2466">
        <v>1461</v>
      </c>
      <c r="H2466" s="115"/>
      <c r="I2466" s="115"/>
      <c r="L2466" s="160">
        <v>45636</v>
      </c>
      <c r="M2466" s="115">
        <v>1604.75</v>
      </c>
      <c r="N2466" s="115">
        <v>1609.15</v>
      </c>
      <c r="O2466" s="115">
        <v>1566.2</v>
      </c>
      <c r="P2466" s="115">
        <v>1594.9</v>
      </c>
      <c r="Q2466" s="115">
        <v>1604.75</v>
      </c>
      <c r="R2466">
        <v>45315</v>
      </c>
    </row>
    <row r="2467" spans="1:18" x14ac:dyDescent="0.25">
      <c r="A2467" s="160">
        <v>45663</v>
      </c>
      <c r="B2467" s="115">
        <v>4299</v>
      </c>
      <c r="C2467" s="115">
        <v>4067.8</v>
      </c>
      <c r="D2467" s="115">
        <v>3998</v>
      </c>
      <c r="E2467" s="115">
        <v>4299</v>
      </c>
      <c r="F2467" s="115">
        <v>4067.8</v>
      </c>
      <c r="G2467">
        <v>3112</v>
      </c>
      <c r="H2467" s="115"/>
      <c r="I2467" s="115"/>
      <c r="L2467" s="160">
        <v>45637</v>
      </c>
      <c r="M2467" s="115">
        <v>1635.8</v>
      </c>
      <c r="N2467" s="115">
        <v>1647.35</v>
      </c>
      <c r="O2467" s="115">
        <v>1603.3</v>
      </c>
      <c r="P2467" s="115">
        <v>1606</v>
      </c>
      <c r="Q2467" s="115">
        <v>1635.8</v>
      </c>
      <c r="R2467">
        <v>46319</v>
      </c>
    </row>
    <row r="2468" spans="1:18" x14ac:dyDescent="0.25">
      <c r="A2468" s="160">
        <v>45664</v>
      </c>
      <c r="B2468" s="115">
        <v>4189.8999999999996</v>
      </c>
      <c r="C2468" s="115">
        <v>4036.8</v>
      </c>
      <c r="D2468" s="115">
        <v>3944</v>
      </c>
      <c r="E2468" s="115">
        <v>4189.8999999999996</v>
      </c>
      <c r="F2468" s="115">
        <v>4036.8</v>
      </c>
      <c r="G2468">
        <v>2510</v>
      </c>
      <c r="H2468" s="115"/>
      <c r="I2468" s="115"/>
      <c r="L2468" s="160">
        <v>45638</v>
      </c>
      <c r="M2468" s="115">
        <v>1627.95</v>
      </c>
      <c r="N2468" s="115">
        <v>1664</v>
      </c>
      <c r="O2468" s="115">
        <v>1613.15</v>
      </c>
      <c r="P2468" s="115">
        <v>1648</v>
      </c>
      <c r="Q2468" s="115">
        <v>1627.95</v>
      </c>
      <c r="R2468">
        <v>49788</v>
      </c>
    </row>
    <row r="2469" spans="1:18" x14ac:dyDescent="0.25">
      <c r="A2469" s="160">
        <v>45665</v>
      </c>
      <c r="B2469" s="115">
        <v>4167</v>
      </c>
      <c r="C2469" s="115">
        <v>4119.7</v>
      </c>
      <c r="D2469" s="115">
        <v>4050.05</v>
      </c>
      <c r="E2469" s="115">
        <v>4130</v>
      </c>
      <c r="F2469" s="115">
        <v>4119.7</v>
      </c>
      <c r="G2469">
        <v>1235</v>
      </c>
      <c r="H2469" s="115"/>
      <c r="I2469" s="115"/>
      <c r="L2469" s="160">
        <v>45639</v>
      </c>
      <c r="M2469" s="115">
        <v>1619.65</v>
      </c>
      <c r="N2469" s="115">
        <v>1637.95</v>
      </c>
      <c r="O2469" s="115">
        <v>1605.5</v>
      </c>
      <c r="P2469" s="115">
        <v>1636.45</v>
      </c>
      <c r="Q2469" s="115">
        <v>1619.65</v>
      </c>
      <c r="R2469">
        <v>26573</v>
      </c>
    </row>
    <row r="2470" spans="1:18" x14ac:dyDescent="0.25">
      <c r="A2470" s="160">
        <v>45666</v>
      </c>
      <c r="B2470" s="115">
        <v>4112.55</v>
      </c>
      <c r="C2470" s="115">
        <v>4018.55</v>
      </c>
      <c r="D2470" s="115">
        <v>4000</v>
      </c>
      <c r="E2470" s="115">
        <v>4111</v>
      </c>
      <c r="F2470" s="115">
        <v>4018.55</v>
      </c>
      <c r="G2470">
        <v>1695</v>
      </c>
      <c r="H2470" s="115"/>
      <c r="I2470" s="115"/>
      <c r="L2470" s="160">
        <v>45642</v>
      </c>
      <c r="M2470" s="115">
        <v>1605.15</v>
      </c>
      <c r="N2470" s="115">
        <v>1649</v>
      </c>
      <c r="O2470" s="115">
        <v>1595</v>
      </c>
      <c r="P2470" s="115">
        <v>1624.5</v>
      </c>
      <c r="Q2470" s="115">
        <v>1605.15</v>
      </c>
      <c r="R2470">
        <v>22272</v>
      </c>
    </row>
    <row r="2471" spans="1:18" x14ac:dyDescent="0.25">
      <c r="A2471" s="160">
        <v>45667</v>
      </c>
      <c r="B2471" s="115">
        <v>4047.5</v>
      </c>
      <c r="C2471" s="115">
        <v>3965.15</v>
      </c>
      <c r="D2471" s="115">
        <v>3799.95</v>
      </c>
      <c r="E2471" s="115">
        <v>3980</v>
      </c>
      <c r="F2471" s="115">
        <v>3965.15</v>
      </c>
      <c r="G2471">
        <v>2208</v>
      </c>
      <c r="H2471" s="115"/>
      <c r="I2471" s="115"/>
      <c r="L2471" s="160">
        <v>45643</v>
      </c>
      <c r="M2471" s="115">
        <v>1600.3</v>
      </c>
      <c r="N2471" s="115">
        <v>1625</v>
      </c>
      <c r="O2471" s="115">
        <v>1585.5</v>
      </c>
      <c r="P2471" s="115">
        <v>1601</v>
      </c>
      <c r="Q2471" s="115">
        <v>1600.3</v>
      </c>
      <c r="R2471">
        <v>19897</v>
      </c>
    </row>
    <row r="2472" spans="1:18" x14ac:dyDescent="0.25">
      <c r="A2472" s="160">
        <v>45670</v>
      </c>
      <c r="B2472" s="115">
        <v>4045.85</v>
      </c>
      <c r="C2472" s="115">
        <v>3904.95</v>
      </c>
      <c r="D2472" s="115">
        <v>3780</v>
      </c>
      <c r="E2472" s="115">
        <v>3970</v>
      </c>
      <c r="F2472" s="115">
        <v>3904.95</v>
      </c>
      <c r="G2472">
        <v>2512</v>
      </c>
      <c r="H2472" s="115"/>
      <c r="I2472" s="115"/>
      <c r="L2472" s="160">
        <v>45644</v>
      </c>
      <c r="M2472" s="115">
        <v>1568.45</v>
      </c>
      <c r="N2472" s="115">
        <v>1596</v>
      </c>
      <c r="O2472" s="115">
        <v>1562</v>
      </c>
      <c r="P2472" s="115">
        <v>1595.95</v>
      </c>
      <c r="Q2472" s="115">
        <v>1568.45</v>
      </c>
      <c r="R2472">
        <v>15787</v>
      </c>
    </row>
    <row r="2473" spans="1:18" x14ac:dyDescent="0.25">
      <c r="A2473" s="160">
        <v>45671</v>
      </c>
      <c r="B2473" s="115">
        <v>3995</v>
      </c>
      <c r="C2473" s="115">
        <v>3808.05</v>
      </c>
      <c r="D2473" s="115">
        <v>3750</v>
      </c>
      <c r="E2473" s="115">
        <v>3995</v>
      </c>
      <c r="F2473" s="115">
        <v>3808.05</v>
      </c>
      <c r="G2473">
        <v>2929</v>
      </c>
      <c r="H2473" s="115"/>
      <c r="I2473" s="115"/>
      <c r="L2473" s="160">
        <v>45645</v>
      </c>
      <c r="M2473" s="115">
        <v>1587.9</v>
      </c>
      <c r="N2473" s="115">
        <v>1603.95</v>
      </c>
      <c r="O2473" s="115">
        <v>1510.8</v>
      </c>
      <c r="P2473" s="115">
        <v>1550</v>
      </c>
      <c r="Q2473" s="115">
        <v>1587.9</v>
      </c>
      <c r="R2473">
        <v>37470</v>
      </c>
    </row>
    <row r="2474" spans="1:18" x14ac:dyDescent="0.25">
      <c r="A2474" s="160">
        <v>45672</v>
      </c>
      <c r="B2474" s="115">
        <v>3899.95</v>
      </c>
      <c r="C2474" s="115">
        <v>3750.05</v>
      </c>
      <c r="D2474" s="115">
        <v>3695.05</v>
      </c>
      <c r="E2474" s="115">
        <v>3899.95</v>
      </c>
      <c r="F2474" s="115">
        <v>3750.05</v>
      </c>
      <c r="G2474">
        <v>2666</v>
      </c>
      <c r="H2474" s="115"/>
      <c r="I2474" s="115"/>
      <c r="L2474" s="160">
        <v>45646</v>
      </c>
      <c r="M2474" s="115">
        <v>1510.15</v>
      </c>
      <c r="N2474" s="115">
        <v>1609.8</v>
      </c>
      <c r="O2474" s="115">
        <v>1500.05</v>
      </c>
      <c r="P2474" s="115">
        <v>1609.8</v>
      </c>
      <c r="Q2474" s="115">
        <v>1510.15</v>
      </c>
      <c r="R2474">
        <v>31573</v>
      </c>
    </row>
    <row r="2475" spans="1:18" x14ac:dyDescent="0.25">
      <c r="A2475" s="160">
        <v>45673</v>
      </c>
      <c r="B2475" s="115">
        <v>3894.95</v>
      </c>
      <c r="C2475" s="115">
        <v>3874.5</v>
      </c>
      <c r="D2475" s="115">
        <v>3775</v>
      </c>
      <c r="E2475" s="115">
        <v>3894.95</v>
      </c>
      <c r="F2475" s="115">
        <v>3874.5</v>
      </c>
      <c r="G2475">
        <v>1164</v>
      </c>
      <c r="H2475" s="115"/>
      <c r="I2475" s="115"/>
      <c r="L2475" s="160">
        <v>45649</v>
      </c>
      <c r="M2475" s="115">
        <v>1501.1</v>
      </c>
      <c r="N2475" s="115">
        <v>1548.95</v>
      </c>
      <c r="O2475" s="115">
        <v>1494</v>
      </c>
      <c r="P2475" s="115">
        <v>1535.85</v>
      </c>
      <c r="Q2475" s="115">
        <v>1501.1</v>
      </c>
      <c r="R2475">
        <v>22194</v>
      </c>
    </row>
    <row r="2476" spans="1:18" x14ac:dyDescent="0.25">
      <c r="A2476" s="160">
        <v>45674</v>
      </c>
      <c r="B2476" s="115">
        <v>3943.2</v>
      </c>
      <c r="C2476" s="115">
        <v>3915.25</v>
      </c>
      <c r="D2476" s="115">
        <v>3841</v>
      </c>
      <c r="E2476" s="115">
        <v>3849.95</v>
      </c>
      <c r="F2476" s="115">
        <v>3915.25</v>
      </c>
      <c r="G2476">
        <v>431</v>
      </c>
      <c r="H2476" s="115"/>
      <c r="I2476" s="115"/>
      <c r="L2476" s="160">
        <v>45650</v>
      </c>
      <c r="M2476" s="115">
        <v>1527.85</v>
      </c>
      <c r="N2476" s="115">
        <v>1540</v>
      </c>
      <c r="O2476" s="115">
        <v>1498</v>
      </c>
      <c r="P2476" s="115">
        <v>1517</v>
      </c>
      <c r="Q2476" s="115">
        <v>1527.85</v>
      </c>
      <c r="R2476">
        <v>16518</v>
      </c>
    </row>
    <row r="2477" spans="1:18" x14ac:dyDescent="0.25">
      <c r="A2477" s="160">
        <v>45677</v>
      </c>
      <c r="B2477" s="115">
        <v>4100.05</v>
      </c>
      <c r="C2477" s="115">
        <v>4015.3</v>
      </c>
      <c r="D2477" s="115">
        <v>3900.05</v>
      </c>
      <c r="E2477" s="115">
        <v>3990</v>
      </c>
      <c r="F2477" s="115">
        <v>4015.3</v>
      </c>
      <c r="G2477">
        <v>1881</v>
      </c>
      <c r="H2477" s="115"/>
      <c r="I2477" s="115"/>
      <c r="L2477" s="160">
        <v>45652</v>
      </c>
      <c r="M2477" s="115">
        <v>1496.95</v>
      </c>
      <c r="N2477" s="115">
        <v>1531.9</v>
      </c>
      <c r="O2477" s="115">
        <v>1485</v>
      </c>
      <c r="P2477" s="115">
        <v>1527.9</v>
      </c>
      <c r="Q2477" s="115">
        <v>1496.95</v>
      </c>
      <c r="R2477">
        <v>16928</v>
      </c>
    </row>
    <row r="2478" spans="1:18" x14ac:dyDescent="0.25">
      <c r="A2478" s="160">
        <v>45678</v>
      </c>
      <c r="B2478" s="115">
        <v>4097.8999999999996</v>
      </c>
      <c r="C2478" s="115">
        <v>3909.8</v>
      </c>
      <c r="D2478" s="115">
        <v>3852</v>
      </c>
      <c r="E2478" s="115">
        <v>4097.8999999999996</v>
      </c>
      <c r="F2478" s="115">
        <v>3909.8</v>
      </c>
      <c r="G2478">
        <v>1464</v>
      </c>
      <c r="H2478" s="115"/>
      <c r="I2478" s="115"/>
      <c r="L2478" s="160">
        <v>45653</v>
      </c>
      <c r="M2478" s="115">
        <v>1501.85</v>
      </c>
      <c r="N2478" s="115">
        <v>1514.5</v>
      </c>
      <c r="O2478" s="115">
        <v>1491.95</v>
      </c>
      <c r="P2478" s="115">
        <v>1500</v>
      </c>
      <c r="Q2478" s="115">
        <v>1501.85</v>
      </c>
      <c r="R2478">
        <v>8782</v>
      </c>
    </row>
    <row r="2479" spans="1:18" x14ac:dyDescent="0.25">
      <c r="A2479" s="160">
        <v>45679</v>
      </c>
      <c r="B2479" s="115">
        <v>3923.85</v>
      </c>
      <c r="C2479" s="115">
        <v>3839.3</v>
      </c>
      <c r="D2479" s="115">
        <v>3769.95</v>
      </c>
      <c r="E2479" s="115">
        <v>3909.85</v>
      </c>
      <c r="F2479" s="115">
        <v>3839.3</v>
      </c>
      <c r="G2479">
        <v>2832</v>
      </c>
      <c r="H2479" s="115"/>
      <c r="I2479" s="115"/>
      <c r="L2479" s="160">
        <v>45656</v>
      </c>
      <c r="M2479" s="115">
        <v>1493.4</v>
      </c>
      <c r="N2479" s="115">
        <v>1510.85</v>
      </c>
      <c r="O2479" s="115">
        <v>1489.8</v>
      </c>
      <c r="P2479" s="115">
        <v>1501.85</v>
      </c>
      <c r="Q2479" s="115">
        <v>1493.4</v>
      </c>
      <c r="R2479">
        <v>13732</v>
      </c>
    </row>
    <row r="2480" spans="1:18" x14ac:dyDescent="0.25">
      <c r="A2480" s="160">
        <v>45680</v>
      </c>
      <c r="B2480" s="115">
        <v>3873.9</v>
      </c>
      <c r="C2480" s="115">
        <v>3807.25</v>
      </c>
      <c r="D2480" s="115">
        <v>3752.35</v>
      </c>
      <c r="E2480" s="115">
        <v>3873.85</v>
      </c>
      <c r="F2480" s="115">
        <v>3807.25</v>
      </c>
      <c r="G2480">
        <v>538</v>
      </c>
      <c r="H2480" s="115"/>
      <c r="I2480" s="115"/>
      <c r="L2480" s="160">
        <v>45657</v>
      </c>
      <c r="M2480" s="115">
        <v>1477.6</v>
      </c>
      <c r="N2480" s="115">
        <v>1496.9</v>
      </c>
      <c r="O2480" s="115">
        <v>1460</v>
      </c>
      <c r="P2480" s="115">
        <v>1490</v>
      </c>
      <c r="Q2480" s="115">
        <v>1477.6</v>
      </c>
      <c r="R2480">
        <v>16826</v>
      </c>
    </row>
    <row r="2481" spans="1:18" x14ac:dyDescent="0.25">
      <c r="A2481" s="160">
        <v>45681</v>
      </c>
      <c r="B2481" s="115">
        <v>3942.95</v>
      </c>
      <c r="C2481" s="115">
        <v>3752.5</v>
      </c>
      <c r="D2481" s="115">
        <v>3745</v>
      </c>
      <c r="E2481" s="115">
        <v>3890</v>
      </c>
      <c r="F2481" s="115">
        <v>3752.5</v>
      </c>
      <c r="G2481">
        <v>2094</v>
      </c>
      <c r="H2481" s="115"/>
      <c r="I2481" s="115"/>
      <c r="L2481" s="160">
        <v>45658</v>
      </c>
      <c r="M2481" s="115">
        <v>1453.5</v>
      </c>
      <c r="N2481" s="115">
        <v>1471.9</v>
      </c>
      <c r="O2481" s="115">
        <v>1449.9</v>
      </c>
      <c r="P2481" s="115">
        <v>1459.9</v>
      </c>
      <c r="Q2481" s="115">
        <v>1453.5</v>
      </c>
      <c r="R2481">
        <v>21634</v>
      </c>
    </row>
    <row r="2482" spans="1:18" x14ac:dyDescent="0.25">
      <c r="A2482" s="160">
        <v>45684</v>
      </c>
      <c r="B2482" s="115">
        <v>3857.4</v>
      </c>
      <c r="C2482" s="115">
        <v>3676.3</v>
      </c>
      <c r="D2482" s="115">
        <v>3640</v>
      </c>
      <c r="E2482" s="115">
        <v>3745</v>
      </c>
      <c r="F2482" s="115">
        <v>3676.3</v>
      </c>
      <c r="G2482">
        <v>2033</v>
      </c>
      <c r="H2482" s="115"/>
      <c r="I2482" s="115"/>
      <c r="L2482" s="160">
        <v>45659</v>
      </c>
      <c r="M2482" s="115">
        <v>1413.2</v>
      </c>
      <c r="N2482" s="115">
        <v>1477.45</v>
      </c>
      <c r="O2482" s="115">
        <v>1399.95</v>
      </c>
      <c r="P2482" s="115">
        <v>1452</v>
      </c>
      <c r="Q2482" s="115">
        <v>1413.2</v>
      </c>
      <c r="R2482">
        <v>51823</v>
      </c>
    </row>
    <row r="2483" spans="1:18" x14ac:dyDescent="0.25">
      <c r="A2483" s="160">
        <v>45685</v>
      </c>
      <c r="B2483" s="115">
        <v>3680.05</v>
      </c>
      <c r="C2483" s="115">
        <v>3422.4</v>
      </c>
      <c r="D2483" s="115">
        <v>3300</v>
      </c>
      <c r="E2483" s="115">
        <v>3676.3</v>
      </c>
      <c r="F2483" s="115">
        <v>3422.4</v>
      </c>
      <c r="G2483">
        <v>5952</v>
      </c>
      <c r="H2483" s="115"/>
      <c r="I2483" s="115"/>
      <c r="L2483" s="160">
        <v>45660</v>
      </c>
      <c r="M2483" s="115">
        <v>1397.15</v>
      </c>
      <c r="N2483" s="115">
        <v>1439</v>
      </c>
      <c r="O2483" s="115">
        <v>1388.1</v>
      </c>
      <c r="P2483" s="115">
        <v>1415</v>
      </c>
      <c r="Q2483" s="115">
        <v>1397.15</v>
      </c>
      <c r="R2483">
        <v>39750</v>
      </c>
    </row>
    <row r="2484" spans="1:18" x14ac:dyDescent="0.25">
      <c r="A2484" s="160">
        <v>45686</v>
      </c>
      <c r="B2484" s="115">
        <v>3744</v>
      </c>
      <c r="C2484" s="115">
        <v>3700.9</v>
      </c>
      <c r="D2484" s="115">
        <v>3370.05</v>
      </c>
      <c r="E2484" s="115">
        <v>3422.4</v>
      </c>
      <c r="F2484" s="115">
        <v>3700.9</v>
      </c>
      <c r="G2484">
        <v>3020</v>
      </c>
      <c r="H2484" s="115"/>
      <c r="I2484" s="115"/>
      <c r="L2484" s="160">
        <v>45663</v>
      </c>
      <c r="M2484" s="115">
        <v>1358.35</v>
      </c>
      <c r="N2484" s="115">
        <v>1418.1</v>
      </c>
      <c r="O2484" s="115">
        <v>1352.7</v>
      </c>
      <c r="P2484" s="115">
        <v>1418.1</v>
      </c>
      <c r="Q2484" s="115">
        <v>1358.35</v>
      </c>
      <c r="R2484">
        <v>45671</v>
      </c>
    </row>
    <row r="2485" spans="1:18" x14ac:dyDescent="0.25">
      <c r="A2485" s="160">
        <v>45687</v>
      </c>
      <c r="B2485" s="115">
        <v>3866.95</v>
      </c>
      <c r="C2485" s="115">
        <v>3684.2</v>
      </c>
      <c r="D2485" s="115">
        <v>3639.95</v>
      </c>
      <c r="E2485" s="115">
        <v>3699.95</v>
      </c>
      <c r="F2485" s="115">
        <v>3684.2</v>
      </c>
      <c r="G2485">
        <v>1447</v>
      </c>
      <c r="H2485" s="115"/>
      <c r="I2485" s="115"/>
      <c r="L2485" s="160">
        <v>45664</v>
      </c>
      <c r="M2485" s="115">
        <v>1432.3</v>
      </c>
      <c r="N2485" s="115">
        <v>1449.45</v>
      </c>
      <c r="O2485" s="115">
        <v>1351.65</v>
      </c>
      <c r="P2485" s="115">
        <v>1358.4</v>
      </c>
      <c r="Q2485" s="115">
        <v>1432.3</v>
      </c>
      <c r="R2485">
        <v>53555</v>
      </c>
    </row>
    <row r="2486" spans="1:18" x14ac:dyDescent="0.25">
      <c r="A2486" s="160">
        <v>45688</v>
      </c>
      <c r="B2486" s="115">
        <v>3847.25</v>
      </c>
      <c r="C2486" s="115">
        <v>3677.45</v>
      </c>
      <c r="D2486" s="115">
        <v>3616.4</v>
      </c>
      <c r="E2486" s="115">
        <v>3847.25</v>
      </c>
      <c r="F2486" s="115">
        <v>3677.45</v>
      </c>
      <c r="G2486">
        <v>964</v>
      </c>
      <c r="H2486" s="115"/>
      <c r="I2486" s="115"/>
      <c r="L2486" s="160">
        <v>45665</v>
      </c>
      <c r="M2486" s="115">
        <v>1407.15</v>
      </c>
      <c r="N2486" s="115">
        <v>1448.85</v>
      </c>
      <c r="O2486" s="115">
        <v>1392.6</v>
      </c>
      <c r="P2486" s="115">
        <v>1415.5</v>
      </c>
      <c r="Q2486" s="115">
        <v>1407.15</v>
      </c>
      <c r="R2486">
        <v>37583</v>
      </c>
    </row>
    <row r="2487" spans="1:18" x14ac:dyDescent="0.25">
      <c r="A2487" s="160">
        <v>45689</v>
      </c>
      <c r="B2487" s="115">
        <v>3758</v>
      </c>
      <c r="C2487" s="115">
        <v>3674.55</v>
      </c>
      <c r="D2487" s="115">
        <v>3630</v>
      </c>
      <c r="E2487" s="115">
        <v>3757.95</v>
      </c>
      <c r="F2487" s="115">
        <v>3674.55</v>
      </c>
      <c r="G2487">
        <v>766</v>
      </c>
      <c r="H2487" s="115"/>
      <c r="I2487" s="115"/>
      <c r="L2487" s="160">
        <v>45666</v>
      </c>
      <c r="M2487" s="115">
        <v>1415.25</v>
      </c>
      <c r="N2487" s="115">
        <v>1453.55</v>
      </c>
      <c r="O2487" s="115">
        <v>1393.25</v>
      </c>
      <c r="P2487" s="115">
        <v>1409.95</v>
      </c>
      <c r="Q2487" s="115">
        <v>1415.25</v>
      </c>
      <c r="R2487">
        <v>21514</v>
      </c>
    </row>
    <row r="2488" spans="1:18" x14ac:dyDescent="0.25">
      <c r="A2488" s="160">
        <v>45691</v>
      </c>
      <c r="B2488" s="115">
        <v>3647.5</v>
      </c>
      <c r="C2488" s="115">
        <v>3519.7</v>
      </c>
      <c r="D2488" s="115">
        <v>3504.85</v>
      </c>
      <c r="E2488" s="115">
        <v>3647.45</v>
      </c>
      <c r="F2488" s="115">
        <v>3519.7</v>
      </c>
      <c r="G2488">
        <v>1120</v>
      </c>
      <c r="H2488" s="115"/>
      <c r="I2488" s="115"/>
      <c r="L2488" s="160">
        <v>45667</v>
      </c>
      <c r="M2488" s="115">
        <v>1381</v>
      </c>
      <c r="N2488" s="115">
        <v>1423.95</v>
      </c>
      <c r="O2488" s="115">
        <v>1371</v>
      </c>
      <c r="P2488" s="115">
        <v>1423.95</v>
      </c>
      <c r="Q2488" s="115">
        <v>1381</v>
      </c>
      <c r="R2488">
        <v>15280</v>
      </c>
    </row>
    <row r="2489" spans="1:18" x14ac:dyDescent="0.25">
      <c r="A2489" s="160">
        <v>45692</v>
      </c>
      <c r="B2489" s="115">
        <v>3629.75</v>
      </c>
      <c r="C2489" s="115">
        <v>3465.8</v>
      </c>
      <c r="D2489" s="115">
        <v>3450</v>
      </c>
      <c r="E2489" s="115">
        <v>3524</v>
      </c>
      <c r="F2489" s="115">
        <v>3465.8</v>
      </c>
      <c r="G2489">
        <v>1250</v>
      </c>
      <c r="H2489" s="115"/>
      <c r="I2489" s="115"/>
      <c r="L2489" s="160">
        <v>45670</v>
      </c>
      <c r="M2489" s="115">
        <v>1321.25</v>
      </c>
      <c r="N2489" s="115">
        <v>1381</v>
      </c>
      <c r="O2489" s="115">
        <v>1305.55</v>
      </c>
      <c r="P2489" s="115">
        <v>1377.65</v>
      </c>
      <c r="Q2489" s="115">
        <v>1321.25</v>
      </c>
      <c r="R2489">
        <v>22813</v>
      </c>
    </row>
    <row r="2490" spans="1:18" x14ac:dyDescent="0.25">
      <c r="A2490" s="160">
        <v>45693</v>
      </c>
      <c r="B2490" s="115">
        <v>3550</v>
      </c>
      <c r="C2490" s="115">
        <v>3406.2</v>
      </c>
      <c r="D2490" s="115">
        <v>3390</v>
      </c>
      <c r="E2490" s="115">
        <v>3452</v>
      </c>
      <c r="F2490" s="115">
        <v>3406.2</v>
      </c>
      <c r="G2490">
        <v>2699</v>
      </c>
      <c r="H2490" s="115"/>
      <c r="I2490" s="115"/>
      <c r="L2490" s="160">
        <v>45671</v>
      </c>
      <c r="M2490" s="115">
        <v>1361</v>
      </c>
      <c r="N2490" s="115">
        <v>1374.3</v>
      </c>
      <c r="O2490" s="115">
        <v>1321.1</v>
      </c>
      <c r="P2490" s="115">
        <v>1321.1</v>
      </c>
      <c r="Q2490" s="115">
        <v>1361</v>
      </c>
      <c r="R2490">
        <v>14756</v>
      </c>
    </row>
    <row r="2491" spans="1:18" x14ac:dyDescent="0.25">
      <c r="A2491" s="160">
        <v>45694</v>
      </c>
      <c r="B2491" s="115">
        <v>3475.95</v>
      </c>
      <c r="C2491" s="115">
        <v>3427.15</v>
      </c>
      <c r="D2491" s="115">
        <v>3410.15</v>
      </c>
      <c r="E2491" s="115">
        <v>3450</v>
      </c>
      <c r="F2491" s="115">
        <v>3427.15</v>
      </c>
      <c r="G2491">
        <v>1718</v>
      </c>
      <c r="H2491" s="115"/>
      <c r="I2491" s="115"/>
      <c r="L2491" s="160">
        <v>45672</v>
      </c>
      <c r="M2491" s="115">
        <v>1404.7</v>
      </c>
      <c r="N2491" s="115">
        <v>1437</v>
      </c>
      <c r="O2491" s="115">
        <v>1350</v>
      </c>
      <c r="P2491" s="115">
        <v>1369</v>
      </c>
      <c r="Q2491" s="115">
        <v>1404.7</v>
      </c>
      <c r="R2491">
        <v>23296</v>
      </c>
    </row>
    <row r="2492" spans="1:18" x14ac:dyDescent="0.25">
      <c r="A2492" s="160">
        <v>45695</v>
      </c>
      <c r="B2492" s="115">
        <v>3480</v>
      </c>
      <c r="C2492" s="115">
        <v>3334.9</v>
      </c>
      <c r="D2492" s="115">
        <v>3292.05</v>
      </c>
      <c r="E2492" s="115">
        <v>3466.95</v>
      </c>
      <c r="F2492" s="115">
        <v>3334.9</v>
      </c>
      <c r="G2492">
        <v>1625</v>
      </c>
      <c r="H2492" s="115"/>
      <c r="I2492" s="115"/>
      <c r="L2492" s="160">
        <v>45673</v>
      </c>
      <c r="M2492" s="115">
        <v>1416.7</v>
      </c>
      <c r="N2492" s="115">
        <v>1432.75</v>
      </c>
      <c r="O2492" s="115">
        <v>1403.05</v>
      </c>
      <c r="P2492" s="115">
        <v>1425.25</v>
      </c>
      <c r="Q2492" s="115">
        <v>1416.7</v>
      </c>
      <c r="R2492">
        <v>10045</v>
      </c>
    </row>
    <row r="2493" spans="1:18" x14ac:dyDescent="0.25">
      <c r="A2493" s="160">
        <v>45698</v>
      </c>
      <c r="B2493" s="115">
        <v>3370</v>
      </c>
      <c r="C2493" s="115">
        <v>3201.7</v>
      </c>
      <c r="D2493" s="115">
        <v>3192.35</v>
      </c>
      <c r="E2493" s="115">
        <v>3370</v>
      </c>
      <c r="F2493" s="115">
        <v>3201.7</v>
      </c>
      <c r="G2493">
        <v>2105</v>
      </c>
      <c r="H2493" s="115"/>
      <c r="I2493" s="115"/>
      <c r="L2493" s="160">
        <v>45674</v>
      </c>
      <c r="M2493" s="115">
        <v>1429.35</v>
      </c>
      <c r="N2493" s="115">
        <v>1450</v>
      </c>
      <c r="O2493" s="115">
        <v>1400.7</v>
      </c>
      <c r="P2493" s="115">
        <v>1416.7</v>
      </c>
      <c r="Q2493" s="115">
        <v>1429.35</v>
      </c>
      <c r="R2493">
        <v>13736</v>
      </c>
    </row>
    <row r="2494" spans="1:18" x14ac:dyDescent="0.25">
      <c r="A2494" s="160">
        <v>45699</v>
      </c>
      <c r="B2494" s="115">
        <v>3217.75</v>
      </c>
      <c r="C2494" s="115">
        <v>2994.05</v>
      </c>
      <c r="D2494" s="115">
        <v>2950</v>
      </c>
      <c r="E2494" s="115">
        <v>3217.75</v>
      </c>
      <c r="F2494" s="115">
        <v>2994.05</v>
      </c>
      <c r="G2494">
        <v>3668</v>
      </c>
      <c r="H2494" s="115"/>
      <c r="I2494" s="115"/>
      <c r="L2494" s="160">
        <v>45677</v>
      </c>
      <c r="M2494" s="115">
        <v>1463.6</v>
      </c>
      <c r="N2494" s="115">
        <v>1485.6</v>
      </c>
      <c r="O2494" s="115">
        <v>1420.05</v>
      </c>
      <c r="P2494" s="115">
        <v>1431.95</v>
      </c>
      <c r="Q2494" s="115">
        <v>1463.6</v>
      </c>
      <c r="R2494">
        <v>25987</v>
      </c>
    </row>
    <row r="2495" spans="1:18" x14ac:dyDescent="0.25">
      <c r="A2495" s="160">
        <v>45700</v>
      </c>
      <c r="B2495" s="115">
        <v>2994.05</v>
      </c>
      <c r="C2495" s="115">
        <v>2850</v>
      </c>
      <c r="D2495" s="115">
        <v>2701</v>
      </c>
      <c r="E2495" s="115">
        <v>2994.05</v>
      </c>
      <c r="F2495" s="115">
        <v>2850</v>
      </c>
      <c r="G2495">
        <v>3730</v>
      </c>
      <c r="H2495" s="115"/>
      <c r="I2495" s="115"/>
      <c r="L2495" s="160">
        <v>45678</v>
      </c>
      <c r="M2495" s="115">
        <v>1435.4</v>
      </c>
      <c r="N2495" s="115">
        <v>1478.55</v>
      </c>
      <c r="O2495" s="115">
        <v>1424</v>
      </c>
      <c r="P2495" s="115">
        <v>1463.6</v>
      </c>
      <c r="Q2495" s="115">
        <v>1435.4</v>
      </c>
      <c r="R2495">
        <v>12914</v>
      </c>
    </row>
    <row r="2496" spans="1:18" x14ac:dyDescent="0.25">
      <c r="A2496" s="160">
        <v>45701</v>
      </c>
      <c r="B2496" s="115">
        <v>2949</v>
      </c>
      <c r="C2496" s="115">
        <v>2753.4</v>
      </c>
      <c r="D2496" s="115">
        <v>2725</v>
      </c>
      <c r="E2496" s="115">
        <v>2894.35</v>
      </c>
      <c r="F2496" s="115">
        <v>2753.4</v>
      </c>
      <c r="G2496">
        <v>3929</v>
      </c>
      <c r="H2496" s="115"/>
      <c r="I2496" s="115"/>
      <c r="L2496" s="160">
        <v>45679</v>
      </c>
      <c r="M2496" s="115">
        <v>1395.2</v>
      </c>
      <c r="N2496" s="115">
        <v>1445</v>
      </c>
      <c r="O2496" s="115">
        <v>1375</v>
      </c>
      <c r="P2496" s="115">
        <v>1435</v>
      </c>
      <c r="Q2496" s="115">
        <v>1395.2</v>
      </c>
      <c r="R2496">
        <v>24828</v>
      </c>
    </row>
    <row r="2497" spans="1:18" x14ac:dyDescent="0.25">
      <c r="A2497" s="160">
        <v>45702</v>
      </c>
      <c r="B2497" s="115">
        <v>2779.8</v>
      </c>
      <c r="C2497" s="115">
        <v>2588.75</v>
      </c>
      <c r="D2497" s="115">
        <v>2570</v>
      </c>
      <c r="E2497" s="115">
        <v>2778.95</v>
      </c>
      <c r="F2497" s="115">
        <v>2588.75</v>
      </c>
      <c r="G2497">
        <v>4364</v>
      </c>
      <c r="H2497" s="115"/>
      <c r="I2497" s="115"/>
      <c r="L2497" s="160">
        <v>45680</v>
      </c>
      <c r="M2497" s="115">
        <v>1418.2</v>
      </c>
      <c r="N2497" s="115">
        <v>1433.4</v>
      </c>
      <c r="O2497" s="115">
        <v>1390.1</v>
      </c>
      <c r="P2497" s="115">
        <v>1395.2</v>
      </c>
      <c r="Q2497" s="115">
        <v>1418.2</v>
      </c>
      <c r="R2497">
        <v>14817</v>
      </c>
    </row>
    <row r="2498" spans="1:18" x14ac:dyDescent="0.25">
      <c r="A2498" s="160">
        <v>45705</v>
      </c>
      <c r="B2498" s="115">
        <v>2688.9</v>
      </c>
      <c r="C2498" s="115">
        <v>2466.65</v>
      </c>
      <c r="D2498" s="115">
        <v>2383</v>
      </c>
      <c r="E2498" s="115">
        <v>2588.75</v>
      </c>
      <c r="F2498" s="115">
        <v>2466.65</v>
      </c>
      <c r="G2498">
        <v>5126</v>
      </c>
      <c r="H2498" s="115"/>
      <c r="I2498" s="115"/>
      <c r="L2498" s="160">
        <v>45681</v>
      </c>
      <c r="M2498" s="115">
        <v>1349.1</v>
      </c>
      <c r="N2498" s="115">
        <v>1425.15</v>
      </c>
      <c r="O2498" s="115">
        <v>1343</v>
      </c>
      <c r="P2498" s="115">
        <v>1425.15</v>
      </c>
      <c r="Q2498" s="115">
        <v>1349.1</v>
      </c>
      <c r="R2498">
        <v>16444</v>
      </c>
    </row>
    <row r="2499" spans="1:18" x14ac:dyDescent="0.25">
      <c r="A2499" s="160">
        <v>45706</v>
      </c>
      <c r="B2499" s="115">
        <v>2594.9499999999998</v>
      </c>
      <c r="C2499" s="115">
        <v>2564.65</v>
      </c>
      <c r="D2499" s="115">
        <v>2437.6999999999998</v>
      </c>
      <c r="E2499" s="115">
        <v>2437.6999999999998</v>
      </c>
      <c r="F2499" s="115">
        <v>2564.65</v>
      </c>
      <c r="G2499">
        <v>4185</v>
      </c>
      <c r="H2499" s="115"/>
      <c r="I2499" s="115"/>
      <c r="L2499" s="160">
        <v>45684</v>
      </c>
      <c r="M2499" s="115">
        <v>1320.85</v>
      </c>
      <c r="N2499" s="115">
        <v>1347.05</v>
      </c>
      <c r="O2499" s="115">
        <v>1290</v>
      </c>
      <c r="P2499" s="115">
        <v>1347.05</v>
      </c>
      <c r="Q2499" s="115">
        <v>1320.85</v>
      </c>
      <c r="R2499">
        <v>23714</v>
      </c>
    </row>
    <row r="2500" spans="1:18" x14ac:dyDescent="0.25">
      <c r="A2500" s="160">
        <v>45707</v>
      </c>
      <c r="B2500" s="115">
        <v>2800</v>
      </c>
      <c r="C2500" s="115">
        <v>2688.55</v>
      </c>
      <c r="D2500" s="115">
        <v>2577</v>
      </c>
      <c r="E2500" s="115">
        <v>2577</v>
      </c>
      <c r="F2500" s="115">
        <v>2688.55</v>
      </c>
      <c r="G2500">
        <v>5049</v>
      </c>
      <c r="H2500" s="115"/>
      <c r="I2500" s="115"/>
      <c r="L2500" s="160">
        <v>45685</v>
      </c>
      <c r="M2500" s="115">
        <v>1360.4</v>
      </c>
      <c r="N2500" s="115">
        <v>1395</v>
      </c>
      <c r="O2500" s="115">
        <v>1276.0999999999999</v>
      </c>
      <c r="P2500" s="115">
        <v>1322</v>
      </c>
      <c r="Q2500" s="115">
        <v>1360.4</v>
      </c>
      <c r="R2500">
        <v>28685</v>
      </c>
    </row>
    <row r="2501" spans="1:18" x14ac:dyDescent="0.25">
      <c r="A2501" s="160">
        <v>45708</v>
      </c>
      <c r="B2501" s="115">
        <v>3000</v>
      </c>
      <c r="C2501" s="115">
        <v>2961.6</v>
      </c>
      <c r="D2501" s="115">
        <v>2680.95</v>
      </c>
      <c r="E2501" s="115">
        <v>2710</v>
      </c>
      <c r="F2501" s="115">
        <v>2961.6</v>
      </c>
      <c r="G2501">
        <v>4155</v>
      </c>
      <c r="H2501" s="115"/>
      <c r="I2501" s="115"/>
      <c r="L2501" s="160">
        <v>45686</v>
      </c>
      <c r="M2501" s="115">
        <v>1380.5</v>
      </c>
      <c r="N2501" s="115">
        <v>1394.45</v>
      </c>
      <c r="O2501" s="115">
        <v>1347</v>
      </c>
      <c r="P2501" s="115">
        <v>1387.4</v>
      </c>
      <c r="Q2501" s="115">
        <v>1380.5</v>
      </c>
      <c r="R2501">
        <v>16775</v>
      </c>
    </row>
    <row r="2502" spans="1:18" x14ac:dyDescent="0.25">
      <c r="A2502" s="160">
        <v>45709</v>
      </c>
      <c r="B2502" s="115">
        <v>2970</v>
      </c>
      <c r="C2502" s="115">
        <v>2771.4</v>
      </c>
      <c r="D2502" s="115">
        <v>2741.05</v>
      </c>
      <c r="E2502" s="115">
        <v>2825.5</v>
      </c>
      <c r="F2502" s="115">
        <v>2771.4</v>
      </c>
      <c r="G2502">
        <v>5282</v>
      </c>
      <c r="H2502" s="115"/>
      <c r="I2502" s="115"/>
      <c r="L2502" s="160">
        <v>45687</v>
      </c>
      <c r="M2502" s="115">
        <v>1368.5</v>
      </c>
      <c r="N2502" s="115">
        <v>1395</v>
      </c>
      <c r="O2502" s="115">
        <v>1350</v>
      </c>
      <c r="P2502" s="115">
        <v>1370</v>
      </c>
      <c r="Q2502" s="115">
        <v>1368.5</v>
      </c>
      <c r="R2502">
        <v>10920</v>
      </c>
    </row>
    <row r="2503" spans="1:18" x14ac:dyDescent="0.25">
      <c r="A2503" s="160">
        <v>45712</v>
      </c>
      <c r="B2503" s="115">
        <v>2859.6</v>
      </c>
      <c r="C2503" s="115">
        <v>2850.4</v>
      </c>
      <c r="D2503" s="115">
        <v>2650</v>
      </c>
      <c r="E2503" s="115">
        <v>2750</v>
      </c>
      <c r="F2503" s="115">
        <v>2850.4</v>
      </c>
      <c r="G2503">
        <v>2807</v>
      </c>
      <c r="H2503" s="115"/>
      <c r="I2503" s="115"/>
      <c r="L2503" s="160">
        <v>45688</v>
      </c>
      <c r="M2503" s="115">
        <v>1443.6</v>
      </c>
      <c r="N2503" s="115">
        <v>1461.95</v>
      </c>
      <c r="O2503" s="115">
        <v>1362.1</v>
      </c>
      <c r="P2503" s="115">
        <v>1377.6</v>
      </c>
      <c r="Q2503" s="115">
        <v>1443.6</v>
      </c>
      <c r="R2503">
        <v>25066</v>
      </c>
    </row>
    <row r="2504" spans="1:18" x14ac:dyDescent="0.25">
      <c r="A2504" s="160">
        <v>45713</v>
      </c>
      <c r="B2504" s="115">
        <v>2880</v>
      </c>
      <c r="C2504" s="115">
        <v>2836</v>
      </c>
      <c r="D2504" s="115">
        <v>2825</v>
      </c>
      <c r="E2504" s="115">
        <v>2850.4</v>
      </c>
      <c r="F2504" s="115">
        <v>2836</v>
      </c>
      <c r="G2504">
        <v>648</v>
      </c>
      <c r="H2504" s="115"/>
      <c r="I2504" s="115"/>
      <c r="L2504" s="160">
        <v>45689</v>
      </c>
      <c r="M2504" s="115">
        <v>1395.95</v>
      </c>
      <c r="N2504" s="115">
        <v>1517</v>
      </c>
      <c r="O2504" s="115">
        <v>1382.1</v>
      </c>
      <c r="P2504" s="115">
        <v>1443.6</v>
      </c>
      <c r="Q2504" s="115">
        <v>1395.95</v>
      </c>
      <c r="R2504">
        <v>132131</v>
      </c>
    </row>
    <row r="2505" spans="1:18" x14ac:dyDescent="0.25">
      <c r="A2505" s="160">
        <v>45715</v>
      </c>
      <c r="B2505" s="115">
        <v>2868.95</v>
      </c>
      <c r="C2505" s="115">
        <v>2768.5</v>
      </c>
      <c r="D2505" s="115">
        <v>2722</v>
      </c>
      <c r="E2505" s="115">
        <v>2790</v>
      </c>
      <c r="F2505" s="115">
        <v>2768.5</v>
      </c>
      <c r="G2505">
        <v>1178</v>
      </c>
      <c r="H2505" s="115"/>
      <c r="I2505" s="115"/>
      <c r="L2505" s="160">
        <v>45691</v>
      </c>
      <c r="M2505" s="115">
        <v>1398.4</v>
      </c>
      <c r="N2505" s="115">
        <v>1445.7</v>
      </c>
      <c r="O2505" s="115">
        <v>1360</v>
      </c>
      <c r="P2505" s="115">
        <v>1411</v>
      </c>
      <c r="Q2505" s="115">
        <v>1398.4</v>
      </c>
      <c r="R2505">
        <v>88889</v>
      </c>
    </row>
    <row r="2506" spans="1:18" x14ac:dyDescent="0.25">
      <c r="A2506" s="160">
        <v>45716</v>
      </c>
      <c r="B2506" s="115">
        <v>2732.95</v>
      </c>
      <c r="C2506" s="115">
        <v>2597.85</v>
      </c>
      <c r="D2506" s="115">
        <v>2515.8000000000002</v>
      </c>
      <c r="E2506" s="115">
        <v>2700</v>
      </c>
      <c r="F2506" s="115">
        <v>2597.85</v>
      </c>
      <c r="G2506">
        <v>3422</v>
      </c>
      <c r="H2506" s="115"/>
      <c r="I2506" s="115"/>
      <c r="L2506" s="160">
        <v>45692</v>
      </c>
      <c r="M2506" s="115">
        <v>1385.45</v>
      </c>
      <c r="N2506" s="115">
        <v>1434.95</v>
      </c>
      <c r="O2506" s="115">
        <v>1377.15</v>
      </c>
      <c r="P2506" s="115">
        <v>1398.4</v>
      </c>
      <c r="Q2506" s="115">
        <v>1385.45</v>
      </c>
      <c r="R2506">
        <v>28984</v>
      </c>
    </row>
    <row r="2507" spans="1:18" x14ac:dyDescent="0.25">
      <c r="A2507" s="160">
        <v>45719</v>
      </c>
      <c r="B2507" s="115">
        <v>2688.95</v>
      </c>
      <c r="C2507" s="115">
        <v>2485.15</v>
      </c>
      <c r="D2507" s="115">
        <v>2450</v>
      </c>
      <c r="E2507" s="115">
        <v>2615</v>
      </c>
      <c r="F2507" s="115">
        <v>2485.15</v>
      </c>
      <c r="G2507">
        <v>4673</v>
      </c>
      <c r="H2507" s="115"/>
      <c r="I2507" s="115"/>
      <c r="L2507" s="160">
        <v>45693</v>
      </c>
      <c r="M2507" s="115">
        <v>1415.75</v>
      </c>
      <c r="N2507" s="115">
        <v>1447.95</v>
      </c>
      <c r="O2507" s="115">
        <v>1384.75</v>
      </c>
      <c r="P2507" s="115">
        <v>1385.05</v>
      </c>
      <c r="Q2507" s="115">
        <v>1415.75</v>
      </c>
      <c r="R2507">
        <v>38969</v>
      </c>
    </row>
    <row r="2508" spans="1:18" x14ac:dyDescent="0.25">
      <c r="A2508" s="160">
        <v>45720</v>
      </c>
      <c r="B2508" s="115">
        <v>2597</v>
      </c>
      <c r="C2508" s="115">
        <v>2568.35</v>
      </c>
      <c r="D2508" s="115">
        <v>2425.0500000000002</v>
      </c>
      <c r="E2508" s="115">
        <v>2449</v>
      </c>
      <c r="F2508" s="115">
        <v>2568.35</v>
      </c>
      <c r="G2508">
        <v>3997</v>
      </c>
      <c r="H2508" s="115"/>
      <c r="I2508" s="115"/>
      <c r="L2508" s="160">
        <v>45694</v>
      </c>
      <c r="M2508" s="115">
        <v>1466.1</v>
      </c>
      <c r="N2508" s="115">
        <v>1490</v>
      </c>
      <c r="O2508" s="115">
        <v>1423.8</v>
      </c>
      <c r="P2508" s="115">
        <v>1430</v>
      </c>
      <c r="Q2508" s="115">
        <v>1466.1</v>
      </c>
      <c r="R2508">
        <v>63162</v>
      </c>
    </row>
    <row r="2509" spans="1:18" x14ac:dyDescent="0.25">
      <c r="A2509" s="160">
        <v>45721</v>
      </c>
      <c r="B2509" s="115">
        <v>2930</v>
      </c>
      <c r="C2509" s="115">
        <v>2888.5</v>
      </c>
      <c r="D2509" s="115">
        <v>2571</v>
      </c>
      <c r="E2509" s="115">
        <v>2571</v>
      </c>
      <c r="F2509" s="115">
        <v>2888.5</v>
      </c>
      <c r="G2509">
        <v>5461</v>
      </c>
      <c r="H2509" s="115"/>
      <c r="I2509" s="115"/>
      <c r="L2509" s="160">
        <v>45695</v>
      </c>
      <c r="M2509" s="115">
        <v>1487.6</v>
      </c>
      <c r="N2509" s="115">
        <v>1495</v>
      </c>
      <c r="O2509" s="115">
        <v>1437.05</v>
      </c>
      <c r="P2509" s="115">
        <v>1484</v>
      </c>
      <c r="Q2509" s="115">
        <v>1487.6</v>
      </c>
      <c r="R2509">
        <v>36361</v>
      </c>
    </row>
    <row r="2510" spans="1:18" x14ac:dyDescent="0.25">
      <c r="A2510" s="160">
        <v>45722</v>
      </c>
      <c r="B2510" s="115">
        <v>2988.95</v>
      </c>
      <c r="C2510" s="115">
        <v>2927.15</v>
      </c>
      <c r="D2510" s="115">
        <v>2855.05</v>
      </c>
      <c r="E2510" s="115">
        <v>2972</v>
      </c>
      <c r="F2510" s="115">
        <v>2927.15</v>
      </c>
      <c r="G2510">
        <v>2170</v>
      </c>
      <c r="H2510" s="115"/>
      <c r="I2510" s="115"/>
      <c r="L2510" s="160">
        <v>45698</v>
      </c>
      <c r="M2510" s="115">
        <v>1506.6</v>
      </c>
      <c r="N2510" s="115">
        <v>1522</v>
      </c>
      <c r="O2510" s="115">
        <v>1445.25</v>
      </c>
      <c r="P2510" s="115">
        <v>1487.6</v>
      </c>
      <c r="Q2510" s="115">
        <v>1506.6</v>
      </c>
      <c r="R2510">
        <v>40649</v>
      </c>
    </row>
    <row r="2511" spans="1:18" x14ac:dyDescent="0.25">
      <c r="A2511" s="160">
        <v>45723</v>
      </c>
      <c r="B2511" s="115">
        <v>3105</v>
      </c>
      <c r="C2511" s="115">
        <v>2967.25</v>
      </c>
      <c r="D2511" s="115">
        <v>2920</v>
      </c>
      <c r="E2511" s="115">
        <v>2972</v>
      </c>
      <c r="F2511" s="115">
        <v>2967.25</v>
      </c>
      <c r="G2511">
        <v>5348</v>
      </c>
      <c r="H2511" s="115"/>
      <c r="I2511" s="115"/>
      <c r="L2511" s="160">
        <v>45699</v>
      </c>
      <c r="M2511" s="115">
        <v>1432.2</v>
      </c>
      <c r="N2511" s="115">
        <v>1524.9</v>
      </c>
      <c r="O2511" s="115">
        <v>1416.8</v>
      </c>
      <c r="P2511" s="115">
        <v>1511.9</v>
      </c>
      <c r="Q2511" s="115">
        <v>1432.2</v>
      </c>
      <c r="R2511">
        <v>29783</v>
      </c>
    </row>
    <row r="2512" spans="1:18" x14ac:dyDescent="0.25">
      <c r="A2512" s="160">
        <v>45726</v>
      </c>
      <c r="B2512" s="115">
        <v>2994</v>
      </c>
      <c r="C2512" s="115">
        <v>2757.35</v>
      </c>
      <c r="D2512" s="115">
        <v>2735</v>
      </c>
      <c r="E2512" s="115">
        <v>2932.05</v>
      </c>
      <c r="F2512" s="115">
        <v>2757.35</v>
      </c>
      <c r="G2512">
        <v>4179</v>
      </c>
      <c r="H2512" s="115"/>
      <c r="I2512" s="115"/>
      <c r="L2512" s="160">
        <v>45700</v>
      </c>
      <c r="M2512" s="115">
        <v>1445.3</v>
      </c>
      <c r="N2512" s="115">
        <v>1477.25</v>
      </c>
      <c r="O2512" s="115">
        <v>1402.45</v>
      </c>
      <c r="P2512" s="115">
        <v>1440</v>
      </c>
      <c r="Q2512" s="115">
        <v>1445.3</v>
      </c>
      <c r="R2512">
        <v>17229</v>
      </c>
    </row>
    <row r="2513" spans="1:18" x14ac:dyDescent="0.25">
      <c r="A2513" s="160">
        <v>45727</v>
      </c>
      <c r="B2513" s="115">
        <v>2760</v>
      </c>
      <c r="C2513" s="115">
        <v>2689.25</v>
      </c>
      <c r="D2513" s="115">
        <v>2605.0500000000002</v>
      </c>
      <c r="E2513" s="115">
        <v>2652</v>
      </c>
      <c r="F2513" s="115">
        <v>2689.25</v>
      </c>
      <c r="G2513">
        <v>3534</v>
      </c>
      <c r="H2513" s="115"/>
      <c r="I2513" s="115"/>
      <c r="L2513" s="160">
        <v>45701</v>
      </c>
      <c r="M2513" s="115">
        <v>1420.9</v>
      </c>
      <c r="N2513" s="115">
        <v>1470</v>
      </c>
      <c r="O2513" s="115">
        <v>1417</v>
      </c>
      <c r="P2513" s="115">
        <v>1433.65</v>
      </c>
      <c r="Q2513" s="115">
        <v>1420.9</v>
      </c>
      <c r="R2513">
        <v>13995</v>
      </c>
    </row>
    <row r="2514" spans="1:18" x14ac:dyDescent="0.25">
      <c r="A2514" s="160">
        <v>45728</v>
      </c>
      <c r="B2514" s="115">
        <v>2795.05</v>
      </c>
      <c r="C2514" s="115">
        <v>2641.65</v>
      </c>
      <c r="D2514" s="115">
        <v>2624.95</v>
      </c>
      <c r="E2514" s="115">
        <v>2740</v>
      </c>
      <c r="F2514" s="115">
        <v>2641.65</v>
      </c>
      <c r="G2514">
        <v>3153</v>
      </c>
      <c r="H2514" s="115"/>
      <c r="I2514" s="115"/>
      <c r="L2514" s="160">
        <v>45702</v>
      </c>
      <c r="M2514" s="115">
        <v>1397.95</v>
      </c>
      <c r="N2514" s="115">
        <v>1423.4</v>
      </c>
      <c r="O2514" s="115">
        <v>1385.1</v>
      </c>
      <c r="P2514" s="115">
        <v>1401.05</v>
      </c>
      <c r="Q2514" s="115">
        <v>1397.95</v>
      </c>
      <c r="R2514">
        <v>14561</v>
      </c>
    </row>
    <row r="2515" spans="1:18" x14ac:dyDescent="0.25">
      <c r="A2515" s="160">
        <v>45729</v>
      </c>
      <c r="B2515" s="115">
        <v>2680.25</v>
      </c>
      <c r="C2515" s="115">
        <v>2544.0500000000002</v>
      </c>
      <c r="D2515" s="115">
        <v>2502.0500000000002</v>
      </c>
      <c r="E2515" s="115">
        <v>2655.5</v>
      </c>
      <c r="F2515" s="115">
        <v>2544.0500000000002</v>
      </c>
      <c r="G2515">
        <v>4982</v>
      </c>
      <c r="H2515" s="115"/>
      <c r="I2515" s="115"/>
      <c r="L2515" s="160">
        <v>45705</v>
      </c>
      <c r="M2515" s="115">
        <v>1370.55</v>
      </c>
      <c r="N2515" s="115">
        <v>1409.05</v>
      </c>
      <c r="O2515" s="115">
        <v>1355.6</v>
      </c>
      <c r="P2515" s="115">
        <v>1397</v>
      </c>
      <c r="Q2515" s="115">
        <v>1370.55</v>
      </c>
      <c r="R2515">
        <v>13474</v>
      </c>
    </row>
    <row r="2516" spans="1:18" x14ac:dyDescent="0.25">
      <c r="A2516" s="160">
        <v>45733</v>
      </c>
      <c r="B2516" s="115">
        <v>2688.75</v>
      </c>
      <c r="C2516" s="115">
        <v>2585.1</v>
      </c>
      <c r="D2516" s="115">
        <v>2503</v>
      </c>
      <c r="E2516" s="115">
        <v>2688.75</v>
      </c>
      <c r="F2516" s="115">
        <v>2585.1</v>
      </c>
      <c r="G2516">
        <v>16259</v>
      </c>
      <c r="H2516" s="115"/>
      <c r="I2516" s="115"/>
      <c r="L2516" s="160">
        <v>45706</v>
      </c>
      <c r="M2516" s="115">
        <v>1322.3</v>
      </c>
      <c r="N2516" s="115">
        <v>1383.2</v>
      </c>
      <c r="O2516" s="115">
        <v>1309</v>
      </c>
      <c r="P2516" s="115">
        <v>1383.2</v>
      </c>
      <c r="Q2516" s="115">
        <v>1322.3</v>
      </c>
      <c r="R2516">
        <v>12443</v>
      </c>
    </row>
    <row r="2517" spans="1:18" x14ac:dyDescent="0.25">
      <c r="A2517" s="160">
        <v>45734</v>
      </c>
      <c r="B2517" s="115">
        <v>2688</v>
      </c>
      <c r="C2517" s="115">
        <v>2627.95</v>
      </c>
      <c r="D2517" s="115">
        <v>2551</v>
      </c>
      <c r="E2517" s="115">
        <v>2647.75</v>
      </c>
      <c r="F2517" s="115">
        <v>2627.95</v>
      </c>
      <c r="G2517">
        <v>5823</v>
      </c>
      <c r="H2517" s="115"/>
      <c r="I2517" s="115"/>
      <c r="L2517" s="160">
        <v>45707</v>
      </c>
      <c r="M2517" s="115">
        <v>1331.65</v>
      </c>
      <c r="N2517" s="115">
        <v>1347.45</v>
      </c>
      <c r="O2517" s="115">
        <v>1311</v>
      </c>
      <c r="P2517" s="115">
        <v>1322.3</v>
      </c>
      <c r="Q2517" s="115">
        <v>1331.65</v>
      </c>
      <c r="R2517">
        <v>12594</v>
      </c>
    </row>
    <row r="2518" spans="1:18" x14ac:dyDescent="0.25">
      <c r="A2518" s="160">
        <v>45735</v>
      </c>
      <c r="B2518" s="115">
        <v>2840</v>
      </c>
      <c r="C2518" s="115">
        <v>2817.15</v>
      </c>
      <c r="D2518" s="115">
        <v>2650</v>
      </c>
      <c r="E2518" s="115">
        <v>2674.8</v>
      </c>
      <c r="F2518" s="115">
        <v>2817.15</v>
      </c>
      <c r="G2518">
        <v>7096</v>
      </c>
      <c r="H2518" s="115"/>
      <c r="I2518" s="115"/>
      <c r="L2518" s="160">
        <v>45708</v>
      </c>
      <c r="M2518" s="115">
        <v>1326.25</v>
      </c>
      <c r="N2518" s="115">
        <v>1340.5</v>
      </c>
      <c r="O2518" s="115">
        <v>1266</v>
      </c>
      <c r="P2518" s="115">
        <v>1311.65</v>
      </c>
      <c r="Q2518" s="115">
        <v>1326.25</v>
      </c>
      <c r="R2518">
        <v>42874</v>
      </c>
    </row>
    <row r="2519" spans="1:18" x14ac:dyDescent="0.25">
      <c r="A2519" s="160">
        <v>45736</v>
      </c>
      <c r="B2519" s="115">
        <v>2898</v>
      </c>
      <c r="C2519" s="115">
        <v>2818.25</v>
      </c>
      <c r="D2519" s="115">
        <v>2800</v>
      </c>
      <c r="E2519" s="115">
        <v>2811</v>
      </c>
      <c r="F2519" s="115">
        <v>2818.25</v>
      </c>
      <c r="G2519">
        <v>3794</v>
      </c>
      <c r="H2519" s="115"/>
      <c r="I2519" s="115"/>
      <c r="L2519" s="160">
        <v>45709</v>
      </c>
      <c r="M2519" s="115">
        <v>1340.15</v>
      </c>
      <c r="N2519" s="115">
        <v>1366.25</v>
      </c>
      <c r="O2519" s="115">
        <v>1303.05</v>
      </c>
      <c r="P2519" s="115">
        <v>1315</v>
      </c>
      <c r="Q2519" s="115">
        <v>1340.15</v>
      </c>
      <c r="R2519">
        <v>26089</v>
      </c>
    </row>
    <row r="2520" spans="1:18" x14ac:dyDescent="0.25">
      <c r="A2520" s="160">
        <v>45737</v>
      </c>
      <c r="B2520" s="115">
        <v>3060</v>
      </c>
      <c r="C2520" s="115">
        <v>2959.55</v>
      </c>
      <c r="D2520" s="115">
        <v>2766.1</v>
      </c>
      <c r="E2520" s="115">
        <v>2800</v>
      </c>
      <c r="F2520" s="115">
        <v>2959.55</v>
      </c>
      <c r="G2520">
        <v>5285</v>
      </c>
      <c r="H2520" s="115"/>
      <c r="I2520" s="115"/>
      <c r="L2520" s="160">
        <v>45712</v>
      </c>
      <c r="M2520" s="115">
        <v>1327.1</v>
      </c>
      <c r="N2520" s="115">
        <v>1348</v>
      </c>
      <c r="O2520" s="115">
        <v>1302.55</v>
      </c>
      <c r="P2520" s="115">
        <v>1340.15</v>
      </c>
      <c r="Q2520" s="115">
        <v>1327.1</v>
      </c>
      <c r="R2520">
        <v>39648</v>
      </c>
    </row>
    <row r="2521" spans="1:18" x14ac:dyDescent="0.25">
      <c r="A2521" s="160">
        <v>45740</v>
      </c>
      <c r="B2521" s="115">
        <v>3280.05</v>
      </c>
      <c r="C2521" s="115">
        <v>3052.85</v>
      </c>
      <c r="D2521" s="115">
        <v>2979</v>
      </c>
      <c r="E2521" s="115">
        <v>2979</v>
      </c>
      <c r="F2521" s="115">
        <v>3052.85</v>
      </c>
      <c r="G2521">
        <v>15587</v>
      </c>
      <c r="H2521" s="115"/>
      <c r="I2521" s="115"/>
      <c r="L2521" s="160">
        <v>45713</v>
      </c>
      <c r="M2521" s="115">
        <v>1334.15</v>
      </c>
      <c r="N2521" s="115">
        <v>1355</v>
      </c>
      <c r="O2521" s="115">
        <v>1312</v>
      </c>
      <c r="P2521" s="115">
        <v>1312.05</v>
      </c>
      <c r="Q2521" s="115">
        <v>1334.15</v>
      </c>
      <c r="R2521">
        <v>13953</v>
      </c>
    </row>
    <row r="2522" spans="1:18" x14ac:dyDescent="0.25">
      <c r="A2522" s="160">
        <v>45741</v>
      </c>
      <c r="B2522" s="115">
        <v>3233</v>
      </c>
      <c r="C2522" s="115">
        <v>3202.95</v>
      </c>
      <c r="D2522" s="115">
        <v>3080</v>
      </c>
      <c r="E2522" s="115">
        <v>3100</v>
      </c>
      <c r="F2522" s="115">
        <v>3202.95</v>
      </c>
      <c r="G2522">
        <v>6609</v>
      </c>
      <c r="H2522" s="115"/>
      <c r="I2522" s="115"/>
      <c r="L2522" s="160">
        <v>45715</v>
      </c>
      <c r="M2522" s="115">
        <v>1291.05</v>
      </c>
      <c r="N2522" s="115">
        <v>1337.2</v>
      </c>
      <c r="O2522" s="115">
        <v>1285</v>
      </c>
      <c r="P2522" s="115">
        <v>1334.15</v>
      </c>
      <c r="Q2522" s="115">
        <v>1291.05</v>
      </c>
      <c r="R2522">
        <v>13480</v>
      </c>
    </row>
    <row r="2523" spans="1:18" x14ac:dyDescent="0.25">
      <c r="A2523" s="160">
        <v>45742</v>
      </c>
      <c r="B2523" s="115">
        <v>3268.9</v>
      </c>
      <c r="C2523" s="115">
        <v>3039.05</v>
      </c>
      <c r="D2523" s="115">
        <v>3020.2</v>
      </c>
      <c r="E2523" s="115">
        <v>3259.85</v>
      </c>
      <c r="F2523" s="115">
        <v>3039.05</v>
      </c>
      <c r="G2523">
        <v>5960</v>
      </c>
      <c r="H2523" s="115"/>
      <c r="I2523" s="115"/>
      <c r="L2523" s="160">
        <v>45716</v>
      </c>
      <c r="M2523" s="115">
        <v>1271.45</v>
      </c>
      <c r="N2523" s="115">
        <v>1307.5</v>
      </c>
      <c r="O2523" s="115">
        <v>1210.5</v>
      </c>
      <c r="P2523" s="115">
        <v>1294.05</v>
      </c>
      <c r="Q2523" s="115">
        <v>1271.45</v>
      </c>
      <c r="R2523">
        <v>46169</v>
      </c>
    </row>
    <row r="2524" spans="1:18" x14ac:dyDescent="0.25">
      <c r="A2524" s="160">
        <v>45743</v>
      </c>
      <c r="B2524" s="115">
        <v>3100</v>
      </c>
      <c r="C2524" s="115">
        <v>2919.2</v>
      </c>
      <c r="D2524" s="115">
        <v>2859.95</v>
      </c>
      <c r="E2524" s="115">
        <v>3100</v>
      </c>
      <c r="F2524" s="115">
        <v>2919.2</v>
      </c>
      <c r="G2524">
        <v>6518</v>
      </c>
      <c r="H2524" s="115"/>
      <c r="I2524" s="115"/>
      <c r="L2524" s="160">
        <v>45719</v>
      </c>
      <c r="M2524" s="115">
        <v>1190.8</v>
      </c>
      <c r="N2524" s="115">
        <v>1290.45</v>
      </c>
      <c r="O2524" s="115">
        <v>1185</v>
      </c>
      <c r="P2524" s="115">
        <v>1274.8499999999999</v>
      </c>
      <c r="Q2524" s="115">
        <v>1190.8</v>
      </c>
      <c r="R2524">
        <v>43941</v>
      </c>
    </row>
    <row r="2525" spans="1:18" x14ac:dyDescent="0.25">
      <c r="A2525" s="160">
        <v>45744</v>
      </c>
      <c r="B2525" s="115">
        <v>3088.8</v>
      </c>
      <c r="C2525" s="115">
        <v>2876</v>
      </c>
      <c r="D2525" s="115">
        <v>2852.1</v>
      </c>
      <c r="E2525" s="115">
        <v>2997.45</v>
      </c>
      <c r="F2525" s="115">
        <v>2876</v>
      </c>
      <c r="G2525">
        <v>5436</v>
      </c>
      <c r="H2525" s="115"/>
      <c r="I2525" s="115"/>
      <c r="L2525" s="160">
        <v>45720</v>
      </c>
      <c r="M2525" s="115">
        <v>1186.8</v>
      </c>
      <c r="N2525" s="115">
        <v>1236.3499999999999</v>
      </c>
      <c r="O2525" s="115">
        <v>1168.05</v>
      </c>
      <c r="P2525" s="115">
        <v>1168.05</v>
      </c>
      <c r="Q2525" s="115">
        <v>1186.8</v>
      </c>
      <c r="R2525">
        <v>36856</v>
      </c>
    </row>
    <row r="2526" spans="1:18" x14ac:dyDescent="0.25">
      <c r="A2526" s="160">
        <v>45748</v>
      </c>
      <c r="B2526" s="115">
        <v>2997</v>
      </c>
      <c r="C2526" s="115">
        <v>2962.05</v>
      </c>
      <c r="D2526" s="115">
        <v>2850.05</v>
      </c>
      <c r="E2526" s="115">
        <v>2997</v>
      </c>
      <c r="F2526" s="115">
        <v>2962.05</v>
      </c>
      <c r="G2526">
        <v>1790</v>
      </c>
      <c r="H2526" s="115"/>
      <c r="I2526" s="115"/>
      <c r="L2526" s="160">
        <v>45721</v>
      </c>
      <c r="M2526" s="115">
        <v>1192.6500000000001</v>
      </c>
      <c r="N2526" s="115">
        <v>1230.25</v>
      </c>
      <c r="O2526" s="115">
        <v>1177.45</v>
      </c>
      <c r="P2526" s="115">
        <v>1186.8</v>
      </c>
      <c r="Q2526" s="115">
        <v>1192.6500000000001</v>
      </c>
      <c r="R2526">
        <v>59593</v>
      </c>
    </row>
    <row r="2527" spans="1:18" x14ac:dyDescent="0.25">
      <c r="A2527" s="160">
        <v>45749</v>
      </c>
      <c r="B2527" s="115">
        <v>3024.85</v>
      </c>
      <c r="C2527" s="115">
        <v>3003.8</v>
      </c>
      <c r="D2527" s="115">
        <v>2925.05</v>
      </c>
      <c r="E2527" s="115">
        <v>2962.05</v>
      </c>
      <c r="F2527" s="115">
        <v>3003.8</v>
      </c>
      <c r="G2527">
        <v>1533</v>
      </c>
      <c r="H2527" s="115"/>
      <c r="I2527" s="115"/>
      <c r="L2527" s="160">
        <v>45722</v>
      </c>
      <c r="M2527" s="115">
        <v>1183.45</v>
      </c>
      <c r="N2527" s="115">
        <v>1225.75</v>
      </c>
      <c r="O2527" s="115">
        <v>1176</v>
      </c>
      <c r="P2527" s="115">
        <v>1195</v>
      </c>
      <c r="Q2527" s="115">
        <v>1183.45</v>
      </c>
      <c r="R2527">
        <v>50025</v>
      </c>
    </row>
    <row r="2528" spans="1:18" x14ac:dyDescent="0.25">
      <c r="A2528" s="160">
        <v>45750</v>
      </c>
      <c r="B2528" s="115">
        <v>3110.05</v>
      </c>
      <c r="C2528" s="115">
        <v>3045.55</v>
      </c>
      <c r="D2528" s="115">
        <v>2949.95</v>
      </c>
      <c r="E2528" s="115">
        <v>2950</v>
      </c>
      <c r="F2528" s="115">
        <v>3045.55</v>
      </c>
      <c r="G2528">
        <v>1606</v>
      </c>
      <c r="H2528" s="115"/>
      <c r="I2528" s="115"/>
      <c r="L2528" s="160">
        <v>45723</v>
      </c>
      <c r="M2528" s="115">
        <v>1156.8499999999999</v>
      </c>
      <c r="N2528" s="115">
        <v>1205</v>
      </c>
      <c r="O2528" s="115">
        <v>1151</v>
      </c>
      <c r="P2528" s="115">
        <v>1189.4000000000001</v>
      </c>
      <c r="Q2528" s="115">
        <v>1156.8499999999999</v>
      </c>
      <c r="R2528">
        <v>64574</v>
      </c>
    </row>
    <row r="2529" spans="1:18" x14ac:dyDescent="0.25">
      <c r="A2529" s="160">
        <v>45751</v>
      </c>
      <c r="B2529" s="115">
        <v>3099.9</v>
      </c>
      <c r="C2529" s="115">
        <v>2907.7</v>
      </c>
      <c r="D2529" s="115">
        <v>2850.1</v>
      </c>
      <c r="E2529" s="115">
        <v>3099.9</v>
      </c>
      <c r="F2529" s="115">
        <v>2907.7</v>
      </c>
      <c r="G2529">
        <v>2973</v>
      </c>
      <c r="H2529" s="115"/>
      <c r="I2529" s="115"/>
      <c r="L2529" s="160">
        <v>45726</v>
      </c>
      <c r="M2529" s="115">
        <v>1121.7</v>
      </c>
      <c r="N2529" s="115">
        <v>1184.9000000000001</v>
      </c>
      <c r="O2529" s="115">
        <v>1106.95</v>
      </c>
      <c r="P2529" s="115">
        <v>1156.95</v>
      </c>
      <c r="Q2529" s="115">
        <v>1121.7</v>
      </c>
      <c r="R2529">
        <v>56976</v>
      </c>
    </row>
    <row r="2530" spans="1:18" x14ac:dyDescent="0.25">
      <c r="A2530" s="160">
        <v>45754</v>
      </c>
      <c r="B2530" s="115">
        <v>2845</v>
      </c>
      <c r="C2530" s="115">
        <v>2677.6</v>
      </c>
      <c r="D2530" s="115">
        <v>2645</v>
      </c>
      <c r="E2530" s="115">
        <v>2845</v>
      </c>
      <c r="F2530" s="115">
        <v>2677.6</v>
      </c>
      <c r="G2530">
        <v>4938</v>
      </c>
      <c r="H2530" s="115"/>
      <c r="I2530" s="115"/>
      <c r="L2530" s="160">
        <v>45727</v>
      </c>
      <c r="M2530" s="115">
        <v>1176.55</v>
      </c>
      <c r="N2530" s="115">
        <v>1197.9000000000001</v>
      </c>
      <c r="O2530" s="115">
        <v>1092.05</v>
      </c>
      <c r="P2530" s="115">
        <v>1119.5</v>
      </c>
      <c r="Q2530" s="115">
        <v>1176.55</v>
      </c>
      <c r="R2530">
        <v>103261</v>
      </c>
    </row>
    <row r="2531" spans="1:18" x14ac:dyDescent="0.25">
      <c r="A2531" s="160">
        <v>45755</v>
      </c>
      <c r="B2531" s="115">
        <v>2823.75</v>
      </c>
      <c r="C2531" s="115">
        <v>2798.35</v>
      </c>
      <c r="D2531" s="115">
        <v>2731.1</v>
      </c>
      <c r="E2531" s="115">
        <v>2768</v>
      </c>
      <c r="F2531" s="115">
        <v>2798.35</v>
      </c>
      <c r="G2531">
        <v>1391</v>
      </c>
      <c r="H2531" s="115"/>
      <c r="I2531" s="115"/>
      <c r="L2531" s="160">
        <v>45728</v>
      </c>
      <c r="M2531" s="115">
        <v>1156.05</v>
      </c>
      <c r="N2531" s="115">
        <v>1199</v>
      </c>
      <c r="O2531" s="115">
        <v>1151.3</v>
      </c>
      <c r="P2531" s="115">
        <v>1182.45</v>
      </c>
      <c r="Q2531" s="115">
        <v>1156.05</v>
      </c>
      <c r="R2531">
        <v>29009</v>
      </c>
    </row>
    <row r="2532" spans="1:18" x14ac:dyDescent="0.25">
      <c r="A2532" s="160">
        <v>45756</v>
      </c>
      <c r="B2532" s="115">
        <v>2844</v>
      </c>
      <c r="C2532" s="115">
        <v>2822.85</v>
      </c>
      <c r="D2532" s="115">
        <v>2740</v>
      </c>
      <c r="E2532" s="115">
        <v>2810</v>
      </c>
      <c r="F2532" s="115">
        <v>2822.85</v>
      </c>
      <c r="G2532">
        <v>649</v>
      </c>
      <c r="H2532" s="115"/>
      <c r="I2532" s="115"/>
      <c r="L2532" s="160">
        <v>45729</v>
      </c>
      <c r="M2532" s="115">
        <v>1114.25</v>
      </c>
      <c r="N2532" s="115">
        <v>1167.05</v>
      </c>
      <c r="O2532" s="115">
        <v>1102.2</v>
      </c>
      <c r="P2532" s="115">
        <v>1143.05</v>
      </c>
      <c r="Q2532" s="115">
        <v>1114.25</v>
      </c>
      <c r="R2532">
        <v>60810</v>
      </c>
    </row>
    <row r="2533" spans="1:18" x14ac:dyDescent="0.25">
      <c r="A2533" s="160">
        <v>45758</v>
      </c>
      <c r="B2533" s="115">
        <v>2949.9</v>
      </c>
      <c r="C2533" s="115">
        <v>2893.55</v>
      </c>
      <c r="D2533" s="115">
        <v>2849.95</v>
      </c>
      <c r="E2533" s="115">
        <v>2900</v>
      </c>
      <c r="F2533" s="115">
        <v>2893.55</v>
      </c>
      <c r="G2533">
        <v>1242</v>
      </c>
      <c r="H2533" s="115"/>
      <c r="I2533" s="115"/>
      <c r="L2533" s="160">
        <v>45733</v>
      </c>
      <c r="M2533" s="115">
        <v>1198.4000000000001</v>
      </c>
      <c r="N2533" s="115">
        <v>1216</v>
      </c>
      <c r="O2533" s="115">
        <v>1114.25</v>
      </c>
      <c r="P2533" s="115">
        <v>1114.25</v>
      </c>
      <c r="Q2533" s="115">
        <v>1198.4000000000001</v>
      </c>
      <c r="R2533">
        <v>97093</v>
      </c>
    </row>
    <row r="2534" spans="1:18" x14ac:dyDescent="0.25">
      <c r="A2534" s="160">
        <v>45762</v>
      </c>
      <c r="B2534" s="115">
        <v>2988.9</v>
      </c>
      <c r="C2534" s="115">
        <v>2949.75</v>
      </c>
      <c r="D2534" s="115">
        <v>2902</v>
      </c>
      <c r="E2534" s="115">
        <v>2902</v>
      </c>
      <c r="F2534" s="115">
        <v>2949.75</v>
      </c>
      <c r="G2534">
        <v>1850</v>
      </c>
      <c r="H2534" s="115"/>
      <c r="I2534" s="115"/>
      <c r="L2534" s="160">
        <v>45734</v>
      </c>
      <c r="M2534" s="115">
        <v>1233.9000000000001</v>
      </c>
      <c r="N2534" s="115">
        <v>1265</v>
      </c>
      <c r="O2534" s="115">
        <v>1185.25</v>
      </c>
      <c r="P2534" s="115">
        <v>1200</v>
      </c>
      <c r="Q2534" s="115">
        <v>1233.9000000000001</v>
      </c>
      <c r="R2534">
        <v>80297</v>
      </c>
    </row>
    <row r="2535" spans="1:18" x14ac:dyDescent="0.25">
      <c r="A2535" s="160">
        <v>45763</v>
      </c>
      <c r="B2535" s="115">
        <v>2995</v>
      </c>
      <c r="C2535" s="115">
        <v>2971.5</v>
      </c>
      <c r="D2535" s="115">
        <v>2916</v>
      </c>
      <c r="E2535" s="115">
        <v>2937</v>
      </c>
      <c r="F2535" s="115">
        <v>2971.5</v>
      </c>
      <c r="G2535">
        <v>600</v>
      </c>
      <c r="H2535" s="115"/>
      <c r="I2535" s="115"/>
      <c r="L2535" s="160">
        <v>45735</v>
      </c>
      <c r="M2535" s="115">
        <v>1276.5</v>
      </c>
      <c r="N2535" s="115">
        <v>1290</v>
      </c>
      <c r="O2535" s="115">
        <v>1235.05</v>
      </c>
      <c r="P2535" s="115">
        <v>1235.05</v>
      </c>
      <c r="Q2535" s="115">
        <v>1276.5</v>
      </c>
      <c r="R2535">
        <v>55012</v>
      </c>
    </row>
    <row r="2536" spans="1:18" x14ac:dyDescent="0.25">
      <c r="A2536" s="160">
        <v>45764</v>
      </c>
      <c r="B2536" s="115">
        <v>3008.05</v>
      </c>
      <c r="C2536" s="115">
        <v>2991.8</v>
      </c>
      <c r="D2536" s="115">
        <v>2905</v>
      </c>
      <c r="E2536" s="115">
        <v>2917.05</v>
      </c>
      <c r="F2536" s="115">
        <v>2991.8</v>
      </c>
      <c r="G2536">
        <v>1141</v>
      </c>
      <c r="H2536" s="115"/>
      <c r="I2536" s="115"/>
      <c r="L2536" s="160">
        <v>45736</v>
      </c>
      <c r="M2536" s="115">
        <v>1275.05</v>
      </c>
      <c r="N2536" s="115">
        <v>1317.1</v>
      </c>
      <c r="O2536" s="115">
        <v>1270.05</v>
      </c>
      <c r="P2536" s="115">
        <v>1276</v>
      </c>
      <c r="Q2536" s="115">
        <v>1275.05</v>
      </c>
      <c r="R2536">
        <v>64050</v>
      </c>
    </row>
    <row r="2537" spans="1:18" x14ac:dyDescent="0.25">
      <c r="A2537" s="160">
        <v>45768</v>
      </c>
      <c r="B2537" s="115">
        <v>3059.65</v>
      </c>
      <c r="C2537" s="115">
        <v>3016.4</v>
      </c>
      <c r="D2537" s="115">
        <v>2942</v>
      </c>
      <c r="E2537" s="115">
        <v>2995.05</v>
      </c>
      <c r="F2537" s="115">
        <v>3016.4</v>
      </c>
      <c r="G2537">
        <v>2687</v>
      </c>
      <c r="H2537" s="115"/>
      <c r="I2537" s="115"/>
      <c r="L2537" s="160">
        <v>45737</v>
      </c>
      <c r="M2537" s="115">
        <v>1263.5999999999999</v>
      </c>
      <c r="N2537" s="115">
        <v>1294.8</v>
      </c>
      <c r="O2537" s="115">
        <v>1244</v>
      </c>
      <c r="P2537" s="115">
        <v>1285.3499999999999</v>
      </c>
      <c r="Q2537" s="115">
        <v>1263.5999999999999</v>
      </c>
      <c r="R2537">
        <v>153601</v>
      </c>
    </row>
    <row r="2538" spans="1:18" x14ac:dyDescent="0.25">
      <c r="A2538" s="160">
        <v>45769</v>
      </c>
      <c r="B2538" s="115">
        <v>3090</v>
      </c>
      <c r="C2538" s="115">
        <v>2963.5</v>
      </c>
      <c r="D2538" s="115">
        <v>2951</v>
      </c>
      <c r="E2538" s="115">
        <v>3090</v>
      </c>
      <c r="F2538" s="115">
        <v>2963.5</v>
      </c>
      <c r="G2538">
        <v>1503</v>
      </c>
      <c r="H2538" s="115"/>
      <c r="I2538" s="115"/>
      <c r="L2538" s="160">
        <v>45740</v>
      </c>
      <c r="M2538" s="115">
        <v>1319.75</v>
      </c>
      <c r="N2538" s="115">
        <v>1397.9</v>
      </c>
      <c r="O2538" s="115">
        <v>1300</v>
      </c>
      <c r="P2538" s="115">
        <v>1349.9</v>
      </c>
      <c r="Q2538" s="115">
        <v>1319.75</v>
      </c>
      <c r="R2538">
        <v>389097</v>
      </c>
    </row>
    <row r="2539" spans="1:18" x14ac:dyDescent="0.25">
      <c r="A2539" s="160">
        <v>45770</v>
      </c>
      <c r="B2539" s="115">
        <v>3009.7</v>
      </c>
      <c r="C2539" s="115">
        <v>2937</v>
      </c>
      <c r="D2539" s="115">
        <v>2905.05</v>
      </c>
      <c r="E2539" s="115">
        <v>3009.65</v>
      </c>
      <c r="F2539" s="115">
        <v>2937</v>
      </c>
      <c r="G2539">
        <v>1388</v>
      </c>
      <c r="H2539" s="115"/>
      <c r="I2539" s="115"/>
      <c r="L2539" s="160">
        <v>45741</v>
      </c>
      <c r="M2539" s="115">
        <v>1327.8</v>
      </c>
      <c r="N2539" s="115">
        <v>1380.2</v>
      </c>
      <c r="O2539" s="115">
        <v>1317.05</v>
      </c>
      <c r="P2539" s="115">
        <v>1340</v>
      </c>
      <c r="Q2539" s="115">
        <v>1327.8</v>
      </c>
      <c r="R2539">
        <v>119153</v>
      </c>
    </row>
    <row r="2540" spans="1:18" x14ac:dyDescent="0.25">
      <c r="A2540" s="160">
        <v>45771</v>
      </c>
      <c r="B2540" s="115">
        <v>2968.95</v>
      </c>
      <c r="C2540" s="115">
        <v>2890.6</v>
      </c>
      <c r="D2540" s="115">
        <v>2851</v>
      </c>
      <c r="E2540" s="115">
        <v>2950.05</v>
      </c>
      <c r="F2540" s="115">
        <v>2890.6</v>
      </c>
      <c r="G2540">
        <v>2396</v>
      </c>
      <c r="H2540" s="115"/>
      <c r="I2540" s="115"/>
      <c r="L2540" s="160">
        <v>45742</v>
      </c>
      <c r="M2540" s="115">
        <v>1312.9</v>
      </c>
      <c r="N2540" s="115">
        <v>1347.3</v>
      </c>
      <c r="O2540" s="115">
        <v>1306.5999999999999</v>
      </c>
      <c r="P2540" s="115">
        <v>1330</v>
      </c>
      <c r="Q2540" s="115">
        <v>1312.9</v>
      </c>
      <c r="R2540">
        <v>51328</v>
      </c>
    </row>
    <row r="2541" spans="1:18" x14ac:dyDescent="0.25">
      <c r="A2541" s="160">
        <v>45772</v>
      </c>
      <c r="B2541" s="115">
        <v>2948.45</v>
      </c>
      <c r="C2541" s="115">
        <v>2801.15</v>
      </c>
      <c r="D2541" s="115">
        <v>2764.95</v>
      </c>
      <c r="E2541" s="115">
        <v>2948.45</v>
      </c>
      <c r="F2541" s="115">
        <v>2801.15</v>
      </c>
      <c r="G2541">
        <v>1938</v>
      </c>
      <c r="H2541" s="115"/>
      <c r="I2541" s="115"/>
      <c r="L2541" s="160">
        <v>45743</v>
      </c>
      <c r="M2541" s="115">
        <v>1293.75</v>
      </c>
      <c r="N2541" s="115">
        <v>1322.9</v>
      </c>
      <c r="O2541" s="115">
        <v>1281.05</v>
      </c>
      <c r="P2541" s="115">
        <v>1310</v>
      </c>
      <c r="Q2541" s="115">
        <v>1293.75</v>
      </c>
      <c r="R2541">
        <v>189171</v>
      </c>
    </row>
    <row r="2542" spans="1:18" x14ac:dyDescent="0.25">
      <c r="A2542" s="160">
        <v>45775</v>
      </c>
      <c r="B2542" s="115">
        <v>2905</v>
      </c>
      <c r="C2542" s="115">
        <v>2878.6</v>
      </c>
      <c r="D2542" s="115">
        <v>2725.1</v>
      </c>
      <c r="E2542" s="115">
        <v>2725.1</v>
      </c>
      <c r="F2542" s="115">
        <v>2878.6</v>
      </c>
      <c r="G2542">
        <v>1621</v>
      </c>
      <c r="H2542" s="115"/>
      <c r="I2542" s="115"/>
      <c r="L2542" s="160">
        <v>45744</v>
      </c>
      <c r="M2542" s="115">
        <v>1293.8499999999999</v>
      </c>
      <c r="N2542" s="115">
        <v>1321</v>
      </c>
      <c r="O2542" s="115">
        <v>1261</v>
      </c>
      <c r="P2542" s="115">
        <v>1290.05</v>
      </c>
      <c r="Q2542" s="115">
        <v>1293.8499999999999</v>
      </c>
      <c r="R2542">
        <v>142853</v>
      </c>
    </row>
    <row r="2543" spans="1:18" x14ac:dyDescent="0.25">
      <c r="A2543" s="160">
        <v>45776</v>
      </c>
      <c r="B2543" s="115">
        <v>2904.95</v>
      </c>
      <c r="C2543" s="115">
        <v>2863.1</v>
      </c>
      <c r="D2543" s="115">
        <v>2806.5</v>
      </c>
      <c r="E2543" s="115">
        <v>2900</v>
      </c>
      <c r="F2543" s="115">
        <v>2863.1</v>
      </c>
      <c r="G2543">
        <v>692</v>
      </c>
      <c r="H2543" s="115"/>
      <c r="I2543" s="115"/>
      <c r="L2543" s="160">
        <v>45748</v>
      </c>
      <c r="M2543" s="115">
        <v>1252.1500000000001</v>
      </c>
      <c r="N2543" s="115">
        <v>1290.2</v>
      </c>
      <c r="O2543" s="115">
        <v>1241.3499999999999</v>
      </c>
      <c r="P2543" s="115">
        <v>1290.05</v>
      </c>
      <c r="Q2543" s="115">
        <v>1252.1500000000001</v>
      </c>
      <c r="R2543">
        <v>76162</v>
      </c>
    </row>
    <row r="2544" spans="1:18" x14ac:dyDescent="0.25">
      <c r="A2544" s="160">
        <v>45777</v>
      </c>
      <c r="B2544" s="115">
        <v>2969.95</v>
      </c>
      <c r="C2544" s="115">
        <v>2837.8</v>
      </c>
      <c r="D2544" s="115">
        <v>2810</v>
      </c>
      <c r="E2544" s="115">
        <v>2875</v>
      </c>
      <c r="F2544" s="115">
        <v>2837.8</v>
      </c>
      <c r="G2544">
        <v>712</v>
      </c>
      <c r="H2544" s="115"/>
      <c r="I2544" s="115"/>
      <c r="L2544" s="160">
        <v>45749</v>
      </c>
      <c r="M2544" s="115">
        <v>1331.95</v>
      </c>
      <c r="N2544" s="115">
        <v>1354.8</v>
      </c>
      <c r="O2544" s="115">
        <v>1235.5999999999999</v>
      </c>
      <c r="P2544" s="115">
        <v>1260</v>
      </c>
      <c r="Q2544" s="115">
        <v>1331.95</v>
      </c>
      <c r="R2544">
        <v>101048</v>
      </c>
    </row>
    <row r="2545" spans="1:18" x14ac:dyDescent="0.25">
      <c r="A2545" s="160">
        <v>45779</v>
      </c>
      <c r="B2545" s="115">
        <v>2897.85</v>
      </c>
      <c r="C2545" s="115">
        <v>2812.7</v>
      </c>
      <c r="D2545" s="115">
        <v>2802</v>
      </c>
      <c r="E2545" s="115">
        <v>2850</v>
      </c>
      <c r="F2545" s="115">
        <v>2812.7</v>
      </c>
      <c r="G2545">
        <v>845</v>
      </c>
      <c r="H2545" s="115"/>
      <c r="I2545" s="115"/>
      <c r="L2545" s="160">
        <v>45750</v>
      </c>
      <c r="M2545" s="115">
        <v>1319.4</v>
      </c>
      <c r="N2545" s="115">
        <v>1336.95</v>
      </c>
      <c r="O2545" s="115">
        <v>1300.4000000000001</v>
      </c>
      <c r="P2545" s="115">
        <v>1300.4000000000001</v>
      </c>
      <c r="Q2545" s="115">
        <v>1319.4</v>
      </c>
      <c r="R2545">
        <v>32816</v>
      </c>
    </row>
    <row r="2546" spans="1:18" x14ac:dyDescent="0.25">
      <c r="A2546" s="160">
        <v>45782</v>
      </c>
      <c r="B2546" s="115">
        <v>2919.95</v>
      </c>
      <c r="C2546" s="115">
        <v>2866.85</v>
      </c>
      <c r="D2546" s="115">
        <v>2813</v>
      </c>
      <c r="E2546" s="115">
        <v>2813.05</v>
      </c>
      <c r="F2546" s="115">
        <v>2866.85</v>
      </c>
      <c r="G2546">
        <v>986</v>
      </c>
      <c r="H2546" s="115"/>
      <c r="I2546" s="115"/>
      <c r="L2546" s="160">
        <v>45751</v>
      </c>
      <c r="M2546" s="115">
        <v>1269.9000000000001</v>
      </c>
      <c r="N2546" s="115">
        <v>1319.4</v>
      </c>
      <c r="O2546" s="115">
        <v>1261.05</v>
      </c>
      <c r="P2546" s="115">
        <v>1319.4</v>
      </c>
      <c r="Q2546" s="115">
        <v>1269.9000000000001</v>
      </c>
      <c r="R2546">
        <v>38496</v>
      </c>
    </row>
    <row r="2547" spans="1:18" x14ac:dyDescent="0.25">
      <c r="A2547" s="160">
        <v>45783</v>
      </c>
      <c r="B2547" s="115">
        <v>2899.95</v>
      </c>
      <c r="C2547" s="115">
        <v>2753.2</v>
      </c>
      <c r="D2547" s="115">
        <v>2721.05</v>
      </c>
      <c r="E2547" s="115">
        <v>2899.95</v>
      </c>
      <c r="F2547" s="115">
        <v>2753.2</v>
      </c>
      <c r="G2547">
        <v>1466</v>
      </c>
      <c r="H2547" s="115"/>
      <c r="I2547" s="115"/>
      <c r="L2547" s="160">
        <v>45754</v>
      </c>
      <c r="M2547" s="115">
        <v>1233.2</v>
      </c>
      <c r="N2547" s="115">
        <v>1251</v>
      </c>
      <c r="O2547" s="115">
        <v>1132.3499999999999</v>
      </c>
      <c r="P2547" s="115">
        <v>1166</v>
      </c>
      <c r="Q2547" s="115">
        <v>1233.2</v>
      </c>
      <c r="R2547">
        <v>65466</v>
      </c>
    </row>
    <row r="2548" spans="1:18" x14ac:dyDescent="0.25">
      <c r="A2548" s="160">
        <v>45784</v>
      </c>
      <c r="B2548" s="115">
        <v>2814.9</v>
      </c>
      <c r="C2548" s="115">
        <v>2699.8</v>
      </c>
      <c r="D2548" s="115">
        <v>2676.2</v>
      </c>
      <c r="E2548" s="115">
        <v>2746.55</v>
      </c>
      <c r="F2548" s="115">
        <v>2699.8</v>
      </c>
      <c r="G2548">
        <v>1908</v>
      </c>
      <c r="H2548" s="115"/>
      <c r="I2548" s="115"/>
      <c r="L2548" s="160">
        <v>45755</v>
      </c>
      <c r="M2548" s="115">
        <v>1289.55</v>
      </c>
      <c r="N2548" s="115">
        <v>1293.5999999999999</v>
      </c>
      <c r="O2548" s="115">
        <v>1245</v>
      </c>
      <c r="P2548" s="115">
        <v>1275</v>
      </c>
      <c r="Q2548" s="115">
        <v>1289.55</v>
      </c>
      <c r="R2548">
        <v>29860</v>
      </c>
    </row>
    <row r="2549" spans="1:18" x14ac:dyDescent="0.25">
      <c r="A2549" s="160">
        <v>45785</v>
      </c>
      <c r="B2549" s="115">
        <v>2783.9</v>
      </c>
      <c r="C2549" s="115">
        <v>2647.4</v>
      </c>
      <c r="D2549" s="115">
        <v>2630</v>
      </c>
      <c r="E2549" s="115">
        <v>2749.95</v>
      </c>
      <c r="F2549" s="115">
        <v>2647.4</v>
      </c>
      <c r="G2549">
        <v>1678</v>
      </c>
      <c r="H2549" s="115"/>
      <c r="I2549" s="115"/>
      <c r="L2549" s="160">
        <v>45756</v>
      </c>
      <c r="M2549" s="115">
        <v>1287.75</v>
      </c>
      <c r="N2549" s="115">
        <v>1294.95</v>
      </c>
      <c r="O2549" s="115">
        <v>1257.05</v>
      </c>
      <c r="P2549" s="115">
        <v>1289.55</v>
      </c>
      <c r="Q2549" s="115">
        <v>1287.75</v>
      </c>
      <c r="R2549">
        <v>38465</v>
      </c>
    </row>
    <row r="2550" spans="1:18" x14ac:dyDescent="0.25">
      <c r="A2550" s="160">
        <v>45786</v>
      </c>
      <c r="B2550" s="115">
        <v>2698.85</v>
      </c>
      <c r="C2550" s="115">
        <v>2623.9</v>
      </c>
      <c r="D2550" s="115">
        <v>2619.9</v>
      </c>
      <c r="E2550" s="115">
        <v>2630</v>
      </c>
      <c r="F2550" s="115">
        <v>2623.9</v>
      </c>
      <c r="G2550">
        <v>1745</v>
      </c>
      <c r="H2550" s="115"/>
      <c r="I2550" s="115"/>
      <c r="L2550" s="160">
        <v>45758</v>
      </c>
      <c r="M2550" s="115">
        <v>1322.9</v>
      </c>
      <c r="N2550" s="115">
        <v>1347.75</v>
      </c>
      <c r="O2550" s="115">
        <v>1292.3</v>
      </c>
      <c r="P2550" s="115">
        <v>1292.3</v>
      </c>
      <c r="Q2550" s="115">
        <v>1322.9</v>
      </c>
      <c r="R2550">
        <v>64839</v>
      </c>
    </row>
    <row r="2551" spans="1:18" x14ac:dyDescent="0.25">
      <c r="A2551" s="160">
        <v>45789</v>
      </c>
      <c r="B2551" s="115">
        <v>2820</v>
      </c>
      <c r="C2551" s="115">
        <v>2794.15</v>
      </c>
      <c r="D2551" s="115">
        <v>2752.05</v>
      </c>
      <c r="E2551" s="115">
        <v>2799.9</v>
      </c>
      <c r="F2551" s="115">
        <v>2794.15</v>
      </c>
      <c r="G2551">
        <v>1104</v>
      </c>
      <c r="H2551" s="115"/>
      <c r="I2551" s="115"/>
      <c r="L2551" s="160">
        <v>45762</v>
      </c>
      <c r="M2551" s="115">
        <v>1300.8</v>
      </c>
      <c r="N2551" s="115">
        <v>1344.8</v>
      </c>
      <c r="O2551" s="115">
        <v>1296</v>
      </c>
      <c r="P2551" s="115">
        <v>1342.7</v>
      </c>
      <c r="Q2551" s="115">
        <v>1300.8</v>
      </c>
      <c r="R2551">
        <v>79745</v>
      </c>
    </row>
    <row r="2552" spans="1:18" x14ac:dyDescent="0.25">
      <c r="A2552" s="160">
        <v>45790</v>
      </c>
      <c r="B2552" s="115">
        <v>2918</v>
      </c>
      <c r="C2552" s="115">
        <v>2874</v>
      </c>
      <c r="D2552" s="115">
        <v>2790</v>
      </c>
      <c r="E2552" s="115">
        <v>2796.95</v>
      </c>
      <c r="F2552" s="115">
        <v>2874</v>
      </c>
      <c r="G2552">
        <v>5391</v>
      </c>
      <c r="H2552" s="115"/>
      <c r="I2552" s="115"/>
      <c r="L2552" s="160">
        <v>45763</v>
      </c>
      <c r="M2552" s="115">
        <v>1315.5</v>
      </c>
      <c r="N2552" s="115">
        <v>1348</v>
      </c>
      <c r="O2552" s="115">
        <v>1300</v>
      </c>
      <c r="P2552" s="115">
        <v>1301</v>
      </c>
      <c r="Q2552" s="115">
        <v>1315.5</v>
      </c>
      <c r="R2552">
        <v>87935</v>
      </c>
    </row>
    <row r="2553" spans="1:18" x14ac:dyDescent="0.25">
      <c r="A2553" s="160">
        <v>45791</v>
      </c>
      <c r="B2553" s="115">
        <v>2859.6</v>
      </c>
      <c r="C2553" s="115">
        <v>2817.65</v>
      </c>
      <c r="D2553" s="115">
        <v>2801.25</v>
      </c>
      <c r="E2553" s="115">
        <v>2850</v>
      </c>
      <c r="F2553" s="115">
        <v>2817.65</v>
      </c>
      <c r="G2553">
        <v>2306</v>
      </c>
      <c r="H2553" s="115"/>
      <c r="I2553" s="115"/>
      <c r="L2553" s="160">
        <v>45764</v>
      </c>
      <c r="M2553" s="115">
        <v>1316.4</v>
      </c>
      <c r="N2553" s="115">
        <v>1365.4</v>
      </c>
      <c r="O2553" s="115">
        <v>1298</v>
      </c>
      <c r="P2553" s="115">
        <v>1315.5</v>
      </c>
      <c r="Q2553" s="115">
        <v>1316.4</v>
      </c>
      <c r="R2553">
        <v>124894</v>
      </c>
    </row>
    <row r="2554" spans="1:18" x14ac:dyDescent="0.25">
      <c r="A2554" s="160">
        <v>45792</v>
      </c>
      <c r="B2554" s="115">
        <v>2870</v>
      </c>
      <c r="C2554" s="115">
        <v>2862.25</v>
      </c>
      <c r="D2554" s="115">
        <v>2795.2</v>
      </c>
      <c r="E2554" s="115">
        <v>2817</v>
      </c>
      <c r="F2554" s="115">
        <v>2862.25</v>
      </c>
      <c r="G2554">
        <v>2665</v>
      </c>
      <c r="H2554" s="115"/>
      <c r="I2554" s="115"/>
      <c r="L2554" s="160">
        <v>45768</v>
      </c>
      <c r="M2554" s="115">
        <v>1367.8</v>
      </c>
      <c r="N2554" s="115">
        <v>1373.9</v>
      </c>
      <c r="O2554" s="115">
        <v>1309</v>
      </c>
      <c r="P2554" s="115">
        <v>1316.4</v>
      </c>
      <c r="Q2554" s="115">
        <v>1367.8</v>
      </c>
      <c r="R2554">
        <v>67526</v>
      </c>
    </row>
    <row r="2555" spans="1:18" x14ac:dyDescent="0.25">
      <c r="A2555" s="160">
        <v>45793</v>
      </c>
      <c r="B2555" s="115">
        <v>2889.95</v>
      </c>
      <c r="C2555" s="115">
        <v>2851.2</v>
      </c>
      <c r="D2555" s="115">
        <v>2815</v>
      </c>
      <c r="E2555" s="115">
        <v>2878</v>
      </c>
      <c r="F2555" s="115">
        <v>2851.2</v>
      </c>
      <c r="G2555">
        <v>3187</v>
      </c>
      <c r="H2555" s="115"/>
      <c r="I2555" s="115"/>
      <c r="L2555" s="160">
        <v>45769</v>
      </c>
      <c r="M2555" s="115">
        <v>1375</v>
      </c>
      <c r="N2555" s="115">
        <v>1416</v>
      </c>
      <c r="O2555" s="115">
        <v>1346.6</v>
      </c>
      <c r="P2555" s="115">
        <v>1367.8</v>
      </c>
      <c r="Q2555" s="115">
        <v>1375</v>
      </c>
      <c r="R2555">
        <v>74703</v>
      </c>
    </row>
    <row r="2556" spans="1:18" x14ac:dyDescent="0.25">
      <c r="A2556" s="160">
        <v>45796</v>
      </c>
      <c r="B2556" s="115">
        <v>2899</v>
      </c>
      <c r="C2556" s="115">
        <v>2848.45</v>
      </c>
      <c r="D2556" s="115">
        <v>2826.75</v>
      </c>
      <c r="E2556" s="115">
        <v>2855.05</v>
      </c>
      <c r="F2556" s="115">
        <v>2848.45</v>
      </c>
      <c r="G2556">
        <v>2336</v>
      </c>
      <c r="H2556" s="115"/>
      <c r="I2556" s="115"/>
      <c r="L2556" s="160">
        <v>45770</v>
      </c>
      <c r="M2556" s="115">
        <v>1388.8</v>
      </c>
      <c r="N2556" s="115">
        <v>1410</v>
      </c>
      <c r="O2556" s="115">
        <v>1372.5</v>
      </c>
      <c r="P2556" s="115">
        <v>1377</v>
      </c>
      <c r="Q2556" s="115">
        <v>1388.8</v>
      </c>
      <c r="R2556">
        <v>107870</v>
      </c>
    </row>
    <row r="2557" spans="1:18" x14ac:dyDescent="0.25">
      <c r="A2557" s="160">
        <v>45797</v>
      </c>
      <c r="B2557" s="115">
        <v>2884.8</v>
      </c>
      <c r="C2557" s="115">
        <v>2808.3</v>
      </c>
      <c r="D2557" s="115">
        <v>2803.05</v>
      </c>
      <c r="E2557" s="115">
        <v>2831.15</v>
      </c>
      <c r="F2557" s="115">
        <v>2808.3</v>
      </c>
      <c r="G2557">
        <v>1975</v>
      </c>
      <c r="H2557" s="115"/>
      <c r="I2557" s="115"/>
      <c r="L2557" s="160">
        <v>45771</v>
      </c>
      <c r="M2557" s="115">
        <v>1356.9</v>
      </c>
      <c r="N2557" s="115">
        <v>1395.3</v>
      </c>
      <c r="O2557" s="115">
        <v>1352.3</v>
      </c>
      <c r="P2557" s="115">
        <v>1390</v>
      </c>
      <c r="Q2557" s="115">
        <v>1356.9</v>
      </c>
      <c r="R2557">
        <v>29622</v>
      </c>
    </row>
    <row r="2558" spans="1:18" x14ac:dyDescent="0.25">
      <c r="A2558" s="160">
        <v>45798</v>
      </c>
      <c r="B2558" s="115">
        <v>2866.95</v>
      </c>
      <c r="C2558" s="115">
        <v>2821.9</v>
      </c>
      <c r="D2558" s="115">
        <v>2808.6</v>
      </c>
      <c r="E2558" s="115">
        <v>2818</v>
      </c>
      <c r="F2558" s="115">
        <v>2821.9</v>
      </c>
      <c r="G2558">
        <v>1735</v>
      </c>
      <c r="H2558" s="115"/>
      <c r="I2558" s="115"/>
      <c r="L2558" s="160">
        <v>45772</v>
      </c>
      <c r="M2558" s="115">
        <v>1309.8</v>
      </c>
      <c r="N2558" s="115">
        <v>1378.7</v>
      </c>
      <c r="O2558" s="115">
        <v>1300</v>
      </c>
      <c r="P2558" s="115">
        <v>1356.9</v>
      </c>
      <c r="Q2558" s="115">
        <v>1309.8</v>
      </c>
      <c r="R2558">
        <v>38714</v>
      </c>
    </row>
    <row r="2559" spans="1:18" x14ac:dyDescent="0.25">
      <c r="A2559" s="160">
        <v>45799</v>
      </c>
      <c r="B2559" s="115">
        <v>2837.65</v>
      </c>
      <c r="C2559" s="115">
        <v>2816.2</v>
      </c>
      <c r="D2559" s="115">
        <v>2802</v>
      </c>
      <c r="E2559" s="115">
        <v>2827</v>
      </c>
      <c r="F2559" s="115">
        <v>2816.2</v>
      </c>
      <c r="G2559">
        <v>884</v>
      </c>
      <c r="H2559" s="115"/>
      <c r="I2559" s="115"/>
      <c r="L2559" s="160">
        <v>45775</v>
      </c>
      <c r="M2559" s="115">
        <v>1309.5</v>
      </c>
      <c r="N2559" s="115">
        <v>1325.1</v>
      </c>
      <c r="O2559" s="115">
        <v>1300.0999999999999</v>
      </c>
      <c r="P2559" s="115">
        <v>1307</v>
      </c>
      <c r="Q2559" s="115">
        <v>1309.5</v>
      </c>
      <c r="R2559">
        <v>19875</v>
      </c>
    </row>
    <row r="2560" spans="1:18" x14ac:dyDescent="0.25">
      <c r="A2560" s="160">
        <v>45800</v>
      </c>
      <c r="B2560" s="115">
        <v>2825.05</v>
      </c>
      <c r="C2560" s="115">
        <v>2810.55</v>
      </c>
      <c r="D2560" s="115">
        <v>2800</v>
      </c>
      <c r="E2560" s="115">
        <v>2815</v>
      </c>
      <c r="F2560" s="115">
        <v>2810.55</v>
      </c>
      <c r="G2560">
        <v>1406</v>
      </c>
      <c r="H2560" s="115"/>
      <c r="I2560" s="115"/>
      <c r="L2560" s="160">
        <v>45776</v>
      </c>
      <c r="M2560" s="115">
        <v>1321.6</v>
      </c>
      <c r="N2560" s="115">
        <v>1339.1</v>
      </c>
      <c r="O2560" s="115">
        <v>1309.5</v>
      </c>
      <c r="P2560" s="115">
        <v>1309.5</v>
      </c>
      <c r="Q2560" s="115">
        <v>1321.6</v>
      </c>
      <c r="R2560">
        <v>25158</v>
      </c>
    </row>
    <row r="2561" spans="1:18" x14ac:dyDescent="0.25">
      <c r="A2561" s="160">
        <v>45803</v>
      </c>
      <c r="B2561" s="115">
        <v>2869</v>
      </c>
      <c r="C2561" s="115">
        <v>2838.95</v>
      </c>
      <c r="D2561" s="115">
        <v>2815.05</v>
      </c>
      <c r="E2561" s="115">
        <v>2869</v>
      </c>
      <c r="F2561" s="115">
        <v>2838.95</v>
      </c>
      <c r="G2561">
        <v>2050</v>
      </c>
      <c r="H2561" s="115"/>
      <c r="I2561" s="115"/>
      <c r="L2561" s="160">
        <v>45777</v>
      </c>
      <c r="M2561" s="115">
        <v>1304.3</v>
      </c>
      <c r="N2561" s="115">
        <v>1340.8</v>
      </c>
      <c r="O2561" s="115">
        <v>1300</v>
      </c>
      <c r="P2561" s="115">
        <v>1315</v>
      </c>
      <c r="Q2561" s="115">
        <v>1304.3</v>
      </c>
      <c r="R2561">
        <v>35103</v>
      </c>
    </row>
    <row r="2562" spans="1:18" x14ac:dyDescent="0.25">
      <c r="A2562" s="160">
        <v>45804</v>
      </c>
      <c r="B2562" s="115">
        <v>2845</v>
      </c>
      <c r="C2562" s="115">
        <v>2804.5</v>
      </c>
      <c r="D2562" s="115">
        <v>2800</v>
      </c>
      <c r="E2562" s="115">
        <v>2838</v>
      </c>
      <c r="F2562" s="115">
        <v>2804.5</v>
      </c>
      <c r="G2562">
        <v>3110</v>
      </c>
      <c r="H2562" s="115"/>
      <c r="I2562" s="115"/>
      <c r="L2562" s="160">
        <v>45779</v>
      </c>
      <c r="M2562" s="115">
        <v>1273.9000000000001</v>
      </c>
      <c r="N2562" s="115">
        <v>1313.1</v>
      </c>
      <c r="O2562" s="115">
        <v>1267.4000000000001</v>
      </c>
      <c r="P2562" s="115">
        <v>1300.0999999999999</v>
      </c>
      <c r="Q2562" s="115">
        <v>1273.9000000000001</v>
      </c>
      <c r="R2562">
        <v>38184</v>
      </c>
    </row>
    <row r="2563" spans="1:18" x14ac:dyDescent="0.25">
      <c r="A2563" s="160">
        <v>45805</v>
      </c>
      <c r="B2563" s="115">
        <v>2857.95</v>
      </c>
      <c r="C2563" s="115">
        <v>2765.35</v>
      </c>
      <c r="D2563" s="115">
        <v>2713</v>
      </c>
      <c r="E2563" s="115">
        <v>2838.95</v>
      </c>
      <c r="F2563" s="115">
        <v>2765.35</v>
      </c>
      <c r="G2563">
        <v>3162</v>
      </c>
      <c r="H2563" s="115"/>
      <c r="I2563" s="115"/>
      <c r="L2563" s="160">
        <v>45782</v>
      </c>
      <c r="M2563" s="115">
        <v>1299.5999999999999</v>
      </c>
      <c r="N2563" s="115">
        <v>1307.2</v>
      </c>
      <c r="O2563" s="115">
        <v>1275</v>
      </c>
      <c r="P2563" s="115">
        <v>1280</v>
      </c>
      <c r="Q2563" s="115">
        <v>1299.5999999999999</v>
      </c>
      <c r="R2563">
        <v>16459</v>
      </c>
    </row>
    <row r="2564" spans="1:18" x14ac:dyDescent="0.25">
      <c r="A2564" s="160">
        <v>45806</v>
      </c>
      <c r="B2564" s="115">
        <v>3280</v>
      </c>
      <c r="C2564" s="115">
        <v>3208.35</v>
      </c>
      <c r="D2564" s="115">
        <v>2794</v>
      </c>
      <c r="E2564" s="115">
        <v>2798</v>
      </c>
      <c r="F2564" s="115">
        <v>3208.35</v>
      </c>
      <c r="G2564">
        <v>15887</v>
      </c>
      <c r="H2564" s="115"/>
      <c r="I2564" s="115"/>
      <c r="L2564" s="160">
        <v>45783</v>
      </c>
      <c r="M2564" s="115">
        <v>1271.5</v>
      </c>
      <c r="N2564" s="115">
        <v>1310.0999999999999</v>
      </c>
      <c r="O2564" s="115">
        <v>1261.4000000000001</v>
      </c>
      <c r="P2564" s="115">
        <v>1289.5999999999999</v>
      </c>
      <c r="Q2564" s="115">
        <v>1271.5</v>
      </c>
      <c r="R2564">
        <v>22583</v>
      </c>
    </row>
    <row r="2565" spans="1:18" x14ac:dyDescent="0.25">
      <c r="A2565" s="160">
        <v>45807</v>
      </c>
      <c r="B2565" s="115">
        <v>3727</v>
      </c>
      <c r="C2565" s="115">
        <v>3629.85</v>
      </c>
      <c r="D2565" s="115">
        <v>3240.45</v>
      </c>
      <c r="E2565" s="115">
        <v>3298</v>
      </c>
      <c r="F2565" s="115">
        <v>3629.85</v>
      </c>
      <c r="G2565">
        <v>21912</v>
      </c>
      <c r="H2565" s="115"/>
      <c r="I2565" s="115"/>
      <c r="L2565" s="160">
        <v>45784</v>
      </c>
      <c r="M2565" s="115">
        <v>1286.4000000000001</v>
      </c>
      <c r="N2565" s="115">
        <v>1290</v>
      </c>
      <c r="O2565" s="115">
        <v>1242</v>
      </c>
      <c r="P2565" s="115">
        <v>1242</v>
      </c>
      <c r="Q2565" s="115">
        <v>1286.4000000000001</v>
      </c>
      <c r="R2565">
        <v>22952</v>
      </c>
    </row>
    <row r="2566" spans="1:18" x14ac:dyDescent="0.25">
      <c r="A2566" s="160">
        <v>45810</v>
      </c>
      <c r="B2566" s="115">
        <v>3990</v>
      </c>
      <c r="C2566" s="115">
        <v>3828.8</v>
      </c>
      <c r="D2566" s="115">
        <v>3700</v>
      </c>
      <c r="E2566" s="115">
        <v>3700</v>
      </c>
      <c r="F2566" s="115">
        <v>3828.8</v>
      </c>
      <c r="G2566">
        <v>21972</v>
      </c>
      <c r="H2566" s="115"/>
      <c r="I2566" s="115"/>
      <c r="L2566" s="160">
        <v>45785</v>
      </c>
      <c r="M2566" s="115">
        <v>1252.8</v>
      </c>
      <c r="N2566" s="115">
        <v>1300.5</v>
      </c>
      <c r="O2566" s="115">
        <v>1242</v>
      </c>
      <c r="P2566" s="115">
        <v>1281</v>
      </c>
      <c r="Q2566" s="115">
        <v>1252.8</v>
      </c>
      <c r="R2566">
        <v>24207</v>
      </c>
    </row>
    <row r="2567" spans="1:18" x14ac:dyDescent="0.25">
      <c r="A2567" s="160">
        <v>45811</v>
      </c>
      <c r="B2567" s="115">
        <v>3943</v>
      </c>
      <c r="C2567" s="115">
        <v>3760.6</v>
      </c>
      <c r="D2567" s="115">
        <v>3680</v>
      </c>
      <c r="E2567" s="115">
        <v>3887</v>
      </c>
      <c r="F2567" s="115">
        <v>3760.6</v>
      </c>
      <c r="G2567">
        <v>7024</v>
      </c>
      <c r="H2567" s="115"/>
      <c r="I2567" s="115"/>
      <c r="L2567" s="160">
        <v>45786</v>
      </c>
      <c r="M2567" s="115">
        <v>1255.0999999999999</v>
      </c>
      <c r="N2567" s="115">
        <v>1281.8</v>
      </c>
      <c r="O2567" s="115">
        <v>1215</v>
      </c>
      <c r="P2567" s="115">
        <v>1215</v>
      </c>
      <c r="Q2567" s="115">
        <v>1255.0999999999999</v>
      </c>
      <c r="R2567">
        <v>32680</v>
      </c>
    </row>
    <row r="2568" spans="1:18" x14ac:dyDescent="0.25">
      <c r="A2568" s="160">
        <v>45812</v>
      </c>
      <c r="B2568" s="115">
        <v>3940</v>
      </c>
      <c r="C2568" s="115">
        <v>3865.9</v>
      </c>
      <c r="D2568" s="115">
        <v>3686.15</v>
      </c>
      <c r="E2568" s="115">
        <v>3721</v>
      </c>
      <c r="F2568" s="115">
        <v>3865.9</v>
      </c>
      <c r="G2568">
        <v>8380</v>
      </c>
      <c r="H2568" s="115"/>
      <c r="I2568" s="115"/>
      <c r="L2568" s="160">
        <v>45789</v>
      </c>
      <c r="M2568" s="115">
        <v>1329.2</v>
      </c>
      <c r="N2568" s="115">
        <v>1338.3</v>
      </c>
      <c r="O2568" s="115">
        <v>1273.9000000000001</v>
      </c>
      <c r="P2568" s="115">
        <v>1273.9000000000001</v>
      </c>
      <c r="Q2568" s="115">
        <v>1329.2</v>
      </c>
      <c r="R2568">
        <v>197929</v>
      </c>
    </row>
    <row r="2569" spans="1:18" x14ac:dyDescent="0.25">
      <c r="A2569" s="160">
        <v>45813</v>
      </c>
      <c r="B2569" s="115">
        <v>3899</v>
      </c>
      <c r="C2569" s="115">
        <v>3716.7</v>
      </c>
      <c r="D2569" s="115">
        <v>3703.1</v>
      </c>
      <c r="E2569" s="115">
        <v>3898</v>
      </c>
      <c r="F2569" s="115">
        <v>3716.7</v>
      </c>
      <c r="G2569">
        <v>9183</v>
      </c>
      <c r="H2569" s="115"/>
      <c r="I2569" s="115"/>
      <c r="L2569" s="160">
        <v>45790</v>
      </c>
      <c r="M2569" s="115">
        <v>1375.8</v>
      </c>
      <c r="N2569" s="115">
        <v>1385</v>
      </c>
      <c r="O2569" s="115">
        <v>1330</v>
      </c>
      <c r="P2569" s="115">
        <v>1336</v>
      </c>
      <c r="Q2569" s="115">
        <v>1375.8</v>
      </c>
      <c r="R2569">
        <v>54799</v>
      </c>
    </row>
    <row r="2570" spans="1:18" x14ac:dyDescent="0.25">
      <c r="A2570" s="160">
        <v>45814</v>
      </c>
      <c r="B2570" s="115">
        <v>3815</v>
      </c>
      <c r="C2570" s="115">
        <v>3745.6</v>
      </c>
      <c r="D2570" s="115">
        <v>3655</v>
      </c>
      <c r="E2570" s="115">
        <v>3776.95</v>
      </c>
      <c r="F2570" s="115">
        <v>3745.6</v>
      </c>
      <c r="G2570">
        <v>2503</v>
      </c>
      <c r="H2570" s="115"/>
      <c r="I2570" s="115"/>
      <c r="L2570" s="160">
        <v>45791</v>
      </c>
      <c r="M2570" s="115">
        <v>1427.6</v>
      </c>
      <c r="N2570" s="115">
        <v>1435.1</v>
      </c>
      <c r="O2570" s="115">
        <v>1369.2</v>
      </c>
      <c r="P2570" s="115">
        <v>1382.7</v>
      </c>
      <c r="Q2570" s="115">
        <v>1427.6</v>
      </c>
      <c r="R2570">
        <v>72175</v>
      </c>
    </row>
    <row r="2571" spans="1:18" x14ac:dyDescent="0.25">
      <c r="A2571" s="160">
        <v>45817</v>
      </c>
      <c r="B2571" s="115">
        <v>3825</v>
      </c>
      <c r="C2571" s="115">
        <v>3646</v>
      </c>
      <c r="D2571" s="115">
        <v>3625</v>
      </c>
      <c r="E2571" s="115">
        <v>3750</v>
      </c>
      <c r="F2571" s="115">
        <v>3646</v>
      </c>
      <c r="G2571">
        <v>6075</v>
      </c>
      <c r="H2571" s="115"/>
      <c r="I2571" s="115"/>
      <c r="L2571" s="160">
        <v>45792</v>
      </c>
      <c r="M2571" s="115">
        <v>1451.6</v>
      </c>
      <c r="N2571" s="115">
        <v>1472.9</v>
      </c>
      <c r="O2571" s="115">
        <v>1420</v>
      </c>
      <c r="P2571" s="115">
        <v>1439</v>
      </c>
      <c r="Q2571" s="115">
        <v>1451.6</v>
      </c>
      <c r="R2571">
        <v>75171</v>
      </c>
    </row>
    <row r="2572" spans="1:18" x14ac:dyDescent="0.25">
      <c r="A2572" s="160">
        <v>45818</v>
      </c>
      <c r="B2572" s="115">
        <v>3731.95</v>
      </c>
      <c r="C2572" s="115">
        <v>3688.2</v>
      </c>
      <c r="D2572" s="115">
        <v>3601</v>
      </c>
      <c r="E2572" s="115">
        <v>3640.05</v>
      </c>
      <c r="F2572" s="115">
        <v>3688.2</v>
      </c>
      <c r="G2572">
        <v>3958</v>
      </c>
      <c r="H2572" s="115"/>
      <c r="I2572" s="115"/>
      <c r="L2572" s="160">
        <v>45793</v>
      </c>
      <c r="M2572" s="115">
        <v>1613</v>
      </c>
      <c r="N2572" s="115">
        <v>1639.4</v>
      </c>
      <c r="O2572" s="115">
        <v>1441</v>
      </c>
      <c r="P2572" s="115">
        <v>1450</v>
      </c>
      <c r="Q2572" s="115">
        <v>1613</v>
      </c>
      <c r="R2572">
        <v>537004</v>
      </c>
    </row>
    <row r="2573" spans="1:18" x14ac:dyDescent="0.25">
      <c r="A2573" s="160">
        <v>45819</v>
      </c>
      <c r="B2573" s="115">
        <v>3749.9</v>
      </c>
      <c r="C2573" s="115">
        <v>3637.5</v>
      </c>
      <c r="D2573" s="115">
        <v>3630</v>
      </c>
      <c r="E2573" s="115">
        <v>3749.9</v>
      </c>
      <c r="F2573" s="115">
        <v>3637.5</v>
      </c>
      <c r="G2573">
        <v>2060</v>
      </c>
      <c r="H2573" s="115"/>
      <c r="I2573" s="115"/>
      <c r="L2573" s="160">
        <v>45796</v>
      </c>
      <c r="M2573" s="115">
        <v>1593.7</v>
      </c>
      <c r="N2573" s="115">
        <v>1692.9</v>
      </c>
      <c r="O2573" s="115">
        <v>1577</v>
      </c>
      <c r="P2573" s="115">
        <v>1620</v>
      </c>
      <c r="Q2573" s="115">
        <v>1593.7</v>
      </c>
      <c r="R2573">
        <v>124065</v>
      </c>
    </row>
    <row r="2574" spans="1:18" x14ac:dyDescent="0.25">
      <c r="A2574" s="160">
        <v>45820</v>
      </c>
      <c r="B2574" s="115">
        <v>3690</v>
      </c>
      <c r="C2574" s="115">
        <v>3595.8</v>
      </c>
      <c r="D2574" s="115">
        <v>3580</v>
      </c>
      <c r="E2574" s="115">
        <v>3640</v>
      </c>
      <c r="F2574" s="115">
        <v>3595.8</v>
      </c>
      <c r="G2574">
        <v>2431</v>
      </c>
      <c r="H2574" s="115"/>
      <c r="I2574" s="115"/>
      <c r="L2574" s="160">
        <v>45797</v>
      </c>
      <c r="M2574" s="115">
        <v>1614.3</v>
      </c>
      <c r="N2574" s="115">
        <v>1640</v>
      </c>
      <c r="O2574" s="115">
        <v>1592.6</v>
      </c>
      <c r="P2574" s="115">
        <v>1609.9</v>
      </c>
      <c r="Q2574" s="115">
        <v>1614.3</v>
      </c>
      <c r="R2574">
        <v>102693</v>
      </c>
    </row>
    <row r="2575" spans="1:18" x14ac:dyDescent="0.25">
      <c r="A2575" s="160">
        <v>45821</v>
      </c>
      <c r="B2575" s="115">
        <v>3649.95</v>
      </c>
      <c r="C2575" s="115">
        <v>3550.4</v>
      </c>
      <c r="D2575" s="115">
        <v>3510</v>
      </c>
      <c r="E2575" s="115">
        <v>3510</v>
      </c>
      <c r="F2575" s="115">
        <v>3550.4</v>
      </c>
      <c r="G2575">
        <v>4237</v>
      </c>
      <c r="H2575" s="115"/>
      <c r="I2575" s="115"/>
      <c r="L2575" s="160">
        <v>45798</v>
      </c>
      <c r="M2575" s="115">
        <v>1624.7</v>
      </c>
      <c r="N2575" s="115">
        <v>1631</v>
      </c>
      <c r="O2575" s="115">
        <v>1592.1</v>
      </c>
      <c r="P2575" s="115">
        <v>1618.3</v>
      </c>
      <c r="Q2575" s="115">
        <v>1624.7</v>
      </c>
      <c r="R2575">
        <v>65067</v>
      </c>
    </row>
    <row r="2576" spans="1:18" x14ac:dyDescent="0.25">
      <c r="A2576" s="160">
        <v>45824</v>
      </c>
      <c r="B2576" s="115">
        <v>3589.85</v>
      </c>
      <c r="C2576" s="115">
        <v>3474.45</v>
      </c>
      <c r="D2576" s="115">
        <v>3450.3</v>
      </c>
      <c r="E2576" s="115">
        <v>3528</v>
      </c>
      <c r="F2576" s="115">
        <v>3474.45</v>
      </c>
      <c r="G2576">
        <v>1868</v>
      </c>
      <c r="H2576" s="115"/>
      <c r="I2576" s="115"/>
      <c r="L2576" s="160">
        <v>45799</v>
      </c>
      <c r="M2576" s="115">
        <v>1678.8</v>
      </c>
      <c r="N2576" s="115">
        <v>1687.4</v>
      </c>
      <c r="O2576" s="115">
        <v>1609.9</v>
      </c>
      <c r="P2576" s="115">
        <v>1616.9</v>
      </c>
      <c r="Q2576" s="115">
        <v>1678.8</v>
      </c>
      <c r="R2576">
        <v>132605</v>
      </c>
    </row>
    <row r="2577" spans="1:18" x14ac:dyDescent="0.25">
      <c r="A2577" s="160">
        <v>45825</v>
      </c>
      <c r="B2577" s="115">
        <v>3547.95</v>
      </c>
      <c r="C2577" s="115">
        <v>3445.5</v>
      </c>
      <c r="D2577" s="115">
        <v>3429.9</v>
      </c>
      <c r="E2577" s="115">
        <v>3499.95</v>
      </c>
      <c r="F2577" s="115">
        <v>3445.5</v>
      </c>
      <c r="G2577">
        <v>1785</v>
      </c>
      <c r="H2577" s="115"/>
      <c r="I2577" s="115"/>
      <c r="L2577" s="160">
        <v>45800</v>
      </c>
      <c r="M2577" s="115">
        <v>1678.5</v>
      </c>
      <c r="N2577" s="115">
        <v>1701</v>
      </c>
      <c r="O2577" s="115">
        <v>1662</v>
      </c>
      <c r="P2577" s="115">
        <v>1690</v>
      </c>
      <c r="Q2577" s="115">
        <v>1678.5</v>
      </c>
      <c r="R2577">
        <v>102264</v>
      </c>
    </row>
    <row r="2578" spans="1:18" x14ac:dyDescent="0.25">
      <c r="A2578" s="160">
        <v>45826</v>
      </c>
      <c r="B2578" s="115">
        <v>3476.95</v>
      </c>
      <c r="C2578" s="115">
        <v>3409.5</v>
      </c>
      <c r="D2578" s="115">
        <v>3400</v>
      </c>
      <c r="E2578" s="115">
        <v>3440.05</v>
      </c>
      <c r="F2578" s="115">
        <v>3409.5</v>
      </c>
      <c r="G2578">
        <v>1168</v>
      </c>
      <c r="H2578" s="115"/>
      <c r="I2578" s="115"/>
      <c r="L2578" s="160">
        <v>45803</v>
      </c>
      <c r="M2578" s="115">
        <v>1665.7</v>
      </c>
      <c r="N2578" s="115">
        <v>1702</v>
      </c>
      <c r="O2578" s="115">
        <v>1659.1</v>
      </c>
      <c r="P2578" s="115">
        <v>1689</v>
      </c>
      <c r="Q2578" s="115">
        <v>1665.7</v>
      </c>
      <c r="R2578">
        <v>48871</v>
      </c>
    </row>
    <row r="2579" spans="1:18" x14ac:dyDescent="0.25">
      <c r="A2579" s="160">
        <v>45827</v>
      </c>
      <c r="B2579" s="115">
        <v>3407.55</v>
      </c>
      <c r="C2579" s="115">
        <v>3209.6</v>
      </c>
      <c r="D2579" s="115">
        <v>3179.95</v>
      </c>
      <c r="E2579" s="115">
        <v>3381.05</v>
      </c>
      <c r="F2579" s="115">
        <v>3209.6</v>
      </c>
      <c r="G2579">
        <v>4773</v>
      </c>
      <c r="H2579" s="115"/>
      <c r="I2579" s="115"/>
      <c r="L2579" s="160">
        <v>45804</v>
      </c>
      <c r="M2579" s="115">
        <v>1681.4</v>
      </c>
      <c r="N2579" s="115">
        <v>1694</v>
      </c>
      <c r="O2579" s="115">
        <v>1666</v>
      </c>
      <c r="P2579" s="115">
        <v>1666</v>
      </c>
      <c r="Q2579" s="115">
        <v>1681.4</v>
      </c>
      <c r="R2579">
        <v>47656</v>
      </c>
    </row>
    <row r="2580" spans="1:18" x14ac:dyDescent="0.25">
      <c r="A2580" s="160">
        <v>45828</v>
      </c>
      <c r="B2580" s="115">
        <v>3349</v>
      </c>
      <c r="C2580" s="115">
        <v>3293.1</v>
      </c>
      <c r="D2580" s="115">
        <v>3150</v>
      </c>
      <c r="E2580" s="115">
        <v>3193.6</v>
      </c>
      <c r="F2580" s="115">
        <v>3293.1</v>
      </c>
      <c r="G2580">
        <v>2659</v>
      </c>
      <c r="H2580" s="115"/>
      <c r="I2580" s="115"/>
      <c r="L2580" s="160">
        <v>45805</v>
      </c>
      <c r="M2580" s="115">
        <v>1685.3</v>
      </c>
      <c r="N2580" s="115">
        <v>1696</v>
      </c>
      <c r="O2580" s="115">
        <v>1669.1</v>
      </c>
      <c r="P2580" s="115">
        <v>1688</v>
      </c>
      <c r="Q2580" s="115">
        <v>1685.3</v>
      </c>
      <c r="R2580">
        <v>33754</v>
      </c>
    </row>
    <row r="2581" spans="1:18" x14ac:dyDescent="0.25">
      <c r="A2581" s="160">
        <v>45831</v>
      </c>
      <c r="B2581" s="115">
        <v>3555</v>
      </c>
      <c r="C2581" s="115">
        <v>3527.3</v>
      </c>
      <c r="D2581" s="115">
        <v>3252.5</v>
      </c>
      <c r="E2581" s="115">
        <v>3329</v>
      </c>
      <c r="F2581" s="115">
        <v>3527.3</v>
      </c>
      <c r="G2581">
        <v>5317</v>
      </c>
      <c r="H2581" s="115"/>
      <c r="I2581" s="115"/>
      <c r="L2581" s="160">
        <v>45806</v>
      </c>
      <c r="M2581" s="115">
        <v>1688</v>
      </c>
      <c r="N2581" s="115">
        <v>1703.4</v>
      </c>
      <c r="O2581" s="115">
        <v>1675</v>
      </c>
      <c r="P2581" s="115">
        <v>1699</v>
      </c>
      <c r="Q2581" s="115">
        <v>1688</v>
      </c>
      <c r="R2581">
        <v>81338</v>
      </c>
    </row>
    <row r="2582" spans="1:18" x14ac:dyDescent="0.25">
      <c r="A2582" s="160">
        <v>45832</v>
      </c>
      <c r="B2582" s="115">
        <v>3589.8</v>
      </c>
      <c r="C2582" s="115">
        <v>3477.05</v>
      </c>
      <c r="D2582" s="115">
        <v>3450</v>
      </c>
      <c r="E2582" s="115">
        <v>3589.8</v>
      </c>
      <c r="F2582" s="115">
        <v>3477.05</v>
      </c>
      <c r="G2582">
        <v>2450</v>
      </c>
      <c r="H2582" s="115"/>
      <c r="I2582" s="115"/>
      <c r="L2582" s="160">
        <v>45807</v>
      </c>
      <c r="M2582" s="115">
        <v>1651</v>
      </c>
      <c r="N2582" s="115">
        <v>1697</v>
      </c>
      <c r="O2582" s="115">
        <v>1642</v>
      </c>
      <c r="P2582" s="115">
        <v>1690</v>
      </c>
      <c r="Q2582" s="115">
        <v>1651</v>
      </c>
      <c r="R2582">
        <v>35296</v>
      </c>
    </row>
    <row r="2583" spans="1:18" x14ac:dyDescent="0.25">
      <c r="A2583" s="160">
        <v>45833</v>
      </c>
      <c r="B2583" s="115">
        <v>3549.95</v>
      </c>
      <c r="C2583" s="115">
        <v>3484.2</v>
      </c>
      <c r="D2583" s="115">
        <v>3455.1</v>
      </c>
      <c r="E2583" s="115">
        <v>3516.05</v>
      </c>
      <c r="F2583" s="115">
        <v>3484.2</v>
      </c>
      <c r="G2583">
        <v>2088</v>
      </c>
      <c r="H2583" s="115"/>
      <c r="I2583" s="115"/>
      <c r="L2583" s="160">
        <v>45810</v>
      </c>
      <c r="M2583" s="115">
        <v>1650.2</v>
      </c>
      <c r="N2583" s="115">
        <v>1658.5</v>
      </c>
      <c r="O2583" s="115">
        <v>1633</v>
      </c>
      <c r="P2583" s="115">
        <v>1658.5</v>
      </c>
      <c r="Q2583" s="115">
        <v>1650.2</v>
      </c>
      <c r="R2583">
        <v>36636</v>
      </c>
    </row>
    <row r="2584" spans="1:18" x14ac:dyDescent="0.25">
      <c r="A2584" s="160">
        <v>45834</v>
      </c>
      <c r="B2584" s="115">
        <v>3516.05</v>
      </c>
      <c r="C2584" s="115">
        <v>3471.75</v>
      </c>
      <c r="D2584" s="115">
        <v>3410</v>
      </c>
      <c r="E2584" s="115">
        <v>3499.95</v>
      </c>
      <c r="F2584" s="115">
        <v>3471.75</v>
      </c>
      <c r="G2584">
        <v>1433</v>
      </c>
      <c r="H2584" s="115"/>
      <c r="I2584" s="115"/>
      <c r="L2584" s="160">
        <v>45811</v>
      </c>
      <c r="M2584" s="115">
        <v>1701.5</v>
      </c>
      <c r="N2584" s="115">
        <v>1728</v>
      </c>
      <c r="O2584" s="115">
        <v>1636.8</v>
      </c>
      <c r="P2584" s="115">
        <v>1651</v>
      </c>
      <c r="Q2584" s="115">
        <v>1701.5</v>
      </c>
      <c r="R2584">
        <v>147789</v>
      </c>
    </row>
    <row r="2585" spans="1:18" x14ac:dyDescent="0.25">
      <c r="A2585" s="160">
        <v>45835</v>
      </c>
      <c r="B2585" s="115">
        <v>3556.95</v>
      </c>
      <c r="C2585" s="115">
        <v>3452.65</v>
      </c>
      <c r="D2585" s="115">
        <v>3420.55</v>
      </c>
      <c r="E2585" s="115">
        <v>3556.9</v>
      </c>
      <c r="F2585" s="115">
        <v>3452.65</v>
      </c>
      <c r="G2585">
        <v>1268</v>
      </c>
      <c r="H2585" s="115"/>
      <c r="I2585" s="115"/>
      <c r="L2585" s="160">
        <v>45812</v>
      </c>
      <c r="M2585" s="115">
        <v>1674.3</v>
      </c>
      <c r="N2585" s="115">
        <v>1740</v>
      </c>
      <c r="O2585" s="115">
        <v>1660.1</v>
      </c>
      <c r="P2585" s="115">
        <v>1709</v>
      </c>
      <c r="Q2585" s="115">
        <v>1674.3</v>
      </c>
      <c r="R2585">
        <v>137206</v>
      </c>
    </row>
    <row r="2586" spans="1:18" x14ac:dyDescent="0.25">
      <c r="A2586" s="160">
        <v>45838</v>
      </c>
      <c r="B2586" s="115">
        <v>3456.05</v>
      </c>
      <c r="C2586" s="115">
        <v>3432.1</v>
      </c>
      <c r="D2586" s="115">
        <v>3410</v>
      </c>
      <c r="E2586" s="115">
        <v>3455.15</v>
      </c>
      <c r="F2586" s="115">
        <v>3432.1</v>
      </c>
      <c r="G2586">
        <v>942</v>
      </c>
      <c r="H2586" s="115"/>
      <c r="I2586" s="115"/>
      <c r="L2586" s="160">
        <v>45813</v>
      </c>
      <c r="M2586" s="115">
        <v>1719</v>
      </c>
      <c r="N2586" s="115">
        <v>1725</v>
      </c>
      <c r="O2586" s="115">
        <v>1684</v>
      </c>
      <c r="P2586" s="115">
        <v>1684</v>
      </c>
      <c r="Q2586" s="115">
        <v>1719</v>
      </c>
      <c r="R2586">
        <v>69240</v>
      </c>
    </row>
    <row r="2587" spans="1:18" x14ac:dyDescent="0.25">
      <c r="A2587" s="160">
        <v>45839</v>
      </c>
      <c r="B2587" s="115">
        <v>3500</v>
      </c>
      <c r="C2587" s="115">
        <v>3425.9</v>
      </c>
      <c r="D2587" s="115">
        <v>3405</v>
      </c>
      <c r="E2587" s="115">
        <v>3479.85</v>
      </c>
      <c r="F2587" s="115">
        <v>3425.9</v>
      </c>
      <c r="G2587">
        <v>2487</v>
      </c>
      <c r="H2587" s="115"/>
      <c r="I2587" s="115"/>
      <c r="L2587" s="160">
        <v>45814</v>
      </c>
      <c r="M2587" s="115">
        <v>1705.2</v>
      </c>
      <c r="N2587" s="115">
        <v>1739</v>
      </c>
      <c r="O2587" s="115">
        <v>1680</v>
      </c>
      <c r="P2587" s="115">
        <v>1729</v>
      </c>
      <c r="Q2587" s="115">
        <v>1705.2</v>
      </c>
      <c r="R2587">
        <v>63122</v>
      </c>
    </row>
    <row r="2588" spans="1:18" x14ac:dyDescent="0.25">
      <c r="A2588" s="160">
        <v>45840</v>
      </c>
      <c r="B2588" s="115">
        <v>3619.6</v>
      </c>
      <c r="C2588" s="115">
        <v>3510.95</v>
      </c>
      <c r="D2588" s="115">
        <v>3402.1</v>
      </c>
      <c r="E2588" s="115">
        <v>3430</v>
      </c>
      <c r="F2588" s="115">
        <v>3510.95</v>
      </c>
      <c r="G2588">
        <v>3299</v>
      </c>
      <c r="H2588" s="115"/>
      <c r="I2588" s="115"/>
      <c r="L2588" s="160">
        <v>45817</v>
      </c>
      <c r="M2588" s="115">
        <v>1689.8</v>
      </c>
      <c r="N2588" s="115">
        <v>1713</v>
      </c>
      <c r="O2588" s="115">
        <v>1665.1</v>
      </c>
      <c r="P2588" s="115">
        <v>1709.6</v>
      </c>
      <c r="Q2588" s="115">
        <v>1689.8</v>
      </c>
      <c r="R2588">
        <v>55449</v>
      </c>
    </row>
    <row r="2589" spans="1:18" x14ac:dyDescent="0.25">
      <c r="A2589" s="160">
        <v>45841</v>
      </c>
      <c r="B2589" s="115">
        <v>3597.95</v>
      </c>
      <c r="C2589" s="115">
        <v>3467.5</v>
      </c>
      <c r="D2589" s="115">
        <v>3430.1</v>
      </c>
      <c r="E2589" s="115">
        <v>3597.9</v>
      </c>
      <c r="F2589" s="115">
        <v>3467.5</v>
      </c>
      <c r="G2589">
        <v>2808</v>
      </c>
      <c r="H2589" s="115"/>
      <c r="I2589" s="115"/>
      <c r="L2589" s="160">
        <v>45818</v>
      </c>
      <c r="M2589" s="115">
        <v>1689.6</v>
      </c>
      <c r="N2589" s="115">
        <v>1709</v>
      </c>
      <c r="O2589" s="115">
        <v>1682.1</v>
      </c>
      <c r="P2589" s="115">
        <v>1703</v>
      </c>
      <c r="Q2589" s="115">
        <v>1689.6</v>
      </c>
      <c r="R2589">
        <v>26797</v>
      </c>
    </row>
    <row r="2590" spans="1:18" x14ac:dyDescent="0.25">
      <c r="A2590" s="160">
        <v>45842</v>
      </c>
      <c r="B2590" s="115">
        <v>3542.55</v>
      </c>
      <c r="C2590" s="115">
        <v>3467.65</v>
      </c>
      <c r="D2590" s="115">
        <v>3450</v>
      </c>
      <c r="E2590" s="115">
        <v>3499.9</v>
      </c>
      <c r="F2590" s="115">
        <v>3467.65</v>
      </c>
      <c r="G2590">
        <v>969</v>
      </c>
      <c r="H2590" s="115"/>
      <c r="I2590" s="115"/>
      <c r="L2590" s="160">
        <v>45819</v>
      </c>
      <c r="M2590" s="115">
        <v>1699.3</v>
      </c>
      <c r="N2590" s="115">
        <v>1722</v>
      </c>
      <c r="O2590" s="115">
        <v>1684.5</v>
      </c>
      <c r="P2590" s="115">
        <v>1695</v>
      </c>
      <c r="Q2590" s="115">
        <v>1699.3</v>
      </c>
      <c r="R2590">
        <v>50432</v>
      </c>
    </row>
    <row r="2591" spans="1:18" x14ac:dyDescent="0.25">
      <c r="A2591" s="160">
        <v>45845</v>
      </c>
      <c r="B2591" s="115">
        <v>3587.85</v>
      </c>
      <c r="C2591" s="115">
        <v>3521.2</v>
      </c>
      <c r="D2591" s="115">
        <v>3478.05</v>
      </c>
      <c r="E2591" s="115">
        <v>3478.05</v>
      </c>
      <c r="F2591" s="115">
        <v>3521.2</v>
      </c>
      <c r="G2591">
        <v>5686</v>
      </c>
      <c r="H2591" s="115"/>
      <c r="I2591" s="115"/>
      <c r="L2591" s="160">
        <v>45820</v>
      </c>
      <c r="M2591" s="115">
        <v>1670.5</v>
      </c>
      <c r="N2591" s="115">
        <v>1704.5</v>
      </c>
      <c r="O2591" s="115">
        <v>1661</v>
      </c>
      <c r="P2591" s="115">
        <v>1690</v>
      </c>
      <c r="Q2591" s="115">
        <v>1670.5</v>
      </c>
      <c r="R2591">
        <v>25152</v>
      </c>
    </row>
    <row r="2592" spans="1:18" x14ac:dyDescent="0.25">
      <c r="A2592" s="160">
        <v>45846</v>
      </c>
      <c r="B2592" s="115">
        <v>3689.95</v>
      </c>
      <c r="C2592" s="115">
        <v>3578.1</v>
      </c>
      <c r="D2592" s="115">
        <v>3478</v>
      </c>
      <c r="E2592" s="115">
        <v>3525</v>
      </c>
      <c r="F2592" s="115">
        <v>3578.1</v>
      </c>
      <c r="G2592">
        <v>2940</v>
      </c>
      <c r="H2592" s="115"/>
      <c r="I2592" s="115"/>
      <c r="L2592" s="160">
        <v>45821</v>
      </c>
      <c r="M2592" s="115">
        <v>1666.8</v>
      </c>
      <c r="N2592" s="115">
        <v>1684.7</v>
      </c>
      <c r="O2592" s="115">
        <v>1640.5</v>
      </c>
      <c r="P2592" s="115">
        <v>1646.6</v>
      </c>
      <c r="Q2592" s="115">
        <v>1666.8</v>
      </c>
      <c r="R2592">
        <v>33156</v>
      </c>
    </row>
    <row r="2593" spans="1:18" x14ac:dyDescent="0.25">
      <c r="A2593" s="160">
        <v>45847</v>
      </c>
      <c r="B2593" s="115">
        <v>4050</v>
      </c>
      <c r="C2593" s="115">
        <v>3938.5</v>
      </c>
      <c r="D2593" s="115">
        <v>3501</v>
      </c>
      <c r="E2593" s="115">
        <v>3564.3</v>
      </c>
      <c r="F2593" s="115">
        <v>3938.5</v>
      </c>
      <c r="G2593">
        <v>15024</v>
      </c>
      <c r="H2593" s="115"/>
      <c r="I2593" s="115"/>
      <c r="L2593" s="160">
        <v>45824</v>
      </c>
      <c r="M2593" s="115">
        <v>1714.6</v>
      </c>
      <c r="N2593" s="115">
        <v>1721</v>
      </c>
      <c r="O2593" s="115">
        <v>1649</v>
      </c>
      <c r="P2593" s="115">
        <v>1679.8</v>
      </c>
      <c r="Q2593" s="115">
        <v>1714.6</v>
      </c>
      <c r="R2593">
        <v>55225</v>
      </c>
    </row>
    <row r="2594" spans="1:18" x14ac:dyDescent="0.25">
      <c r="A2594" s="160">
        <v>45848</v>
      </c>
      <c r="B2594" s="115">
        <v>4257</v>
      </c>
      <c r="C2594" s="115">
        <v>4142.95</v>
      </c>
      <c r="D2594" s="115">
        <v>3999</v>
      </c>
      <c r="E2594" s="115">
        <v>3999</v>
      </c>
      <c r="F2594" s="115">
        <v>4142.95</v>
      </c>
      <c r="G2594">
        <v>11958</v>
      </c>
      <c r="H2594" s="115"/>
      <c r="I2594" s="115"/>
      <c r="L2594" s="160">
        <v>45825</v>
      </c>
      <c r="M2594" s="115">
        <v>1688.7</v>
      </c>
      <c r="N2594" s="115">
        <v>1729</v>
      </c>
      <c r="O2594" s="115">
        <v>1683.1</v>
      </c>
      <c r="P2594" s="115">
        <v>1725</v>
      </c>
      <c r="Q2594" s="115">
        <v>1688.7</v>
      </c>
      <c r="R2594">
        <v>25546</v>
      </c>
    </row>
    <row r="2595" spans="1:18" x14ac:dyDescent="0.25">
      <c r="A2595" s="160">
        <v>45849</v>
      </c>
      <c r="B2595" s="115">
        <v>4179.3999999999996</v>
      </c>
      <c r="C2595" s="115">
        <v>4093</v>
      </c>
      <c r="D2595" s="115">
        <v>4021</v>
      </c>
      <c r="E2595" s="115">
        <v>4151</v>
      </c>
      <c r="F2595" s="115">
        <v>4093</v>
      </c>
      <c r="G2595">
        <v>3411</v>
      </c>
      <c r="H2595" s="115"/>
      <c r="I2595" s="115"/>
      <c r="L2595" s="160">
        <v>45826</v>
      </c>
      <c r="M2595" s="115">
        <v>1676</v>
      </c>
      <c r="N2595" s="115">
        <v>1698</v>
      </c>
      <c r="O2595" s="115">
        <v>1664.8</v>
      </c>
      <c r="P2595" s="115">
        <v>1688</v>
      </c>
      <c r="Q2595" s="115">
        <v>1676</v>
      </c>
      <c r="R2595">
        <v>18823</v>
      </c>
    </row>
    <row r="2596" spans="1:18" x14ac:dyDescent="0.25">
      <c r="A2596" s="160">
        <v>45852</v>
      </c>
      <c r="B2596" s="115">
        <v>4911.6000000000004</v>
      </c>
      <c r="C2596" s="115">
        <v>4806.55</v>
      </c>
      <c r="D2596" s="115">
        <v>4041</v>
      </c>
      <c r="E2596" s="115">
        <v>4080</v>
      </c>
      <c r="F2596" s="115">
        <v>4806.55</v>
      </c>
      <c r="G2596">
        <v>164372</v>
      </c>
      <c r="H2596" s="115"/>
      <c r="I2596" s="115"/>
      <c r="L2596" s="160">
        <v>45827</v>
      </c>
      <c r="M2596" s="115">
        <v>1647.3</v>
      </c>
      <c r="N2596" s="115">
        <v>1682.9</v>
      </c>
      <c r="O2596" s="115">
        <v>1632.3</v>
      </c>
      <c r="P2596" s="115">
        <v>1678.6</v>
      </c>
      <c r="Q2596" s="115">
        <v>1647.3</v>
      </c>
      <c r="R2596">
        <v>29913</v>
      </c>
    </row>
    <row r="2597" spans="1:18" x14ac:dyDescent="0.25">
      <c r="A2597" s="160">
        <v>45853</v>
      </c>
      <c r="B2597" s="115">
        <v>5319.9</v>
      </c>
      <c r="C2597" s="115">
        <v>4757.5</v>
      </c>
      <c r="D2597" s="115">
        <v>4653</v>
      </c>
      <c r="E2597" s="115">
        <v>4774</v>
      </c>
      <c r="F2597" s="115">
        <v>4757.5</v>
      </c>
      <c r="G2597">
        <v>82271</v>
      </c>
      <c r="H2597" s="115"/>
      <c r="I2597" s="115"/>
      <c r="L2597" s="160">
        <v>45828</v>
      </c>
      <c r="M2597" s="115">
        <v>1652.3</v>
      </c>
      <c r="N2597" s="115">
        <v>1668.9</v>
      </c>
      <c r="O2597" s="115">
        <v>1640</v>
      </c>
      <c r="P2597" s="115">
        <v>1650</v>
      </c>
      <c r="Q2597" s="115">
        <v>1652.3</v>
      </c>
      <c r="R2597">
        <v>23167</v>
      </c>
    </row>
    <row r="2598" spans="1:18" x14ac:dyDescent="0.25">
      <c r="A2598" s="160">
        <v>45854</v>
      </c>
      <c r="B2598" s="115">
        <v>5150</v>
      </c>
      <c r="C2598" s="115">
        <v>4973.8999999999996</v>
      </c>
      <c r="D2598" s="115">
        <v>4640.1000000000004</v>
      </c>
      <c r="E2598" s="115">
        <v>4749</v>
      </c>
      <c r="F2598" s="115">
        <v>4973.8999999999996</v>
      </c>
      <c r="G2598">
        <v>26590</v>
      </c>
      <c r="H2598" s="115"/>
      <c r="I2598" s="115"/>
      <c r="L2598" s="160">
        <v>45831</v>
      </c>
      <c r="M2598" s="115">
        <v>1687.6</v>
      </c>
      <c r="N2598" s="115">
        <v>1701.9</v>
      </c>
      <c r="O2598" s="115">
        <v>1628</v>
      </c>
      <c r="P2598" s="115">
        <v>1644.1</v>
      </c>
      <c r="Q2598" s="115">
        <v>1687.6</v>
      </c>
      <c r="R2598">
        <v>57729</v>
      </c>
    </row>
    <row r="2599" spans="1:18" x14ac:dyDescent="0.25">
      <c r="A2599" s="160">
        <v>45855</v>
      </c>
      <c r="B2599" s="115">
        <v>5255</v>
      </c>
      <c r="C2599" s="115">
        <v>4836.05</v>
      </c>
      <c r="D2599" s="115">
        <v>4800</v>
      </c>
      <c r="E2599" s="115">
        <v>4976</v>
      </c>
      <c r="F2599" s="115">
        <v>4836.05</v>
      </c>
      <c r="G2599">
        <v>33570</v>
      </c>
      <c r="H2599" s="115"/>
      <c r="I2599" s="115"/>
      <c r="L2599" s="160">
        <v>45832</v>
      </c>
      <c r="M2599" s="115">
        <v>1677</v>
      </c>
      <c r="N2599" s="115">
        <v>1717</v>
      </c>
      <c r="O2599" s="115">
        <v>1666.3</v>
      </c>
      <c r="P2599" s="115">
        <v>1717</v>
      </c>
      <c r="Q2599" s="115">
        <v>1677</v>
      </c>
      <c r="R2599">
        <v>21874</v>
      </c>
    </row>
    <row r="2600" spans="1:18" x14ac:dyDescent="0.25">
      <c r="A2600" s="160">
        <v>45856</v>
      </c>
      <c r="B2600" s="115">
        <v>5049.95</v>
      </c>
      <c r="C2600" s="115">
        <v>4817.05</v>
      </c>
      <c r="D2600" s="115">
        <v>4790</v>
      </c>
      <c r="E2600" s="115">
        <v>4850</v>
      </c>
      <c r="F2600" s="115">
        <v>4817.05</v>
      </c>
      <c r="G2600">
        <v>15788</v>
      </c>
      <c r="H2600" s="115"/>
      <c r="I2600" s="115"/>
      <c r="L2600" s="160">
        <v>45833</v>
      </c>
      <c r="M2600" s="115">
        <v>1695.5</v>
      </c>
      <c r="N2600" s="115">
        <v>1705</v>
      </c>
      <c r="O2600" s="115">
        <v>1670.3</v>
      </c>
      <c r="P2600" s="115">
        <v>1677</v>
      </c>
      <c r="Q2600" s="115">
        <v>1695.5</v>
      </c>
      <c r="R2600">
        <v>42457</v>
      </c>
    </row>
    <row r="2601" spans="1:18" x14ac:dyDescent="0.25">
      <c r="A2601" s="160">
        <v>45859</v>
      </c>
      <c r="B2601" s="115">
        <v>4999</v>
      </c>
      <c r="C2601" s="115">
        <v>4804.8500000000004</v>
      </c>
      <c r="D2601" s="115">
        <v>4699.95</v>
      </c>
      <c r="E2601" s="115">
        <v>4869.8999999999996</v>
      </c>
      <c r="F2601" s="115">
        <v>4804.8500000000004</v>
      </c>
      <c r="G2601">
        <v>10422</v>
      </c>
      <c r="H2601" s="115"/>
      <c r="I2601" s="115"/>
      <c r="L2601" s="160">
        <v>45834</v>
      </c>
      <c r="M2601" s="115">
        <v>1643</v>
      </c>
      <c r="N2601" s="115">
        <v>1708.9</v>
      </c>
      <c r="O2601" s="115">
        <v>1635.3</v>
      </c>
      <c r="P2601" s="115">
        <v>1688</v>
      </c>
      <c r="Q2601" s="115">
        <v>1643</v>
      </c>
      <c r="R2601">
        <v>40127</v>
      </c>
    </row>
    <row r="2602" spans="1:18" x14ac:dyDescent="0.25">
      <c r="A2602" s="160">
        <v>45860</v>
      </c>
      <c r="B2602" s="115">
        <v>4849</v>
      </c>
      <c r="C2602" s="115">
        <v>4654.1000000000004</v>
      </c>
      <c r="D2602" s="115">
        <v>4621</v>
      </c>
      <c r="E2602" s="115">
        <v>4804.8500000000004</v>
      </c>
      <c r="F2602" s="115">
        <v>4654.1000000000004</v>
      </c>
      <c r="G2602">
        <v>5270</v>
      </c>
      <c r="H2602" s="115"/>
      <c r="I2602" s="115"/>
      <c r="L2602" s="160">
        <v>45835</v>
      </c>
      <c r="M2602" s="115">
        <v>1661.2</v>
      </c>
      <c r="N2602" s="115">
        <v>1669.9</v>
      </c>
      <c r="O2602" s="115">
        <v>1629.1</v>
      </c>
      <c r="P2602" s="115">
        <v>1659</v>
      </c>
      <c r="Q2602" s="115">
        <v>1661.2</v>
      </c>
      <c r="R2602">
        <v>62559</v>
      </c>
    </row>
    <row r="2603" spans="1:18" x14ac:dyDescent="0.25">
      <c r="A2603" s="160">
        <v>45861</v>
      </c>
      <c r="B2603" s="115">
        <v>4699.95</v>
      </c>
      <c r="C2603" s="115">
        <v>4548.8999999999996</v>
      </c>
      <c r="D2603" s="115">
        <v>4511</v>
      </c>
      <c r="E2603" s="115">
        <v>4616.1000000000004</v>
      </c>
      <c r="F2603" s="115">
        <v>4548.8999999999996</v>
      </c>
      <c r="G2603">
        <v>5840</v>
      </c>
      <c r="H2603" s="115"/>
      <c r="I2603" s="115"/>
      <c r="L2603" s="160">
        <v>45838</v>
      </c>
      <c r="M2603" s="115">
        <v>1747.1</v>
      </c>
      <c r="N2603" s="115">
        <v>1759.8</v>
      </c>
      <c r="O2603" s="115">
        <v>1663.7</v>
      </c>
      <c r="P2603" s="115">
        <v>1686.1</v>
      </c>
      <c r="Q2603" s="115">
        <v>1747.1</v>
      </c>
      <c r="R2603">
        <v>405160</v>
      </c>
    </row>
    <row r="2604" spans="1:18" x14ac:dyDescent="0.25">
      <c r="A2604" s="160">
        <v>45862</v>
      </c>
      <c r="B2604" s="115">
        <v>4588</v>
      </c>
      <c r="C2604" s="115">
        <v>4399</v>
      </c>
      <c r="D2604" s="115">
        <v>4370.05</v>
      </c>
      <c r="E2604" s="115">
        <v>4548.8999999999996</v>
      </c>
      <c r="F2604" s="115">
        <v>4399</v>
      </c>
      <c r="G2604">
        <v>4233</v>
      </c>
      <c r="H2604" s="115"/>
      <c r="I2604" s="115"/>
      <c r="L2604" s="160">
        <v>45839</v>
      </c>
      <c r="M2604" s="115">
        <v>1729.4</v>
      </c>
      <c r="N2604" s="115">
        <v>1783.9</v>
      </c>
      <c r="O2604" s="115">
        <v>1712</v>
      </c>
      <c r="P2604" s="115">
        <v>1769.4</v>
      </c>
      <c r="Q2604" s="115">
        <v>1729.4</v>
      </c>
      <c r="R2604">
        <v>163251</v>
      </c>
    </row>
    <row r="2605" spans="1:18" x14ac:dyDescent="0.25">
      <c r="A2605" s="160">
        <v>45863</v>
      </c>
      <c r="B2605" s="115">
        <v>4520.95</v>
      </c>
      <c r="C2605" s="115">
        <v>4330.8500000000004</v>
      </c>
      <c r="D2605" s="115">
        <v>4295</v>
      </c>
      <c r="E2605" s="115">
        <v>4351</v>
      </c>
      <c r="F2605" s="115">
        <v>4330.8500000000004</v>
      </c>
      <c r="G2605">
        <v>6273</v>
      </c>
      <c r="H2605" s="115"/>
      <c r="I2605" s="115"/>
      <c r="L2605" s="160">
        <v>45840</v>
      </c>
      <c r="M2605" s="115">
        <v>1733.7</v>
      </c>
      <c r="N2605" s="115">
        <v>1759</v>
      </c>
      <c r="O2605" s="115">
        <v>1725</v>
      </c>
      <c r="P2605" s="115">
        <v>1731</v>
      </c>
      <c r="Q2605" s="115">
        <v>1733.7</v>
      </c>
      <c r="R2605">
        <v>66138</v>
      </c>
    </row>
    <row r="2606" spans="1:18" x14ac:dyDescent="0.25">
      <c r="A2606" s="160">
        <v>45866</v>
      </c>
      <c r="B2606" s="115">
        <v>4390</v>
      </c>
      <c r="C2606" s="115">
        <v>4274.75</v>
      </c>
      <c r="D2606" s="115">
        <v>4240.05</v>
      </c>
      <c r="E2606" s="115">
        <v>4335.05</v>
      </c>
      <c r="F2606" s="115">
        <v>4274.75</v>
      </c>
      <c r="G2606">
        <v>4380</v>
      </c>
      <c r="H2606" s="115"/>
      <c r="I2606" s="115"/>
      <c r="L2606" s="160">
        <v>45841</v>
      </c>
      <c r="M2606" s="115">
        <v>1721.2</v>
      </c>
      <c r="N2606" s="115">
        <v>1756.9</v>
      </c>
      <c r="O2606" s="115">
        <v>1711.5</v>
      </c>
      <c r="P2606" s="115">
        <v>1747</v>
      </c>
      <c r="Q2606" s="115">
        <v>1721.2</v>
      </c>
      <c r="R2606">
        <v>53501</v>
      </c>
    </row>
    <row r="2607" spans="1:18" x14ac:dyDescent="0.25">
      <c r="A2607" s="160">
        <v>45867</v>
      </c>
      <c r="B2607" s="115">
        <v>4360</v>
      </c>
      <c r="C2607" s="115">
        <v>4297.3</v>
      </c>
      <c r="D2607" s="115">
        <v>4255</v>
      </c>
      <c r="E2607" s="115">
        <v>4255</v>
      </c>
      <c r="F2607" s="115">
        <v>4297.3</v>
      </c>
      <c r="G2607">
        <v>3494</v>
      </c>
      <c r="H2607" s="115"/>
      <c r="I2607" s="115"/>
      <c r="L2607" s="160">
        <v>45842</v>
      </c>
      <c r="M2607" s="115">
        <v>1731.9</v>
      </c>
      <c r="N2607" s="115">
        <v>1769.8</v>
      </c>
      <c r="O2607" s="115">
        <v>1723</v>
      </c>
      <c r="P2607" s="115">
        <v>1734</v>
      </c>
      <c r="Q2607" s="115">
        <v>1731.9</v>
      </c>
      <c r="R2607">
        <v>80038</v>
      </c>
    </row>
    <row r="2608" spans="1:18" x14ac:dyDescent="0.25">
      <c r="A2608" s="160">
        <v>45868</v>
      </c>
      <c r="B2608" s="115">
        <v>4785</v>
      </c>
      <c r="C2608" s="115">
        <v>4293.75</v>
      </c>
      <c r="D2608" s="115">
        <v>4220</v>
      </c>
      <c r="E2608" s="115">
        <v>4399</v>
      </c>
      <c r="F2608" s="115">
        <v>4293.75</v>
      </c>
      <c r="G2608">
        <v>26584</v>
      </c>
      <c r="H2608" s="115"/>
      <c r="I2608" s="115"/>
      <c r="L2608" s="160">
        <v>45845</v>
      </c>
      <c r="M2608" s="115">
        <v>1712.7</v>
      </c>
      <c r="N2608" s="115">
        <v>1755.3</v>
      </c>
      <c r="O2608" s="115">
        <v>1702</v>
      </c>
      <c r="P2608" s="115">
        <v>1733.9</v>
      </c>
      <c r="Q2608" s="115">
        <v>1712.7</v>
      </c>
      <c r="R2608">
        <v>39752</v>
      </c>
    </row>
    <row r="2609" spans="1:18" x14ac:dyDescent="0.25">
      <c r="A2609" s="160">
        <v>45869</v>
      </c>
      <c r="B2609" s="115">
        <v>4475</v>
      </c>
      <c r="C2609" s="115">
        <v>4305.8500000000004</v>
      </c>
      <c r="D2609" s="115">
        <v>4258.05</v>
      </c>
      <c r="E2609" s="115">
        <v>4260</v>
      </c>
      <c r="F2609" s="115">
        <v>4305.8500000000004</v>
      </c>
      <c r="G2609">
        <v>6532</v>
      </c>
      <c r="H2609" s="115"/>
      <c r="I2609" s="115"/>
      <c r="L2609" s="160">
        <v>45846</v>
      </c>
      <c r="M2609" s="115">
        <v>1643.8</v>
      </c>
      <c r="N2609" s="115">
        <v>1740</v>
      </c>
      <c r="O2609" s="115">
        <v>1616.9</v>
      </c>
      <c r="P2609" s="115">
        <v>1723.6</v>
      </c>
      <c r="Q2609" s="115">
        <v>1643.8</v>
      </c>
      <c r="R2609">
        <v>131439</v>
      </c>
    </row>
    <row r="2610" spans="1:18" x14ac:dyDescent="0.25">
      <c r="A2610" s="160">
        <v>45870</v>
      </c>
      <c r="B2610" s="115">
        <v>4350</v>
      </c>
      <c r="C2610" s="115">
        <v>4281.3</v>
      </c>
      <c r="D2610" s="115">
        <v>4275.8999999999996</v>
      </c>
      <c r="E2610" s="115">
        <v>4305.8500000000004</v>
      </c>
      <c r="F2610" s="115">
        <v>4281.3</v>
      </c>
      <c r="G2610">
        <v>1964</v>
      </c>
      <c r="H2610" s="115"/>
      <c r="I2610" s="115"/>
      <c r="L2610" s="160">
        <v>45847</v>
      </c>
      <c r="M2610" s="115">
        <v>1669.5</v>
      </c>
      <c r="N2610" s="115">
        <v>1689.6</v>
      </c>
      <c r="O2610" s="115">
        <v>1645.3</v>
      </c>
      <c r="P2610" s="115">
        <v>1650.1</v>
      </c>
      <c r="Q2610" s="115">
        <v>1669.5</v>
      </c>
      <c r="R2610">
        <v>75859</v>
      </c>
    </row>
    <row r="2611" spans="1:18" x14ac:dyDescent="0.25">
      <c r="A2611" s="160">
        <v>45873</v>
      </c>
      <c r="B2611" s="115">
        <v>4425</v>
      </c>
      <c r="C2611" s="115">
        <v>4264.7</v>
      </c>
      <c r="D2611" s="115">
        <v>4225.1000000000004</v>
      </c>
      <c r="E2611" s="115">
        <v>4285</v>
      </c>
      <c r="F2611" s="115">
        <v>4264.7</v>
      </c>
      <c r="G2611">
        <v>3268</v>
      </c>
      <c r="H2611" s="115"/>
      <c r="I2611" s="115"/>
      <c r="L2611" s="160">
        <v>45848</v>
      </c>
      <c r="M2611" s="115">
        <v>1656.3</v>
      </c>
      <c r="N2611" s="115">
        <v>1684.9</v>
      </c>
      <c r="O2611" s="115">
        <v>1643.1</v>
      </c>
      <c r="P2611" s="115">
        <v>1668</v>
      </c>
      <c r="Q2611" s="115">
        <v>1656.3</v>
      </c>
      <c r="R2611">
        <v>41591</v>
      </c>
    </row>
    <row r="2612" spans="1:18" x14ac:dyDescent="0.25">
      <c r="A2612" s="160">
        <v>45874</v>
      </c>
      <c r="B2612" s="115">
        <v>4299</v>
      </c>
      <c r="C2612" s="115">
        <v>4239.3999999999996</v>
      </c>
      <c r="D2612" s="115">
        <v>4221</v>
      </c>
      <c r="E2612" s="115">
        <v>4299</v>
      </c>
      <c r="F2612" s="115">
        <v>4239.3999999999996</v>
      </c>
      <c r="G2612">
        <v>1529</v>
      </c>
      <c r="H2612" s="115"/>
      <c r="I2612" s="115"/>
      <c r="L2612" s="160">
        <v>45849</v>
      </c>
      <c r="M2612" s="115">
        <v>1624.5</v>
      </c>
      <c r="N2612" s="115">
        <v>1669.5</v>
      </c>
      <c r="O2612" s="115">
        <v>1597.2</v>
      </c>
      <c r="P2612" s="115">
        <v>1669.5</v>
      </c>
      <c r="Q2612" s="115">
        <v>1624.5</v>
      </c>
      <c r="R2612">
        <v>85833</v>
      </c>
    </row>
    <row r="2613" spans="1:18" x14ac:dyDescent="0.25">
      <c r="A2613" s="160">
        <v>45875</v>
      </c>
      <c r="B2613" s="115">
        <v>4296.3</v>
      </c>
      <c r="C2613" s="115">
        <v>4159</v>
      </c>
      <c r="D2613" s="115">
        <v>4149.8999999999996</v>
      </c>
      <c r="E2613" s="115">
        <v>4296.3</v>
      </c>
      <c r="F2613" s="115">
        <v>4159</v>
      </c>
      <c r="G2613">
        <v>1666</v>
      </c>
      <c r="H2613" s="115"/>
      <c r="I2613" s="115"/>
      <c r="L2613" s="160">
        <v>45852</v>
      </c>
      <c r="M2613" s="115">
        <v>1614.7</v>
      </c>
      <c r="N2613" s="115">
        <v>1628.8</v>
      </c>
      <c r="O2613" s="115">
        <v>1571.5</v>
      </c>
      <c r="P2613" s="115">
        <v>1621</v>
      </c>
      <c r="Q2613" s="115">
        <v>1614.7</v>
      </c>
      <c r="R2613">
        <v>86778</v>
      </c>
    </row>
    <row r="2614" spans="1:18" x14ac:dyDescent="0.25">
      <c r="A2614" s="160">
        <v>45876</v>
      </c>
      <c r="B2614" s="115">
        <v>4200</v>
      </c>
      <c r="C2614" s="115">
        <v>4098.25</v>
      </c>
      <c r="D2614" s="115">
        <v>4012.15</v>
      </c>
      <c r="E2614" s="115">
        <v>4172</v>
      </c>
      <c r="F2614" s="115">
        <v>4098.25</v>
      </c>
      <c r="G2614">
        <v>3066</v>
      </c>
      <c r="H2614" s="115"/>
      <c r="I2614" s="115"/>
      <c r="L2614" s="160">
        <v>45853</v>
      </c>
      <c r="M2614" s="115">
        <v>1705.2</v>
      </c>
      <c r="N2614" s="115">
        <v>1729</v>
      </c>
      <c r="O2614" s="115">
        <v>1638</v>
      </c>
      <c r="P2614" s="115">
        <v>1659</v>
      </c>
      <c r="Q2614" s="115">
        <v>1705.2</v>
      </c>
      <c r="R2614">
        <v>201059</v>
      </c>
    </row>
    <row r="2615" spans="1:18" x14ac:dyDescent="0.25">
      <c r="A2615" s="160">
        <v>45877</v>
      </c>
      <c r="B2615" s="115">
        <v>4348</v>
      </c>
      <c r="C2615" s="115">
        <v>4248.05</v>
      </c>
      <c r="D2615" s="115">
        <v>4050</v>
      </c>
      <c r="E2615" s="115">
        <v>4059</v>
      </c>
      <c r="F2615" s="115">
        <v>4248.05</v>
      </c>
      <c r="G2615">
        <v>3895</v>
      </c>
      <c r="H2615" s="115"/>
      <c r="I2615" s="115"/>
      <c r="L2615" s="160">
        <v>45854</v>
      </c>
      <c r="M2615" s="115">
        <v>1718.8</v>
      </c>
      <c r="N2615" s="115">
        <v>1740</v>
      </c>
      <c r="O2615" s="115">
        <v>1693.6</v>
      </c>
      <c r="P2615" s="115">
        <v>1712.9</v>
      </c>
      <c r="Q2615" s="115">
        <v>1718.8</v>
      </c>
      <c r="R2615">
        <v>71683</v>
      </c>
    </row>
    <row r="2616" spans="1:18" x14ac:dyDescent="0.25">
      <c r="A2616" s="160">
        <v>45880</v>
      </c>
      <c r="B2616" s="115">
        <v>4549.7</v>
      </c>
      <c r="C2616" s="115">
        <v>4410.75</v>
      </c>
      <c r="D2616" s="115">
        <v>4200</v>
      </c>
      <c r="E2616" s="115">
        <v>4274.95</v>
      </c>
      <c r="F2616" s="115">
        <v>4410.75</v>
      </c>
      <c r="G2616">
        <v>17586</v>
      </c>
      <c r="H2616" s="115"/>
      <c r="I2616" s="115"/>
      <c r="L2616" s="160">
        <v>45855</v>
      </c>
      <c r="M2616" s="115">
        <v>1779.3</v>
      </c>
      <c r="N2616" s="115">
        <v>1785</v>
      </c>
      <c r="O2616" s="115">
        <v>1720.9</v>
      </c>
      <c r="P2616" s="115">
        <v>1734</v>
      </c>
      <c r="Q2616" s="115">
        <v>1779.3</v>
      </c>
      <c r="R2616">
        <v>120247</v>
      </c>
    </row>
    <row r="2617" spans="1:18" x14ac:dyDescent="0.25">
      <c r="A2617" s="160">
        <v>45881</v>
      </c>
      <c r="B2617" s="115">
        <v>4428</v>
      </c>
      <c r="C2617" s="115">
        <v>4348.25</v>
      </c>
      <c r="D2617" s="115">
        <v>4311.1499999999996</v>
      </c>
      <c r="E2617" s="115">
        <v>4410</v>
      </c>
      <c r="F2617" s="115">
        <v>4348.25</v>
      </c>
      <c r="G2617">
        <v>1630</v>
      </c>
      <c r="H2617" s="115"/>
      <c r="I2617" s="115"/>
      <c r="L2617" s="160">
        <v>45856</v>
      </c>
      <c r="M2617" s="115">
        <v>1757</v>
      </c>
      <c r="N2617" s="115">
        <v>1793.3</v>
      </c>
      <c r="O2617" s="115">
        <v>1748.1</v>
      </c>
      <c r="P2617" s="115">
        <v>1780</v>
      </c>
      <c r="Q2617" s="115">
        <v>1757</v>
      </c>
      <c r="R2617">
        <v>60150</v>
      </c>
    </row>
    <row r="2618" spans="1:18" x14ac:dyDescent="0.25">
      <c r="A2618" s="160">
        <v>45882</v>
      </c>
      <c r="B2618" s="115">
        <v>4389</v>
      </c>
      <c r="C2618" s="115">
        <v>4324.8500000000004</v>
      </c>
      <c r="D2618" s="115">
        <v>4300.1499999999996</v>
      </c>
      <c r="E2618" s="115">
        <v>4350</v>
      </c>
      <c r="F2618" s="115">
        <v>4324.8500000000004</v>
      </c>
      <c r="G2618">
        <v>1069</v>
      </c>
      <c r="H2618" s="115"/>
      <c r="I2618" s="115"/>
      <c r="L2618" s="160">
        <v>45859</v>
      </c>
      <c r="M2618" s="115">
        <v>1762.6</v>
      </c>
      <c r="N2618" s="115">
        <v>1774.6</v>
      </c>
      <c r="O2618" s="115">
        <v>1747.3</v>
      </c>
      <c r="P2618" s="115">
        <v>1774.6</v>
      </c>
      <c r="Q2618" s="115">
        <v>1762.6</v>
      </c>
      <c r="R2618">
        <v>42392</v>
      </c>
    </row>
    <row r="2619" spans="1:18" x14ac:dyDescent="0.25">
      <c r="A2619" s="160">
        <v>45883</v>
      </c>
      <c r="B2619" s="115">
        <v>4466.6000000000004</v>
      </c>
      <c r="C2619" s="115">
        <v>4402.55</v>
      </c>
      <c r="D2619" s="115">
        <v>4282.05</v>
      </c>
      <c r="E2619" s="115">
        <v>4290</v>
      </c>
      <c r="F2619" s="115">
        <v>4402.55</v>
      </c>
      <c r="G2619">
        <v>2449</v>
      </c>
      <c r="H2619" s="115"/>
      <c r="I2619" s="115"/>
      <c r="L2619" s="160">
        <v>45860</v>
      </c>
      <c r="M2619" s="115">
        <v>1749.7</v>
      </c>
      <c r="N2619" s="115">
        <v>1789</v>
      </c>
      <c r="O2619" s="115">
        <v>1739.8</v>
      </c>
      <c r="P2619" s="115">
        <v>1774.6</v>
      </c>
      <c r="Q2619" s="115">
        <v>1749.7</v>
      </c>
      <c r="R2619">
        <v>54139</v>
      </c>
    </row>
    <row r="2620" spans="1:18" x14ac:dyDescent="0.25">
      <c r="A2620" s="160">
        <v>45887</v>
      </c>
      <c r="B2620" s="115">
        <v>4462.6000000000004</v>
      </c>
      <c r="C2620" s="115">
        <v>4310.8999999999996</v>
      </c>
      <c r="D2620" s="115">
        <v>4300</v>
      </c>
      <c r="E2620" s="115">
        <v>4402.95</v>
      </c>
      <c r="F2620" s="115">
        <v>4310.8999999999996</v>
      </c>
      <c r="G2620">
        <v>2592</v>
      </c>
      <c r="H2620" s="115"/>
      <c r="I2620" s="115"/>
      <c r="L2620" s="160">
        <v>45861</v>
      </c>
      <c r="M2620" s="115">
        <v>1714</v>
      </c>
      <c r="N2620" s="115">
        <v>1749.1</v>
      </c>
      <c r="O2620" s="115">
        <v>1700.1</v>
      </c>
      <c r="P2620" s="115">
        <v>1749.1</v>
      </c>
      <c r="Q2620" s="115">
        <v>1714</v>
      </c>
      <c r="R2620">
        <v>34722</v>
      </c>
    </row>
    <row r="2621" spans="1:18" x14ac:dyDescent="0.25">
      <c r="A2621" s="160">
        <v>45888</v>
      </c>
      <c r="B2621" s="115">
        <v>4795</v>
      </c>
      <c r="C2621" s="115">
        <v>4578.45</v>
      </c>
      <c r="D2621" s="115">
        <v>4315</v>
      </c>
      <c r="E2621" s="115">
        <v>4315</v>
      </c>
      <c r="F2621" s="115">
        <v>4578.45</v>
      </c>
      <c r="G2621">
        <v>17839</v>
      </c>
      <c r="H2621" s="115"/>
      <c r="I2621" s="115"/>
      <c r="L2621" s="160">
        <v>45862</v>
      </c>
      <c r="M2621" s="115">
        <v>1708.9</v>
      </c>
      <c r="N2621" s="115">
        <v>1714.9</v>
      </c>
      <c r="O2621" s="115">
        <v>1695</v>
      </c>
      <c r="P2621" s="115">
        <v>1701</v>
      </c>
      <c r="Q2621" s="115">
        <v>1708.9</v>
      </c>
      <c r="R2621">
        <v>22513</v>
      </c>
    </row>
    <row r="2622" spans="1:18" x14ac:dyDescent="0.25">
      <c r="A2622" s="160">
        <v>45889</v>
      </c>
      <c r="B2622" s="115">
        <v>4599</v>
      </c>
      <c r="C2622" s="115">
        <v>4462.7</v>
      </c>
      <c r="D2622" s="115">
        <v>4440</v>
      </c>
      <c r="E2622" s="115">
        <v>4580.95</v>
      </c>
      <c r="F2622" s="115">
        <v>4462.7</v>
      </c>
      <c r="G2622">
        <v>2377</v>
      </c>
      <c r="H2622" s="115"/>
      <c r="I2622" s="115"/>
      <c r="L2622" s="160">
        <v>45863</v>
      </c>
      <c r="M2622" s="115">
        <v>1729.4</v>
      </c>
      <c r="N2622" s="115">
        <v>1740</v>
      </c>
      <c r="O2622" s="115">
        <v>1674.4</v>
      </c>
      <c r="P2622" s="115">
        <v>1708.9</v>
      </c>
      <c r="Q2622" s="115">
        <v>1729.4</v>
      </c>
      <c r="R2622">
        <v>67704</v>
      </c>
    </row>
    <row r="2623" spans="1:18" x14ac:dyDescent="0.25">
      <c r="A2623" s="160">
        <v>45890</v>
      </c>
      <c r="B2623" s="115">
        <v>4625</v>
      </c>
      <c r="C2623" s="115">
        <v>4398.2</v>
      </c>
      <c r="D2623" s="115">
        <v>4366.5</v>
      </c>
      <c r="E2623" s="115">
        <v>4493</v>
      </c>
      <c r="F2623" s="115">
        <v>4398.2</v>
      </c>
      <c r="G2623">
        <v>10230</v>
      </c>
      <c r="H2623" s="115"/>
      <c r="I2623" s="115"/>
      <c r="L2623" s="160">
        <v>45866</v>
      </c>
      <c r="M2623" s="115">
        <v>1740.2</v>
      </c>
      <c r="N2623" s="115">
        <v>1780</v>
      </c>
      <c r="O2623" s="115">
        <v>1717.3</v>
      </c>
      <c r="P2623" s="115">
        <v>1734.3</v>
      </c>
      <c r="Q2623" s="115">
        <v>1740.2</v>
      </c>
      <c r="R2623">
        <v>78315</v>
      </c>
    </row>
    <row r="2624" spans="1:18" x14ac:dyDescent="0.25">
      <c r="A2624" s="160">
        <v>45891</v>
      </c>
      <c r="B2624" s="115">
        <v>4441.95</v>
      </c>
      <c r="C2624" s="115">
        <v>4394.8999999999996</v>
      </c>
      <c r="D2624" s="115">
        <v>4375</v>
      </c>
      <c r="E2624" s="115">
        <v>4441.95</v>
      </c>
      <c r="F2624" s="115">
        <v>4394.8999999999996</v>
      </c>
      <c r="G2624">
        <v>2112</v>
      </c>
      <c r="H2624" s="115"/>
      <c r="I2624" s="115"/>
      <c r="L2624" s="160">
        <v>45867</v>
      </c>
      <c r="M2624" s="115">
        <v>1844.8</v>
      </c>
      <c r="N2624" s="115">
        <v>1873.9</v>
      </c>
      <c r="O2624" s="115">
        <v>1734.1</v>
      </c>
      <c r="P2624" s="115">
        <v>1740.2</v>
      </c>
      <c r="Q2624" s="115">
        <v>1844.8</v>
      </c>
      <c r="R2624">
        <v>333033</v>
      </c>
    </row>
    <row r="2625" spans="1:18" x14ac:dyDescent="0.25">
      <c r="A2625" s="160">
        <v>45894</v>
      </c>
      <c r="B2625" s="115">
        <v>4687.7</v>
      </c>
      <c r="C2625" s="115">
        <v>4587.2</v>
      </c>
      <c r="D2625" s="115">
        <v>4380</v>
      </c>
      <c r="E2625" s="115">
        <v>4438</v>
      </c>
      <c r="F2625" s="115">
        <v>4587.2</v>
      </c>
      <c r="G2625">
        <v>14535</v>
      </c>
      <c r="H2625" s="115"/>
      <c r="I2625" s="115"/>
      <c r="L2625" s="160">
        <v>45868</v>
      </c>
      <c r="M2625" s="115">
        <v>1891.3</v>
      </c>
      <c r="N2625" s="115">
        <v>1899</v>
      </c>
      <c r="O2625" s="115">
        <v>1825</v>
      </c>
      <c r="P2625" s="115">
        <v>1850</v>
      </c>
      <c r="Q2625" s="115">
        <v>1891.3</v>
      </c>
      <c r="R2625">
        <v>171473</v>
      </c>
    </row>
    <row r="2626" spans="1:18" x14ac:dyDescent="0.25">
      <c r="A2626" s="160">
        <v>45895</v>
      </c>
      <c r="B2626" s="115">
        <v>4600</v>
      </c>
      <c r="C2626" s="115">
        <v>4498.2</v>
      </c>
      <c r="D2626" s="115">
        <v>4451.05</v>
      </c>
      <c r="E2626" s="115">
        <v>4600</v>
      </c>
      <c r="F2626" s="115">
        <v>4498.2</v>
      </c>
      <c r="G2626">
        <v>3714</v>
      </c>
      <c r="H2626" s="115"/>
      <c r="I2626" s="115"/>
      <c r="L2626" s="160">
        <v>45869</v>
      </c>
      <c r="M2626" s="115">
        <v>1910.2</v>
      </c>
      <c r="N2626" s="115">
        <v>1956</v>
      </c>
      <c r="O2626" s="115">
        <v>1836.2</v>
      </c>
      <c r="P2626" s="115">
        <v>1875</v>
      </c>
      <c r="Q2626" s="115">
        <v>1910.2</v>
      </c>
      <c r="R2626">
        <v>224659</v>
      </c>
    </row>
    <row r="2627" spans="1:18" x14ac:dyDescent="0.25">
      <c r="A2627" s="160">
        <v>45897</v>
      </c>
      <c r="B2627" s="115">
        <v>4589.95</v>
      </c>
      <c r="C2627" s="115">
        <v>4459.25</v>
      </c>
      <c r="D2627" s="115">
        <v>4420</v>
      </c>
      <c r="E2627" s="115">
        <v>4425.05</v>
      </c>
      <c r="F2627" s="115">
        <v>4459.25</v>
      </c>
      <c r="G2627">
        <v>2332</v>
      </c>
      <c r="H2627" s="115"/>
      <c r="I2627" s="115"/>
      <c r="L2627" s="160">
        <v>45870</v>
      </c>
      <c r="M2627" s="115">
        <v>1645.6</v>
      </c>
      <c r="N2627" s="115">
        <v>1975</v>
      </c>
      <c r="O2627" s="115">
        <v>1621.3</v>
      </c>
      <c r="P2627" s="115">
        <v>1923</v>
      </c>
      <c r="Q2627" s="115">
        <v>1645.6</v>
      </c>
      <c r="R2627">
        <v>944043</v>
      </c>
    </row>
    <row r="2628" spans="1:18" x14ac:dyDescent="0.25">
      <c r="A2628" s="160">
        <v>45898</v>
      </c>
      <c r="B2628" s="115">
        <v>4499.95</v>
      </c>
      <c r="C2628" s="115">
        <v>4345.1000000000004</v>
      </c>
      <c r="D2628" s="115">
        <v>4332</v>
      </c>
      <c r="E2628" s="115">
        <v>4465.1499999999996</v>
      </c>
      <c r="F2628" s="115">
        <v>4345.1000000000004</v>
      </c>
      <c r="G2628">
        <v>1620</v>
      </c>
      <c r="H2628" s="115"/>
      <c r="I2628" s="115"/>
      <c r="L2628" s="160">
        <v>45873</v>
      </c>
      <c r="M2628" s="115">
        <v>1638</v>
      </c>
      <c r="N2628" s="115">
        <v>1656</v>
      </c>
      <c r="O2628" s="115">
        <v>1547.6</v>
      </c>
      <c r="P2628" s="115">
        <v>1640</v>
      </c>
      <c r="Q2628" s="115">
        <v>1638</v>
      </c>
      <c r="R2628">
        <v>292731</v>
      </c>
    </row>
    <row r="2629" spans="1:18" x14ac:dyDescent="0.25">
      <c r="A2629" s="160">
        <v>45901</v>
      </c>
      <c r="B2629" s="115">
        <v>4498</v>
      </c>
      <c r="C2629" s="115">
        <v>4421.3</v>
      </c>
      <c r="D2629" s="115">
        <v>4321</v>
      </c>
      <c r="E2629" s="115">
        <v>4388.55</v>
      </c>
      <c r="F2629" s="115">
        <v>4421.3</v>
      </c>
      <c r="G2629">
        <v>2717</v>
      </c>
      <c r="H2629" s="115"/>
      <c r="I2629" s="115"/>
      <c r="L2629" s="160">
        <v>45874</v>
      </c>
      <c r="M2629" s="115">
        <v>1639.5</v>
      </c>
      <c r="N2629" s="115">
        <v>1651.9</v>
      </c>
      <c r="O2629" s="115">
        <v>1611.2</v>
      </c>
      <c r="P2629" s="115">
        <v>1643.9</v>
      </c>
      <c r="Q2629" s="115">
        <v>1639.5</v>
      </c>
      <c r="R2629">
        <v>50230</v>
      </c>
    </row>
    <row r="2630" spans="1:18" x14ac:dyDescent="0.25">
      <c r="A2630" s="160">
        <v>45902</v>
      </c>
      <c r="B2630" s="115">
        <v>4524</v>
      </c>
      <c r="C2630" s="115">
        <v>4395.6499999999996</v>
      </c>
      <c r="D2630" s="115">
        <v>4371</v>
      </c>
      <c r="E2630" s="115">
        <v>4372.05</v>
      </c>
      <c r="F2630" s="115">
        <v>4395.6499999999996</v>
      </c>
      <c r="G2630">
        <v>1945</v>
      </c>
      <c r="H2630" s="115"/>
      <c r="I2630" s="115"/>
      <c r="L2630" s="160">
        <v>45875</v>
      </c>
      <c r="M2630" s="115">
        <v>1615.2</v>
      </c>
      <c r="N2630" s="115">
        <v>1639.3</v>
      </c>
      <c r="O2630" s="115">
        <v>1601.2</v>
      </c>
      <c r="P2630" s="115">
        <v>1624.4</v>
      </c>
      <c r="Q2630" s="115">
        <v>1615.2</v>
      </c>
      <c r="R2630">
        <v>103658</v>
      </c>
    </row>
    <row r="2631" spans="1:18" x14ac:dyDescent="0.25">
      <c r="A2631" s="160">
        <v>45903</v>
      </c>
      <c r="B2631" s="115">
        <v>4560</v>
      </c>
      <c r="C2631" s="115">
        <v>4444.75</v>
      </c>
      <c r="D2631" s="115">
        <v>4375.05</v>
      </c>
      <c r="E2631" s="115">
        <v>4375.05</v>
      </c>
      <c r="F2631" s="115">
        <v>4444.75</v>
      </c>
      <c r="G2631">
        <v>4930</v>
      </c>
      <c r="H2631" s="115"/>
      <c r="I2631" s="115"/>
      <c r="L2631" s="160">
        <v>45876</v>
      </c>
      <c r="M2631" s="115">
        <v>1583.2</v>
      </c>
      <c r="N2631" s="115">
        <v>1608.9</v>
      </c>
      <c r="O2631" s="115">
        <v>1563.5</v>
      </c>
      <c r="P2631" s="115">
        <v>1608.9</v>
      </c>
      <c r="Q2631" s="115">
        <v>1583.2</v>
      </c>
      <c r="R2631">
        <v>89501</v>
      </c>
    </row>
    <row r="2632" spans="1:18" x14ac:dyDescent="0.25">
      <c r="A2632" s="160">
        <v>45904</v>
      </c>
      <c r="B2632" s="115">
        <v>4518.95</v>
      </c>
      <c r="C2632" s="115">
        <v>4389.3999999999996</v>
      </c>
      <c r="D2632" s="115">
        <v>4380.25</v>
      </c>
      <c r="E2632" s="115">
        <v>4518.95</v>
      </c>
      <c r="F2632" s="115">
        <v>4389.3999999999996</v>
      </c>
      <c r="G2632">
        <v>1259</v>
      </c>
      <c r="H2632" s="115"/>
      <c r="I2632" s="115"/>
      <c r="L2632" s="160">
        <v>45877</v>
      </c>
      <c r="M2632" s="115">
        <v>1599.6</v>
      </c>
      <c r="N2632" s="115">
        <v>1610.8</v>
      </c>
      <c r="O2632" s="115">
        <v>1559</v>
      </c>
      <c r="P2632" s="115">
        <v>1589.9</v>
      </c>
      <c r="Q2632" s="115">
        <v>1599.6</v>
      </c>
      <c r="R2632">
        <v>47406</v>
      </c>
    </row>
    <row r="2633" spans="1:18" x14ac:dyDescent="0.25">
      <c r="A2633" s="160">
        <v>45905</v>
      </c>
      <c r="B2633" s="115">
        <v>4494.5</v>
      </c>
      <c r="C2633" s="115">
        <v>4393.95</v>
      </c>
      <c r="D2633" s="115">
        <v>4361</v>
      </c>
      <c r="E2633" s="115">
        <v>4380.3500000000004</v>
      </c>
      <c r="F2633" s="115">
        <v>4393.95</v>
      </c>
      <c r="G2633">
        <v>5877</v>
      </c>
      <c r="H2633" s="115"/>
      <c r="I2633" s="115"/>
      <c r="L2633" s="160">
        <v>45880</v>
      </c>
      <c r="M2633" s="115">
        <v>1635.3</v>
      </c>
      <c r="N2633" s="115">
        <v>1645</v>
      </c>
      <c r="O2633" s="115">
        <v>1598.8</v>
      </c>
      <c r="P2633" s="115">
        <v>1610</v>
      </c>
      <c r="Q2633" s="115">
        <v>1635.3</v>
      </c>
      <c r="R2633">
        <v>55726</v>
      </c>
    </row>
    <row r="2634" spans="1:18" x14ac:dyDescent="0.25">
      <c r="A2634" s="160">
        <v>45908</v>
      </c>
      <c r="B2634" s="115">
        <v>4448.95</v>
      </c>
      <c r="C2634" s="115">
        <v>4352.5</v>
      </c>
      <c r="D2634" s="115">
        <v>4343</v>
      </c>
      <c r="E2634" s="115">
        <v>4448</v>
      </c>
      <c r="F2634" s="115">
        <v>4352.5</v>
      </c>
      <c r="G2634">
        <v>1890</v>
      </c>
      <c r="H2634" s="115"/>
      <c r="I2634" s="115"/>
      <c r="L2634" s="160">
        <v>45881</v>
      </c>
      <c r="M2634" s="115">
        <v>1651.5</v>
      </c>
      <c r="N2634" s="115">
        <v>1665</v>
      </c>
      <c r="O2634" s="115">
        <v>1615.6</v>
      </c>
      <c r="P2634" s="115">
        <v>1637.6</v>
      </c>
      <c r="Q2634" s="115">
        <v>1651.5</v>
      </c>
      <c r="R2634">
        <v>41149</v>
      </c>
    </row>
    <row r="2635" spans="1:18" x14ac:dyDescent="0.25">
      <c r="A2635" s="160">
        <v>45909</v>
      </c>
      <c r="B2635" s="115">
        <v>4630</v>
      </c>
      <c r="C2635" s="115">
        <v>4499.3</v>
      </c>
      <c r="D2635" s="115">
        <v>4363.2</v>
      </c>
      <c r="E2635" s="115">
        <v>4400.05</v>
      </c>
      <c r="F2635" s="115">
        <v>4499.3</v>
      </c>
      <c r="G2635">
        <v>14149</v>
      </c>
      <c r="H2635" s="115"/>
      <c r="I2635" s="115"/>
      <c r="L2635" s="160">
        <v>45882</v>
      </c>
      <c r="M2635" s="115">
        <v>1601</v>
      </c>
      <c r="N2635" s="115">
        <v>1648.5</v>
      </c>
      <c r="O2635" s="115">
        <v>1594.1</v>
      </c>
      <c r="P2635" s="115">
        <v>1648.4</v>
      </c>
      <c r="Q2635" s="115">
        <v>1601</v>
      </c>
      <c r="R2635">
        <v>68201</v>
      </c>
    </row>
    <row r="2636" spans="1:18" x14ac:dyDescent="0.25">
      <c r="A2636" s="160">
        <v>45910</v>
      </c>
      <c r="B2636" s="115">
        <v>4575</v>
      </c>
      <c r="C2636" s="115">
        <v>4456.75</v>
      </c>
      <c r="D2636" s="115">
        <v>4450.5</v>
      </c>
      <c r="E2636" s="115">
        <v>4500</v>
      </c>
      <c r="F2636" s="115">
        <v>4456.75</v>
      </c>
      <c r="G2636">
        <v>4037</v>
      </c>
      <c r="H2636" s="115"/>
      <c r="I2636" s="115"/>
      <c r="L2636" s="160">
        <v>45883</v>
      </c>
      <c r="M2636" s="115">
        <v>1596.3</v>
      </c>
      <c r="N2636" s="115">
        <v>1615</v>
      </c>
      <c r="O2636" s="115">
        <v>1586.6</v>
      </c>
      <c r="P2636" s="115">
        <v>1613.8</v>
      </c>
      <c r="Q2636" s="115">
        <v>1596.3</v>
      </c>
      <c r="R2636">
        <v>43236</v>
      </c>
    </row>
    <row r="2637" spans="1:18" x14ac:dyDescent="0.25">
      <c r="A2637" s="160">
        <v>45911</v>
      </c>
      <c r="B2637" s="115">
        <v>4550</v>
      </c>
      <c r="C2637" s="115">
        <v>4465.3</v>
      </c>
      <c r="D2637" s="115">
        <v>4435</v>
      </c>
      <c r="E2637" s="115">
        <v>4435</v>
      </c>
      <c r="F2637" s="115">
        <v>4465.3</v>
      </c>
      <c r="G2637">
        <v>1987</v>
      </c>
      <c r="H2637" s="115"/>
      <c r="I2637" s="115"/>
      <c r="L2637" s="160">
        <v>45887</v>
      </c>
      <c r="M2637" s="115">
        <v>1602.4</v>
      </c>
      <c r="N2637" s="115">
        <v>1627.4</v>
      </c>
      <c r="O2637" s="115">
        <v>1596.2</v>
      </c>
      <c r="P2637" s="115">
        <v>1609</v>
      </c>
      <c r="Q2637" s="115">
        <v>1602.4</v>
      </c>
      <c r="R2637">
        <v>28056</v>
      </c>
    </row>
    <row r="2638" spans="1:18" x14ac:dyDescent="0.25">
      <c r="A2638" s="160">
        <v>45912</v>
      </c>
      <c r="B2638" s="115">
        <v>4496</v>
      </c>
      <c r="C2638" s="115">
        <v>4432.3</v>
      </c>
      <c r="D2638" s="115">
        <v>4402.5</v>
      </c>
      <c r="E2638" s="115">
        <v>4465.3</v>
      </c>
      <c r="F2638" s="115">
        <v>4432.3</v>
      </c>
      <c r="G2638">
        <v>1978</v>
      </c>
      <c r="H2638" s="115"/>
      <c r="I2638" s="115"/>
      <c r="L2638" s="160">
        <v>45888</v>
      </c>
      <c r="M2638" s="115">
        <v>1624.1</v>
      </c>
      <c r="N2638" s="115">
        <v>1627</v>
      </c>
      <c r="O2638" s="115">
        <v>1599.9</v>
      </c>
      <c r="P2638" s="115">
        <v>1626.3</v>
      </c>
      <c r="Q2638" s="115">
        <v>1624.1</v>
      </c>
      <c r="R2638">
        <v>30071</v>
      </c>
    </row>
    <row r="2639" spans="1:18" x14ac:dyDescent="0.25">
      <c r="A2639" s="160">
        <v>45915</v>
      </c>
      <c r="B2639" s="115">
        <v>4507.95</v>
      </c>
      <c r="C2639" s="115">
        <v>4380.75</v>
      </c>
      <c r="D2639" s="115">
        <v>4350</v>
      </c>
      <c r="E2639" s="115">
        <v>4440.05</v>
      </c>
      <c r="F2639" s="115">
        <v>4380.75</v>
      </c>
      <c r="G2639">
        <v>3883</v>
      </c>
      <c r="H2639" s="115"/>
      <c r="I2639" s="115"/>
      <c r="L2639" s="160">
        <v>45889</v>
      </c>
      <c r="M2639" s="115">
        <v>1610.9</v>
      </c>
      <c r="N2639" s="115">
        <v>1627.2</v>
      </c>
      <c r="O2639" s="115">
        <v>1597.1</v>
      </c>
      <c r="P2639" s="115">
        <v>1622</v>
      </c>
      <c r="Q2639" s="115">
        <v>1610.9</v>
      </c>
      <c r="R2639">
        <v>32881</v>
      </c>
    </row>
    <row r="2640" spans="1:18" x14ac:dyDescent="0.25">
      <c r="A2640" s="160">
        <v>45916</v>
      </c>
      <c r="B2640" s="115">
        <v>4658.8999999999996</v>
      </c>
      <c r="C2640" s="115">
        <v>4513.3999999999996</v>
      </c>
      <c r="D2640" s="115">
        <v>4448</v>
      </c>
      <c r="E2640" s="115">
        <v>4448</v>
      </c>
      <c r="F2640" s="115">
        <v>4513.3999999999996</v>
      </c>
      <c r="G2640">
        <v>22613</v>
      </c>
      <c r="H2640" s="115"/>
      <c r="I2640" s="115"/>
      <c r="L2640" s="160">
        <v>45890</v>
      </c>
      <c r="M2640" s="115">
        <v>1600.6</v>
      </c>
      <c r="N2640" s="115">
        <v>1623.4</v>
      </c>
      <c r="O2640" s="115">
        <v>1596</v>
      </c>
      <c r="P2640" s="115">
        <v>1618.9</v>
      </c>
      <c r="Q2640" s="115">
        <v>1600.6</v>
      </c>
      <c r="R2640">
        <v>34920</v>
      </c>
    </row>
    <row r="2641" spans="1:18" x14ac:dyDescent="0.25">
      <c r="A2641" s="160">
        <v>45917</v>
      </c>
      <c r="B2641" s="115">
        <v>4669</v>
      </c>
      <c r="C2641" s="115">
        <v>4602.95</v>
      </c>
      <c r="D2641" s="115">
        <v>4493</v>
      </c>
      <c r="E2641" s="115">
        <v>4540.55</v>
      </c>
      <c r="F2641" s="115">
        <v>4602.95</v>
      </c>
      <c r="G2641">
        <v>13798</v>
      </c>
      <c r="H2641" s="115"/>
      <c r="I2641" s="115"/>
      <c r="L2641" s="160">
        <v>45891</v>
      </c>
      <c r="M2641" s="115">
        <v>1604.2</v>
      </c>
      <c r="N2641" s="115">
        <v>1610</v>
      </c>
      <c r="O2641" s="115">
        <v>1591</v>
      </c>
      <c r="P2641" s="115">
        <v>1606</v>
      </c>
      <c r="Q2641" s="115">
        <v>1604.2</v>
      </c>
      <c r="R2641">
        <v>32579</v>
      </c>
    </row>
    <row r="2642" spans="1:18" x14ac:dyDescent="0.25">
      <c r="A2642" s="160">
        <v>45918</v>
      </c>
      <c r="B2642" s="115">
        <v>5119.95</v>
      </c>
      <c r="C2642" s="115">
        <v>5057.55</v>
      </c>
      <c r="D2642" s="115">
        <v>4610</v>
      </c>
      <c r="E2642" s="115">
        <v>4610</v>
      </c>
      <c r="F2642" s="115">
        <v>5057.55</v>
      </c>
      <c r="G2642">
        <v>40150</v>
      </c>
      <c r="H2642" s="115"/>
      <c r="I2642" s="115"/>
      <c r="L2642" s="160">
        <v>45894</v>
      </c>
      <c r="M2642" s="115">
        <v>1597.7</v>
      </c>
      <c r="N2642" s="115">
        <v>1623.3</v>
      </c>
      <c r="O2642" s="115">
        <v>1589.9</v>
      </c>
      <c r="P2642" s="115">
        <v>1616.9</v>
      </c>
      <c r="Q2642" s="115">
        <v>1597.7</v>
      </c>
      <c r="R2642">
        <v>49416</v>
      </c>
    </row>
    <row r="2643" spans="1:18" x14ac:dyDescent="0.25">
      <c r="A2643" s="160">
        <v>45919</v>
      </c>
      <c r="B2643" s="115">
        <v>5339</v>
      </c>
      <c r="C2643" s="115">
        <v>5321.55</v>
      </c>
      <c r="D2643" s="115">
        <v>5076.05</v>
      </c>
      <c r="E2643" s="115">
        <v>5089.8999999999996</v>
      </c>
      <c r="F2643" s="115">
        <v>5321.55</v>
      </c>
      <c r="G2643">
        <v>39007</v>
      </c>
      <c r="H2643" s="115"/>
      <c r="I2643" s="115"/>
      <c r="L2643" s="160">
        <v>45895</v>
      </c>
      <c r="M2643" s="115">
        <v>1600.1</v>
      </c>
      <c r="N2643" s="115">
        <v>1610</v>
      </c>
      <c r="O2643" s="115">
        <v>1566.4</v>
      </c>
      <c r="P2643" s="115">
        <v>1581.6</v>
      </c>
      <c r="Q2643" s="115">
        <v>1600.1</v>
      </c>
      <c r="R2643">
        <v>64589</v>
      </c>
    </row>
    <row r="2644" spans="1:18" x14ac:dyDescent="0.25">
      <c r="A2644" s="160">
        <v>45922</v>
      </c>
      <c r="B2644" s="115">
        <v>6385.85</v>
      </c>
      <c r="C2644" s="115">
        <v>6203.15</v>
      </c>
      <c r="D2644" s="115">
        <v>5309.95</v>
      </c>
      <c r="E2644" s="115">
        <v>5324</v>
      </c>
      <c r="F2644" s="115">
        <v>6203.15</v>
      </c>
      <c r="G2644">
        <v>295327</v>
      </c>
      <c r="H2644" s="115"/>
      <c r="I2644" s="115"/>
      <c r="L2644" s="160">
        <v>45897</v>
      </c>
      <c r="M2644" s="115">
        <v>1571.9</v>
      </c>
      <c r="N2644" s="115">
        <v>1606.3</v>
      </c>
      <c r="O2644" s="115">
        <v>1561</v>
      </c>
      <c r="P2644" s="115">
        <v>1600</v>
      </c>
      <c r="Q2644" s="115">
        <v>1571.9</v>
      </c>
      <c r="R2644">
        <v>36864</v>
      </c>
    </row>
    <row r="2645" spans="1:18" x14ac:dyDescent="0.25">
      <c r="A2645" s="160">
        <v>45923</v>
      </c>
      <c r="B2645" s="115">
        <v>6280</v>
      </c>
      <c r="C2645" s="115">
        <v>5611.55</v>
      </c>
      <c r="D2645" s="115">
        <v>5582.85</v>
      </c>
      <c r="E2645" s="115">
        <v>6088</v>
      </c>
      <c r="F2645" s="115">
        <v>5611.55</v>
      </c>
      <c r="G2645">
        <v>90283</v>
      </c>
      <c r="H2645" s="115"/>
      <c r="I2645" s="115"/>
      <c r="L2645" s="160">
        <v>45898</v>
      </c>
      <c r="M2645" s="115">
        <v>1600.1</v>
      </c>
      <c r="N2645" s="115">
        <v>1604.8</v>
      </c>
      <c r="O2645" s="115">
        <v>1561.4</v>
      </c>
      <c r="P2645" s="115">
        <v>1561.4</v>
      </c>
      <c r="Q2645" s="115">
        <v>1600.1</v>
      </c>
      <c r="R2645">
        <v>39769</v>
      </c>
    </row>
    <row r="2646" spans="1:18" x14ac:dyDescent="0.25">
      <c r="A2646" s="160">
        <v>45924</v>
      </c>
      <c r="B2646" s="115">
        <v>5694</v>
      </c>
      <c r="C2646" s="115">
        <v>5503.6</v>
      </c>
      <c r="D2646" s="115">
        <v>5390.1</v>
      </c>
      <c r="E2646" s="115">
        <v>5511.55</v>
      </c>
      <c r="F2646" s="115">
        <v>5503.6</v>
      </c>
      <c r="G2646">
        <v>18854</v>
      </c>
      <c r="H2646" s="115"/>
      <c r="I2646" s="115"/>
      <c r="L2646" s="160">
        <v>45901</v>
      </c>
      <c r="M2646" s="115">
        <v>1624.8</v>
      </c>
      <c r="N2646" s="115">
        <v>1630</v>
      </c>
      <c r="O2646" s="115">
        <v>1575.9</v>
      </c>
      <c r="P2646" s="115">
        <v>1600</v>
      </c>
      <c r="Q2646" s="115">
        <v>1624.8</v>
      </c>
      <c r="R2646">
        <v>54108</v>
      </c>
    </row>
    <row r="2647" spans="1:18" x14ac:dyDescent="0.25">
      <c r="A2647" s="160">
        <v>45925</v>
      </c>
      <c r="B2647" s="115">
        <v>5649</v>
      </c>
      <c r="C2647" s="115">
        <v>5471.8</v>
      </c>
      <c r="D2647" s="115">
        <v>5451.05</v>
      </c>
      <c r="E2647" s="115">
        <v>5503.6</v>
      </c>
      <c r="F2647" s="115">
        <v>5471.8</v>
      </c>
      <c r="G2647">
        <v>6701</v>
      </c>
      <c r="H2647" s="115"/>
      <c r="I2647" s="115"/>
      <c r="L2647" s="160">
        <v>45902</v>
      </c>
      <c r="M2647" s="115">
        <v>1645</v>
      </c>
      <c r="N2647" s="115">
        <v>1649</v>
      </c>
      <c r="O2647" s="115">
        <v>1606</v>
      </c>
      <c r="P2647" s="115">
        <v>1606.6</v>
      </c>
      <c r="Q2647" s="115">
        <v>1645</v>
      </c>
      <c r="R2647">
        <v>33404</v>
      </c>
    </row>
    <row r="2648" spans="1:18" x14ac:dyDescent="0.25">
      <c r="A2648" s="160">
        <v>45926</v>
      </c>
      <c r="B2648" s="115">
        <v>5599</v>
      </c>
      <c r="C2648" s="115">
        <v>5284.7</v>
      </c>
      <c r="D2648" s="115">
        <v>5250</v>
      </c>
      <c r="E2648" s="115">
        <v>5500</v>
      </c>
      <c r="F2648" s="115">
        <v>5284.7</v>
      </c>
      <c r="G2648">
        <v>8034</v>
      </c>
      <c r="H2648" s="115"/>
      <c r="I2648" s="115"/>
      <c r="L2648" s="160">
        <v>45903</v>
      </c>
      <c r="M2648" s="115">
        <v>1637.5</v>
      </c>
      <c r="N2648" s="115">
        <v>1654.4</v>
      </c>
      <c r="O2648" s="115">
        <v>1618</v>
      </c>
      <c r="P2648" s="115">
        <v>1648</v>
      </c>
      <c r="Q2648" s="115">
        <v>1637.5</v>
      </c>
      <c r="R2648">
        <v>86487</v>
      </c>
    </row>
    <row r="2649" spans="1:18" x14ac:dyDescent="0.25">
      <c r="A2649" s="160">
        <v>45929</v>
      </c>
      <c r="B2649" s="115">
        <v>5495</v>
      </c>
      <c r="C2649" s="115">
        <v>5426.95</v>
      </c>
      <c r="D2649" s="115">
        <v>5120</v>
      </c>
      <c r="E2649" s="115">
        <v>5330</v>
      </c>
      <c r="F2649" s="115">
        <v>5426.95</v>
      </c>
      <c r="G2649">
        <v>7360</v>
      </c>
      <c r="H2649" s="115"/>
      <c r="I2649" s="115"/>
      <c r="L2649" s="160">
        <v>45904</v>
      </c>
      <c r="M2649" s="115">
        <v>1616</v>
      </c>
      <c r="N2649" s="115">
        <v>1650</v>
      </c>
      <c r="O2649" s="115">
        <v>1610.3</v>
      </c>
      <c r="P2649" s="115">
        <v>1646</v>
      </c>
      <c r="Q2649" s="115">
        <v>1616</v>
      </c>
      <c r="R2649">
        <v>20034</v>
      </c>
    </row>
    <row r="2650" spans="1:18" x14ac:dyDescent="0.25">
      <c r="A2650" s="160">
        <v>45930</v>
      </c>
      <c r="B2650" s="115">
        <v>5969.6</v>
      </c>
      <c r="C2650" s="115">
        <v>5927.35</v>
      </c>
      <c r="D2650" s="115">
        <v>5440</v>
      </c>
      <c r="E2650" s="115">
        <v>5545</v>
      </c>
      <c r="F2650" s="115">
        <v>5927.35</v>
      </c>
      <c r="G2650">
        <v>59715</v>
      </c>
      <c r="H2650" s="115"/>
      <c r="I2650" s="115"/>
      <c r="L2650" s="160">
        <v>45905</v>
      </c>
      <c r="M2650" s="115">
        <v>1604.4</v>
      </c>
      <c r="N2650" s="115">
        <v>1629</v>
      </c>
      <c r="O2650" s="115">
        <v>1601</v>
      </c>
      <c r="P2650" s="115">
        <v>1616</v>
      </c>
      <c r="Q2650" s="115">
        <v>1604.4</v>
      </c>
      <c r="R2650">
        <v>14116</v>
      </c>
    </row>
    <row r="2651" spans="1:18" x14ac:dyDescent="0.25">
      <c r="A2651" s="160">
        <v>45931</v>
      </c>
      <c r="B2651" s="115">
        <v>6384.95</v>
      </c>
      <c r="C2651" s="115">
        <v>6037</v>
      </c>
      <c r="D2651" s="115">
        <v>5771.1</v>
      </c>
      <c r="E2651" s="115">
        <v>5837</v>
      </c>
      <c r="F2651" s="115">
        <v>6037</v>
      </c>
      <c r="G2651">
        <v>58627</v>
      </c>
      <c r="H2651" s="115"/>
      <c r="I2651" s="115"/>
      <c r="L2651" s="160">
        <v>45908</v>
      </c>
      <c r="M2651" s="115">
        <v>1572</v>
      </c>
      <c r="N2651" s="115">
        <v>1610</v>
      </c>
      <c r="O2651" s="115">
        <v>1568.1</v>
      </c>
      <c r="P2651" s="115">
        <v>1610</v>
      </c>
      <c r="Q2651" s="115">
        <v>1572</v>
      </c>
      <c r="R2651">
        <v>24874</v>
      </c>
    </row>
    <row r="2652" spans="1:18" x14ac:dyDescent="0.25">
      <c r="A2652" s="160">
        <v>45933</v>
      </c>
      <c r="B2652" s="115">
        <v>6599.95</v>
      </c>
      <c r="C2652" s="115">
        <v>6426.95</v>
      </c>
      <c r="D2652" s="115">
        <v>6100</v>
      </c>
      <c r="E2652" s="115">
        <v>6100</v>
      </c>
      <c r="F2652" s="115">
        <v>6426.95</v>
      </c>
      <c r="G2652">
        <v>104067</v>
      </c>
      <c r="H2652" s="115"/>
      <c r="I2652" s="115"/>
      <c r="L2652" s="160">
        <v>45909</v>
      </c>
      <c r="M2652" s="115">
        <v>1562.2</v>
      </c>
      <c r="N2652" s="115">
        <v>1589.8</v>
      </c>
      <c r="O2652" s="115">
        <v>1552</v>
      </c>
      <c r="P2652" s="115">
        <v>1572</v>
      </c>
      <c r="Q2652" s="115">
        <v>1562.2</v>
      </c>
      <c r="R2652">
        <v>21134</v>
      </c>
    </row>
    <row r="2653" spans="1:18" x14ac:dyDescent="0.25">
      <c r="A2653" s="160">
        <v>45936</v>
      </c>
      <c r="B2653" s="115">
        <v>6660</v>
      </c>
      <c r="C2653" s="115">
        <v>5829.55</v>
      </c>
      <c r="D2653" s="115">
        <v>5784.3</v>
      </c>
      <c r="E2653" s="115">
        <v>6300</v>
      </c>
      <c r="F2653" s="115">
        <v>5829.55</v>
      </c>
      <c r="G2653">
        <v>83041</v>
      </c>
      <c r="H2653" s="115"/>
      <c r="I2653" s="115"/>
      <c r="L2653" s="160">
        <v>45910</v>
      </c>
      <c r="M2653" s="115">
        <v>1579.1</v>
      </c>
      <c r="N2653" s="115">
        <v>1585.9</v>
      </c>
      <c r="O2653" s="115">
        <v>1563.7</v>
      </c>
      <c r="P2653" s="115">
        <v>1566.6</v>
      </c>
      <c r="Q2653" s="115">
        <v>1579.1</v>
      </c>
      <c r="R2653">
        <v>10719</v>
      </c>
    </row>
    <row r="2654" spans="1:18" x14ac:dyDescent="0.25">
      <c r="A2654" s="160">
        <v>45937</v>
      </c>
      <c r="B2654" s="115">
        <v>5770</v>
      </c>
      <c r="C2654" s="115">
        <v>5601.7</v>
      </c>
      <c r="D2654" s="115">
        <v>5575</v>
      </c>
      <c r="E2654" s="115">
        <v>5770</v>
      </c>
      <c r="F2654" s="115">
        <v>5601.7</v>
      </c>
      <c r="G2654">
        <v>14832</v>
      </c>
      <c r="H2654" s="115"/>
      <c r="I2654" s="115"/>
      <c r="L2654" s="160">
        <v>45911</v>
      </c>
      <c r="M2654" s="115">
        <v>1577.4</v>
      </c>
      <c r="N2654" s="115">
        <v>1598.8</v>
      </c>
      <c r="O2654" s="115">
        <v>1563.2</v>
      </c>
      <c r="P2654" s="115">
        <v>1584.9</v>
      </c>
      <c r="Q2654" s="115">
        <v>1577.4</v>
      </c>
      <c r="R2654">
        <v>18787</v>
      </c>
    </row>
    <row r="2655" spans="1:18" x14ac:dyDescent="0.25">
      <c r="A2655" s="160">
        <v>45938</v>
      </c>
      <c r="B2655" s="115">
        <v>5661</v>
      </c>
      <c r="C2655" s="115">
        <v>5399.9</v>
      </c>
      <c r="D2655" s="115">
        <v>5321.05</v>
      </c>
      <c r="E2655" s="115">
        <v>5661</v>
      </c>
      <c r="F2655" s="115">
        <v>5399.9</v>
      </c>
      <c r="G2655">
        <v>15834</v>
      </c>
      <c r="H2655" s="115"/>
      <c r="I2655" s="115"/>
      <c r="L2655" s="160">
        <v>45912</v>
      </c>
      <c r="M2655" s="115">
        <v>1564</v>
      </c>
      <c r="N2655" s="115">
        <v>1584.9</v>
      </c>
      <c r="O2655" s="115">
        <v>1560.3</v>
      </c>
      <c r="P2655" s="115">
        <v>1582</v>
      </c>
      <c r="Q2655" s="115">
        <v>1564</v>
      </c>
      <c r="R2655">
        <v>21929</v>
      </c>
    </row>
    <row r="2656" spans="1:18" x14ac:dyDescent="0.25">
      <c r="A2656" s="160">
        <v>45939</v>
      </c>
      <c r="B2656" s="115">
        <v>5456.95</v>
      </c>
      <c r="C2656" s="115">
        <v>5284.25</v>
      </c>
      <c r="D2656" s="115">
        <v>5250</v>
      </c>
      <c r="E2656" s="115">
        <v>5415.85</v>
      </c>
      <c r="F2656" s="115">
        <v>5284.25</v>
      </c>
      <c r="G2656">
        <v>10622</v>
      </c>
      <c r="H2656" s="115"/>
      <c r="I2656" s="115"/>
      <c r="L2656" s="160">
        <v>45915</v>
      </c>
      <c r="M2656" s="115">
        <v>1553.6</v>
      </c>
      <c r="N2656" s="115">
        <v>1570.3</v>
      </c>
      <c r="O2656" s="115">
        <v>1536</v>
      </c>
      <c r="P2656" s="115">
        <v>1570.3</v>
      </c>
      <c r="Q2656" s="115">
        <v>1553.6</v>
      </c>
      <c r="R2656">
        <v>33760</v>
      </c>
    </row>
    <row r="2657" spans="1:18" x14ac:dyDescent="0.25">
      <c r="A2657" s="160">
        <v>45940</v>
      </c>
      <c r="B2657" s="115">
        <v>5569.95</v>
      </c>
      <c r="C2657" s="115">
        <v>5394.85</v>
      </c>
      <c r="D2657" s="115">
        <v>5300</v>
      </c>
      <c r="E2657" s="115">
        <v>5300</v>
      </c>
      <c r="F2657" s="115">
        <v>5394.85</v>
      </c>
      <c r="G2657">
        <v>10015</v>
      </c>
      <c r="H2657" s="115"/>
      <c r="I2657" s="115"/>
      <c r="L2657" s="160">
        <v>45916</v>
      </c>
      <c r="M2657" s="115">
        <v>1545.7</v>
      </c>
      <c r="N2657" s="115">
        <v>1575.5</v>
      </c>
      <c r="O2657" s="115">
        <v>1541</v>
      </c>
      <c r="P2657" s="115">
        <v>1560</v>
      </c>
      <c r="Q2657" s="115">
        <v>1545.7</v>
      </c>
      <c r="R2657">
        <v>28118</v>
      </c>
    </row>
    <row r="2658" spans="1:18" x14ac:dyDescent="0.25">
      <c r="A2658" s="160">
        <v>45943</v>
      </c>
      <c r="B2658" s="115">
        <v>5500</v>
      </c>
      <c r="C2658" s="115">
        <v>5465.3</v>
      </c>
      <c r="D2658" s="115">
        <v>5370.1</v>
      </c>
      <c r="E2658" s="115">
        <v>5394.85</v>
      </c>
      <c r="F2658" s="115">
        <v>5465.3</v>
      </c>
      <c r="G2658">
        <v>5972</v>
      </c>
      <c r="H2658" s="115"/>
      <c r="I2658" s="115"/>
      <c r="L2658" s="160">
        <v>45917</v>
      </c>
      <c r="M2658" s="115">
        <v>1567.3</v>
      </c>
      <c r="N2658" s="115">
        <v>1574</v>
      </c>
      <c r="O2658" s="115">
        <v>1545.9</v>
      </c>
      <c r="P2658" s="115">
        <v>1552.6</v>
      </c>
      <c r="Q2658" s="115">
        <v>1567.3</v>
      </c>
      <c r="R2658">
        <v>11007</v>
      </c>
    </row>
    <row r="2659" spans="1:18" x14ac:dyDescent="0.25">
      <c r="A2659" s="160">
        <v>45944</v>
      </c>
      <c r="B2659" s="115">
        <v>5500</v>
      </c>
      <c r="C2659" s="115">
        <v>5402.85</v>
      </c>
      <c r="D2659" s="115">
        <v>5360.1</v>
      </c>
      <c r="E2659" s="115">
        <v>5411</v>
      </c>
      <c r="F2659" s="115">
        <v>5402.85</v>
      </c>
      <c r="G2659">
        <v>3182</v>
      </c>
      <c r="H2659" s="115"/>
      <c r="I2659" s="115"/>
      <c r="L2659" s="160">
        <v>45918</v>
      </c>
      <c r="M2659" s="115">
        <v>1562.4</v>
      </c>
      <c r="N2659" s="115">
        <v>1578</v>
      </c>
      <c r="O2659" s="115">
        <v>1552.6</v>
      </c>
      <c r="P2659" s="115">
        <v>1570</v>
      </c>
      <c r="Q2659" s="115">
        <v>1562.4</v>
      </c>
      <c r="R2659">
        <v>17787</v>
      </c>
    </row>
    <row r="2660" spans="1:18" x14ac:dyDescent="0.25">
      <c r="A2660" s="160">
        <v>45945</v>
      </c>
      <c r="B2660" s="115">
        <v>5490</v>
      </c>
      <c r="C2660" s="115">
        <v>5398.1</v>
      </c>
      <c r="D2660" s="115">
        <v>5370.1</v>
      </c>
      <c r="E2660" s="115">
        <v>5400.05</v>
      </c>
      <c r="F2660" s="115">
        <v>5398.1</v>
      </c>
      <c r="G2660">
        <v>3389</v>
      </c>
      <c r="H2660" s="115"/>
      <c r="I2660" s="115"/>
      <c r="L2660" s="160">
        <v>45919</v>
      </c>
      <c r="M2660" s="115">
        <v>1556.6</v>
      </c>
      <c r="N2660" s="115">
        <v>1575</v>
      </c>
      <c r="O2660" s="115">
        <v>1551.1</v>
      </c>
      <c r="P2660" s="115">
        <v>1575</v>
      </c>
      <c r="Q2660" s="115">
        <v>1556.6</v>
      </c>
      <c r="R2660">
        <v>14741</v>
      </c>
    </row>
    <row r="2661" spans="1:18" x14ac:dyDescent="0.25">
      <c r="A2661" s="160">
        <v>45946</v>
      </c>
      <c r="B2661" s="115">
        <v>5500</v>
      </c>
      <c r="C2661" s="115">
        <v>5428.05</v>
      </c>
      <c r="D2661" s="115">
        <v>5382</v>
      </c>
      <c r="E2661" s="115">
        <v>5439.7</v>
      </c>
      <c r="F2661" s="115">
        <v>5428.05</v>
      </c>
      <c r="G2661">
        <v>2746</v>
      </c>
      <c r="H2661" s="115"/>
      <c r="I2661" s="115"/>
      <c r="L2661" s="160">
        <v>45922</v>
      </c>
      <c r="M2661" s="115">
        <v>1547.6</v>
      </c>
      <c r="N2661" s="115">
        <v>1562.8</v>
      </c>
      <c r="O2661" s="115">
        <v>1545</v>
      </c>
      <c r="P2661" s="115">
        <v>1556.6</v>
      </c>
      <c r="Q2661" s="115">
        <v>1547.6</v>
      </c>
      <c r="R2661">
        <v>9416</v>
      </c>
    </row>
    <row r="2662" spans="1:18" x14ac:dyDescent="0.25">
      <c r="A2662" s="160">
        <v>45947</v>
      </c>
      <c r="B2662" s="115">
        <v>5479.95</v>
      </c>
      <c r="C2662" s="115">
        <v>5301.75</v>
      </c>
      <c r="D2662" s="115">
        <v>5230</v>
      </c>
      <c r="E2662" s="115">
        <v>5430.05</v>
      </c>
      <c r="F2662" s="115">
        <v>5301.75</v>
      </c>
      <c r="G2662">
        <v>2874</v>
      </c>
      <c r="H2662" s="115"/>
      <c r="I2662" s="115"/>
      <c r="L2662" s="160">
        <v>45923</v>
      </c>
      <c r="M2662" s="115">
        <v>1544.6</v>
      </c>
      <c r="N2662" s="115">
        <v>1564.9</v>
      </c>
      <c r="O2662" s="115">
        <v>1531.2</v>
      </c>
      <c r="P2662" s="115">
        <v>1550</v>
      </c>
      <c r="Q2662" s="115">
        <v>1544.6</v>
      </c>
      <c r="R2662">
        <v>20789</v>
      </c>
    </row>
    <row r="2663" spans="1:18" x14ac:dyDescent="0.25">
      <c r="A2663" s="160">
        <v>45950</v>
      </c>
      <c r="B2663" s="115">
        <v>5407.8</v>
      </c>
      <c r="C2663" s="115">
        <v>5383</v>
      </c>
      <c r="D2663" s="115">
        <v>5240</v>
      </c>
      <c r="E2663" s="115">
        <v>5407.8</v>
      </c>
      <c r="F2663" s="115">
        <v>5383</v>
      </c>
      <c r="G2663">
        <v>2245</v>
      </c>
      <c r="H2663" s="115"/>
      <c r="I2663" s="115"/>
      <c r="L2663" s="160">
        <v>45924</v>
      </c>
      <c r="M2663" s="115">
        <v>1529.1</v>
      </c>
      <c r="N2663" s="115">
        <v>1555</v>
      </c>
      <c r="O2663" s="115">
        <v>1523.7</v>
      </c>
      <c r="P2663" s="115">
        <v>1554.7</v>
      </c>
      <c r="Q2663" s="115">
        <v>1529.1</v>
      </c>
      <c r="R2663">
        <v>18694</v>
      </c>
    </row>
    <row r="2664" spans="1:18" x14ac:dyDescent="0.25">
      <c r="A2664" s="160">
        <v>45951</v>
      </c>
      <c r="B2664" s="115">
        <v>5490</v>
      </c>
      <c r="C2664" s="115">
        <v>5436.9</v>
      </c>
      <c r="D2664" s="115">
        <v>5400</v>
      </c>
      <c r="E2664" s="115">
        <v>5400</v>
      </c>
      <c r="F2664" s="115">
        <v>5436.9</v>
      </c>
      <c r="G2664">
        <v>1713</v>
      </c>
      <c r="H2664" s="115"/>
      <c r="I2664" s="115"/>
      <c r="L2664" s="160">
        <v>45925</v>
      </c>
      <c r="M2664" s="115">
        <v>1512.6</v>
      </c>
      <c r="N2664" s="115">
        <v>1528.7</v>
      </c>
      <c r="O2664" s="115">
        <v>1506.1</v>
      </c>
      <c r="P2664" s="115">
        <v>1528</v>
      </c>
      <c r="Q2664" s="115">
        <v>1512.6</v>
      </c>
      <c r="R2664">
        <v>13303</v>
      </c>
    </row>
    <row r="2665" spans="1:18" x14ac:dyDescent="0.25">
      <c r="A2665" s="160">
        <v>45953</v>
      </c>
      <c r="B2665" s="115">
        <v>5476</v>
      </c>
      <c r="C2665" s="115">
        <v>5390</v>
      </c>
      <c r="D2665" s="115">
        <v>5333</v>
      </c>
      <c r="E2665" s="115">
        <v>5450</v>
      </c>
      <c r="F2665" s="115">
        <v>5390</v>
      </c>
      <c r="G2665">
        <v>1906</v>
      </c>
      <c r="H2665" s="115"/>
      <c r="I2665" s="115"/>
      <c r="L2665" s="160">
        <v>45926</v>
      </c>
      <c r="M2665" s="115">
        <v>1501.4</v>
      </c>
      <c r="N2665" s="115">
        <v>1521</v>
      </c>
      <c r="O2665" s="115">
        <v>1486</v>
      </c>
      <c r="P2665" s="115">
        <v>1493</v>
      </c>
      <c r="Q2665" s="115">
        <v>1501.4</v>
      </c>
      <c r="R2665">
        <v>23012</v>
      </c>
    </row>
    <row r="2666" spans="1:18" x14ac:dyDescent="0.25">
      <c r="A2666" s="160">
        <v>45954</v>
      </c>
      <c r="B2666" s="115">
        <v>5423.95</v>
      </c>
      <c r="C2666" s="115">
        <v>5292.6</v>
      </c>
      <c r="D2666" s="115">
        <v>5285</v>
      </c>
      <c r="E2666" s="115">
        <v>5321.05</v>
      </c>
      <c r="F2666" s="115">
        <v>5292.6</v>
      </c>
      <c r="G2666">
        <v>3907</v>
      </c>
      <c r="H2666" s="115"/>
      <c r="I2666" s="115"/>
      <c r="L2666" s="160">
        <v>45929</v>
      </c>
      <c r="M2666" s="115">
        <v>1524.3</v>
      </c>
      <c r="N2666" s="115">
        <v>1620.4</v>
      </c>
      <c r="O2666" s="115">
        <v>1487.7</v>
      </c>
      <c r="P2666" s="115">
        <v>1508</v>
      </c>
      <c r="Q2666" s="115">
        <v>1524.3</v>
      </c>
      <c r="R2666">
        <v>148228</v>
      </c>
    </row>
    <row r="2667" spans="1:18" x14ac:dyDescent="0.25">
      <c r="A2667" s="160">
        <v>45957</v>
      </c>
      <c r="B2667" s="115">
        <v>5418</v>
      </c>
      <c r="C2667" s="115">
        <v>5356.35</v>
      </c>
      <c r="D2667" s="115">
        <v>5290</v>
      </c>
      <c r="E2667" s="115">
        <v>5377</v>
      </c>
      <c r="F2667" s="115">
        <v>5356.35</v>
      </c>
      <c r="G2667">
        <v>1130</v>
      </c>
      <c r="H2667" s="115"/>
      <c r="I2667" s="115"/>
      <c r="L2667" s="160">
        <v>45930</v>
      </c>
      <c r="M2667" s="115">
        <v>1539.3</v>
      </c>
      <c r="N2667" s="115">
        <v>1559.9</v>
      </c>
      <c r="O2667" s="115">
        <v>1502.2</v>
      </c>
      <c r="P2667" s="115">
        <v>1510</v>
      </c>
      <c r="Q2667" s="115">
        <v>1539.3</v>
      </c>
      <c r="R2667">
        <v>36472</v>
      </c>
    </row>
    <row r="2668" spans="1:18" x14ac:dyDescent="0.25">
      <c r="A2668" s="160">
        <v>45958</v>
      </c>
      <c r="B2668" s="115">
        <v>5369.35</v>
      </c>
      <c r="C2668" s="115">
        <v>5219</v>
      </c>
      <c r="D2668" s="115">
        <v>5210</v>
      </c>
      <c r="E2668" s="115">
        <v>5255</v>
      </c>
      <c r="F2668" s="115">
        <v>5219</v>
      </c>
      <c r="G2668">
        <v>3234</v>
      </c>
      <c r="H2668" s="115"/>
      <c r="I2668" s="115"/>
      <c r="L2668" s="160">
        <v>45931</v>
      </c>
      <c r="M2668" s="115">
        <v>1537.5</v>
      </c>
      <c r="N2668" s="115">
        <v>1544.2</v>
      </c>
      <c r="O2668" s="115">
        <v>1508.4</v>
      </c>
      <c r="P2668" s="115">
        <v>1537</v>
      </c>
      <c r="Q2668" s="115">
        <v>1537.5</v>
      </c>
      <c r="R2668">
        <v>25552</v>
      </c>
    </row>
    <row r="2669" spans="1:18" x14ac:dyDescent="0.25">
      <c r="A2669" s="160">
        <v>45959</v>
      </c>
      <c r="B2669" s="115">
        <v>5328.95</v>
      </c>
      <c r="C2669" s="115">
        <v>5083.75</v>
      </c>
      <c r="D2669" s="115">
        <v>5052.05</v>
      </c>
      <c r="E2669" s="115">
        <v>5213.1000000000004</v>
      </c>
      <c r="F2669" s="115">
        <v>5083.75</v>
      </c>
      <c r="G2669">
        <v>13584</v>
      </c>
      <c r="H2669" s="115"/>
      <c r="I2669" s="115"/>
      <c r="L2669" s="160">
        <v>45933</v>
      </c>
      <c r="M2669" s="115">
        <v>1526.6</v>
      </c>
      <c r="N2669" s="115">
        <v>1568.8</v>
      </c>
      <c r="O2669" s="115">
        <v>1510.2</v>
      </c>
      <c r="P2669" s="115">
        <v>1537.5</v>
      </c>
      <c r="Q2669" s="115">
        <v>1526.6</v>
      </c>
      <c r="R2669">
        <v>25635</v>
      </c>
    </row>
    <row r="2670" spans="1:18" x14ac:dyDescent="0.25">
      <c r="A2670" s="160">
        <v>45960</v>
      </c>
      <c r="B2670" s="115">
        <v>5259.9</v>
      </c>
      <c r="C2670" s="115">
        <v>5174.8</v>
      </c>
      <c r="D2670" s="115">
        <v>5059</v>
      </c>
      <c r="E2670" s="115">
        <v>5150</v>
      </c>
      <c r="F2670" s="115">
        <v>5174.8</v>
      </c>
      <c r="G2670">
        <v>4317</v>
      </c>
      <c r="H2670" s="115"/>
      <c r="I2670" s="115"/>
      <c r="L2670" s="160">
        <v>45936</v>
      </c>
      <c r="M2670" s="115">
        <v>1507.8</v>
      </c>
      <c r="N2670" s="115">
        <v>1531.9</v>
      </c>
      <c r="O2670" s="115">
        <v>1503.3</v>
      </c>
      <c r="P2670" s="115">
        <v>1518</v>
      </c>
      <c r="Q2670" s="115">
        <v>1507.8</v>
      </c>
      <c r="R2670">
        <v>13112</v>
      </c>
    </row>
    <row r="2671" spans="1:18" x14ac:dyDescent="0.25">
      <c r="A2671" s="160">
        <v>45961</v>
      </c>
      <c r="B2671" s="115">
        <v>5396.85</v>
      </c>
      <c r="C2671" s="115">
        <v>5214.25</v>
      </c>
      <c r="D2671" s="115">
        <v>5180.1000000000004</v>
      </c>
      <c r="E2671" s="115">
        <v>5285</v>
      </c>
      <c r="F2671" s="115">
        <v>5214.25</v>
      </c>
      <c r="G2671">
        <v>6209</v>
      </c>
      <c r="H2671" s="115"/>
      <c r="I2671" s="115"/>
      <c r="L2671" s="160">
        <v>45937</v>
      </c>
      <c r="M2671" s="115">
        <v>1510.7</v>
      </c>
      <c r="N2671" s="115">
        <v>1529.9</v>
      </c>
      <c r="O2671" s="115">
        <v>1502</v>
      </c>
      <c r="P2671" s="115">
        <v>1503</v>
      </c>
      <c r="Q2671" s="115">
        <v>1510.7</v>
      </c>
      <c r="R2671">
        <v>10112</v>
      </c>
    </row>
    <row r="2672" spans="1:18" x14ac:dyDescent="0.25">
      <c r="A2672" s="160">
        <v>45964</v>
      </c>
      <c r="B2672" s="115">
        <v>5680</v>
      </c>
      <c r="C2672" s="115">
        <v>5616.3</v>
      </c>
      <c r="D2672" s="115">
        <v>5250</v>
      </c>
      <c r="E2672" s="115">
        <v>5250</v>
      </c>
      <c r="F2672" s="115">
        <v>5616.3</v>
      </c>
      <c r="G2672">
        <v>12778</v>
      </c>
      <c r="H2672" s="115"/>
      <c r="I2672" s="115"/>
      <c r="L2672" s="160">
        <v>45938</v>
      </c>
      <c r="M2672" s="115">
        <v>1494</v>
      </c>
      <c r="N2672" s="115">
        <v>1514.9</v>
      </c>
      <c r="O2672" s="115">
        <v>1482.1</v>
      </c>
      <c r="P2672" s="115">
        <v>1514.9</v>
      </c>
      <c r="Q2672" s="115">
        <v>1494</v>
      </c>
      <c r="R2672">
        <v>12640</v>
      </c>
    </row>
    <row r="2673" spans="1:18" x14ac:dyDescent="0.25">
      <c r="A2673" s="160">
        <v>45965</v>
      </c>
      <c r="B2673" s="115">
        <v>5692</v>
      </c>
      <c r="C2673" s="115">
        <v>5544.1</v>
      </c>
      <c r="D2673" s="115">
        <v>5526</v>
      </c>
      <c r="E2673" s="115">
        <v>5616.3</v>
      </c>
      <c r="F2673" s="115">
        <v>5544.1</v>
      </c>
      <c r="G2673">
        <v>6182</v>
      </c>
      <c r="H2673" s="115"/>
      <c r="I2673" s="115"/>
      <c r="L2673" s="160">
        <v>45939</v>
      </c>
      <c r="M2673" s="115">
        <v>1490.1</v>
      </c>
      <c r="N2673" s="115">
        <v>1501.3</v>
      </c>
      <c r="O2673" s="115">
        <v>1485</v>
      </c>
      <c r="P2673" s="115">
        <v>1490</v>
      </c>
      <c r="Q2673" s="115">
        <v>1490.1</v>
      </c>
      <c r="R2673">
        <v>7597</v>
      </c>
    </row>
    <row r="2674" spans="1:18" x14ac:dyDescent="0.25">
      <c r="A2674" s="160">
        <v>45967</v>
      </c>
      <c r="B2674" s="115">
        <v>5944</v>
      </c>
      <c r="C2674" s="115">
        <v>5462.15</v>
      </c>
      <c r="D2674" s="115">
        <v>5355.7</v>
      </c>
      <c r="E2674" s="115">
        <v>5631</v>
      </c>
      <c r="F2674" s="115">
        <v>5462.15</v>
      </c>
      <c r="G2674">
        <v>18934</v>
      </c>
      <c r="H2674" s="115"/>
      <c r="I2674" s="115"/>
      <c r="L2674" s="160">
        <v>45940</v>
      </c>
      <c r="M2674" s="115">
        <v>1478.3</v>
      </c>
      <c r="N2674" s="115">
        <v>1504.9</v>
      </c>
      <c r="O2674" s="115">
        <v>1475</v>
      </c>
      <c r="P2674" s="115">
        <v>1498</v>
      </c>
      <c r="Q2674" s="115">
        <v>1478.3</v>
      </c>
      <c r="R2674">
        <v>14842</v>
      </c>
    </row>
    <row r="2675" spans="1:18" x14ac:dyDescent="0.25">
      <c r="A2675" s="160">
        <v>45968</v>
      </c>
      <c r="B2675" s="115">
        <v>5641</v>
      </c>
      <c r="C2675" s="115">
        <v>5441.5</v>
      </c>
      <c r="D2675" s="115">
        <v>5360</v>
      </c>
      <c r="E2675" s="115">
        <v>5440</v>
      </c>
      <c r="F2675" s="115">
        <v>5441.5</v>
      </c>
      <c r="G2675">
        <v>6455</v>
      </c>
      <c r="H2675" s="115"/>
      <c r="I2675" s="115"/>
      <c r="L2675" s="160">
        <v>45943</v>
      </c>
      <c r="M2675" s="115">
        <v>1436.2</v>
      </c>
      <c r="N2675" s="115">
        <v>1479.2</v>
      </c>
      <c r="O2675" s="115">
        <v>1430.4</v>
      </c>
      <c r="P2675" s="115">
        <v>1471.1</v>
      </c>
      <c r="Q2675" s="115">
        <v>1436.2</v>
      </c>
      <c r="R2675">
        <v>33911</v>
      </c>
    </row>
    <row r="2676" spans="1:18" x14ac:dyDescent="0.25">
      <c r="A2676" s="160">
        <v>45971</v>
      </c>
      <c r="B2676" s="115">
        <v>5497.95</v>
      </c>
      <c r="C2676" s="115">
        <v>5385.75</v>
      </c>
      <c r="D2676" s="115">
        <v>5350</v>
      </c>
      <c r="E2676" s="115">
        <v>5450</v>
      </c>
      <c r="F2676" s="115">
        <v>5385.75</v>
      </c>
      <c r="G2676">
        <v>2759</v>
      </c>
      <c r="H2676" s="115"/>
      <c r="I2676" s="115"/>
      <c r="L2676" s="160">
        <v>45944</v>
      </c>
      <c r="M2676" s="115">
        <v>1395.9</v>
      </c>
      <c r="N2676" s="115">
        <v>1445</v>
      </c>
      <c r="O2676" s="115">
        <v>1389</v>
      </c>
      <c r="P2676" s="115">
        <v>1445</v>
      </c>
      <c r="Q2676" s="115">
        <v>1395.9</v>
      </c>
      <c r="R2676">
        <v>33129</v>
      </c>
    </row>
    <row r="2677" spans="1:18" x14ac:dyDescent="0.25">
      <c r="A2677" s="160">
        <v>45972</v>
      </c>
      <c r="B2677" s="115">
        <v>5430</v>
      </c>
      <c r="C2677" s="115">
        <v>5366.5</v>
      </c>
      <c r="D2677" s="115">
        <v>5301.6</v>
      </c>
      <c r="E2677" s="115">
        <v>5385.8</v>
      </c>
      <c r="F2677" s="115">
        <v>5366.5</v>
      </c>
      <c r="G2677">
        <v>2696</v>
      </c>
      <c r="H2677" s="115"/>
      <c r="I2677" s="115"/>
      <c r="L2677" s="160">
        <v>45945</v>
      </c>
      <c r="M2677" s="115">
        <v>1393.8</v>
      </c>
      <c r="N2677" s="115">
        <v>1415</v>
      </c>
      <c r="O2677" s="115">
        <v>1368</v>
      </c>
      <c r="P2677" s="115">
        <v>1390</v>
      </c>
      <c r="Q2677" s="115">
        <v>1393.8</v>
      </c>
      <c r="R2677">
        <v>42796</v>
      </c>
    </row>
    <row r="2678" spans="1:18" x14ac:dyDescent="0.25">
      <c r="A2678" s="160">
        <v>45973</v>
      </c>
      <c r="B2678" s="115">
        <v>5444.45</v>
      </c>
      <c r="C2678" s="115">
        <v>5326.4</v>
      </c>
      <c r="D2678" s="115">
        <v>5270</v>
      </c>
      <c r="E2678" s="115">
        <v>5409.5</v>
      </c>
      <c r="F2678" s="115">
        <v>5326.4</v>
      </c>
      <c r="G2678">
        <v>3242</v>
      </c>
      <c r="H2678" s="115"/>
      <c r="I2678" s="115"/>
      <c r="L2678" s="160">
        <v>45946</v>
      </c>
      <c r="M2678" s="115">
        <v>1402.8</v>
      </c>
      <c r="N2678" s="115">
        <v>1415</v>
      </c>
      <c r="O2678" s="115">
        <v>1375</v>
      </c>
      <c r="P2678" s="115">
        <v>1399.8</v>
      </c>
      <c r="Q2678" s="115">
        <v>1402.8</v>
      </c>
      <c r="R2678">
        <v>38466</v>
      </c>
    </row>
    <row r="2679" spans="1:18" x14ac:dyDescent="0.25">
      <c r="A2679" s="160">
        <v>45974</v>
      </c>
      <c r="B2679" s="115">
        <v>5397</v>
      </c>
      <c r="C2679" s="115">
        <v>5342.85</v>
      </c>
      <c r="D2679" s="115">
        <v>5226.05</v>
      </c>
      <c r="E2679" s="115">
        <v>5350.05</v>
      </c>
      <c r="F2679" s="115">
        <v>5342.85</v>
      </c>
      <c r="G2679">
        <v>2999</v>
      </c>
      <c r="H2679" s="115"/>
      <c r="I2679" s="115"/>
      <c r="L2679" s="160">
        <v>45947</v>
      </c>
      <c r="M2679" s="115">
        <v>1400.2</v>
      </c>
      <c r="N2679" s="115">
        <v>1409.2</v>
      </c>
      <c r="O2679" s="115">
        <v>1360.8</v>
      </c>
      <c r="P2679" s="115">
        <v>1400</v>
      </c>
      <c r="Q2679" s="115">
        <v>1400.2</v>
      </c>
      <c r="R2679">
        <v>31653</v>
      </c>
    </row>
    <row r="2680" spans="1:18" x14ac:dyDescent="0.25">
      <c r="A2680" s="160">
        <v>45975</v>
      </c>
      <c r="B2680" s="115">
        <v>5399</v>
      </c>
      <c r="C2680" s="115">
        <v>5352.2</v>
      </c>
      <c r="D2680" s="115">
        <v>5325</v>
      </c>
      <c r="E2680" s="115">
        <v>5342.9</v>
      </c>
      <c r="F2680" s="115">
        <v>5352.2</v>
      </c>
      <c r="G2680">
        <v>1330</v>
      </c>
      <c r="H2680" s="115"/>
      <c r="I2680" s="115"/>
      <c r="L2680" s="160">
        <v>45950</v>
      </c>
      <c r="M2680" s="115">
        <v>1403</v>
      </c>
      <c r="N2680" s="115">
        <v>1411.6</v>
      </c>
      <c r="O2680" s="115">
        <v>1365</v>
      </c>
      <c r="P2680" s="115">
        <v>1400.2</v>
      </c>
      <c r="Q2680" s="115">
        <v>1403</v>
      </c>
      <c r="R2680">
        <v>50479</v>
      </c>
    </row>
    <row r="2681" spans="1:18" x14ac:dyDescent="0.25">
      <c r="A2681" s="160">
        <v>45978</v>
      </c>
      <c r="B2681" s="115">
        <v>5488.95</v>
      </c>
      <c r="C2681" s="115">
        <v>5362.85</v>
      </c>
      <c r="D2681" s="115">
        <v>5325</v>
      </c>
      <c r="E2681" s="115">
        <v>5352.2</v>
      </c>
      <c r="F2681" s="115">
        <v>5362.85</v>
      </c>
      <c r="G2681">
        <v>3949</v>
      </c>
      <c r="H2681" s="115"/>
      <c r="I2681" s="115"/>
      <c r="L2681" s="160">
        <v>45951</v>
      </c>
      <c r="M2681" s="115">
        <v>1421.4</v>
      </c>
      <c r="N2681" s="115">
        <v>1427.9</v>
      </c>
      <c r="O2681" s="115">
        <v>1405.1</v>
      </c>
      <c r="P2681" s="115">
        <v>1418.7</v>
      </c>
      <c r="Q2681" s="115">
        <v>1421.4</v>
      </c>
      <c r="R2681">
        <v>6786</v>
      </c>
    </row>
    <row r="2682" spans="1:18" x14ac:dyDescent="0.25">
      <c r="A2682" s="160">
        <v>45979</v>
      </c>
      <c r="B2682" s="115">
        <v>5408.95</v>
      </c>
      <c r="C2682" s="115">
        <v>5315.35</v>
      </c>
      <c r="D2682" s="115">
        <v>5252.6</v>
      </c>
      <c r="E2682" s="115">
        <v>5333.35</v>
      </c>
      <c r="F2682" s="115">
        <v>5315.35</v>
      </c>
      <c r="G2682">
        <v>2129</v>
      </c>
      <c r="H2682" s="115"/>
      <c r="I2682" s="115"/>
      <c r="L2682" s="160">
        <v>45953</v>
      </c>
      <c r="M2682" s="115">
        <v>1403.3</v>
      </c>
      <c r="N2682" s="115">
        <v>1429.9</v>
      </c>
      <c r="O2682" s="115">
        <v>1398</v>
      </c>
      <c r="P2682" s="115">
        <v>1429.9</v>
      </c>
      <c r="Q2682" s="115">
        <v>1403.3</v>
      </c>
      <c r="R2682">
        <v>23355</v>
      </c>
    </row>
    <row r="2683" spans="1:18" x14ac:dyDescent="0.25">
      <c r="A2683" s="160">
        <v>45980</v>
      </c>
      <c r="B2683" s="115">
        <v>5368.1</v>
      </c>
      <c r="C2683" s="115">
        <v>5284.35</v>
      </c>
      <c r="D2683" s="115">
        <v>5266.05</v>
      </c>
      <c r="E2683" s="115">
        <v>5316.2</v>
      </c>
      <c r="F2683" s="115">
        <v>5284.35</v>
      </c>
      <c r="G2683">
        <v>1965</v>
      </c>
      <c r="H2683" s="115"/>
      <c r="I2683" s="115"/>
      <c r="L2683" s="160">
        <v>45954</v>
      </c>
      <c r="M2683" s="115">
        <v>1416.6</v>
      </c>
      <c r="N2683" s="115">
        <v>1420</v>
      </c>
      <c r="O2683" s="115">
        <v>1397.7</v>
      </c>
      <c r="P2683" s="115">
        <v>1403</v>
      </c>
      <c r="Q2683" s="115">
        <v>1416.6</v>
      </c>
      <c r="R2683">
        <v>15270</v>
      </c>
    </row>
    <row r="2684" spans="1:18" x14ac:dyDescent="0.25">
      <c r="A2684" s="160">
        <v>45981</v>
      </c>
      <c r="B2684" s="115">
        <v>5388.95</v>
      </c>
      <c r="C2684" s="115">
        <v>5364.9</v>
      </c>
      <c r="D2684" s="115">
        <v>5264</v>
      </c>
      <c r="E2684" s="115">
        <v>5376.95</v>
      </c>
      <c r="F2684" s="115">
        <v>5364.9</v>
      </c>
      <c r="G2684">
        <v>1136</v>
      </c>
      <c r="H2684" s="115"/>
      <c r="I2684" s="115"/>
      <c r="L2684" s="160">
        <v>45957</v>
      </c>
      <c r="M2684" s="115">
        <v>1414.8</v>
      </c>
      <c r="N2684" s="115">
        <v>1431</v>
      </c>
      <c r="O2684" s="115">
        <v>1409.7</v>
      </c>
      <c r="P2684" s="115">
        <v>1416.6</v>
      </c>
      <c r="Q2684" s="115">
        <v>1414.8</v>
      </c>
      <c r="R2684">
        <v>12594</v>
      </c>
    </row>
    <row r="2685" spans="1:18" x14ac:dyDescent="0.25">
      <c r="A2685" s="160">
        <v>45982</v>
      </c>
      <c r="B2685" s="115">
        <v>5379</v>
      </c>
      <c r="C2685" s="115">
        <v>5265.8</v>
      </c>
      <c r="D2685" s="115">
        <v>5250</v>
      </c>
      <c r="E2685" s="115">
        <v>5379</v>
      </c>
      <c r="F2685" s="115">
        <v>5265.8</v>
      </c>
      <c r="G2685">
        <v>2035</v>
      </c>
      <c r="H2685" s="115"/>
      <c r="I2685" s="115"/>
      <c r="L2685" s="160">
        <v>45958</v>
      </c>
      <c r="M2685" s="115">
        <v>1429.9</v>
      </c>
      <c r="N2685" s="115">
        <v>1435</v>
      </c>
      <c r="O2685" s="115">
        <v>1406</v>
      </c>
      <c r="P2685" s="115">
        <v>1411</v>
      </c>
      <c r="Q2685" s="115">
        <v>1429.9</v>
      </c>
      <c r="R2685">
        <v>27187</v>
      </c>
    </row>
    <row r="2686" spans="1:18" x14ac:dyDescent="0.25">
      <c r="A2686" s="160">
        <v>45985</v>
      </c>
      <c r="B2686" s="115">
        <v>5265.45</v>
      </c>
      <c r="C2686" s="115">
        <v>5121.1000000000004</v>
      </c>
      <c r="D2686" s="115">
        <v>5012</v>
      </c>
      <c r="E2686" s="115">
        <v>5205</v>
      </c>
      <c r="F2686" s="115">
        <v>5121.1000000000004</v>
      </c>
      <c r="G2686">
        <v>3294</v>
      </c>
      <c r="H2686" s="115"/>
      <c r="I2686" s="115"/>
      <c r="L2686" s="160">
        <v>45959</v>
      </c>
      <c r="M2686" s="115">
        <v>1414.9</v>
      </c>
      <c r="N2686" s="115">
        <v>1425.1</v>
      </c>
      <c r="O2686" s="115">
        <v>1413</v>
      </c>
      <c r="P2686" s="115">
        <v>1415</v>
      </c>
      <c r="Q2686" s="115">
        <v>1414.9</v>
      </c>
      <c r="R2686">
        <v>14767</v>
      </c>
    </row>
    <row r="2687" spans="1:18" x14ac:dyDescent="0.25">
      <c r="A2687" s="160">
        <v>45986</v>
      </c>
      <c r="B2687" s="115">
        <v>5245</v>
      </c>
      <c r="C2687" s="115">
        <v>5124.1499999999996</v>
      </c>
      <c r="D2687" s="115">
        <v>5106</v>
      </c>
      <c r="E2687" s="115">
        <v>5145</v>
      </c>
      <c r="F2687" s="115">
        <v>5124.1499999999996</v>
      </c>
      <c r="G2687">
        <v>1323</v>
      </c>
      <c r="H2687" s="115"/>
      <c r="I2687" s="115"/>
      <c r="L2687" s="160">
        <v>45960</v>
      </c>
      <c r="M2687" s="115">
        <v>1457</v>
      </c>
      <c r="N2687" s="115">
        <v>1466</v>
      </c>
      <c r="O2687" s="115">
        <v>1413</v>
      </c>
      <c r="P2687" s="115">
        <v>1421</v>
      </c>
      <c r="Q2687" s="115">
        <v>1457</v>
      </c>
      <c r="R2687">
        <v>37971</v>
      </c>
    </row>
    <row r="2688" spans="1:18" x14ac:dyDescent="0.25">
      <c r="A2688" s="160">
        <v>45987</v>
      </c>
      <c r="B2688" s="115">
        <v>5220</v>
      </c>
      <c r="C2688" s="115">
        <v>5181.3</v>
      </c>
      <c r="D2688" s="115">
        <v>5120.05</v>
      </c>
      <c r="E2688" s="115">
        <v>5155.05</v>
      </c>
      <c r="F2688" s="115">
        <v>5181.3</v>
      </c>
      <c r="G2688">
        <v>1591</v>
      </c>
      <c r="H2688" s="115"/>
      <c r="I2688" s="115"/>
      <c r="L2688" s="160">
        <v>45961</v>
      </c>
      <c r="M2688" s="115">
        <v>1374.2</v>
      </c>
      <c r="N2688" s="115">
        <v>1470</v>
      </c>
      <c r="O2688" s="115">
        <v>1352</v>
      </c>
      <c r="P2688" s="115">
        <v>1440</v>
      </c>
      <c r="Q2688" s="115">
        <v>1374.2</v>
      </c>
      <c r="R2688">
        <v>227895</v>
      </c>
    </row>
    <row r="2689" spans="1:18" x14ac:dyDescent="0.25">
      <c r="A2689" s="160">
        <v>45988</v>
      </c>
      <c r="B2689" s="115">
        <v>5218.8500000000004</v>
      </c>
      <c r="C2689" s="115">
        <v>5171.6000000000004</v>
      </c>
      <c r="D2689" s="115">
        <v>5116</v>
      </c>
      <c r="E2689" s="115">
        <v>5199.95</v>
      </c>
      <c r="F2689" s="115">
        <v>5171.6000000000004</v>
      </c>
      <c r="G2689">
        <v>831</v>
      </c>
      <c r="H2689" s="115"/>
      <c r="I2689" s="115"/>
      <c r="L2689" s="160">
        <v>45964</v>
      </c>
      <c r="M2689" s="115">
        <v>1303</v>
      </c>
      <c r="N2689" s="115">
        <v>1379</v>
      </c>
      <c r="O2689" s="115">
        <v>1297.3</v>
      </c>
      <c r="P2689" s="115">
        <v>1350</v>
      </c>
      <c r="Q2689" s="115">
        <v>1303</v>
      </c>
      <c r="R2689">
        <v>153503</v>
      </c>
    </row>
    <row r="2690" spans="1:18" x14ac:dyDescent="0.25">
      <c r="A2690" s="160">
        <v>45989</v>
      </c>
      <c r="B2690" s="115">
        <v>5196.6000000000004</v>
      </c>
      <c r="C2690" s="115">
        <v>5118.3500000000004</v>
      </c>
      <c r="D2690" s="115">
        <v>5090.8999999999996</v>
      </c>
      <c r="E2690" s="115">
        <v>5145.7</v>
      </c>
      <c r="F2690" s="115">
        <v>5118.3500000000004</v>
      </c>
      <c r="G2690">
        <v>1719</v>
      </c>
      <c r="H2690" s="115"/>
      <c r="I2690" s="115"/>
      <c r="L2690" s="160">
        <v>45965</v>
      </c>
      <c r="M2690" s="115">
        <v>1316.5</v>
      </c>
      <c r="N2690" s="115">
        <v>1328</v>
      </c>
      <c r="O2690" s="115">
        <v>1305.8</v>
      </c>
      <c r="P2690" s="115">
        <v>1312.8</v>
      </c>
      <c r="Q2690" s="115">
        <v>1316.5</v>
      </c>
      <c r="R2690">
        <v>36630</v>
      </c>
    </row>
    <row r="2691" spans="1:18" x14ac:dyDescent="0.25">
      <c r="A2691" s="160">
        <v>45992</v>
      </c>
      <c r="B2691" s="115">
        <v>5149.95</v>
      </c>
      <c r="C2691" s="115">
        <v>4981.1000000000004</v>
      </c>
      <c r="D2691" s="115">
        <v>4952</v>
      </c>
      <c r="E2691" s="115">
        <v>5117.95</v>
      </c>
      <c r="F2691" s="115">
        <v>4981.1000000000004</v>
      </c>
      <c r="G2691">
        <v>3612</v>
      </c>
      <c r="H2691" s="115"/>
      <c r="I2691" s="115"/>
      <c r="L2691" s="160">
        <v>45967</v>
      </c>
      <c r="M2691" s="115">
        <v>1293</v>
      </c>
      <c r="N2691" s="115">
        <v>1327.9</v>
      </c>
      <c r="O2691" s="115">
        <v>1284.8</v>
      </c>
      <c r="P2691" s="115">
        <v>1327.9</v>
      </c>
      <c r="Q2691" s="115">
        <v>1293</v>
      </c>
      <c r="R2691">
        <v>40796</v>
      </c>
    </row>
    <row r="2692" spans="1:18" x14ac:dyDescent="0.25">
      <c r="A2692" s="160">
        <v>45993</v>
      </c>
      <c r="B2692" s="115">
        <v>5000</v>
      </c>
      <c r="C2692" s="115">
        <v>4911.7</v>
      </c>
      <c r="D2692" s="115">
        <v>4885</v>
      </c>
      <c r="E2692" s="115">
        <v>4959</v>
      </c>
      <c r="F2692" s="115">
        <v>4911.7</v>
      </c>
      <c r="G2692">
        <v>1830</v>
      </c>
      <c r="H2692" s="115"/>
      <c r="I2692" s="115"/>
      <c r="L2692" s="160">
        <v>45968</v>
      </c>
      <c r="M2692" s="115">
        <v>1318.9</v>
      </c>
      <c r="N2692" s="115">
        <v>1335</v>
      </c>
      <c r="O2692" s="115">
        <v>1274.0999999999999</v>
      </c>
      <c r="P2692" s="115">
        <v>1293</v>
      </c>
      <c r="Q2692" s="115">
        <v>1318.9</v>
      </c>
      <c r="R2692">
        <v>41809</v>
      </c>
    </row>
    <row r="2693" spans="1:18" x14ac:dyDescent="0.25">
      <c r="A2693" s="160">
        <v>45994</v>
      </c>
      <c r="B2693" s="115">
        <v>5039.95</v>
      </c>
      <c r="C2693" s="115">
        <v>4962.75</v>
      </c>
      <c r="D2693" s="115">
        <v>4906.2</v>
      </c>
      <c r="E2693" s="115">
        <v>5039.95</v>
      </c>
      <c r="F2693" s="115">
        <v>4962.75</v>
      </c>
      <c r="G2693">
        <v>2171</v>
      </c>
      <c r="H2693" s="115"/>
      <c r="I2693" s="115"/>
      <c r="L2693" s="160">
        <v>45971</v>
      </c>
      <c r="M2693" s="115">
        <v>1294.3</v>
      </c>
      <c r="N2693" s="115">
        <v>1332.8</v>
      </c>
      <c r="O2693" s="115">
        <v>1290.0999999999999</v>
      </c>
      <c r="P2693" s="115">
        <v>1331.9</v>
      </c>
      <c r="Q2693" s="115">
        <v>1294.3</v>
      </c>
      <c r="R2693">
        <v>24113</v>
      </c>
    </row>
    <row r="2694" spans="1:18" x14ac:dyDescent="0.25">
      <c r="A2694" s="160">
        <v>45995</v>
      </c>
      <c r="B2694" s="115">
        <v>4995</v>
      </c>
      <c r="C2694" s="115">
        <v>4738.7</v>
      </c>
      <c r="D2694" s="115">
        <v>4700</v>
      </c>
      <c r="E2694" s="115">
        <v>4995</v>
      </c>
      <c r="F2694" s="115">
        <v>4738.7</v>
      </c>
      <c r="G2694">
        <v>4164</v>
      </c>
      <c r="H2694" s="115"/>
      <c r="I2694" s="115"/>
      <c r="L2694" s="160">
        <v>45972</v>
      </c>
      <c r="M2694" s="115">
        <v>1289.7</v>
      </c>
      <c r="N2694" s="115">
        <v>1301.0999999999999</v>
      </c>
      <c r="O2694" s="115">
        <v>1279.0999999999999</v>
      </c>
      <c r="P2694" s="115">
        <v>1285.5</v>
      </c>
      <c r="Q2694" s="115">
        <v>1289.7</v>
      </c>
      <c r="R2694">
        <v>17019</v>
      </c>
    </row>
    <row r="2695" spans="1:18" x14ac:dyDescent="0.25">
      <c r="A2695" s="160">
        <v>45996</v>
      </c>
      <c r="B2695" s="115">
        <v>5020</v>
      </c>
      <c r="C2695" s="115">
        <v>4846.95</v>
      </c>
      <c r="D2695" s="115">
        <v>4711.05</v>
      </c>
      <c r="E2695" s="115">
        <v>4760</v>
      </c>
      <c r="F2695" s="115">
        <v>4846.95</v>
      </c>
      <c r="G2695">
        <v>4435</v>
      </c>
      <c r="H2695" s="115"/>
      <c r="I2695" s="115"/>
      <c r="L2695" s="160">
        <v>45973</v>
      </c>
      <c r="M2695" s="115">
        <v>1301.4000000000001</v>
      </c>
      <c r="N2695" s="115">
        <v>1305</v>
      </c>
      <c r="O2695" s="115">
        <v>1286.8</v>
      </c>
      <c r="P2695" s="115">
        <v>1289.5999999999999</v>
      </c>
      <c r="Q2695" s="115">
        <v>1301.4000000000001</v>
      </c>
      <c r="R2695">
        <v>15642</v>
      </c>
    </row>
    <row r="2696" spans="1:18" x14ac:dyDescent="0.25">
      <c r="A2696" s="160">
        <v>45999</v>
      </c>
      <c r="B2696" s="115">
        <v>4923</v>
      </c>
      <c r="C2696" s="115">
        <v>4663.1000000000004</v>
      </c>
      <c r="D2696" s="115">
        <v>4550</v>
      </c>
      <c r="E2696" s="115">
        <v>4839.95</v>
      </c>
      <c r="F2696" s="115">
        <v>4663.1000000000004</v>
      </c>
      <c r="G2696">
        <v>5627</v>
      </c>
      <c r="H2696" s="115"/>
      <c r="I2696" s="115"/>
      <c r="L2696" s="160">
        <v>45974</v>
      </c>
      <c r="M2696" s="115">
        <v>1302.7</v>
      </c>
      <c r="N2696" s="115">
        <v>1308</v>
      </c>
      <c r="O2696" s="115">
        <v>1292</v>
      </c>
      <c r="P2696" s="115">
        <v>1301.9000000000001</v>
      </c>
      <c r="Q2696" s="115">
        <v>1302.7</v>
      </c>
      <c r="R2696">
        <v>18106</v>
      </c>
    </row>
    <row r="2697" spans="1:18" x14ac:dyDescent="0.25">
      <c r="A2697" s="160">
        <v>46000</v>
      </c>
      <c r="B2697" s="115">
        <v>4699</v>
      </c>
      <c r="C2697" s="115">
        <v>4617.6499999999996</v>
      </c>
      <c r="D2697" s="115">
        <v>4525</v>
      </c>
      <c r="E2697" s="115">
        <v>4697.8999999999996</v>
      </c>
      <c r="F2697" s="115">
        <v>4617.6499999999996</v>
      </c>
      <c r="G2697">
        <v>3504</v>
      </c>
      <c r="H2697" s="115"/>
      <c r="I2697" s="115"/>
      <c r="L2697" s="160">
        <v>45975</v>
      </c>
      <c r="M2697" s="115">
        <v>1266.9000000000001</v>
      </c>
      <c r="N2697" s="115">
        <v>1306.8</v>
      </c>
      <c r="O2697" s="115">
        <v>1260</v>
      </c>
      <c r="P2697" s="115">
        <v>1306.8</v>
      </c>
      <c r="Q2697" s="115">
        <v>1266.9000000000001</v>
      </c>
      <c r="R2697">
        <v>68462</v>
      </c>
    </row>
    <row r="2698" spans="1:18" x14ac:dyDescent="0.25">
      <c r="A2698" s="160">
        <v>46001</v>
      </c>
      <c r="B2698" s="115">
        <v>4739.95</v>
      </c>
      <c r="C2698" s="115">
        <v>4610.6499999999996</v>
      </c>
      <c r="D2698" s="115">
        <v>4551</v>
      </c>
      <c r="E2698" s="115">
        <v>4698</v>
      </c>
      <c r="F2698" s="115">
        <v>4610.6499999999996</v>
      </c>
      <c r="G2698">
        <v>2301</v>
      </c>
      <c r="H2698" s="115"/>
      <c r="I2698" s="115"/>
      <c r="L2698" s="160">
        <v>45978</v>
      </c>
      <c r="M2698" s="115">
        <v>1273.5</v>
      </c>
      <c r="N2698" s="115">
        <v>1297.9000000000001</v>
      </c>
      <c r="O2698" s="115">
        <v>1261.8</v>
      </c>
      <c r="P2698" s="115">
        <v>1263.0999999999999</v>
      </c>
      <c r="Q2698" s="115">
        <v>1273.5</v>
      </c>
      <c r="R2698">
        <v>54568</v>
      </c>
    </row>
    <row r="2699" spans="1:18" x14ac:dyDescent="0.25">
      <c r="A2699" s="160">
        <v>46002</v>
      </c>
      <c r="B2699" s="115">
        <v>4949</v>
      </c>
      <c r="C2699" s="115">
        <v>4851.1000000000004</v>
      </c>
      <c r="D2699" s="115">
        <v>4585</v>
      </c>
      <c r="E2699" s="115">
        <v>4664.95</v>
      </c>
      <c r="F2699" s="115">
        <v>4851.1000000000004</v>
      </c>
      <c r="G2699">
        <v>4274</v>
      </c>
      <c r="H2699" s="115"/>
      <c r="I2699" s="115"/>
      <c r="L2699" s="160">
        <v>45979</v>
      </c>
      <c r="M2699" s="115">
        <v>1236.5999999999999</v>
      </c>
      <c r="N2699" s="115">
        <v>1278</v>
      </c>
      <c r="O2699" s="115">
        <v>1230.0999999999999</v>
      </c>
      <c r="P2699" s="115">
        <v>1264.9000000000001</v>
      </c>
      <c r="Q2699" s="115">
        <v>1236.5999999999999</v>
      </c>
      <c r="R2699">
        <v>88874</v>
      </c>
    </row>
    <row r="2700" spans="1:18" x14ac:dyDescent="0.25">
      <c r="A2700" s="160">
        <v>46003</v>
      </c>
      <c r="B2700" s="115">
        <v>4994</v>
      </c>
      <c r="C2700" s="115">
        <v>4891.25</v>
      </c>
      <c r="D2700" s="115">
        <v>4705</v>
      </c>
      <c r="E2700" s="115">
        <v>4851</v>
      </c>
      <c r="F2700" s="115">
        <v>4891.25</v>
      </c>
      <c r="G2700">
        <v>4353</v>
      </c>
      <c r="H2700" s="115"/>
      <c r="I2700" s="115"/>
      <c r="L2700" s="160">
        <v>45980</v>
      </c>
      <c r="M2700" s="115">
        <v>1207.0999999999999</v>
      </c>
      <c r="N2700" s="115">
        <v>1239</v>
      </c>
      <c r="O2700" s="115">
        <v>1171.2</v>
      </c>
      <c r="P2700" s="115">
        <v>1236.5999999999999</v>
      </c>
      <c r="Q2700" s="115">
        <v>1207.0999999999999</v>
      </c>
      <c r="R2700">
        <v>79751</v>
      </c>
    </row>
    <row r="2701" spans="1:18" x14ac:dyDescent="0.25">
      <c r="A2701" s="160">
        <v>46006</v>
      </c>
      <c r="B2701" s="115">
        <v>5188.8</v>
      </c>
      <c r="C2701" s="115">
        <v>5099.5</v>
      </c>
      <c r="D2701" s="115">
        <v>4840</v>
      </c>
      <c r="E2701" s="115">
        <v>4895</v>
      </c>
      <c r="F2701" s="115">
        <v>5099.5</v>
      </c>
      <c r="G2701">
        <v>4665</v>
      </c>
      <c r="H2701" s="115"/>
      <c r="I2701" s="115"/>
      <c r="L2701" s="160">
        <v>45981</v>
      </c>
      <c r="M2701" s="115">
        <v>1209.2</v>
      </c>
      <c r="N2701" s="115">
        <v>1226.4000000000001</v>
      </c>
      <c r="O2701" s="115">
        <v>1206</v>
      </c>
      <c r="P2701" s="115">
        <v>1215.9000000000001</v>
      </c>
      <c r="Q2701" s="115">
        <v>1209.2</v>
      </c>
      <c r="R2701">
        <v>28313</v>
      </c>
    </row>
    <row r="2702" spans="1:18" x14ac:dyDescent="0.25">
      <c r="A2702" s="160">
        <v>46007</v>
      </c>
      <c r="B2702" s="115">
        <v>5174</v>
      </c>
      <c r="C2702" s="115">
        <v>4989.6499999999996</v>
      </c>
      <c r="D2702" s="115">
        <v>4960.1000000000004</v>
      </c>
      <c r="E2702" s="115">
        <v>5155</v>
      </c>
      <c r="F2702" s="115">
        <v>4989.6499999999996</v>
      </c>
      <c r="G2702">
        <v>1762</v>
      </c>
      <c r="H2702" s="115"/>
      <c r="I2702" s="115"/>
      <c r="L2702" s="160">
        <v>45982</v>
      </c>
      <c r="M2702" s="115">
        <v>1226.0999999999999</v>
      </c>
      <c r="N2702" s="115">
        <v>1240</v>
      </c>
      <c r="O2702" s="115">
        <v>1190</v>
      </c>
      <c r="P2702" s="115">
        <v>1209.5</v>
      </c>
      <c r="Q2702" s="115">
        <v>1226.0999999999999</v>
      </c>
      <c r="R2702">
        <v>236939</v>
      </c>
    </row>
    <row r="2703" spans="1:18" x14ac:dyDescent="0.25">
      <c r="A2703" s="160">
        <v>46008</v>
      </c>
      <c r="B2703" s="115">
        <v>4999.8999999999996</v>
      </c>
      <c r="C2703" s="115">
        <v>4865.45</v>
      </c>
      <c r="D2703" s="115">
        <v>4856.1000000000004</v>
      </c>
      <c r="E2703" s="115">
        <v>4922.1499999999996</v>
      </c>
      <c r="F2703" s="115">
        <v>4865.45</v>
      </c>
      <c r="G2703">
        <v>1638</v>
      </c>
      <c r="H2703" s="115"/>
      <c r="I2703" s="115"/>
      <c r="L2703" s="160">
        <v>45985</v>
      </c>
      <c r="M2703" s="115">
        <v>1215.4000000000001</v>
      </c>
      <c r="N2703" s="115">
        <v>1230.4000000000001</v>
      </c>
      <c r="O2703" s="115">
        <v>1202</v>
      </c>
      <c r="P2703" s="115">
        <v>1230</v>
      </c>
      <c r="Q2703" s="115">
        <v>1215.4000000000001</v>
      </c>
      <c r="R2703">
        <v>28684</v>
      </c>
    </row>
    <row r="2704" spans="1:18" x14ac:dyDescent="0.25">
      <c r="A2704" s="160">
        <v>46009</v>
      </c>
      <c r="B2704" s="115">
        <v>4937.95</v>
      </c>
      <c r="C2704" s="115">
        <v>4824.3</v>
      </c>
      <c r="D2704" s="115">
        <v>4780.05</v>
      </c>
      <c r="E2704" s="115">
        <v>4910</v>
      </c>
      <c r="F2704" s="115">
        <v>4824.3</v>
      </c>
      <c r="G2704">
        <v>2240</v>
      </c>
      <c r="H2704" s="115"/>
      <c r="I2704" s="115"/>
      <c r="L2704" s="160">
        <v>45986</v>
      </c>
      <c r="M2704" s="115">
        <v>1228.4000000000001</v>
      </c>
      <c r="N2704" s="115">
        <v>1233</v>
      </c>
      <c r="O2704" s="115">
        <v>1198.2</v>
      </c>
      <c r="P2704" s="115">
        <v>1204</v>
      </c>
      <c r="Q2704" s="115">
        <v>1228.4000000000001</v>
      </c>
      <c r="R2704">
        <v>19498</v>
      </c>
    </row>
    <row r="2705" spans="1:18" x14ac:dyDescent="0.25">
      <c r="A2705" s="160">
        <v>46010</v>
      </c>
      <c r="B2705" s="115">
        <v>4999</v>
      </c>
      <c r="C2705" s="115">
        <v>4951.1000000000004</v>
      </c>
      <c r="D2705" s="115">
        <v>4850</v>
      </c>
      <c r="E2705" s="115">
        <v>4864</v>
      </c>
      <c r="F2705" s="115">
        <v>4951.1000000000004</v>
      </c>
      <c r="G2705">
        <v>2658</v>
      </c>
      <c r="H2705" s="115"/>
      <c r="I2705" s="115"/>
      <c r="L2705" s="160">
        <v>45987</v>
      </c>
      <c r="M2705" s="115">
        <v>1250</v>
      </c>
      <c r="N2705" s="115">
        <v>1255</v>
      </c>
      <c r="O2705" s="115">
        <v>1224</v>
      </c>
      <c r="P2705" s="115">
        <v>1234.8</v>
      </c>
      <c r="Q2705" s="115">
        <v>1250</v>
      </c>
      <c r="R2705">
        <v>34053</v>
      </c>
    </row>
    <row r="2706" spans="1:18" x14ac:dyDescent="0.25">
      <c r="A2706" s="160">
        <v>46013</v>
      </c>
      <c r="B2706" s="115">
        <v>4975</v>
      </c>
      <c r="C2706" s="115">
        <v>4915.3999999999996</v>
      </c>
      <c r="D2706" s="115">
        <v>4899.95</v>
      </c>
      <c r="E2706" s="115">
        <v>4900.05</v>
      </c>
      <c r="F2706" s="115">
        <v>4915.3999999999996</v>
      </c>
      <c r="G2706">
        <v>3942</v>
      </c>
      <c r="H2706" s="115"/>
      <c r="I2706" s="115"/>
      <c r="L2706" s="160">
        <v>45988</v>
      </c>
      <c r="M2706" s="115">
        <v>1250.0999999999999</v>
      </c>
      <c r="N2706" s="115">
        <v>1264.9000000000001</v>
      </c>
      <c r="O2706" s="115">
        <v>1235.3</v>
      </c>
      <c r="P2706" s="115">
        <v>1255</v>
      </c>
      <c r="Q2706" s="115">
        <v>1250.0999999999999</v>
      </c>
      <c r="R2706">
        <v>16748</v>
      </c>
    </row>
    <row r="2707" spans="1:18" x14ac:dyDescent="0.25">
      <c r="A2707" s="160">
        <v>46014</v>
      </c>
      <c r="B2707" s="115">
        <v>4998</v>
      </c>
      <c r="C2707" s="115">
        <v>4884.2</v>
      </c>
      <c r="D2707" s="115">
        <v>4805.1000000000004</v>
      </c>
      <c r="E2707" s="115">
        <v>4998</v>
      </c>
      <c r="F2707" s="115">
        <v>4884.2</v>
      </c>
      <c r="G2707">
        <v>4638</v>
      </c>
      <c r="H2707" s="115"/>
      <c r="I2707" s="115"/>
      <c r="L2707" s="160">
        <v>45989</v>
      </c>
      <c r="M2707" s="115">
        <v>1236.5999999999999</v>
      </c>
      <c r="N2707" s="115">
        <v>1261.8</v>
      </c>
      <c r="O2707" s="115">
        <v>1231</v>
      </c>
      <c r="P2707" s="115">
        <v>1240.3</v>
      </c>
      <c r="Q2707" s="115">
        <v>1236.5999999999999</v>
      </c>
      <c r="R2707">
        <v>22727</v>
      </c>
    </row>
    <row r="2708" spans="1:18" x14ac:dyDescent="0.25">
      <c r="A2708" s="160">
        <v>46015</v>
      </c>
      <c r="B2708" s="115">
        <v>4920</v>
      </c>
      <c r="C2708" s="115">
        <v>4755.3999999999996</v>
      </c>
      <c r="D2708" s="115">
        <v>4725</v>
      </c>
      <c r="E2708" s="115">
        <v>4900.05</v>
      </c>
      <c r="F2708" s="115">
        <v>4755.3999999999996</v>
      </c>
      <c r="G2708">
        <v>4412</v>
      </c>
      <c r="H2708" s="115"/>
      <c r="I2708" s="115"/>
      <c r="L2708" s="160">
        <v>45992</v>
      </c>
      <c r="M2708" s="115">
        <v>1242.5</v>
      </c>
      <c r="N2708" s="115">
        <v>1245.5</v>
      </c>
      <c r="O2708" s="115">
        <v>1232.0999999999999</v>
      </c>
      <c r="P2708" s="115">
        <v>1235</v>
      </c>
      <c r="Q2708" s="115">
        <v>1242.5</v>
      </c>
      <c r="R2708">
        <v>8367</v>
      </c>
    </row>
    <row r="2709" spans="1:18" x14ac:dyDescent="0.25">
      <c r="A2709" s="160">
        <v>46017</v>
      </c>
      <c r="B2709">
        <v>5279.9</v>
      </c>
      <c r="C2709">
        <v>5053.6499999999996</v>
      </c>
      <c r="D2709">
        <v>4702.1000000000004</v>
      </c>
      <c r="E2709">
        <v>4763</v>
      </c>
      <c r="F2709">
        <v>5053.6499999999996</v>
      </c>
      <c r="G2709">
        <v>279828</v>
      </c>
      <c r="H2709" s="115"/>
      <c r="I2709" s="115"/>
      <c r="L2709" s="160">
        <v>45993</v>
      </c>
      <c r="M2709" s="115">
        <v>1241.3</v>
      </c>
      <c r="N2709" s="115">
        <v>1248</v>
      </c>
      <c r="O2709" s="115">
        <v>1232.0999999999999</v>
      </c>
      <c r="P2709" s="115">
        <v>1233.0999999999999</v>
      </c>
      <c r="Q2709" s="115">
        <v>1241.3</v>
      </c>
      <c r="R2709">
        <v>8966</v>
      </c>
    </row>
    <row r="2710" spans="1:18" x14ac:dyDescent="0.25">
      <c r="A2710" s="160">
        <v>46020</v>
      </c>
      <c r="B2710">
        <v>5488</v>
      </c>
      <c r="C2710">
        <v>5199.55</v>
      </c>
      <c r="D2710">
        <v>5150</v>
      </c>
      <c r="E2710">
        <v>5239</v>
      </c>
      <c r="F2710">
        <v>5199.55</v>
      </c>
      <c r="G2710">
        <v>109250</v>
      </c>
      <c r="H2710" s="115"/>
      <c r="I2710" s="115"/>
      <c r="L2710" s="160">
        <v>45994</v>
      </c>
      <c r="M2710" s="115">
        <v>1250.0999999999999</v>
      </c>
      <c r="N2710" s="115">
        <v>1253.8</v>
      </c>
      <c r="O2710" s="115">
        <v>1232.5999999999999</v>
      </c>
      <c r="P2710" s="115">
        <v>1241.3</v>
      </c>
      <c r="Q2710" s="115">
        <v>1250.0999999999999</v>
      </c>
      <c r="R2710">
        <v>27671</v>
      </c>
    </row>
    <row r="2711" spans="1:18" x14ac:dyDescent="0.25">
      <c r="A2711" s="160">
        <v>46021</v>
      </c>
      <c r="B2711">
        <v>5326</v>
      </c>
      <c r="C2711">
        <v>5143.3500000000004</v>
      </c>
      <c r="D2711">
        <v>5125</v>
      </c>
      <c r="E2711">
        <v>5225</v>
      </c>
      <c r="F2711">
        <v>5143.3500000000004</v>
      </c>
      <c r="G2711">
        <v>28628</v>
      </c>
      <c r="H2711" s="115"/>
      <c r="I2711" s="115"/>
      <c r="L2711" s="160">
        <v>45995</v>
      </c>
      <c r="M2711" s="115">
        <v>1250.5</v>
      </c>
      <c r="N2711" s="115">
        <v>1257</v>
      </c>
      <c r="O2711" s="115">
        <v>1237.0999999999999</v>
      </c>
      <c r="P2711" s="115">
        <v>1246.7</v>
      </c>
      <c r="Q2711" s="115">
        <v>1250.5</v>
      </c>
      <c r="R2711">
        <v>8607</v>
      </c>
    </row>
    <row r="2712" spans="1:18" x14ac:dyDescent="0.25">
      <c r="A2712" s="160">
        <v>46022</v>
      </c>
      <c r="B2712">
        <v>5612</v>
      </c>
      <c r="C2712">
        <v>5268.95</v>
      </c>
      <c r="D2712">
        <v>5052</v>
      </c>
      <c r="E2712">
        <v>5170</v>
      </c>
      <c r="F2712">
        <v>5268.95</v>
      </c>
      <c r="G2712">
        <v>99201</v>
      </c>
      <c r="H2712" s="115"/>
      <c r="I2712" s="115"/>
      <c r="L2712" s="160">
        <v>45996</v>
      </c>
      <c r="M2712" s="115">
        <v>1252</v>
      </c>
      <c r="N2712" s="115">
        <v>1259.9000000000001</v>
      </c>
      <c r="O2712" s="115">
        <v>1243.8</v>
      </c>
      <c r="P2712" s="115">
        <v>1259.9000000000001</v>
      </c>
      <c r="Q2712" s="115">
        <v>1252</v>
      </c>
      <c r="R2712">
        <v>8848</v>
      </c>
    </row>
    <row r="2713" spans="1:18" x14ac:dyDescent="0.25">
      <c r="A2713" s="160">
        <v>46023</v>
      </c>
      <c r="B2713">
        <v>5743.85</v>
      </c>
      <c r="C2713">
        <v>5534.3</v>
      </c>
      <c r="D2713">
        <v>5266.5</v>
      </c>
      <c r="E2713">
        <v>5334.65</v>
      </c>
      <c r="F2713">
        <v>5534.3</v>
      </c>
      <c r="G2713">
        <v>103966</v>
      </c>
      <c r="H2713" s="115"/>
      <c r="I2713" s="115"/>
      <c r="L2713" s="160">
        <v>45999</v>
      </c>
      <c r="M2713" s="115">
        <v>1214.4000000000001</v>
      </c>
      <c r="N2713" s="115">
        <v>1265</v>
      </c>
      <c r="O2713" s="115">
        <v>1200</v>
      </c>
      <c r="P2713" s="115">
        <v>1265</v>
      </c>
      <c r="Q2713" s="115">
        <v>1214.4000000000001</v>
      </c>
      <c r="R2713">
        <v>17709</v>
      </c>
    </row>
    <row r="2714" spans="1:18" x14ac:dyDescent="0.25">
      <c r="A2714" s="160">
        <v>46024</v>
      </c>
      <c r="B2714">
        <v>5875</v>
      </c>
      <c r="C2714">
        <v>5794.85</v>
      </c>
      <c r="D2714">
        <v>5501.25</v>
      </c>
      <c r="E2714">
        <v>5550</v>
      </c>
      <c r="F2714">
        <v>5794.85</v>
      </c>
      <c r="G2714">
        <v>105980</v>
      </c>
      <c r="H2714" s="115"/>
      <c r="I2714" s="115"/>
      <c r="L2714" s="160">
        <v>46000</v>
      </c>
      <c r="M2714" s="115">
        <v>1213.5999999999999</v>
      </c>
      <c r="N2714" s="115">
        <v>1221.9000000000001</v>
      </c>
      <c r="O2714" s="115">
        <v>1191.5999999999999</v>
      </c>
      <c r="P2714" s="115">
        <v>1208.5999999999999</v>
      </c>
      <c r="Q2714" s="115">
        <v>1213.5999999999999</v>
      </c>
      <c r="R2714">
        <v>23408</v>
      </c>
    </row>
    <row r="2715" spans="1:18" x14ac:dyDescent="0.25">
      <c r="A2715" s="160">
        <v>46027</v>
      </c>
      <c r="B2715">
        <v>5940</v>
      </c>
      <c r="C2715">
        <v>5574.2</v>
      </c>
      <c r="D2715">
        <v>5508</v>
      </c>
      <c r="E2715">
        <v>5746.85</v>
      </c>
      <c r="F2715">
        <v>5574.2</v>
      </c>
      <c r="G2715">
        <v>95573</v>
      </c>
      <c r="H2715" s="115"/>
      <c r="I2715" s="115"/>
      <c r="L2715" s="160">
        <v>46001</v>
      </c>
      <c r="M2715" s="115">
        <v>1226</v>
      </c>
      <c r="N2715" s="115">
        <v>1240.0999999999999</v>
      </c>
      <c r="O2715" s="115">
        <v>1213</v>
      </c>
      <c r="P2715" s="115">
        <v>1220</v>
      </c>
      <c r="Q2715" s="115">
        <v>1226</v>
      </c>
      <c r="R2715">
        <v>25060</v>
      </c>
    </row>
    <row r="2716" spans="1:18" x14ac:dyDescent="0.25">
      <c r="A2716" s="160">
        <v>46028</v>
      </c>
      <c r="B2716">
        <v>5590</v>
      </c>
      <c r="C2716">
        <v>5324.6</v>
      </c>
      <c r="D2716">
        <v>5290.1</v>
      </c>
      <c r="E2716">
        <v>5539</v>
      </c>
      <c r="F2716">
        <v>5324.6</v>
      </c>
      <c r="G2716">
        <v>37345</v>
      </c>
      <c r="H2716" s="115"/>
      <c r="I2716" s="115"/>
      <c r="L2716" s="160">
        <v>46002</v>
      </c>
      <c r="M2716" s="115">
        <v>1213.0999999999999</v>
      </c>
      <c r="N2716" s="115">
        <v>1240</v>
      </c>
      <c r="O2716" s="115">
        <v>1193.2</v>
      </c>
      <c r="P2716" s="115">
        <v>1223.2</v>
      </c>
      <c r="Q2716" s="115">
        <v>1213.0999999999999</v>
      </c>
      <c r="R2716">
        <v>18832</v>
      </c>
    </row>
    <row r="2717" spans="1:18" x14ac:dyDescent="0.25">
      <c r="A2717" s="160">
        <v>46029</v>
      </c>
      <c r="B2717">
        <v>5399.9</v>
      </c>
      <c r="C2717">
        <v>5292.1</v>
      </c>
      <c r="D2717">
        <v>5250</v>
      </c>
      <c r="E2717">
        <v>5310</v>
      </c>
      <c r="F2717">
        <v>5292.1</v>
      </c>
      <c r="G2717">
        <v>12400</v>
      </c>
      <c r="H2717" s="115"/>
      <c r="I2717" s="115"/>
      <c r="L2717" s="160">
        <v>46003</v>
      </c>
      <c r="M2717" s="115">
        <v>1204.9000000000001</v>
      </c>
      <c r="N2717" s="115">
        <v>1256.9000000000001</v>
      </c>
      <c r="O2717" s="115">
        <v>1198.5</v>
      </c>
      <c r="P2717" s="115">
        <v>1214</v>
      </c>
      <c r="Q2717" s="115">
        <v>1204.9000000000001</v>
      </c>
      <c r="R2717">
        <v>23905</v>
      </c>
    </row>
    <row r="2718" spans="1:18" x14ac:dyDescent="0.25">
      <c r="A2718" s="160">
        <v>46030</v>
      </c>
      <c r="B2718">
        <v>5350</v>
      </c>
      <c r="C2718">
        <v>5271.5</v>
      </c>
      <c r="D2718">
        <v>5250</v>
      </c>
      <c r="E2718">
        <v>5300</v>
      </c>
      <c r="F2718">
        <v>5271.5</v>
      </c>
      <c r="G2718">
        <v>9081</v>
      </c>
      <c r="H2718" s="115"/>
      <c r="I2718" s="115"/>
      <c r="L2718" s="160">
        <v>46006</v>
      </c>
      <c r="M2718" s="115">
        <v>1196</v>
      </c>
      <c r="N2718" s="115">
        <v>1202</v>
      </c>
      <c r="O2718" s="115">
        <v>1186.2</v>
      </c>
      <c r="P2718" s="115">
        <v>1199</v>
      </c>
      <c r="Q2718" s="115">
        <v>1196</v>
      </c>
      <c r="R2718">
        <v>14564</v>
      </c>
    </row>
    <row r="2719" spans="1:18" x14ac:dyDescent="0.25">
      <c r="A2719" s="160">
        <v>46031</v>
      </c>
      <c r="B2719">
        <v>5299.9</v>
      </c>
      <c r="C2719">
        <v>5186.25</v>
      </c>
      <c r="D2719">
        <v>5150</v>
      </c>
      <c r="E2719">
        <v>5271</v>
      </c>
      <c r="F2719">
        <v>5186.25</v>
      </c>
      <c r="G2719">
        <v>8847</v>
      </c>
      <c r="H2719" s="115"/>
      <c r="I2719" s="115"/>
      <c r="L2719" s="160">
        <v>46007</v>
      </c>
      <c r="M2719" s="115">
        <v>1190</v>
      </c>
      <c r="N2719" s="115">
        <v>1205.9000000000001</v>
      </c>
      <c r="O2719" s="115">
        <v>1180</v>
      </c>
      <c r="P2719" s="115">
        <v>1197.8</v>
      </c>
      <c r="Q2719" s="115">
        <v>1190</v>
      </c>
      <c r="R2719">
        <v>12695</v>
      </c>
    </row>
    <row r="2720" spans="1:18" x14ac:dyDescent="0.25">
      <c r="A2720" s="160">
        <v>46034</v>
      </c>
      <c r="B2720">
        <v>5330</v>
      </c>
      <c r="C2720">
        <v>5276.85</v>
      </c>
      <c r="D2720">
        <v>5150</v>
      </c>
      <c r="E2720">
        <v>5215</v>
      </c>
      <c r="F2720">
        <v>5276.85</v>
      </c>
      <c r="G2720">
        <v>7262</v>
      </c>
      <c r="H2720" s="115"/>
      <c r="I2720" s="115"/>
      <c r="L2720" s="160">
        <v>46008</v>
      </c>
      <c r="M2720" s="115">
        <v>1178</v>
      </c>
      <c r="N2720" s="115">
        <v>1192</v>
      </c>
      <c r="O2720" s="115">
        <v>1174</v>
      </c>
      <c r="P2720" s="115">
        <v>1191.2</v>
      </c>
      <c r="Q2720" s="115">
        <v>1178</v>
      </c>
      <c r="R2720">
        <v>11136</v>
      </c>
    </row>
    <row r="2721" spans="1:18" x14ac:dyDescent="0.25">
      <c r="A2721" s="160">
        <v>46035</v>
      </c>
      <c r="B2721">
        <v>5422.8</v>
      </c>
      <c r="C2721">
        <v>5333.5</v>
      </c>
      <c r="D2721">
        <v>5291.05</v>
      </c>
      <c r="E2721">
        <v>5310</v>
      </c>
      <c r="F2721">
        <v>5333.5</v>
      </c>
      <c r="G2721">
        <v>5378</v>
      </c>
      <c r="H2721" s="115"/>
      <c r="I2721" s="115"/>
      <c r="L2721" s="160">
        <v>46009</v>
      </c>
      <c r="M2721" s="115">
        <v>1180.8</v>
      </c>
      <c r="N2721" s="115">
        <v>1190</v>
      </c>
      <c r="O2721" s="115">
        <v>1164.5999999999999</v>
      </c>
      <c r="P2721" s="115">
        <v>1178</v>
      </c>
      <c r="Q2721" s="115">
        <v>1180.8</v>
      </c>
      <c r="R2721">
        <v>12597</v>
      </c>
    </row>
    <row r="2722" spans="1:18" x14ac:dyDescent="0.25">
      <c r="A2722" s="160">
        <v>46036</v>
      </c>
      <c r="B2722">
        <v>5384.8</v>
      </c>
      <c r="C2722">
        <v>5258.7</v>
      </c>
      <c r="D2722">
        <v>5160</v>
      </c>
      <c r="E2722">
        <v>5361.95</v>
      </c>
      <c r="F2722">
        <v>5258.7</v>
      </c>
      <c r="G2722">
        <v>4642</v>
      </c>
      <c r="H2722" s="115"/>
      <c r="I2722" s="115"/>
      <c r="L2722" s="160">
        <v>46010</v>
      </c>
      <c r="M2722" s="115">
        <v>1181.5999999999999</v>
      </c>
      <c r="N2722" s="115">
        <v>1189.2</v>
      </c>
      <c r="O2722" s="115">
        <v>1158.0999999999999</v>
      </c>
      <c r="P2722" s="115">
        <v>1179.5</v>
      </c>
      <c r="Q2722" s="115">
        <v>1181.5999999999999</v>
      </c>
      <c r="R2722">
        <v>37535</v>
      </c>
    </row>
    <row r="2723" spans="1:18" x14ac:dyDescent="0.25">
      <c r="A2723" s="160">
        <v>46038</v>
      </c>
      <c r="B2723">
        <v>5550</v>
      </c>
      <c r="C2723">
        <v>5407.05</v>
      </c>
      <c r="D2723">
        <v>5259</v>
      </c>
      <c r="E2723">
        <v>5259</v>
      </c>
      <c r="F2723">
        <v>5407.05</v>
      </c>
      <c r="G2723">
        <v>7781</v>
      </c>
      <c r="H2723" s="115"/>
      <c r="I2723" s="115"/>
      <c r="L2723" s="160">
        <v>46013</v>
      </c>
      <c r="M2723" s="115">
        <v>1190.9000000000001</v>
      </c>
      <c r="N2723" s="115">
        <v>1197.9000000000001</v>
      </c>
      <c r="O2723" s="115">
        <v>1182.8</v>
      </c>
      <c r="P2723" s="115">
        <v>1195.7</v>
      </c>
      <c r="Q2723" s="115">
        <v>1190.9000000000001</v>
      </c>
      <c r="R2723">
        <v>16127</v>
      </c>
    </row>
    <row r="2724" spans="1:18" x14ac:dyDescent="0.25">
      <c r="A2724" s="160">
        <v>46041</v>
      </c>
      <c r="B2724">
        <v>5446</v>
      </c>
      <c r="C2724">
        <v>5294.25</v>
      </c>
      <c r="D2724">
        <v>5250</v>
      </c>
      <c r="E2724">
        <v>5446</v>
      </c>
      <c r="F2724">
        <v>5294.25</v>
      </c>
      <c r="G2724">
        <v>3306</v>
      </c>
      <c r="H2724" s="115"/>
      <c r="I2724" s="115"/>
      <c r="L2724" s="160">
        <v>46014</v>
      </c>
      <c r="M2724" s="115">
        <v>1189.5</v>
      </c>
      <c r="N2724" s="115">
        <v>1210</v>
      </c>
      <c r="O2724" s="115">
        <v>1186</v>
      </c>
      <c r="P2724" s="115">
        <v>1188.0999999999999</v>
      </c>
      <c r="Q2724" s="115">
        <v>1189.5</v>
      </c>
      <c r="R2724">
        <v>21838</v>
      </c>
    </row>
    <row r="2725" spans="1:18" x14ac:dyDescent="0.25">
      <c r="A2725" s="160">
        <v>46042</v>
      </c>
      <c r="B2725">
        <v>5305</v>
      </c>
      <c r="C2725">
        <v>5054</v>
      </c>
      <c r="D2725">
        <v>5025</v>
      </c>
      <c r="E2725">
        <v>5253</v>
      </c>
      <c r="F2725">
        <v>5054</v>
      </c>
      <c r="G2725">
        <v>8064</v>
      </c>
      <c r="H2725" s="115"/>
      <c r="I2725" s="115"/>
      <c r="L2725" s="160">
        <v>46015</v>
      </c>
      <c r="M2725" s="115">
        <v>1191.2</v>
      </c>
      <c r="N2725" s="115">
        <v>1206.8</v>
      </c>
      <c r="O2725" s="115">
        <v>1184.0999999999999</v>
      </c>
      <c r="P2725" s="115">
        <v>1188</v>
      </c>
      <c r="Q2725" s="115">
        <v>1191.2</v>
      </c>
      <c r="R2725">
        <v>36639</v>
      </c>
    </row>
    <row r="2726" spans="1:18" x14ac:dyDescent="0.25">
      <c r="A2726" s="160">
        <v>46043</v>
      </c>
      <c r="B2726">
        <v>5118.95</v>
      </c>
      <c r="C2726">
        <v>4924.55</v>
      </c>
      <c r="D2726">
        <v>4902</v>
      </c>
      <c r="E2726">
        <v>5054</v>
      </c>
      <c r="F2726">
        <v>4924.55</v>
      </c>
      <c r="G2726">
        <v>7791</v>
      </c>
      <c r="H2726" s="115"/>
      <c r="I2726" s="115"/>
      <c r="L2726" s="160">
        <v>46017</v>
      </c>
      <c r="M2726" s="115">
        <v>1208.8</v>
      </c>
      <c r="N2726" s="115">
        <v>1227</v>
      </c>
      <c r="O2726" s="115">
        <v>1188</v>
      </c>
      <c r="P2726" s="115">
        <v>1191.2</v>
      </c>
      <c r="Q2726" s="115">
        <v>1208.8</v>
      </c>
      <c r="R2726">
        <v>30341</v>
      </c>
    </row>
    <row r="2727" spans="1:18" x14ac:dyDescent="0.25">
      <c r="A2727" s="160">
        <v>46044</v>
      </c>
      <c r="B2727">
        <v>5099</v>
      </c>
      <c r="C2727">
        <v>5068.75</v>
      </c>
      <c r="D2727">
        <v>4941</v>
      </c>
      <c r="E2727">
        <v>4941</v>
      </c>
      <c r="F2727">
        <v>5068.75</v>
      </c>
      <c r="G2727">
        <v>3478</v>
      </c>
      <c r="H2727" s="115"/>
      <c r="I2727" s="115"/>
      <c r="L2727" s="160">
        <v>46020</v>
      </c>
      <c r="M2727" s="115">
        <v>1205</v>
      </c>
      <c r="N2727" s="115">
        <v>1231.3</v>
      </c>
      <c r="O2727" s="115">
        <v>1200.0999999999999</v>
      </c>
      <c r="P2727" s="115">
        <v>1208.8</v>
      </c>
      <c r="Q2727" s="115">
        <v>1205</v>
      </c>
      <c r="R2727">
        <v>23281</v>
      </c>
    </row>
    <row r="2728" spans="1:18" x14ac:dyDescent="0.25">
      <c r="A2728" s="160">
        <v>46045</v>
      </c>
      <c r="B2728">
        <v>5104</v>
      </c>
      <c r="C2728">
        <v>4965.95</v>
      </c>
      <c r="D2728">
        <v>4960</v>
      </c>
      <c r="E2728">
        <v>5068</v>
      </c>
      <c r="F2728">
        <v>4965.95</v>
      </c>
      <c r="G2728">
        <v>2333</v>
      </c>
      <c r="H2728" s="115"/>
      <c r="I2728" s="115"/>
      <c r="L2728" s="160">
        <v>46021</v>
      </c>
      <c r="M2728" s="115">
        <v>1178</v>
      </c>
      <c r="N2728" s="115">
        <v>1215.5999999999999</v>
      </c>
      <c r="O2728" s="115">
        <v>1150</v>
      </c>
      <c r="P2728" s="115">
        <v>1214</v>
      </c>
      <c r="Q2728" s="115">
        <v>1178</v>
      </c>
      <c r="R2728">
        <v>57265</v>
      </c>
    </row>
    <row r="2729" spans="1:18" x14ac:dyDescent="0.25">
      <c r="A2729" s="160">
        <v>46049</v>
      </c>
      <c r="B2729">
        <v>5000</v>
      </c>
      <c r="C2729">
        <v>4865.6000000000004</v>
      </c>
      <c r="D2729">
        <v>4841.05</v>
      </c>
      <c r="E2729">
        <v>4915</v>
      </c>
      <c r="F2729">
        <v>4865.6000000000004</v>
      </c>
      <c r="G2729">
        <v>6480</v>
      </c>
      <c r="H2729" s="115"/>
      <c r="I2729" s="115"/>
      <c r="L2729" s="160">
        <v>46022</v>
      </c>
      <c r="M2729" s="115">
        <v>1179.8</v>
      </c>
      <c r="N2729" s="115">
        <v>1199</v>
      </c>
      <c r="O2729" s="115">
        <v>1160</v>
      </c>
      <c r="P2729" s="115">
        <v>1166.5999999999999</v>
      </c>
      <c r="Q2729" s="115">
        <v>1179.8</v>
      </c>
      <c r="R2729">
        <v>56929</v>
      </c>
    </row>
    <row r="2730" spans="1:18" x14ac:dyDescent="0.25">
      <c r="A2730" s="160">
        <v>46050</v>
      </c>
      <c r="B2730">
        <v>4975</v>
      </c>
      <c r="C2730">
        <v>4924.6499999999996</v>
      </c>
      <c r="D2730">
        <v>4825.1000000000004</v>
      </c>
      <c r="E2730">
        <v>4865.6000000000004</v>
      </c>
      <c r="F2730">
        <v>4924.6499999999996</v>
      </c>
      <c r="G2730">
        <v>4884</v>
      </c>
      <c r="H2730" s="115"/>
      <c r="I2730" s="115"/>
      <c r="L2730" s="160">
        <v>46023</v>
      </c>
      <c r="M2730" s="115">
        <v>1177.4000000000001</v>
      </c>
      <c r="N2730" s="115">
        <v>1192.8</v>
      </c>
      <c r="O2730" s="115">
        <v>1171</v>
      </c>
      <c r="P2730" s="115">
        <v>1181.0999999999999</v>
      </c>
      <c r="Q2730" s="115">
        <v>1177.4000000000001</v>
      </c>
      <c r="R2730">
        <v>21436</v>
      </c>
    </row>
    <row r="2731" spans="1:18" x14ac:dyDescent="0.25">
      <c r="A2731" s="160">
        <v>46051</v>
      </c>
      <c r="B2731">
        <v>4962.95</v>
      </c>
      <c r="C2731">
        <v>4904.95</v>
      </c>
      <c r="D2731">
        <v>4891</v>
      </c>
      <c r="E2731">
        <v>4900</v>
      </c>
      <c r="F2731">
        <v>4904.95</v>
      </c>
      <c r="G2731">
        <v>2647</v>
      </c>
      <c r="H2731" s="115"/>
      <c r="I2731" s="115"/>
      <c r="L2731" s="160">
        <v>46024</v>
      </c>
      <c r="M2731" s="115">
        <v>1178.7</v>
      </c>
      <c r="N2731" s="115">
        <v>1197.0999999999999</v>
      </c>
      <c r="O2731" s="115">
        <v>1174.5999999999999</v>
      </c>
      <c r="P2731" s="115">
        <v>1183.8</v>
      </c>
      <c r="Q2731" s="115">
        <v>1178.7</v>
      </c>
      <c r="R2731">
        <v>65108</v>
      </c>
    </row>
    <row r="2732" spans="1:18" x14ac:dyDescent="0.25">
      <c r="A2732" s="160">
        <v>46052</v>
      </c>
      <c r="B2732">
        <v>4904.95</v>
      </c>
      <c r="C2732">
        <v>4793.8500000000004</v>
      </c>
      <c r="D2732">
        <v>4781</v>
      </c>
      <c r="E2732">
        <v>4880</v>
      </c>
      <c r="F2732">
        <v>4793.8500000000004</v>
      </c>
      <c r="G2732">
        <v>6216</v>
      </c>
      <c r="H2732" s="115"/>
      <c r="I2732" s="115"/>
      <c r="L2732" s="160">
        <v>46027</v>
      </c>
      <c r="M2732" s="115">
        <v>1146.9000000000001</v>
      </c>
      <c r="N2732" s="115">
        <v>1180.8</v>
      </c>
      <c r="O2732" s="115">
        <v>1133.9000000000001</v>
      </c>
      <c r="P2732" s="115">
        <v>1178.7</v>
      </c>
      <c r="Q2732" s="115">
        <v>1146.9000000000001</v>
      </c>
      <c r="R2732">
        <v>54118</v>
      </c>
    </row>
    <row r="2733" spans="1:18" x14ac:dyDescent="0.25">
      <c r="A2733" s="160">
        <v>46054</v>
      </c>
      <c r="B2733">
        <v>4824.8999999999996</v>
      </c>
      <c r="C2733">
        <v>4676.55</v>
      </c>
      <c r="D2733">
        <v>4610.1000000000004</v>
      </c>
      <c r="E2733">
        <v>4716</v>
      </c>
      <c r="F2733">
        <v>4676.55</v>
      </c>
      <c r="G2733">
        <v>4898</v>
      </c>
      <c r="H2733" s="115"/>
      <c r="I2733" s="115"/>
      <c r="L2733" s="160">
        <v>46028</v>
      </c>
      <c r="M2733" s="115">
        <v>1133</v>
      </c>
      <c r="N2733" s="115">
        <v>1153.3</v>
      </c>
      <c r="O2733" s="115">
        <v>1130.4000000000001</v>
      </c>
      <c r="P2733" s="115">
        <v>1150</v>
      </c>
      <c r="Q2733" s="115">
        <v>1133</v>
      </c>
      <c r="R2733">
        <v>27101</v>
      </c>
    </row>
    <row r="2734" spans="1:18" x14ac:dyDescent="0.25">
      <c r="A2734" s="160">
        <v>46055</v>
      </c>
      <c r="B2734">
        <v>4750</v>
      </c>
      <c r="C2734">
        <v>4708.55</v>
      </c>
      <c r="D2734">
        <v>4616.05</v>
      </c>
      <c r="E2734">
        <v>4659</v>
      </c>
      <c r="F2734">
        <v>4708.55</v>
      </c>
      <c r="G2734">
        <v>3650</v>
      </c>
      <c r="H2734" s="115"/>
      <c r="I2734" s="115"/>
      <c r="L2734" s="160">
        <v>46029</v>
      </c>
      <c r="M2734" s="115">
        <v>1112.8</v>
      </c>
      <c r="N2734" s="115">
        <v>1145.5999999999999</v>
      </c>
      <c r="O2734" s="115">
        <v>1097.2</v>
      </c>
      <c r="P2734" s="115">
        <v>1145.5999999999999</v>
      </c>
      <c r="Q2734" s="115">
        <v>1112.8</v>
      </c>
      <c r="R2734">
        <v>76744</v>
      </c>
    </row>
    <row r="2735" spans="1:18" x14ac:dyDescent="0.25">
      <c r="A2735" s="160">
        <v>46056</v>
      </c>
      <c r="B2735">
        <v>5040</v>
      </c>
      <c r="C2735">
        <v>4954.1499999999996</v>
      </c>
      <c r="D2735">
        <v>4804</v>
      </c>
      <c r="E2735">
        <v>4980</v>
      </c>
      <c r="F2735">
        <v>4954.1499999999996</v>
      </c>
      <c r="G2735">
        <v>7160</v>
      </c>
      <c r="H2735" s="115"/>
      <c r="I2735" s="115"/>
      <c r="L2735" s="160">
        <v>46030</v>
      </c>
      <c r="M2735" s="115">
        <v>1102.4000000000001</v>
      </c>
      <c r="N2735" s="115">
        <v>1123.0999999999999</v>
      </c>
      <c r="O2735" s="115">
        <v>1100</v>
      </c>
      <c r="P2735" s="115">
        <v>1114</v>
      </c>
      <c r="Q2735" s="115">
        <v>1102.4000000000001</v>
      </c>
      <c r="R2735">
        <v>31069</v>
      </c>
    </row>
    <row r="2736" spans="1:18" x14ac:dyDescent="0.25">
      <c r="A2736" s="160">
        <v>46057</v>
      </c>
      <c r="B2736">
        <v>5100</v>
      </c>
      <c r="C2736">
        <v>5000.6499999999996</v>
      </c>
      <c r="D2736">
        <v>4870.05</v>
      </c>
      <c r="E2736">
        <v>4948</v>
      </c>
      <c r="F2736">
        <v>5000.6499999999996</v>
      </c>
      <c r="G2736">
        <v>4132</v>
      </c>
      <c r="H2736" s="115"/>
      <c r="I2736" s="115"/>
      <c r="L2736" s="160">
        <v>46031</v>
      </c>
      <c r="M2736" s="115">
        <v>1091.4000000000001</v>
      </c>
      <c r="N2736" s="115">
        <v>1109.9000000000001</v>
      </c>
      <c r="O2736" s="115">
        <v>1083.7</v>
      </c>
      <c r="P2736" s="115">
        <v>1102.4000000000001</v>
      </c>
      <c r="Q2736" s="115">
        <v>1091.4000000000001</v>
      </c>
      <c r="R2736">
        <v>31700</v>
      </c>
    </row>
    <row r="2737" spans="1:18" x14ac:dyDescent="0.25">
      <c r="A2737" s="160">
        <v>46058</v>
      </c>
      <c r="B2737">
        <v>5002.1499999999996</v>
      </c>
      <c r="C2737">
        <v>4910.7</v>
      </c>
      <c r="D2737">
        <v>4878.05</v>
      </c>
      <c r="E2737">
        <v>5000.6499999999996</v>
      </c>
      <c r="F2737">
        <v>4910.7</v>
      </c>
      <c r="G2737">
        <v>1854</v>
      </c>
      <c r="H2737" s="115"/>
      <c r="I2737" s="115"/>
      <c r="L2737" s="160">
        <v>46034</v>
      </c>
      <c r="M2737" s="115">
        <v>1094.5</v>
      </c>
      <c r="N2737" s="115">
        <v>1116.3</v>
      </c>
      <c r="O2737" s="115">
        <v>1070.4000000000001</v>
      </c>
      <c r="P2737" s="115">
        <v>1090.5999999999999</v>
      </c>
      <c r="Q2737" s="115">
        <v>1094.5</v>
      </c>
      <c r="R2737">
        <v>50139</v>
      </c>
    </row>
    <row r="2738" spans="1:18" x14ac:dyDescent="0.25">
      <c r="A2738" s="160">
        <v>46059</v>
      </c>
      <c r="B2738">
        <v>4996.75</v>
      </c>
      <c r="C2738">
        <v>4933.6499999999996</v>
      </c>
      <c r="D2738">
        <v>4851.1000000000004</v>
      </c>
      <c r="E2738">
        <v>4910.05</v>
      </c>
      <c r="F2738">
        <v>4933.6499999999996</v>
      </c>
      <c r="G2738">
        <v>1507</v>
      </c>
      <c r="H2738" s="115"/>
      <c r="I2738" s="115"/>
      <c r="L2738" s="160">
        <v>46035</v>
      </c>
      <c r="M2738" s="115">
        <v>1071.2</v>
      </c>
      <c r="N2738" s="115">
        <v>1096.9000000000001</v>
      </c>
      <c r="O2738" s="115">
        <v>1068</v>
      </c>
      <c r="P2738" s="115">
        <v>1093.5</v>
      </c>
      <c r="Q2738" s="115">
        <v>1071.2</v>
      </c>
      <c r="R2738">
        <v>29563</v>
      </c>
    </row>
    <row r="2739" spans="1:18" x14ac:dyDescent="0.25">
      <c r="A2739" s="160">
        <v>46062</v>
      </c>
      <c r="B2739">
        <v>5173.3500000000004</v>
      </c>
      <c r="C2739">
        <v>5076.05</v>
      </c>
      <c r="D2739">
        <v>4971</v>
      </c>
      <c r="E2739">
        <v>5039.95</v>
      </c>
      <c r="F2739">
        <v>5076.05</v>
      </c>
      <c r="G2739">
        <v>4104</v>
      </c>
      <c r="H2739" s="115"/>
      <c r="I2739" s="115"/>
      <c r="L2739" s="160">
        <v>46036</v>
      </c>
      <c r="M2739" s="115">
        <v>1087.7</v>
      </c>
      <c r="N2739" s="115">
        <v>1098.4000000000001</v>
      </c>
      <c r="O2739" s="115">
        <v>1068.2</v>
      </c>
      <c r="P2739" s="115">
        <v>1072.5</v>
      </c>
      <c r="Q2739" s="115">
        <v>1087.7</v>
      </c>
      <c r="R2739">
        <v>26126</v>
      </c>
    </row>
    <row r="2740" spans="1:18" x14ac:dyDescent="0.25">
      <c r="A2740" s="160">
        <v>46063</v>
      </c>
      <c r="B2740">
        <v>5240</v>
      </c>
      <c r="C2740">
        <v>5090.95</v>
      </c>
      <c r="D2740">
        <v>5028.6499999999996</v>
      </c>
      <c r="E2740">
        <v>5130</v>
      </c>
      <c r="F2740">
        <v>5090.95</v>
      </c>
      <c r="G2740">
        <v>3060</v>
      </c>
      <c r="H2740" s="115"/>
      <c r="I2740" s="115"/>
      <c r="L2740" s="160">
        <v>46038</v>
      </c>
      <c r="M2740" s="115">
        <v>1074.7</v>
      </c>
      <c r="N2740" s="115">
        <v>1088.2</v>
      </c>
      <c r="O2740" s="115">
        <v>1070</v>
      </c>
      <c r="P2740" s="115">
        <v>1082.2</v>
      </c>
      <c r="Q2740" s="115">
        <v>1074.7</v>
      </c>
      <c r="R2740">
        <v>26349</v>
      </c>
    </row>
    <row r="2741" spans="1:18" x14ac:dyDescent="0.25">
      <c r="A2741" s="160">
        <v>46064</v>
      </c>
      <c r="B2741">
        <v>5129</v>
      </c>
      <c r="C2741">
        <v>5034.1499999999996</v>
      </c>
      <c r="D2741">
        <v>5010</v>
      </c>
      <c r="E2741">
        <v>5099.95</v>
      </c>
      <c r="F2741">
        <v>5034.1499999999996</v>
      </c>
      <c r="G2741">
        <v>1485</v>
      </c>
      <c r="H2741" s="115"/>
      <c r="I2741" s="115"/>
      <c r="L2741" s="160">
        <v>46041</v>
      </c>
      <c r="M2741" s="115">
        <v>1061.8</v>
      </c>
      <c r="N2741" s="115">
        <v>1070.2</v>
      </c>
      <c r="O2741" s="115">
        <v>1059.5999999999999</v>
      </c>
      <c r="P2741" s="115">
        <v>1060</v>
      </c>
      <c r="Q2741" s="115">
        <v>1061.8</v>
      </c>
      <c r="R2741">
        <v>14157</v>
      </c>
    </row>
    <row r="2742" spans="1:18" x14ac:dyDescent="0.25">
      <c r="A2742" s="160">
        <v>46065</v>
      </c>
      <c r="B2742">
        <v>5100</v>
      </c>
      <c r="C2742">
        <v>4957.8999999999996</v>
      </c>
      <c r="D2742">
        <v>4934.05</v>
      </c>
      <c r="E2742">
        <v>5100</v>
      </c>
      <c r="F2742">
        <v>4957.8999999999996</v>
      </c>
      <c r="G2742">
        <v>2227</v>
      </c>
      <c r="H2742" s="115"/>
      <c r="I2742" s="115"/>
      <c r="L2742" s="160">
        <v>46042</v>
      </c>
      <c r="M2742" s="115">
        <v>1051.8</v>
      </c>
      <c r="N2742" s="115">
        <v>1062.9000000000001</v>
      </c>
      <c r="O2742" s="115">
        <v>1049</v>
      </c>
      <c r="P2742" s="115">
        <v>1051.0999999999999</v>
      </c>
      <c r="Q2742" s="115">
        <v>1051.8</v>
      </c>
      <c r="R2742">
        <v>19935</v>
      </c>
    </row>
    <row r="2743" spans="1:18" x14ac:dyDescent="0.25">
      <c r="A2743" s="160">
        <v>46066</v>
      </c>
      <c r="B2743">
        <v>4963.95</v>
      </c>
      <c r="C2743">
        <v>4891.8999999999996</v>
      </c>
      <c r="D2743">
        <v>4848</v>
      </c>
      <c r="E2743">
        <v>4963.95</v>
      </c>
      <c r="F2743">
        <v>4891.8999999999996</v>
      </c>
      <c r="G2743">
        <v>2560</v>
      </c>
      <c r="H2743" s="115"/>
      <c r="I2743" s="115"/>
      <c r="L2743" s="160">
        <v>46043</v>
      </c>
      <c r="M2743" s="115">
        <v>1110</v>
      </c>
      <c r="N2743" s="115">
        <v>1188.5999999999999</v>
      </c>
      <c r="O2743" s="115">
        <v>1017.8</v>
      </c>
      <c r="P2743" s="115">
        <v>1037</v>
      </c>
      <c r="Q2743" s="115">
        <v>1110</v>
      </c>
      <c r="R2743">
        <v>122102</v>
      </c>
    </row>
    <row r="2744" spans="1:18" x14ac:dyDescent="0.25">
      <c r="A2744" s="160">
        <v>46069</v>
      </c>
      <c r="B2744">
        <v>5024</v>
      </c>
      <c r="C2744">
        <v>4943.3999999999996</v>
      </c>
      <c r="D2744">
        <v>4815</v>
      </c>
      <c r="E2744">
        <v>4815</v>
      </c>
      <c r="F2744">
        <v>4943.3999999999996</v>
      </c>
      <c r="G2744">
        <v>2490</v>
      </c>
      <c r="H2744" s="115"/>
      <c r="I2744" s="115"/>
      <c r="L2744" s="160">
        <v>46044</v>
      </c>
      <c r="M2744" s="115">
        <v>1111.4000000000001</v>
      </c>
      <c r="N2744" s="115">
        <v>1116.9000000000001</v>
      </c>
      <c r="O2744" s="115">
        <v>1071.4000000000001</v>
      </c>
      <c r="P2744" s="115">
        <v>1078.8</v>
      </c>
      <c r="Q2744" s="115">
        <v>1111.4000000000001</v>
      </c>
      <c r="R2744">
        <v>26733</v>
      </c>
    </row>
    <row r="2745" spans="1:18" x14ac:dyDescent="0.25">
      <c r="A2745" s="160">
        <v>46070</v>
      </c>
      <c r="B2745">
        <v>5240</v>
      </c>
      <c r="C2745">
        <v>5077.55</v>
      </c>
      <c r="D2745">
        <v>4926</v>
      </c>
      <c r="E2745">
        <v>4943.45</v>
      </c>
      <c r="F2745">
        <v>5077.55</v>
      </c>
      <c r="G2745">
        <v>4321</v>
      </c>
      <c r="H2745" s="115"/>
      <c r="I2745" s="115"/>
      <c r="L2745" s="160">
        <v>46045</v>
      </c>
      <c r="M2745" s="115">
        <v>1086.4000000000001</v>
      </c>
      <c r="N2745" s="115">
        <v>1110</v>
      </c>
      <c r="O2745" s="115">
        <v>1070</v>
      </c>
      <c r="P2745" s="115">
        <v>1109.9000000000001</v>
      </c>
      <c r="Q2745" s="115">
        <v>1086.4000000000001</v>
      </c>
      <c r="R2745">
        <v>16567</v>
      </c>
    </row>
    <row r="2746" spans="1:18" x14ac:dyDescent="0.25">
      <c r="A2746" s="160">
        <v>46071</v>
      </c>
      <c r="B2746">
        <v>5179.95</v>
      </c>
      <c r="C2746">
        <v>5045.1499999999996</v>
      </c>
      <c r="D2746">
        <v>5024</v>
      </c>
      <c r="E2746">
        <v>5025</v>
      </c>
      <c r="F2746">
        <v>5045.1499999999996</v>
      </c>
      <c r="G2746">
        <v>1675</v>
      </c>
      <c r="H2746" s="115"/>
      <c r="I2746" s="115"/>
      <c r="L2746" s="160">
        <v>46049</v>
      </c>
      <c r="M2746" s="115">
        <v>1110</v>
      </c>
      <c r="N2746" s="115">
        <v>1119.9000000000001</v>
      </c>
      <c r="O2746" s="115">
        <v>1075.4000000000001</v>
      </c>
      <c r="P2746" s="115">
        <v>1081.2</v>
      </c>
      <c r="Q2746" s="115">
        <v>1110</v>
      </c>
      <c r="R2746">
        <v>22856</v>
      </c>
    </row>
    <row r="2747" spans="1:18" x14ac:dyDescent="0.25">
      <c r="A2747" s="160">
        <v>46072</v>
      </c>
      <c r="B2747">
        <v>5085.1000000000004</v>
      </c>
      <c r="C2747">
        <v>4862</v>
      </c>
      <c r="D2747">
        <v>4820</v>
      </c>
      <c r="E2747">
        <v>5085.1000000000004</v>
      </c>
      <c r="F2747">
        <v>4862</v>
      </c>
      <c r="G2747">
        <v>2309</v>
      </c>
      <c r="H2747" s="115"/>
      <c r="I2747" s="115"/>
      <c r="L2747" s="160">
        <v>46050</v>
      </c>
      <c r="M2747" s="115">
        <v>1131.5</v>
      </c>
      <c r="N2747" s="115">
        <v>1153</v>
      </c>
      <c r="O2747" s="115">
        <v>1087.8</v>
      </c>
      <c r="P2747" s="115">
        <v>1104.5999999999999</v>
      </c>
      <c r="Q2747" s="115">
        <v>1131.5</v>
      </c>
      <c r="R2747">
        <v>32591</v>
      </c>
    </row>
    <row r="2748" spans="1:18" x14ac:dyDescent="0.25">
      <c r="A2748" s="160">
        <v>46073</v>
      </c>
      <c r="B2748">
        <v>4933</v>
      </c>
      <c r="C2748">
        <v>4839.2</v>
      </c>
      <c r="D2748">
        <v>4820</v>
      </c>
      <c r="E2748">
        <v>4849.95</v>
      </c>
      <c r="F2748">
        <v>4839.2</v>
      </c>
      <c r="G2748">
        <v>2806</v>
      </c>
      <c r="H2748" s="115"/>
      <c r="I2748" s="115"/>
      <c r="L2748" s="160">
        <v>46051</v>
      </c>
      <c r="M2748" s="115">
        <v>1101.3</v>
      </c>
      <c r="N2748" s="115">
        <v>1140</v>
      </c>
      <c r="O2748" s="115">
        <v>1092.2</v>
      </c>
      <c r="P2748" s="115">
        <v>1140</v>
      </c>
      <c r="Q2748" s="115">
        <v>1101.3</v>
      </c>
      <c r="R2748">
        <v>24820</v>
      </c>
    </row>
    <row r="2749" spans="1:18" x14ac:dyDescent="0.25">
      <c r="A2749" s="160">
        <v>46076</v>
      </c>
      <c r="B2749">
        <v>4998</v>
      </c>
      <c r="C2749">
        <v>4905.6000000000004</v>
      </c>
      <c r="D2749">
        <v>4850</v>
      </c>
      <c r="E2749">
        <v>4850</v>
      </c>
      <c r="F2749">
        <v>4905.6000000000004</v>
      </c>
      <c r="G2749">
        <v>3694</v>
      </c>
      <c r="H2749" s="115"/>
      <c r="I2749" s="115"/>
      <c r="L2749" s="160">
        <v>46052</v>
      </c>
      <c r="M2749" s="115">
        <v>1118.7</v>
      </c>
      <c r="N2749" s="115">
        <v>1127.2</v>
      </c>
      <c r="O2749" s="115">
        <v>1086.0999999999999</v>
      </c>
      <c r="P2749" s="115">
        <v>1102</v>
      </c>
      <c r="Q2749" s="115">
        <v>1118.7</v>
      </c>
      <c r="R2749">
        <v>19217</v>
      </c>
    </row>
    <row r="2750" spans="1:18" x14ac:dyDescent="0.25">
      <c r="A2750" s="160">
        <v>46077</v>
      </c>
      <c r="B2750">
        <v>4941</v>
      </c>
      <c r="C2750">
        <v>4896.5</v>
      </c>
      <c r="D2750">
        <v>4873.3500000000004</v>
      </c>
      <c r="E2750">
        <v>4941</v>
      </c>
      <c r="F2750">
        <v>4896.5</v>
      </c>
      <c r="G2750">
        <v>2473</v>
      </c>
      <c r="H2750" s="115"/>
      <c r="I2750" s="115"/>
      <c r="L2750" s="160">
        <v>46054</v>
      </c>
      <c r="M2750" s="115">
        <v>1089.5999999999999</v>
      </c>
      <c r="N2750" s="115">
        <v>1135</v>
      </c>
      <c r="O2750" s="115">
        <v>1080.5</v>
      </c>
      <c r="P2750" s="115">
        <v>1118.7</v>
      </c>
      <c r="Q2750" s="115">
        <v>1089.5999999999999</v>
      </c>
      <c r="R2750">
        <v>14999</v>
      </c>
    </row>
    <row r="2751" spans="1:18" x14ac:dyDescent="0.25">
      <c r="A2751" s="160">
        <v>46078</v>
      </c>
      <c r="B2751">
        <v>5133</v>
      </c>
      <c r="C2751">
        <v>5120</v>
      </c>
      <c r="D2751">
        <v>4959.8500000000004</v>
      </c>
      <c r="E2751">
        <v>4959.8500000000004</v>
      </c>
      <c r="F2751">
        <v>5120</v>
      </c>
      <c r="G2751">
        <v>8486</v>
      </c>
      <c r="H2751" s="115"/>
      <c r="I2751" s="115"/>
      <c r="L2751" s="160">
        <v>46055</v>
      </c>
      <c r="M2751" s="115">
        <v>1091.7</v>
      </c>
      <c r="N2751" s="115">
        <v>1110</v>
      </c>
      <c r="O2751" s="115">
        <v>1064.9000000000001</v>
      </c>
      <c r="P2751" s="115">
        <v>1089.5999999999999</v>
      </c>
      <c r="Q2751" s="115">
        <v>1091.7</v>
      </c>
      <c r="R2751">
        <v>12163</v>
      </c>
    </row>
    <row r="2752" spans="1:18" x14ac:dyDescent="0.25">
      <c r="A2752" s="160">
        <v>46079</v>
      </c>
      <c r="B2752">
        <v>5218.95</v>
      </c>
      <c r="C2752">
        <v>5002</v>
      </c>
      <c r="D2752">
        <v>4860</v>
      </c>
      <c r="E2752">
        <v>5189</v>
      </c>
      <c r="F2752">
        <v>5002</v>
      </c>
      <c r="G2752">
        <v>16691</v>
      </c>
      <c r="H2752" s="115"/>
      <c r="I2752" s="115"/>
      <c r="L2752" s="160">
        <v>46056</v>
      </c>
      <c r="M2752" s="115">
        <v>1121.2</v>
      </c>
      <c r="N2752" s="115">
        <v>1138.8</v>
      </c>
      <c r="O2752" s="115">
        <v>1105.5999999999999</v>
      </c>
      <c r="P2752" s="115">
        <v>1119.9000000000001</v>
      </c>
      <c r="Q2752" s="115">
        <v>1121.2</v>
      </c>
      <c r="R2752">
        <v>36005</v>
      </c>
    </row>
    <row r="2753" spans="1:18" x14ac:dyDescent="0.25">
      <c r="A2753" s="160">
        <v>46080</v>
      </c>
      <c r="B2753">
        <v>5140</v>
      </c>
      <c r="C2753">
        <v>5099.2</v>
      </c>
      <c r="D2753">
        <v>4955.05</v>
      </c>
      <c r="E2753">
        <v>5140</v>
      </c>
      <c r="F2753">
        <v>5099.2</v>
      </c>
      <c r="G2753">
        <v>8905</v>
      </c>
      <c r="H2753" s="115"/>
      <c r="I2753" s="115"/>
      <c r="L2753" s="160">
        <v>46057</v>
      </c>
      <c r="M2753" s="115">
        <v>1117.7</v>
      </c>
      <c r="N2753" s="115">
        <v>1127.7</v>
      </c>
      <c r="O2753" s="115">
        <v>1100.0999999999999</v>
      </c>
      <c r="P2753" s="115">
        <v>1115</v>
      </c>
      <c r="Q2753" s="115">
        <v>1117.7</v>
      </c>
      <c r="R2753">
        <v>19856</v>
      </c>
    </row>
    <row r="2754" spans="1:18" x14ac:dyDescent="0.25">
      <c r="A2754" s="160">
        <v>46083</v>
      </c>
      <c r="B2754">
        <v>4994.95</v>
      </c>
      <c r="C2754">
        <v>4938</v>
      </c>
      <c r="D2754">
        <v>4751</v>
      </c>
      <c r="E2754">
        <v>4751</v>
      </c>
      <c r="F2754">
        <v>4938</v>
      </c>
      <c r="G2754">
        <v>3916</v>
      </c>
      <c r="H2754" s="115"/>
      <c r="I2754" s="115"/>
      <c r="L2754" s="160">
        <v>46058</v>
      </c>
      <c r="M2754" s="115">
        <v>1068.4000000000001</v>
      </c>
      <c r="N2754" s="115">
        <v>1117.7</v>
      </c>
      <c r="O2754" s="115">
        <v>1046.3</v>
      </c>
      <c r="P2754" s="115">
        <v>1117.7</v>
      </c>
      <c r="Q2754" s="115">
        <v>1068.4000000000001</v>
      </c>
      <c r="R2754">
        <v>75905</v>
      </c>
    </row>
    <row r="2755" spans="1:18" x14ac:dyDescent="0.25">
      <c r="A2755" s="160">
        <v>46085</v>
      </c>
      <c r="B2755">
        <v>4950.5</v>
      </c>
      <c r="C2755">
        <v>4835.95</v>
      </c>
      <c r="D2755">
        <v>4758</v>
      </c>
      <c r="E2755">
        <v>4938</v>
      </c>
      <c r="F2755">
        <v>4835.95</v>
      </c>
      <c r="G2755">
        <v>5450</v>
      </c>
      <c r="H2755" s="115"/>
      <c r="I2755" s="115"/>
      <c r="L2755" s="160">
        <v>46059</v>
      </c>
      <c r="M2755" s="115">
        <v>1051</v>
      </c>
      <c r="N2755" s="115">
        <v>1060</v>
      </c>
      <c r="O2755" s="115">
        <v>1029</v>
      </c>
      <c r="P2755" s="115">
        <v>1047.7</v>
      </c>
      <c r="Q2755" s="115">
        <v>1051</v>
      </c>
      <c r="R2755">
        <v>30901</v>
      </c>
    </row>
    <row r="2756" spans="1:18" x14ac:dyDescent="0.25">
      <c r="A2756" s="160">
        <v>46086</v>
      </c>
      <c r="B2756">
        <v>4994</v>
      </c>
      <c r="C2756">
        <v>4873.2</v>
      </c>
      <c r="D2756">
        <v>4837</v>
      </c>
      <c r="E2756">
        <v>4850.05</v>
      </c>
      <c r="F2756">
        <v>4873.2</v>
      </c>
      <c r="G2756">
        <v>3242</v>
      </c>
      <c r="H2756" s="115"/>
      <c r="I2756" s="115"/>
      <c r="L2756" s="160">
        <v>46062</v>
      </c>
      <c r="M2756" s="115">
        <v>1136.0999999999999</v>
      </c>
      <c r="N2756" s="115">
        <v>1149</v>
      </c>
      <c r="O2756" s="115">
        <v>1058.4000000000001</v>
      </c>
      <c r="P2756" s="115">
        <v>1065.3</v>
      </c>
      <c r="Q2756" s="115">
        <v>1136.0999999999999</v>
      </c>
      <c r="R2756">
        <v>63950</v>
      </c>
    </row>
    <row r="2757" spans="1:18" x14ac:dyDescent="0.25">
      <c r="A2757" s="160">
        <v>46087</v>
      </c>
      <c r="B2757">
        <v>4937.8999999999996</v>
      </c>
      <c r="C2757">
        <v>4838.55</v>
      </c>
      <c r="D2757">
        <v>4801</v>
      </c>
      <c r="E2757">
        <v>4801</v>
      </c>
      <c r="F2757">
        <v>4838.55</v>
      </c>
      <c r="G2757">
        <v>1661</v>
      </c>
      <c r="H2757" s="115"/>
      <c r="I2757" s="115"/>
      <c r="L2757" s="160">
        <v>46063</v>
      </c>
      <c r="M2757" s="115">
        <v>1132</v>
      </c>
      <c r="N2757" s="115">
        <v>1149.5999999999999</v>
      </c>
      <c r="O2757" s="115">
        <v>1122.3</v>
      </c>
      <c r="P2757" s="115">
        <v>1143</v>
      </c>
      <c r="Q2757" s="115">
        <v>1132</v>
      </c>
      <c r="R2757">
        <v>18718</v>
      </c>
    </row>
    <row r="2758" spans="1:18" x14ac:dyDescent="0.25">
      <c r="A2758" s="160">
        <v>46090</v>
      </c>
      <c r="B2758">
        <v>4882.1499999999996</v>
      </c>
      <c r="C2758">
        <v>4810.05</v>
      </c>
      <c r="D2758">
        <v>4675.1000000000004</v>
      </c>
      <c r="E2758">
        <v>4770</v>
      </c>
      <c r="F2758">
        <v>4810.05</v>
      </c>
      <c r="G2758">
        <v>6008</v>
      </c>
      <c r="H2758" s="115"/>
      <c r="I2758" s="115"/>
      <c r="L2758" s="160">
        <v>46064</v>
      </c>
      <c r="M2758" s="115">
        <v>1149.4000000000001</v>
      </c>
      <c r="N2758" s="115">
        <v>1165.5</v>
      </c>
      <c r="O2758" s="115">
        <v>1115.0999999999999</v>
      </c>
      <c r="P2758" s="115">
        <v>1141.5</v>
      </c>
      <c r="Q2758" s="115">
        <v>1149.4000000000001</v>
      </c>
      <c r="R2758">
        <v>31943</v>
      </c>
    </row>
    <row r="2759" spans="1:18" x14ac:dyDescent="0.25">
      <c r="A2759" s="160">
        <v>46091</v>
      </c>
      <c r="B2759">
        <v>4850</v>
      </c>
      <c r="C2759">
        <v>4776.95</v>
      </c>
      <c r="D2759">
        <v>4756</v>
      </c>
      <c r="E2759">
        <v>4848</v>
      </c>
      <c r="F2759">
        <v>4776.95</v>
      </c>
      <c r="G2759">
        <v>3620</v>
      </c>
      <c r="H2759" s="115"/>
      <c r="I2759" s="115"/>
      <c r="L2759" s="160">
        <v>46065</v>
      </c>
      <c r="M2759" s="115">
        <v>1128</v>
      </c>
      <c r="N2759" s="115">
        <v>1150</v>
      </c>
      <c r="O2759" s="115">
        <v>1117.7</v>
      </c>
      <c r="P2759" s="115">
        <v>1150</v>
      </c>
      <c r="Q2759" s="115">
        <v>1128</v>
      </c>
      <c r="R2759">
        <v>27026</v>
      </c>
    </row>
    <row r="2760" spans="1:18" x14ac:dyDescent="0.25">
      <c r="A2760" s="160">
        <v>46092</v>
      </c>
      <c r="B2760">
        <v>4889.75</v>
      </c>
      <c r="C2760">
        <v>4862.75</v>
      </c>
      <c r="D2760">
        <v>4770</v>
      </c>
      <c r="E2760">
        <v>4879.95</v>
      </c>
      <c r="F2760">
        <v>4862.75</v>
      </c>
      <c r="G2760">
        <v>5283</v>
      </c>
      <c r="H2760" s="115"/>
      <c r="I2760" s="115"/>
      <c r="L2760" s="160">
        <v>46066</v>
      </c>
      <c r="M2760" s="115">
        <v>1123.5</v>
      </c>
      <c r="N2760" s="115">
        <v>1133.4000000000001</v>
      </c>
      <c r="O2760" s="115">
        <v>1105</v>
      </c>
      <c r="P2760" s="115">
        <v>1124</v>
      </c>
      <c r="Q2760" s="115">
        <v>1123.5</v>
      </c>
      <c r="R2760">
        <v>19621</v>
      </c>
    </row>
    <row r="2761" spans="1:18" x14ac:dyDescent="0.25">
      <c r="A2761" s="160">
        <v>46093</v>
      </c>
      <c r="B2761">
        <v>4873.8999999999996</v>
      </c>
      <c r="C2761">
        <v>4825.7</v>
      </c>
      <c r="D2761">
        <v>4800</v>
      </c>
      <c r="E2761">
        <v>4820</v>
      </c>
      <c r="F2761">
        <v>4825.7</v>
      </c>
      <c r="G2761">
        <v>3260</v>
      </c>
      <c r="H2761" s="115"/>
      <c r="I2761" s="115"/>
      <c r="L2761" s="160">
        <v>46069</v>
      </c>
      <c r="M2761" s="115">
        <v>1098.4000000000001</v>
      </c>
      <c r="N2761" s="115">
        <v>1133</v>
      </c>
      <c r="O2761" s="115">
        <v>1085.5</v>
      </c>
      <c r="P2761" s="115">
        <v>1133</v>
      </c>
      <c r="Q2761" s="115">
        <v>1098.4000000000001</v>
      </c>
      <c r="R2761">
        <v>93445</v>
      </c>
    </row>
    <row r="2762" spans="1:18" x14ac:dyDescent="0.25">
      <c r="A2762" s="160">
        <v>46094</v>
      </c>
      <c r="B2762">
        <v>4865</v>
      </c>
      <c r="C2762">
        <v>4687.1499999999996</v>
      </c>
      <c r="D2762">
        <v>4661.1000000000004</v>
      </c>
      <c r="E2762">
        <v>4849</v>
      </c>
      <c r="F2762">
        <v>4687.1499999999996</v>
      </c>
      <c r="G2762">
        <v>4852</v>
      </c>
      <c r="H2762" s="115"/>
      <c r="I2762" s="115"/>
      <c r="L2762" s="160">
        <v>46070</v>
      </c>
      <c r="M2762" s="115">
        <v>1104.9000000000001</v>
      </c>
      <c r="N2762" s="115">
        <v>1109.4000000000001</v>
      </c>
      <c r="O2762" s="115">
        <v>1074.5</v>
      </c>
      <c r="P2762" s="115">
        <v>1108.7</v>
      </c>
      <c r="Q2762" s="115">
        <v>1104.9000000000001</v>
      </c>
      <c r="R2762">
        <v>36180</v>
      </c>
    </row>
    <row r="2763" spans="1:18" x14ac:dyDescent="0.25">
      <c r="A2763" s="160">
        <v>46097</v>
      </c>
      <c r="B2763">
        <v>4740.6000000000004</v>
      </c>
      <c r="C2763">
        <v>4517.8</v>
      </c>
      <c r="D2763">
        <v>4490</v>
      </c>
      <c r="E2763">
        <v>4700</v>
      </c>
      <c r="F2763">
        <v>4517.8</v>
      </c>
      <c r="G2763">
        <v>8689</v>
      </c>
      <c r="H2763" s="115"/>
      <c r="I2763" s="115"/>
      <c r="L2763" s="160">
        <v>46071</v>
      </c>
      <c r="M2763" s="115">
        <v>1117</v>
      </c>
      <c r="N2763" s="115">
        <v>1125</v>
      </c>
      <c r="O2763" s="115">
        <v>1080.5999999999999</v>
      </c>
      <c r="P2763" s="115">
        <v>1102.3</v>
      </c>
      <c r="Q2763" s="115">
        <v>1117</v>
      </c>
      <c r="R2763">
        <v>26267</v>
      </c>
    </row>
    <row r="2764" spans="1:18" x14ac:dyDescent="0.25">
      <c r="A2764" s="160">
        <v>46098</v>
      </c>
      <c r="B2764">
        <v>4680</v>
      </c>
      <c r="C2764">
        <v>4648.75</v>
      </c>
      <c r="D2764">
        <v>4490</v>
      </c>
      <c r="E2764">
        <v>4580</v>
      </c>
      <c r="F2764">
        <v>4648.75</v>
      </c>
      <c r="G2764">
        <v>4964</v>
      </c>
      <c r="H2764" s="115"/>
      <c r="I2764" s="115"/>
      <c r="L2764" s="160">
        <v>46072</v>
      </c>
      <c r="M2764" s="115">
        <v>1107.2</v>
      </c>
      <c r="N2764" s="115">
        <v>1119.0999999999999</v>
      </c>
      <c r="O2764" s="115">
        <v>1094.0999999999999</v>
      </c>
      <c r="P2764" s="115">
        <v>1117</v>
      </c>
      <c r="Q2764" s="115">
        <v>1107.2</v>
      </c>
      <c r="R2764">
        <v>13728</v>
      </c>
    </row>
    <row r="2765" spans="1:18" x14ac:dyDescent="0.25">
      <c r="A2765" s="160">
        <v>46099</v>
      </c>
      <c r="B2765">
        <v>4800</v>
      </c>
      <c r="C2765">
        <v>4732.25</v>
      </c>
      <c r="D2765">
        <v>4580</v>
      </c>
      <c r="E2765">
        <v>4660</v>
      </c>
      <c r="F2765">
        <v>4732.25</v>
      </c>
      <c r="G2765">
        <v>3055</v>
      </c>
      <c r="H2765" s="115"/>
      <c r="I2765" s="115"/>
      <c r="L2765" s="160">
        <v>46073</v>
      </c>
      <c r="M2765" s="115">
        <v>1093.7</v>
      </c>
      <c r="N2765" s="115">
        <v>1107.2</v>
      </c>
      <c r="O2765" s="115">
        <v>1080</v>
      </c>
      <c r="P2765" s="115">
        <v>1107.2</v>
      </c>
      <c r="Q2765" s="115">
        <v>1093.7</v>
      </c>
      <c r="R2765">
        <v>24860</v>
      </c>
    </row>
    <row r="2766" spans="1:18" x14ac:dyDescent="0.25">
      <c r="A2766" s="160">
        <v>46100</v>
      </c>
      <c r="B2766">
        <v>4766.8999999999996</v>
      </c>
      <c r="C2766">
        <v>4611.8</v>
      </c>
      <c r="D2766">
        <v>4560</v>
      </c>
      <c r="E2766">
        <v>4665</v>
      </c>
      <c r="F2766">
        <v>4611.8</v>
      </c>
      <c r="G2766">
        <v>4035</v>
      </c>
      <c r="H2766" s="115"/>
      <c r="I2766" s="115"/>
      <c r="L2766" s="160">
        <v>46076</v>
      </c>
      <c r="M2766" s="115">
        <v>1101.7</v>
      </c>
      <c r="N2766" s="115">
        <v>1109.9000000000001</v>
      </c>
      <c r="O2766" s="115">
        <v>1081.8</v>
      </c>
      <c r="P2766" s="115">
        <v>1090.7</v>
      </c>
      <c r="Q2766" s="115">
        <v>1101.7</v>
      </c>
      <c r="R2766">
        <v>30530</v>
      </c>
    </row>
    <row r="2767" spans="1:18" x14ac:dyDescent="0.25">
      <c r="A2767" s="160">
        <v>46101</v>
      </c>
      <c r="B2767">
        <v>4762.95</v>
      </c>
      <c r="C2767">
        <v>4682.45</v>
      </c>
      <c r="D2767">
        <v>4646</v>
      </c>
      <c r="E2767">
        <v>4679</v>
      </c>
      <c r="F2767">
        <v>4682.45</v>
      </c>
      <c r="G2767">
        <v>7029</v>
      </c>
      <c r="H2767" s="115"/>
      <c r="I2767" s="115"/>
      <c r="L2767" s="160">
        <v>46077</v>
      </c>
      <c r="M2767" s="115">
        <v>1092.2</v>
      </c>
      <c r="N2767" s="115">
        <v>1100.0999999999999</v>
      </c>
      <c r="O2767" s="115">
        <v>1076</v>
      </c>
      <c r="P2767" s="115">
        <v>1100.0999999999999</v>
      </c>
      <c r="Q2767" s="115">
        <v>1092.2</v>
      </c>
      <c r="R2767">
        <v>24019</v>
      </c>
    </row>
    <row r="2768" spans="1:18" x14ac:dyDescent="0.25">
      <c r="A2768" s="160">
        <v>46104</v>
      </c>
      <c r="B2768">
        <v>4590.05</v>
      </c>
      <c r="C2768">
        <v>4463.55</v>
      </c>
      <c r="D2768">
        <v>4430</v>
      </c>
      <c r="E2768">
        <v>4580</v>
      </c>
      <c r="F2768">
        <v>4463.55</v>
      </c>
      <c r="G2768">
        <v>3931</v>
      </c>
      <c r="H2768" s="115"/>
      <c r="I2768" s="115"/>
      <c r="L2768" s="160">
        <v>46078</v>
      </c>
      <c r="M2768" s="115">
        <v>1068.7</v>
      </c>
      <c r="N2768" s="115">
        <v>1099.5999999999999</v>
      </c>
      <c r="O2768" s="115">
        <v>1053.5</v>
      </c>
      <c r="P2768" s="115">
        <v>1087</v>
      </c>
      <c r="Q2768" s="115">
        <v>1068.7</v>
      </c>
      <c r="R2768">
        <v>58484</v>
      </c>
    </row>
    <row r="2769" spans="1:18" x14ac:dyDescent="0.25">
      <c r="A2769" s="160">
        <v>46105</v>
      </c>
      <c r="B2769">
        <v>4574</v>
      </c>
      <c r="C2769">
        <v>4478.8500000000004</v>
      </c>
      <c r="D2769">
        <v>4424</v>
      </c>
      <c r="E2769">
        <v>4547.95</v>
      </c>
      <c r="F2769">
        <v>4478.8500000000004</v>
      </c>
      <c r="G2769">
        <v>5900</v>
      </c>
      <c r="H2769" s="115"/>
      <c r="I2769" s="115"/>
      <c r="L2769" s="160">
        <v>46079</v>
      </c>
      <c r="M2769" s="115">
        <v>1057.5</v>
      </c>
      <c r="N2769" s="115">
        <v>1076.4000000000001</v>
      </c>
      <c r="O2769" s="115">
        <v>1051</v>
      </c>
      <c r="P2769" s="115">
        <v>1070</v>
      </c>
      <c r="Q2769" s="115">
        <v>1057.5</v>
      </c>
      <c r="R2769">
        <v>25254</v>
      </c>
    </row>
    <row r="2770" spans="1:18" x14ac:dyDescent="0.25">
      <c r="A2770" s="160">
        <v>46106</v>
      </c>
      <c r="B2770">
        <v>4647.95</v>
      </c>
      <c r="C2770">
        <v>4549</v>
      </c>
      <c r="D2770">
        <v>4511</v>
      </c>
      <c r="E2770">
        <v>4511.05</v>
      </c>
      <c r="F2770">
        <v>4549</v>
      </c>
      <c r="G2770">
        <v>6725</v>
      </c>
      <c r="H2770" s="115"/>
      <c r="I2770" s="115"/>
      <c r="L2770" s="160">
        <v>46080</v>
      </c>
      <c r="M2770" s="115">
        <v>1015.3</v>
      </c>
      <c r="N2770" s="115">
        <v>1065</v>
      </c>
      <c r="O2770" s="115">
        <v>1000</v>
      </c>
      <c r="P2770" s="115">
        <v>1057.5</v>
      </c>
      <c r="Q2770" s="115">
        <v>1015.3</v>
      </c>
      <c r="R2770">
        <v>372849</v>
      </c>
    </row>
    <row r="2771" spans="1:18" x14ac:dyDescent="0.25">
      <c r="A2771" s="160">
        <v>46108</v>
      </c>
      <c r="B2771">
        <v>4529.95</v>
      </c>
      <c r="C2771">
        <v>4330.3500000000004</v>
      </c>
      <c r="D2771">
        <v>4280.05</v>
      </c>
      <c r="E2771">
        <v>4529.95</v>
      </c>
      <c r="F2771">
        <v>4330.3500000000004</v>
      </c>
      <c r="G2771">
        <v>7100</v>
      </c>
      <c r="H2771" s="115"/>
      <c r="I2771" s="115"/>
      <c r="L2771" s="160">
        <v>46083</v>
      </c>
      <c r="M2771" s="115">
        <v>1011.9</v>
      </c>
      <c r="N2771" s="115">
        <v>1037</v>
      </c>
      <c r="O2771" s="115">
        <v>970.1</v>
      </c>
      <c r="P2771" s="115">
        <v>980</v>
      </c>
      <c r="Q2771" s="115">
        <v>1011.9</v>
      </c>
      <c r="R2771">
        <v>61979</v>
      </c>
    </row>
    <row r="2772" spans="1:18" x14ac:dyDescent="0.25">
      <c r="A2772" s="160">
        <v>46111</v>
      </c>
      <c r="B2772">
        <v>4329.95</v>
      </c>
      <c r="C2772">
        <v>4082.2</v>
      </c>
      <c r="D2772">
        <v>4041.05</v>
      </c>
      <c r="E2772">
        <v>4329.95</v>
      </c>
      <c r="F2772">
        <v>4082.2</v>
      </c>
      <c r="G2772">
        <v>12306</v>
      </c>
      <c r="H2772" s="115"/>
      <c r="I2772" s="115"/>
      <c r="L2772" s="160">
        <v>46085</v>
      </c>
      <c r="M2772" s="115">
        <v>988.1</v>
      </c>
      <c r="N2772" s="115">
        <v>1003.9</v>
      </c>
      <c r="O2772" s="115">
        <v>985</v>
      </c>
      <c r="P2772" s="115">
        <v>991</v>
      </c>
      <c r="Q2772" s="115">
        <v>988.1</v>
      </c>
      <c r="R2772">
        <v>46475</v>
      </c>
    </row>
    <row r="2773" spans="1:18" x14ac:dyDescent="0.25">
      <c r="A2773" s="160">
        <v>46113</v>
      </c>
      <c r="B2773">
        <v>4380</v>
      </c>
      <c r="C2773">
        <v>4338.2</v>
      </c>
      <c r="D2773">
        <v>4205.1000000000004</v>
      </c>
      <c r="E2773">
        <v>4205.1000000000004</v>
      </c>
      <c r="F2773">
        <v>4338.2</v>
      </c>
      <c r="G2773">
        <v>5539</v>
      </c>
      <c r="H2773" s="115"/>
      <c r="I2773" s="115"/>
      <c r="L2773" s="160">
        <v>46086</v>
      </c>
      <c r="M2773" s="115">
        <v>992.7</v>
      </c>
      <c r="N2773" s="115">
        <v>1006.6</v>
      </c>
      <c r="O2773" s="115">
        <v>980.1</v>
      </c>
      <c r="P2773" s="115">
        <v>995.7</v>
      </c>
      <c r="Q2773" s="115">
        <v>992.7</v>
      </c>
      <c r="R2773">
        <v>48695</v>
      </c>
    </row>
    <row r="2774" spans="1:18" x14ac:dyDescent="0.25">
      <c r="A2774" s="160">
        <v>46114</v>
      </c>
      <c r="B2774">
        <v>4489.75</v>
      </c>
      <c r="C2774">
        <v>4470.25</v>
      </c>
      <c r="D2774">
        <v>4152</v>
      </c>
      <c r="E2774">
        <v>4288.8</v>
      </c>
      <c r="F2774">
        <v>4470.25</v>
      </c>
      <c r="G2774">
        <v>3897</v>
      </c>
      <c r="H2774" s="115"/>
      <c r="I2774" s="115"/>
      <c r="L2774" s="160">
        <v>46087</v>
      </c>
      <c r="M2774" s="115">
        <v>985.4</v>
      </c>
      <c r="N2774" s="115">
        <v>998.4</v>
      </c>
      <c r="O2774" s="115">
        <v>981.6</v>
      </c>
      <c r="P2774" s="115">
        <v>997.3</v>
      </c>
      <c r="Q2774" s="115">
        <v>985.4</v>
      </c>
      <c r="R2774">
        <v>19940</v>
      </c>
    </row>
    <row r="2775" spans="1:18" x14ac:dyDescent="0.25">
      <c r="A2775" s="160">
        <v>46118</v>
      </c>
      <c r="B2775">
        <v>4580.05</v>
      </c>
      <c r="C2775">
        <v>4572</v>
      </c>
      <c r="D2775">
        <v>4406.05</v>
      </c>
      <c r="E2775">
        <v>4420.05</v>
      </c>
      <c r="F2775">
        <v>4572</v>
      </c>
      <c r="G2775">
        <v>1516</v>
      </c>
      <c r="H2775" s="115"/>
      <c r="I2775" s="115"/>
      <c r="L2775" s="160">
        <v>46090</v>
      </c>
      <c r="M2775" s="115">
        <v>962.6</v>
      </c>
      <c r="N2775" s="115">
        <v>980</v>
      </c>
      <c r="O2775" s="115">
        <v>948.9</v>
      </c>
      <c r="P2775" s="115">
        <v>980</v>
      </c>
      <c r="Q2775" s="115">
        <v>962.6</v>
      </c>
      <c r="R2775">
        <v>38648</v>
      </c>
    </row>
    <row r="2776" spans="1:18" x14ac:dyDescent="0.25">
      <c r="A2776" s="160">
        <v>46119</v>
      </c>
      <c r="B2776">
        <v>4835</v>
      </c>
      <c r="C2776">
        <v>4715.3999999999996</v>
      </c>
      <c r="D2776">
        <v>4450</v>
      </c>
      <c r="E2776">
        <v>4450</v>
      </c>
      <c r="F2776">
        <v>4715.3999999999996</v>
      </c>
      <c r="G2776">
        <v>3498</v>
      </c>
      <c r="H2776" s="115"/>
      <c r="I2776" s="115"/>
      <c r="L2776" s="160">
        <v>46091</v>
      </c>
      <c r="M2776" s="115">
        <v>992.4</v>
      </c>
      <c r="N2776" s="115">
        <v>999.9</v>
      </c>
      <c r="O2776" s="115">
        <v>966</v>
      </c>
      <c r="P2776" s="115">
        <v>966</v>
      </c>
      <c r="Q2776" s="115">
        <v>992.4</v>
      </c>
      <c r="R2776">
        <v>21196</v>
      </c>
    </row>
    <row r="2777" spans="1:18" x14ac:dyDescent="0.25">
      <c r="A2777" s="160">
        <v>46120</v>
      </c>
      <c r="B2777">
        <v>4934.3999999999996</v>
      </c>
      <c r="C2777">
        <v>4913</v>
      </c>
      <c r="D2777">
        <v>4740.1499999999996</v>
      </c>
      <c r="E2777">
        <v>4850</v>
      </c>
      <c r="F2777">
        <v>4913</v>
      </c>
      <c r="G2777">
        <v>4757</v>
      </c>
      <c r="H2777" s="115"/>
      <c r="I2777" s="115"/>
      <c r="L2777" s="160">
        <v>46092</v>
      </c>
      <c r="M2777" s="115">
        <v>977</v>
      </c>
      <c r="N2777" s="115">
        <v>1029</v>
      </c>
      <c r="O2777" s="115">
        <v>970.9</v>
      </c>
      <c r="P2777" s="115">
        <v>1000.1</v>
      </c>
      <c r="Q2777" s="115">
        <v>977</v>
      </c>
      <c r="R2777">
        <v>41324</v>
      </c>
    </row>
    <row r="2778" spans="1:18" x14ac:dyDescent="0.25">
      <c r="A2778" s="160">
        <v>46121</v>
      </c>
      <c r="B2778">
        <v>4913</v>
      </c>
      <c r="C2778">
        <v>4829.6000000000004</v>
      </c>
      <c r="D2778">
        <v>4800.1000000000004</v>
      </c>
      <c r="E2778">
        <v>4913</v>
      </c>
      <c r="F2778">
        <v>4829.6000000000004</v>
      </c>
      <c r="G2778">
        <v>2611</v>
      </c>
      <c r="H2778" s="115"/>
      <c r="I2778" s="115"/>
      <c r="L2778" s="160">
        <v>46093</v>
      </c>
      <c r="M2778" s="115">
        <v>960.5</v>
      </c>
      <c r="N2778" s="115">
        <v>977</v>
      </c>
      <c r="O2778" s="115">
        <v>951.2</v>
      </c>
      <c r="P2778" s="115">
        <v>977</v>
      </c>
      <c r="Q2778" s="115">
        <v>960.5</v>
      </c>
      <c r="R2778">
        <v>45385</v>
      </c>
    </row>
    <row r="2779" spans="1:18" x14ac:dyDescent="0.25">
      <c r="A2779" s="160">
        <v>46122</v>
      </c>
      <c r="B2779">
        <v>5035</v>
      </c>
      <c r="C2779">
        <v>4988.3999999999996</v>
      </c>
      <c r="D2779">
        <v>4800</v>
      </c>
      <c r="E2779">
        <v>4829.6499999999996</v>
      </c>
      <c r="F2779">
        <v>4988.3999999999996</v>
      </c>
      <c r="G2779">
        <v>6364</v>
      </c>
      <c r="H2779" s="115"/>
      <c r="I2779" s="115"/>
      <c r="L2779" s="160">
        <v>46094</v>
      </c>
      <c r="M2779" s="115">
        <v>975.4</v>
      </c>
      <c r="N2779" s="115">
        <v>980.9</v>
      </c>
      <c r="O2779" s="115">
        <v>951</v>
      </c>
      <c r="P2779" s="115">
        <v>961.5</v>
      </c>
      <c r="Q2779" s="115">
        <v>975.4</v>
      </c>
      <c r="R2779">
        <v>45724</v>
      </c>
    </row>
    <row r="2780" spans="1:18" x14ac:dyDescent="0.25">
      <c r="A2780" s="160">
        <v>46125</v>
      </c>
      <c r="B2780">
        <v>4978</v>
      </c>
      <c r="C2780">
        <v>4916.6499999999996</v>
      </c>
      <c r="D2780">
        <v>4825.5</v>
      </c>
      <c r="E2780">
        <v>4900</v>
      </c>
      <c r="F2780">
        <v>4916.6499999999996</v>
      </c>
      <c r="G2780">
        <v>2602</v>
      </c>
      <c r="H2780" s="115"/>
      <c r="I2780" s="115"/>
      <c r="L2780" s="160">
        <v>46097</v>
      </c>
      <c r="M2780" s="115">
        <v>977.4</v>
      </c>
      <c r="N2780" s="115">
        <v>989.8</v>
      </c>
      <c r="O2780" s="115">
        <v>954.4</v>
      </c>
      <c r="P2780" s="115">
        <v>972</v>
      </c>
      <c r="Q2780" s="115">
        <v>977.4</v>
      </c>
      <c r="R2780">
        <v>53964</v>
      </c>
    </row>
    <row r="2781" spans="1:18" x14ac:dyDescent="0.25">
      <c r="A2781" s="160">
        <v>46127</v>
      </c>
      <c r="B2781">
        <v>5099</v>
      </c>
      <c r="C2781">
        <v>5052</v>
      </c>
      <c r="D2781">
        <v>4911.05</v>
      </c>
      <c r="E2781">
        <v>4916.6499999999996</v>
      </c>
      <c r="F2781">
        <v>5052</v>
      </c>
      <c r="G2781">
        <v>3074</v>
      </c>
      <c r="H2781" s="115"/>
      <c r="I2781" s="115"/>
      <c r="L2781" s="160">
        <v>46098</v>
      </c>
      <c r="M2781" s="115">
        <v>987.6</v>
      </c>
      <c r="N2781" s="115">
        <v>1004.5</v>
      </c>
      <c r="O2781" s="115">
        <v>969</v>
      </c>
      <c r="P2781" s="115">
        <v>977.4</v>
      </c>
      <c r="Q2781" s="115">
        <v>987.6</v>
      </c>
      <c r="R2781">
        <v>32420</v>
      </c>
    </row>
    <row r="2782" spans="1:18" x14ac:dyDescent="0.25">
      <c r="A2782" s="160">
        <v>46128</v>
      </c>
      <c r="B2782">
        <v>5408.95</v>
      </c>
      <c r="C2782">
        <v>5236.95</v>
      </c>
      <c r="D2782">
        <v>5200</v>
      </c>
      <c r="E2782">
        <v>5300</v>
      </c>
      <c r="F2782">
        <v>5236.95</v>
      </c>
      <c r="G2782">
        <v>13795</v>
      </c>
      <c r="H2782" s="115"/>
      <c r="I2782" s="115"/>
      <c r="L2782" s="160">
        <v>46099</v>
      </c>
      <c r="M2782" s="115">
        <v>1004.5</v>
      </c>
      <c r="N2782" s="115">
        <v>1038</v>
      </c>
      <c r="O2782" s="115">
        <v>991.7</v>
      </c>
      <c r="P2782" s="115">
        <v>996.4</v>
      </c>
      <c r="Q2782" s="115">
        <v>1004.5</v>
      </c>
      <c r="R2782">
        <v>75415</v>
      </c>
    </row>
    <row r="2783" spans="1:18" x14ac:dyDescent="0.25">
      <c r="A2783" s="160">
        <v>46129</v>
      </c>
      <c r="B2783">
        <v>5349</v>
      </c>
      <c r="C2783">
        <v>5164.7</v>
      </c>
      <c r="D2783">
        <v>5074.6499999999996</v>
      </c>
      <c r="E2783">
        <v>5236.95</v>
      </c>
      <c r="F2783">
        <v>5164.7</v>
      </c>
      <c r="G2783">
        <v>5991</v>
      </c>
      <c r="H2783" s="115"/>
      <c r="I2783" s="115"/>
      <c r="L2783" s="160">
        <v>46100</v>
      </c>
      <c r="M2783" s="115">
        <v>971.8</v>
      </c>
      <c r="N2783" s="115">
        <v>1000.1</v>
      </c>
      <c r="O2783" s="115">
        <v>967.6</v>
      </c>
      <c r="P2783" s="115">
        <v>1000.1</v>
      </c>
      <c r="Q2783" s="115">
        <v>971.8</v>
      </c>
      <c r="R2783">
        <v>24433</v>
      </c>
    </row>
    <row r="2784" spans="1:18" x14ac:dyDescent="0.25">
      <c r="A2784" s="160">
        <v>46132</v>
      </c>
      <c r="B2784">
        <v>5299.95</v>
      </c>
      <c r="C2784">
        <v>5220.25</v>
      </c>
      <c r="D2784">
        <v>5102</v>
      </c>
      <c r="E2784">
        <v>5170</v>
      </c>
      <c r="F2784">
        <v>5220.25</v>
      </c>
      <c r="G2784">
        <v>2309</v>
      </c>
      <c r="H2784" s="115"/>
      <c r="I2784" s="115"/>
      <c r="L2784" s="160">
        <v>46101</v>
      </c>
      <c r="M2784" s="115">
        <v>962.1</v>
      </c>
      <c r="N2784" s="115">
        <v>985</v>
      </c>
      <c r="O2784" s="115">
        <v>960</v>
      </c>
      <c r="P2784" s="115">
        <v>985</v>
      </c>
      <c r="Q2784" s="115">
        <v>962.1</v>
      </c>
      <c r="R2784">
        <v>30499</v>
      </c>
    </row>
    <row r="2785" spans="1:18" x14ac:dyDescent="0.25">
      <c r="A2785" s="160">
        <v>46133</v>
      </c>
      <c r="B2785">
        <v>5249</v>
      </c>
      <c r="C2785">
        <v>5211.8999999999996</v>
      </c>
      <c r="D2785">
        <v>5117</v>
      </c>
      <c r="E2785">
        <v>5117</v>
      </c>
      <c r="F2785">
        <v>5211.8999999999996</v>
      </c>
      <c r="G2785">
        <v>993</v>
      </c>
      <c r="H2785" s="115"/>
      <c r="I2785" s="115"/>
      <c r="L2785" s="160">
        <v>46104</v>
      </c>
      <c r="M2785" s="115">
        <v>931.8</v>
      </c>
      <c r="N2785" s="115">
        <v>957.3</v>
      </c>
      <c r="O2785" s="115">
        <v>927</v>
      </c>
      <c r="P2785" s="115">
        <v>955</v>
      </c>
      <c r="Q2785" s="115">
        <v>931.8</v>
      </c>
      <c r="R2785">
        <v>45800</v>
      </c>
    </row>
    <row r="2786" spans="1:18" x14ac:dyDescent="0.25">
      <c r="A2786" s="160">
        <v>46134</v>
      </c>
      <c r="B2786">
        <v>5289.95</v>
      </c>
      <c r="C2786">
        <v>5275.95</v>
      </c>
      <c r="D2786">
        <v>5123.1000000000004</v>
      </c>
      <c r="E2786">
        <v>5123.1000000000004</v>
      </c>
      <c r="F2786">
        <v>5275.95</v>
      </c>
      <c r="G2786">
        <v>1448</v>
      </c>
      <c r="H2786" s="115"/>
      <c r="I2786" s="115"/>
      <c r="L2786" s="160">
        <v>46105</v>
      </c>
      <c r="M2786" s="115">
        <v>970.6</v>
      </c>
      <c r="N2786" s="115">
        <v>980.1</v>
      </c>
      <c r="O2786" s="115">
        <v>940.2</v>
      </c>
      <c r="P2786" s="115">
        <v>948.5</v>
      </c>
      <c r="Q2786" s="115">
        <v>970.6</v>
      </c>
      <c r="R2786">
        <v>54401</v>
      </c>
    </row>
    <row r="2787" spans="1:18" x14ac:dyDescent="0.25">
      <c r="A2787" s="160">
        <v>46135</v>
      </c>
      <c r="B2787">
        <v>5348</v>
      </c>
      <c r="C2787">
        <v>5207.5</v>
      </c>
      <c r="D2787">
        <v>5151.1000000000004</v>
      </c>
      <c r="E2787">
        <v>5279.5</v>
      </c>
      <c r="F2787">
        <v>5207.5</v>
      </c>
      <c r="G2787">
        <v>2237</v>
      </c>
      <c r="H2787" s="115"/>
      <c r="I2787" s="115"/>
      <c r="L2787" s="160">
        <v>46106</v>
      </c>
      <c r="M2787" s="115">
        <v>955.4</v>
      </c>
      <c r="N2787" s="115">
        <v>989.9</v>
      </c>
      <c r="O2787" s="115">
        <v>949.3</v>
      </c>
      <c r="P2787" s="115">
        <v>970.6</v>
      </c>
      <c r="Q2787" s="115">
        <v>955.4</v>
      </c>
      <c r="R2787">
        <v>34642</v>
      </c>
    </row>
    <row r="2788" spans="1:18" x14ac:dyDescent="0.25">
      <c r="A2788" s="160">
        <v>46136</v>
      </c>
      <c r="B2788">
        <v>5298.45</v>
      </c>
      <c r="C2788">
        <v>5115.1000000000004</v>
      </c>
      <c r="D2788">
        <v>5075</v>
      </c>
      <c r="E2788">
        <v>5156.3</v>
      </c>
      <c r="F2788">
        <v>5115.1000000000004</v>
      </c>
      <c r="G2788">
        <v>1449</v>
      </c>
      <c r="H2788" s="115"/>
      <c r="I2788" s="115"/>
      <c r="L2788" s="160">
        <v>46108</v>
      </c>
      <c r="M2788" s="115">
        <v>936.1</v>
      </c>
      <c r="N2788" s="115">
        <v>978.5</v>
      </c>
      <c r="O2788" s="115">
        <v>926.4</v>
      </c>
      <c r="P2788" s="115">
        <v>955.4</v>
      </c>
      <c r="Q2788" s="115">
        <v>936.1</v>
      </c>
      <c r="R2788">
        <v>124889</v>
      </c>
    </row>
    <row r="2789" spans="1:18" x14ac:dyDescent="0.25">
      <c r="A2789" s="160">
        <v>46139</v>
      </c>
      <c r="B2789">
        <v>5244.85</v>
      </c>
      <c r="C2789">
        <v>5210.8999999999996</v>
      </c>
      <c r="D2789">
        <v>5040.8</v>
      </c>
      <c r="E2789">
        <v>5115.1499999999996</v>
      </c>
      <c r="F2789">
        <v>5210.8999999999996</v>
      </c>
      <c r="G2789">
        <v>1730</v>
      </c>
      <c r="H2789" s="115"/>
      <c r="I2789" s="115"/>
      <c r="L2789" s="160">
        <v>46111</v>
      </c>
      <c r="M2789" s="115">
        <v>898.4</v>
      </c>
      <c r="N2789" s="115">
        <v>933.5</v>
      </c>
      <c r="O2789" s="115">
        <v>889.6</v>
      </c>
      <c r="P2789" s="115">
        <v>933.5</v>
      </c>
      <c r="Q2789" s="115">
        <v>898.4</v>
      </c>
      <c r="R2789">
        <v>83940</v>
      </c>
    </row>
    <row r="2790" spans="1:18" x14ac:dyDescent="0.25">
      <c r="A2790" s="160">
        <v>46140</v>
      </c>
      <c r="B2790">
        <v>5220</v>
      </c>
      <c r="C2790">
        <v>5149.8</v>
      </c>
      <c r="D2790">
        <v>5142.6499999999996</v>
      </c>
      <c r="E2790">
        <v>5210.95</v>
      </c>
      <c r="F2790">
        <v>5149.8</v>
      </c>
      <c r="G2790">
        <v>1486</v>
      </c>
      <c r="H2790" s="115"/>
      <c r="I2790" s="115"/>
      <c r="L2790" s="160">
        <v>46113</v>
      </c>
      <c r="M2790" s="115">
        <v>943.05</v>
      </c>
      <c r="N2790" s="115">
        <v>956</v>
      </c>
      <c r="O2790" s="115">
        <v>907.9</v>
      </c>
      <c r="P2790" s="115">
        <v>940</v>
      </c>
      <c r="Q2790" s="115">
        <v>943.05</v>
      </c>
      <c r="R2790">
        <v>53737</v>
      </c>
    </row>
    <row r="2791" spans="1:18" x14ac:dyDescent="0.25">
      <c r="A2791" s="160">
        <v>46141</v>
      </c>
      <c r="B2791">
        <v>5234.8500000000004</v>
      </c>
      <c r="C2791">
        <v>5193.6000000000004</v>
      </c>
      <c r="D2791">
        <v>5093.6000000000004</v>
      </c>
      <c r="E2791">
        <v>5170.1499999999996</v>
      </c>
      <c r="F2791">
        <v>5193.6000000000004</v>
      </c>
      <c r="G2791">
        <v>487</v>
      </c>
      <c r="H2791" s="115"/>
      <c r="I2791" s="115"/>
      <c r="L2791" s="160">
        <v>46114</v>
      </c>
      <c r="M2791" s="115">
        <v>962.9</v>
      </c>
      <c r="N2791" s="115">
        <v>968.45</v>
      </c>
      <c r="O2791" s="115">
        <v>915.15</v>
      </c>
      <c r="P2791" s="115">
        <v>940.1</v>
      </c>
      <c r="Q2791" s="115">
        <v>962.9</v>
      </c>
      <c r="R2791">
        <v>27409</v>
      </c>
    </row>
    <row r="2792" spans="1:18" x14ac:dyDescent="0.25">
      <c r="A2792" s="160">
        <v>46142</v>
      </c>
      <c r="B2792">
        <v>5193.6000000000004</v>
      </c>
      <c r="C2792">
        <v>5106.7</v>
      </c>
      <c r="D2792">
        <v>5075</v>
      </c>
      <c r="E2792">
        <v>5151.05</v>
      </c>
      <c r="F2792">
        <v>5106.7</v>
      </c>
      <c r="G2792">
        <v>476</v>
      </c>
      <c r="H2792" s="115"/>
      <c r="I2792" s="115"/>
      <c r="L2792" s="160">
        <v>46118</v>
      </c>
      <c r="M2792" s="115">
        <v>979.7</v>
      </c>
      <c r="N2792" s="115">
        <v>995.55</v>
      </c>
      <c r="O2792" s="115">
        <v>950</v>
      </c>
      <c r="P2792" s="115">
        <v>970</v>
      </c>
      <c r="Q2792" s="115">
        <v>979.7</v>
      </c>
      <c r="R2792">
        <v>28227</v>
      </c>
    </row>
    <row r="2793" spans="1:18" x14ac:dyDescent="0.25">
      <c r="A2793" s="160">
        <v>46146</v>
      </c>
      <c r="B2793">
        <v>5164.3999999999996</v>
      </c>
      <c r="C2793">
        <v>5087.8500000000004</v>
      </c>
      <c r="D2793">
        <v>5050</v>
      </c>
      <c r="E2793">
        <v>5111.1499999999996</v>
      </c>
      <c r="F2793">
        <v>5087.8500000000004</v>
      </c>
      <c r="G2793">
        <v>725</v>
      </c>
      <c r="H2793" s="115"/>
      <c r="I2793" s="115"/>
      <c r="L2793" s="160">
        <v>46119</v>
      </c>
      <c r="M2793" s="115">
        <v>1005.65</v>
      </c>
      <c r="N2793" s="115">
        <v>1013.4</v>
      </c>
      <c r="O2793" s="115">
        <v>969</v>
      </c>
      <c r="P2793" s="115">
        <v>979.7</v>
      </c>
      <c r="Q2793" s="115">
        <v>1005.65</v>
      </c>
      <c r="R2793">
        <v>62707</v>
      </c>
    </row>
    <row r="2794" spans="1:18" x14ac:dyDescent="0.25">
      <c r="A2794" s="160">
        <v>46147</v>
      </c>
      <c r="B2794">
        <v>5248.8</v>
      </c>
      <c r="C2794">
        <v>5205.1000000000004</v>
      </c>
      <c r="D2794">
        <v>5100</v>
      </c>
      <c r="E2794">
        <v>5140</v>
      </c>
      <c r="F2794">
        <v>5205.1000000000004</v>
      </c>
      <c r="G2794">
        <v>1475</v>
      </c>
      <c r="H2794" s="115"/>
      <c r="I2794" s="115"/>
      <c r="L2794" s="160">
        <v>46120</v>
      </c>
      <c r="M2794" s="115">
        <v>1015.1</v>
      </c>
      <c r="N2794" s="115">
        <v>1044.7</v>
      </c>
      <c r="O2794" s="115">
        <v>1011.7</v>
      </c>
      <c r="P2794" s="115">
        <v>1029.9000000000001</v>
      </c>
      <c r="Q2794" s="115">
        <v>1015.1</v>
      </c>
      <c r="R2794">
        <v>58130</v>
      </c>
    </row>
    <row r="2795" spans="1:18" x14ac:dyDescent="0.25">
      <c r="A2795" s="160">
        <v>46148</v>
      </c>
      <c r="B2795">
        <v>5288</v>
      </c>
      <c r="C2795">
        <v>5188.7</v>
      </c>
      <c r="D2795">
        <v>5115.1000000000004</v>
      </c>
      <c r="E2795">
        <v>5279</v>
      </c>
      <c r="F2795">
        <v>5188.7</v>
      </c>
      <c r="G2795">
        <v>1149</v>
      </c>
      <c r="H2795" s="115"/>
      <c r="I2795" s="115"/>
      <c r="L2795" s="160">
        <v>46121</v>
      </c>
      <c r="M2795" s="115">
        <v>1009.7</v>
      </c>
      <c r="N2795" s="115">
        <v>1028</v>
      </c>
      <c r="O2795" s="115">
        <v>1002.1</v>
      </c>
      <c r="P2795" s="115">
        <v>1015.1</v>
      </c>
      <c r="Q2795" s="115">
        <v>1009.7</v>
      </c>
      <c r="R2795">
        <v>43361</v>
      </c>
    </row>
    <row r="2796" spans="1:18" x14ac:dyDescent="0.25">
      <c r="A2796" s="160">
        <v>46149</v>
      </c>
      <c r="B2796">
        <v>5635</v>
      </c>
      <c r="C2796">
        <v>5569.55</v>
      </c>
      <c r="D2796">
        <v>5153.55</v>
      </c>
      <c r="E2796">
        <v>5188.7</v>
      </c>
      <c r="F2796">
        <v>5569.55</v>
      </c>
      <c r="G2796">
        <v>6259</v>
      </c>
      <c r="H2796" s="115"/>
      <c r="I2796" s="115"/>
      <c r="L2796" s="160">
        <v>46122</v>
      </c>
      <c r="M2796" s="115">
        <v>1025.0999999999999</v>
      </c>
      <c r="N2796" s="115">
        <v>1044.25</v>
      </c>
      <c r="O2796" s="115">
        <v>1019.9</v>
      </c>
      <c r="P2796" s="115">
        <v>1019.9</v>
      </c>
      <c r="Q2796" s="115">
        <v>1025.0999999999999</v>
      </c>
      <c r="R2796">
        <v>30081</v>
      </c>
    </row>
    <row r="2797" spans="1:18" x14ac:dyDescent="0.25">
      <c r="A2797" s="160">
        <v>46150</v>
      </c>
      <c r="B2797">
        <v>5723.2</v>
      </c>
      <c r="C2797">
        <v>5571</v>
      </c>
      <c r="D2797">
        <v>5491</v>
      </c>
      <c r="E2797">
        <v>5633.95</v>
      </c>
      <c r="F2797">
        <v>5571</v>
      </c>
      <c r="G2797">
        <v>1496</v>
      </c>
      <c r="H2797" s="115"/>
      <c r="I2797" s="115"/>
      <c r="L2797" s="160">
        <v>46125</v>
      </c>
      <c r="M2797" s="115">
        <v>1007.45</v>
      </c>
      <c r="N2797" s="115">
        <v>1023.2</v>
      </c>
      <c r="O2797" s="115">
        <v>989</v>
      </c>
      <c r="P2797" s="115">
        <v>1020.1</v>
      </c>
      <c r="Q2797" s="115">
        <v>1007.45</v>
      </c>
      <c r="R2797">
        <v>34017</v>
      </c>
    </row>
    <row r="2798" spans="1:18" x14ac:dyDescent="0.25">
      <c r="A2798" s="160">
        <v>46153</v>
      </c>
      <c r="B2798">
        <v>5502</v>
      </c>
      <c r="C2798">
        <v>5204.2</v>
      </c>
      <c r="D2798">
        <v>5154</v>
      </c>
      <c r="E2798">
        <v>5500</v>
      </c>
      <c r="F2798">
        <v>5204.2</v>
      </c>
      <c r="G2798">
        <v>3383</v>
      </c>
      <c r="H2798" s="115"/>
      <c r="I2798" s="115"/>
      <c r="L2798" s="160">
        <v>46127</v>
      </c>
      <c r="M2798" s="115">
        <v>1011.85</v>
      </c>
      <c r="N2798" s="115">
        <v>1034.2</v>
      </c>
      <c r="O2798" s="115">
        <v>1009.3</v>
      </c>
      <c r="P2798" s="115">
        <v>1019.9</v>
      </c>
      <c r="Q2798" s="115">
        <v>1011.85</v>
      </c>
      <c r="R2798">
        <v>48312</v>
      </c>
    </row>
    <row r="2799" spans="1:18" x14ac:dyDescent="0.25">
      <c r="A2799" s="160">
        <v>46154</v>
      </c>
      <c r="B2799">
        <v>5290</v>
      </c>
      <c r="C2799">
        <v>5154.25</v>
      </c>
      <c r="D2799">
        <v>5136.25</v>
      </c>
      <c r="E2799">
        <v>5200</v>
      </c>
      <c r="F2799">
        <v>5154.25</v>
      </c>
      <c r="G2799">
        <v>1312</v>
      </c>
      <c r="H2799" s="115"/>
      <c r="I2799" s="115"/>
      <c r="L2799" s="160">
        <v>46128</v>
      </c>
      <c r="M2799" s="115">
        <v>1000</v>
      </c>
      <c r="N2799" s="115">
        <v>1035</v>
      </c>
      <c r="O2799" s="115">
        <v>997.05</v>
      </c>
      <c r="P2799" s="115">
        <v>1021.8</v>
      </c>
      <c r="Q2799" s="115">
        <v>1000</v>
      </c>
      <c r="R2799">
        <v>69017</v>
      </c>
    </row>
    <row r="2800" spans="1:18" x14ac:dyDescent="0.25">
      <c r="A2800" s="160">
        <v>46155</v>
      </c>
      <c r="B2800">
        <v>5325</v>
      </c>
      <c r="C2800">
        <v>5254.9</v>
      </c>
      <c r="D2800">
        <v>5130</v>
      </c>
      <c r="E2800">
        <v>5225</v>
      </c>
      <c r="F2800">
        <v>5254.9</v>
      </c>
      <c r="G2800">
        <v>2474</v>
      </c>
      <c r="H2800" s="115"/>
      <c r="I2800" s="115"/>
      <c r="L2800" s="160">
        <v>46129</v>
      </c>
      <c r="M2800" s="115">
        <v>1009.65</v>
      </c>
      <c r="N2800" s="115">
        <v>1016.45</v>
      </c>
      <c r="O2800" s="115">
        <v>997</v>
      </c>
      <c r="P2800" s="115">
        <v>999.9</v>
      </c>
      <c r="Q2800" s="115">
        <v>1009.65</v>
      </c>
      <c r="R2800">
        <v>100877</v>
      </c>
    </row>
    <row r="2801" spans="1:18" x14ac:dyDescent="0.25">
      <c r="A2801" s="160">
        <v>46156</v>
      </c>
      <c r="B2801">
        <v>5325</v>
      </c>
      <c r="C2801">
        <v>5256.25</v>
      </c>
      <c r="D2801">
        <v>5225.1499999999996</v>
      </c>
      <c r="E2801">
        <v>5298.9</v>
      </c>
      <c r="F2801">
        <v>5256.25</v>
      </c>
      <c r="G2801">
        <v>939</v>
      </c>
      <c r="H2801" s="115"/>
      <c r="I2801" s="115"/>
      <c r="L2801" s="160">
        <v>46132</v>
      </c>
      <c r="M2801" s="115">
        <v>1016.6</v>
      </c>
      <c r="N2801" s="115">
        <v>1026.55</v>
      </c>
      <c r="O2801" s="115">
        <v>1000</v>
      </c>
      <c r="P2801" s="115">
        <v>1009.65</v>
      </c>
      <c r="Q2801" s="115">
        <v>1016.6</v>
      </c>
      <c r="R2801">
        <v>59653</v>
      </c>
    </row>
    <row r="2802" spans="1:18" x14ac:dyDescent="0.25">
      <c r="A2802" s="160">
        <v>46157</v>
      </c>
      <c r="B2802">
        <v>5330</v>
      </c>
      <c r="C2802">
        <v>5288.55</v>
      </c>
      <c r="D2802">
        <v>5185</v>
      </c>
      <c r="E2802">
        <v>5249.45</v>
      </c>
      <c r="F2802">
        <v>5288.55</v>
      </c>
      <c r="G2802">
        <v>1149</v>
      </c>
      <c r="H2802" s="115"/>
      <c r="I2802" s="115"/>
      <c r="L2802" s="160">
        <v>46133</v>
      </c>
      <c r="M2802" s="115">
        <v>1010.2</v>
      </c>
      <c r="N2802" s="115">
        <v>1038.5</v>
      </c>
      <c r="O2802" s="115">
        <v>1006.4</v>
      </c>
      <c r="P2802" s="115">
        <v>1016.6</v>
      </c>
      <c r="Q2802" s="115">
        <v>1010.2</v>
      </c>
      <c r="R2802">
        <v>50559</v>
      </c>
    </row>
    <row r="2803" spans="1:18" x14ac:dyDescent="0.25">
      <c r="A2803" s="160">
        <v>46160</v>
      </c>
      <c r="B2803">
        <v>5680</v>
      </c>
      <c r="C2803">
        <v>5662.7</v>
      </c>
      <c r="D2803">
        <v>5400</v>
      </c>
      <c r="E2803">
        <v>5400</v>
      </c>
      <c r="F2803">
        <v>5662.7</v>
      </c>
      <c r="G2803">
        <v>5462</v>
      </c>
      <c r="H2803" s="115"/>
      <c r="I2803" s="115"/>
      <c r="L2803" s="160">
        <v>46134</v>
      </c>
      <c r="M2803" s="115">
        <v>1046.9000000000001</v>
      </c>
      <c r="N2803" s="115">
        <v>1055</v>
      </c>
      <c r="O2803" s="115">
        <v>1005</v>
      </c>
      <c r="P2803" s="115">
        <v>1019.6</v>
      </c>
      <c r="Q2803" s="115">
        <v>1046.9000000000001</v>
      </c>
      <c r="R2803">
        <v>57729</v>
      </c>
    </row>
    <row r="2804" spans="1:18" x14ac:dyDescent="0.25">
      <c r="A2804" s="160">
        <v>46161</v>
      </c>
      <c r="B2804">
        <v>5728.5</v>
      </c>
      <c r="C2804">
        <v>5416.6</v>
      </c>
      <c r="D2804">
        <v>5373</v>
      </c>
      <c r="E2804">
        <v>5700.5</v>
      </c>
      <c r="F2804">
        <v>5416.6</v>
      </c>
      <c r="G2804">
        <v>2832</v>
      </c>
      <c r="H2804" s="115"/>
      <c r="I2804" s="115"/>
      <c r="L2804" s="160">
        <v>46135</v>
      </c>
      <c r="M2804" s="115">
        <v>1071.05</v>
      </c>
      <c r="N2804" s="115">
        <v>1078.7</v>
      </c>
      <c r="O2804" s="115">
        <v>1036.8499999999999</v>
      </c>
      <c r="P2804" s="115">
        <v>1053</v>
      </c>
      <c r="Q2804" s="115">
        <v>1071.05</v>
      </c>
      <c r="R2804">
        <v>82206</v>
      </c>
    </row>
    <row r="2805" spans="1:18" x14ac:dyDescent="0.25">
      <c r="A2805" s="160">
        <v>46162</v>
      </c>
      <c r="B2805">
        <v>5619.85</v>
      </c>
      <c r="C2805">
        <v>5471.5</v>
      </c>
      <c r="D2805">
        <v>5421</v>
      </c>
      <c r="E2805">
        <v>5421.05</v>
      </c>
      <c r="F2805">
        <v>5471.5</v>
      </c>
      <c r="G2805">
        <v>5721</v>
      </c>
      <c r="H2805" s="115"/>
      <c r="I2805" s="115"/>
      <c r="L2805" s="160">
        <v>46136</v>
      </c>
      <c r="M2805" s="115">
        <v>1062.2</v>
      </c>
      <c r="N2805" s="115">
        <v>1085</v>
      </c>
      <c r="O2805" s="115">
        <v>1031.0999999999999</v>
      </c>
      <c r="P2805" s="115">
        <v>1085</v>
      </c>
      <c r="Q2805" s="115">
        <v>1062.2</v>
      </c>
      <c r="R2805">
        <v>65159</v>
      </c>
    </row>
    <row r="2806" spans="1:18" x14ac:dyDescent="0.25">
      <c r="A2806" s="160">
        <v>46163</v>
      </c>
      <c r="B2806">
        <v>5494.5</v>
      </c>
      <c r="C2806">
        <v>5379.85</v>
      </c>
      <c r="D2806">
        <v>5362.05</v>
      </c>
      <c r="E2806">
        <v>5494.5</v>
      </c>
      <c r="F2806">
        <v>5379.85</v>
      </c>
      <c r="G2806">
        <v>1476</v>
      </c>
      <c r="H2806" s="115"/>
      <c r="I2806" s="115"/>
      <c r="L2806" s="160">
        <v>46139</v>
      </c>
      <c r="M2806" s="115">
        <v>1071.95</v>
      </c>
      <c r="N2806" s="115">
        <v>1077</v>
      </c>
      <c r="O2806" s="115">
        <v>1048.0999999999999</v>
      </c>
      <c r="P2806" s="115">
        <v>1050</v>
      </c>
      <c r="Q2806" s="115">
        <v>1071.95</v>
      </c>
      <c r="R2806">
        <v>33907</v>
      </c>
    </row>
    <row r="2807" spans="1:18" x14ac:dyDescent="0.25">
      <c r="A2807" s="160">
        <v>46164</v>
      </c>
      <c r="B2807">
        <v>6300</v>
      </c>
      <c r="C2807">
        <v>6183.55</v>
      </c>
      <c r="D2807">
        <v>5478.9</v>
      </c>
      <c r="E2807">
        <v>5478.9</v>
      </c>
      <c r="F2807">
        <v>6183.55</v>
      </c>
      <c r="G2807">
        <v>16131</v>
      </c>
      <c r="H2807" s="115"/>
      <c r="I2807" s="115"/>
      <c r="L2807" s="160">
        <v>46140</v>
      </c>
      <c r="M2807" s="115">
        <v>1066</v>
      </c>
      <c r="N2807" s="115">
        <v>1075</v>
      </c>
      <c r="O2807" s="115">
        <v>1056.95</v>
      </c>
      <c r="P2807" s="115">
        <v>1071.95</v>
      </c>
      <c r="Q2807" s="115">
        <v>1066</v>
      </c>
      <c r="R2807">
        <v>28973</v>
      </c>
    </row>
    <row r="2808" spans="1:18" x14ac:dyDescent="0.25">
      <c r="A2808" s="160">
        <v>46167</v>
      </c>
      <c r="B2808">
        <v>6585</v>
      </c>
      <c r="C2808">
        <v>6533.45</v>
      </c>
      <c r="D2808">
        <v>6255</v>
      </c>
      <c r="E2808">
        <v>6299.95</v>
      </c>
      <c r="F2808">
        <v>6533.45</v>
      </c>
      <c r="G2808">
        <v>5719</v>
      </c>
      <c r="H2808" s="115"/>
      <c r="I2808" s="115"/>
      <c r="L2808" s="160">
        <v>46141</v>
      </c>
      <c r="M2808" s="115">
        <v>1055.8499999999999</v>
      </c>
      <c r="N2808" s="115">
        <v>1078.6500000000001</v>
      </c>
      <c r="O2808" s="115">
        <v>1049.45</v>
      </c>
      <c r="P2808" s="115">
        <v>1078.6500000000001</v>
      </c>
      <c r="Q2808" s="115">
        <v>1055.8499999999999</v>
      </c>
      <c r="R2808">
        <v>22773</v>
      </c>
    </row>
    <row r="2809" spans="1:18" x14ac:dyDescent="0.25">
      <c r="A2809" s="160">
        <v>46168</v>
      </c>
      <c r="B2809">
        <v>6615.8</v>
      </c>
      <c r="C2809">
        <v>6379.3</v>
      </c>
      <c r="D2809">
        <v>6339.95</v>
      </c>
      <c r="E2809">
        <v>6534.05</v>
      </c>
      <c r="F2809">
        <v>6379.3</v>
      </c>
      <c r="G2809">
        <v>3339</v>
      </c>
      <c r="H2809" s="115"/>
      <c r="I2809" s="115"/>
      <c r="L2809" s="160">
        <v>46142</v>
      </c>
      <c r="M2809" s="115">
        <v>1079.6500000000001</v>
      </c>
      <c r="N2809" s="115">
        <v>1085</v>
      </c>
      <c r="O2809" s="115">
        <v>1030.8499999999999</v>
      </c>
      <c r="P2809" s="115">
        <v>1059.9000000000001</v>
      </c>
      <c r="Q2809" s="115">
        <v>1079.6500000000001</v>
      </c>
      <c r="R2809">
        <v>43373</v>
      </c>
    </row>
    <row r="2810" spans="1:18" x14ac:dyDescent="0.25">
      <c r="A2810" s="160">
        <v>46169</v>
      </c>
      <c r="B2810">
        <v>6802.95</v>
      </c>
      <c r="C2810">
        <v>6759.55</v>
      </c>
      <c r="D2810">
        <v>6385.95</v>
      </c>
      <c r="E2810">
        <v>6385.95</v>
      </c>
      <c r="F2810">
        <v>6759.55</v>
      </c>
      <c r="G2810">
        <v>9067</v>
      </c>
      <c r="H2810" s="115"/>
      <c r="I2810" s="115"/>
      <c r="L2810" s="160">
        <v>46146</v>
      </c>
      <c r="M2810" s="115">
        <v>1096.7</v>
      </c>
      <c r="N2810" s="115">
        <v>1115</v>
      </c>
      <c r="O2810" s="115">
        <v>1072.0999999999999</v>
      </c>
      <c r="P2810" s="115">
        <v>1087.8</v>
      </c>
      <c r="Q2810" s="115">
        <v>1096.7</v>
      </c>
      <c r="R2810">
        <v>68899</v>
      </c>
    </row>
    <row r="2811" spans="1:18" x14ac:dyDescent="0.25">
      <c r="A2811" s="160">
        <v>46171</v>
      </c>
      <c r="B2811">
        <v>7404</v>
      </c>
      <c r="C2811">
        <v>7050.6</v>
      </c>
      <c r="D2811">
        <v>6856</v>
      </c>
      <c r="E2811">
        <v>6939.85</v>
      </c>
      <c r="F2811">
        <v>7050.6</v>
      </c>
      <c r="G2811">
        <v>10544</v>
      </c>
      <c r="H2811" s="115"/>
      <c r="I2811" s="115"/>
      <c r="L2811" s="160">
        <v>46147</v>
      </c>
      <c r="M2811" s="115">
        <v>1082.3</v>
      </c>
      <c r="N2811" s="115">
        <v>1099.7</v>
      </c>
      <c r="O2811" s="115">
        <v>1070.7</v>
      </c>
      <c r="P2811" s="115">
        <v>1099.7</v>
      </c>
      <c r="Q2811" s="115">
        <v>1082.3</v>
      </c>
      <c r="R2811">
        <v>32628</v>
      </c>
    </row>
    <row r="2812" spans="1:18" x14ac:dyDescent="0.25">
      <c r="A2812" s="160">
        <v>46174</v>
      </c>
      <c r="B2812">
        <v>7619.1</v>
      </c>
      <c r="C2812">
        <v>7556.9</v>
      </c>
      <c r="D2812">
        <v>7200</v>
      </c>
      <c r="E2812">
        <v>7290</v>
      </c>
      <c r="F2812">
        <v>7556.9</v>
      </c>
      <c r="G2812">
        <v>10650</v>
      </c>
      <c r="H2812" s="115"/>
      <c r="I2812" s="115"/>
      <c r="L2812" s="160">
        <v>46148</v>
      </c>
      <c r="M2812" s="115">
        <v>1089.7</v>
      </c>
      <c r="N2812" s="115">
        <v>1095</v>
      </c>
      <c r="O2812" s="115">
        <v>1070</v>
      </c>
      <c r="P2812" s="115">
        <v>1089.7</v>
      </c>
      <c r="Q2812" s="115">
        <v>1089.7</v>
      </c>
      <c r="R2812">
        <v>26468</v>
      </c>
    </row>
    <row r="2813" spans="1:18" x14ac:dyDescent="0.25">
      <c r="A2813" s="160">
        <v>46175</v>
      </c>
      <c r="B2813">
        <v>8082.95</v>
      </c>
      <c r="C2813">
        <v>7594.4</v>
      </c>
      <c r="D2813">
        <v>7481.1</v>
      </c>
      <c r="E2813">
        <v>7683.95</v>
      </c>
      <c r="F2813">
        <v>7594.4</v>
      </c>
      <c r="G2813">
        <v>9649</v>
      </c>
      <c r="H2813" s="115"/>
      <c r="I2813" s="115"/>
      <c r="L2813" s="160">
        <v>46149</v>
      </c>
      <c r="M2813" s="115">
        <v>1094.3</v>
      </c>
      <c r="N2813" s="115">
        <v>1096</v>
      </c>
      <c r="O2813" s="115">
        <v>1082.7</v>
      </c>
      <c r="P2813" s="115">
        <v>1096</v>
      </c>
      <c r="Q2813" s="115">
        <v>1094.3</v>
      </c>
      <c r="R2813">
        <v>19123</v>
      </c>
    </row>
    <row r="2814" spans="1:18" x14ac:dyDescent="0.25">
      <c r="A2814" s="160">
        <v>46176</v>
      </c>
      <c r="B2814">
        <v>9113.25</v>
      </c>
      <c r="C2814">
        <v>9113.25</v>
      </c>
      <c r="D2814">
        <v>7666.8</v>
      </c>
      <c r="E2814">
        <v>8200</v>
      </c>
      <c r="F2814">
        <v>9113.25</v>
      </c>
      <c r="G2814">
        <v>35630</v>
      </c>
      <c r="H2814" s="115"/>
      <c r="I2814" s="115"/>
      <c r="L2814" s="160">
        <v>46150</v>
      </c>
      <c r="M2814" s="115">
        <v>1100</v>
      </c>
      <c r="N2814" s="115">
        <v>1105</v>
      </c>
      <c r="O2814" s="115">
        <v>1083</v>
      </c>
      <c r="P2814" s="115">
        <v>1086.0999999999999</v>
      </c>
      <c r="Q2814" s="115">
        <v>1100</v>
      </c>
      <c r="R2814">
        <v>28998</v>
      </c>
    </row>
    <row r="2815" spans="1:18" x14ac:dyDescent="0.25">
      <c r="A2815" s="160">
        <v>46177</v>
      </c>
      <c r="B2815">
        <v>10024.549999999999</v>
      </c>
      <c r="C2815">
        <v>9309.9</v>
      </c>
      <c r="D2815">
        <v>9010</v>
      </c>
      <c r="E2815">
        <v>9290</v>
      </c>
      <c r="F2815">
        <v>9309.9</v>
      </c>
      <c r="G2815">
        <v>27925</v>
      </c>
      <c r="H2815" s="115"/>
      <c r="I2815" s="115"/>
      <c r="L2815" s="160">
        <v>46153</v>
      </c>
      <c r="M2815" s="115">
        <v>1075.5999999999999</v>
      </c>
      <c r="N2815" s="115">
        <v>1099</v>
      </c>
      <c r="O2815" s="115">
        <v>1065</v>
      </c>
      <c r="P2815" s="115">
        <v>1099</v>
      </c>
      <c r="Q2815" s="115">
        <v>1075.5999999999999</v>
      </c>
      <c r="R2815">
        <v>33939</v>
      </c>
    </row>
    <row r="2816" spans="1:18" x14ac:dyDescent="0.25">
      <c r="A2816" s="160">
        <v>46178</v>
      </c>
      <c r="B2816">
        <v>9511.75</v>
      </c>
      <c r="C2816">
        <v>9162.6</v>
      </c>
      <c r="D2816">
        <v>9006.9</v>
      </c>
      <c r="E2816">
        <v>9150.5</v>
      </c>
      <c r="F2816">
        <v>9162.6</v>
      </c>
      <c r="G2816">
        <v>6406</v>
      </c>
      <c r="H2816" s="115"/>
      <c r="I2816" s="115"/>
      <c r="L2816" s="160">
        <v>46154</v>
      </c>
      <c r="M2816" s="115">
        <v>1065</v>
      </c>
      <c r="N2816" s="115">
        <v>1072.2</v>
      </c>
      <c r="O2816" s="115">
        <v>1040.5</v>
      </c>
      <c r="P2816" s="115">
        <v>1070.0999999999999</v>
      </c>
      <c r="Q2816" s="115">
        <v>1065</v>
      </c>
      <c r="R2816">
        <v>35039</v>
      </c>
    </row>
    <row r="2817" spans="1:18" x14ac:dyDescent="0.25">
      <c r="A2817" s="160">
        <v>46181</v>
      </c>
      <c r="B2817">
        <v>9678.85</v>
      </c>
      <c r="C2817">
        <v>9083.1</v>
      </c>
      <c r="D2817">
        <v>8700</v>
      </c>
      <c r="E2817">
        <v>9001.1</v>
      </c>
      <c r="F2817">
        <v>9083.1</v>
      </c>
      <c r="G2817">
        <v>5024</v>
      </c>
      <c r="H2817" s="115"/>
      <c r="I2817" s="115"/>
      <c r="L2817" s="160">
        <v>46155</v>
      </c>
      <c r="M2817" s="115">
        <v>1054.4000000000001</v>
      </c>
      <c r="N2817" s="115">
        <v>1065</v>
      </c>
      <c r="O2817" s="115">
        <v>1048</v>
      </c>
      <c r="P2817" s="115">
        <v>1051</v>
      </c>
      <c r="Q2817" s="115">
        <v>1054.4000000000001</v>
      </c>
      <c r="R2817">
        <v>25261</v>
      </c>
    </row>
    <row r="2818" spans="1:18" x14ac:dyDescent="0.25">
      <c r="A2818" s="160">
        <v>46182</v>
      </c>
      <c r="B2818">
        <v>9991.4</v>
      </c>
      <c r="C2818">
        <v>9860.15</v>
      </c>
      <c r="D2818">
        <v>9101</v>
      </c>
      <c r="E2818">
        <v>9198</v>
      </c>
      <c r="F2818">
        <v>9860.15</v>
      </c>
      <c r="G2818">
        <v>8146</v>
      </c>
      <c r="H2818" s="115"/>
      <c r="I2818" s="115"/>
      <c r="L2818" s="160">
        <v>46156</v>
      </c>
      <c r="M2818" s="115">
        <v>1049.2</v>
      </c>
      <c r="N2818" s="115">
        <v>1068.8</v>
      </c>
      <c r="O2818" s="115">
        <v>1046</v>
      </c>
      <c r="P2818" s="115">
        <v>1048.0999999999999</v>
      </c>
      <c r="Q2818" s="115">
        <v>1049.2</v>
      </c>
      <c r="R2818">
        <v>17067</v>
      </c>
    </row>
    <row r="2819" spans="1:18" x14ac:dyDescent="0.25">
      <c r="A2819" s="160">
        <v>46183</v>
      </c>
      <c r="B2819">
        <v>10846.15</v>
      </c>
      <c r="C2819">
        <v>10294.65</v>
      </c>
      <c r="D2819">
        <v>10023.15</v>
      </c>
      <c r="E2819">
        <v>10152.950000000001</v>
      </c>
      <c r="F2819">
        <v>10294.65</v>
      </c>
      <c r="G2819">
        <v>15043</v>
      </c>
      <c r="H2819" s="115"/>
      <c r="I2819" s="115"/>
      <c r="L2819" s="160">
        <v>46157</v>
      </c>
      <c r="M2819" s="115">
        <v>1083.5</v>
      </c>
      <c r="N2819" s="115">
        <v>1125</v>
      </c>
      <c r="O2819" s="115">
        <v>1078</v>
      </c>
      <c r="P2819" s="115">
        <v>1086</v>
      </c>
      <c r="Q2819" s="115">
        <v>1083.5</v>
      </c>
      <c r="R2819">
        <v>88493</v>
      </c>
    </row>
    <row r="2820" spans="1:18" x14ac:dyDescent="0.25">
      <c r="A2820" s="160">
        <v>46184</v>
      </c>
      <c r="B2820">
        <v>10585.65</v>
      </c>
      <c r="C2820">
        <v>9659.9</v>
      </c>
      <c r="D2820">
        <v>9318.4500000000007</v>
      </c>
      <c r="E2820">
        <v>10294.65</v>
      </c>
      <c r="F2820">
        <v>9659.9</v>
      </c>
      <c r="G2820">
        <v>10731</v>
      </c>
      <c r="H2820" s="115"/>
      <c r="I2820" s="115"/>
      <c r="L2820" s="160">
        <v>46160</v>
      </c>
      <c r="M2820" s="115">
        <v>1085.9000000000001</v>
      </c>
      <c r="N2820" s="115">
        <v>1106.5999999999999</v>
      </c>
      <c r="O2820" s="115">
        <v>1076.2</v>
      </c>
      <c r="P2820" s="115">
        <v>1083</v>
      </c>
      <c r="Q2820" s="115">
        <v>1085.9000000000001</v>
      </c>
      <c r="R2820">
        <v>43432</v>
      </c>
    </row>
    <row r="2821" spans="1:18" x14ac:dyDescent="0.25">
      <c r="A2821" s="160">
        <v>46185</v>
      </c>
      <c r="B2821">
        <v>10200</v>
      </c>
      <c r="C2821">
        <v>10029.049999999999</v>
      </c>
      <c r="D2821">
        <v>9646.2999999999993</v>
      </c>
      <c r="E2821">
        <v>9800.0499999999993</v>
      </c>
      <c r="F2821">
        <v>10029.049999999999</v>
      </c>
      <c r="G2821">
        <v>5441</v>
      </c>
      <c r="H2821" s="115"/>
      <c r="I2821" s="115"/>
      <c r="L2821" s="160">
        <v>46161</v>
      </c>
      <c r="M2821" s="115">
        <v>1181.5999999999999</v>
      </c>
      <c r="N2821" s="115">
        <v>1248</v>
      </c>
      <c r="O2821" s="115">
        <v>1090</v>
      </c>
      <c r="P2821" s="115">
        <v>1090</v>
      </c>
      <c r="Q2821" s="115">
        <v>1181.5999999999999</v>
      </c>
      <c r="R2821">
        <v>3465855</v>
      </c>
    </row>
    <row r="2822" spans="1:18" x14ac:dyDescent="0.25">
      <c r="A2822" s="160">
        <v>46188</v>
      </c>
      <c r="B2822">
        <v>10500</v>
      </c>
      <c r="C2822">
        <v>9333.85</v>
      </c>
      <c r="D2822">
        <v>9157.15</v>
      </c>
      <c r="E2822">
        <v>10500</v>
      </c>
      <c r="F2822">
        <v>9333.85</v>
      </c>
      <c r="G2822">
        <v>5484</v>
      </c>
      <c r="H2822" s="115"/>
      <c r="I2822" s="115"/>
    </row>
    <row r="2823" spans="1:18" x14ac:dyDescent="0.25">
      <c r="A2823" s="160">
        <v>46189</v>
      </c>
      <c r="B2823">
        <v>9517.35</v>
      </c>
      <c r="C2823">
        <v>9296.5499999999993</v>
      </c>
      <c r="D2823">
        <v>9200</v>
      </c>
      <c r="E2823">
        <v>9394.9500000000007</v>
      </c>
      <c r="F2823">
        <v>9296.5499999999993</v>
      </c>
      <c r="G2823">
        <v>1920</v>
      </c>
      <c r="H2823" s="115"/>
      <c r="I2823" s="115"/>
    </row>
    <row r="2824" spans="1:18" x14ac:dyDescent="0.25">
      <c r="A2824" s="160">
        <v>46190</v>
      </c>
      <c r="B2824">
        <v>9480</v>
      </c>
      <c r="C2824">
        <v>9254.7000000000007</v>
      </c>
      <c r="D2824">
        <v>9160</v>
      </c>
      <c r="E2824">
        <v>9386.4500000000007</v>
      </c>
      <c r="F2824">
        <v>9254.7000000000007</v>
      </c>
      <c r="G2824">
        <v>1992</v>
      </c>
      <c r="H2824" s="115"/>
      <c r="I2824" s="115"/>
    </row>
    <row r="2825" spans="1:18" x14ac:dyDescent="0.25">
      <c r="H2825" s="115"/>
      <c r="I2825" s="115"/>
    </row>
    <row r="2826" spans="1:18" x14ac:dyDescent="0.25">
      <c r="H2826" s="115"/>
      <c r="I2826" s="115"/>
    </row>
    <row r="2827" spans="1:18" x14ac:dyDescent="0.25">
      <c r="H2827" s="115"/>
      <c r="I2827" s="115"/>
    </row>
    <row r="2828" spans="1:18" x14ac:dyDescent="0.25">
      <c r="H2828" s="115"/>
      <c r="I2828" s="115"/>
    </row>
    <row r="2829" spans="1:18" x14ac:dyDescent="0.25">
      <c r="H2829" s="115"/>
      <c r="I2829" s="115"/>
    </row>
    <row r="2830" spans="1:18" x14ac:dyDescent="0.25">
      <c r="H2830" s="115"/>
      <c r="I2830" s="115"/>
    </row>
    <row r="2831" spans="1:18" x14ac:dyDescent="0.25">
      <c r="H2831" s="115"/>
      <c r="I2831" s="115"/>
    </row>
    <row r="2832" spans="1:18" x14ac:dyDescent="0.25">
      <c r="H2832" s="115"/>
      <c r="I2832" s="115"/>
    </row>
    <row r="2833" spans="8:9" x14ac:dyDescent="0.25">
      <c r="H2833" s="115"/>
      <c r="I2833" s="115"/>
    </row>
    <row r="2834" spans="8:9" x14ac:dyDescent="0.25">
      <c r="H2834" s="115"/>
      <c r="I2834" s="115"/>
    </row>
    <row r="2835" spans="8:9" x14ac:dyDescent="0.25">
      <c r="H2835" s="115"/>
      <c r="I2835" s="115"/>
    </row>
    <row r="2836" spans="8:9" x14ac:dyDescent="0.25">
      <c r="H2836" s="115"/>
      <c r="I2836" s="115"/>
    </row>
    <row r="2837" spans="8:9" x14ac:dyDescent="0.25">
      <c r="H2837" s="115"/>
      <c r="I2837" s="115"/>
    </row>
    <row r="2838" spans="8:9" x14ac:dyDescent="0.25">
      <c r="H2838" s="115"/>
      <c r="I2838" s="115"/>
    </row>
    <row r="2839" spans="8:9" x14ac:dyDescent="0.25">
      <c r="H2839" s="115"/>
      <c r="I2839" s="115"/>
    </row>
    <row r="2840" spans="8:9" x14ac:dyDescent="0.25">
      <c r="H2840" s="115"/>
      <c r="I2840" s="115"/>
    </row>
    <row r="2841" spans="8:9" x14ac:dyDescent="0.25">
      <c r="H2841" s="115"/>
      <c r="I2841" s="115"/>
    </row>
    <row r="2842" spans="8:9" x14ac:dyDescent="0.25">
      <c r="H2842" s="115"/>
      <c r="I2842" s="115"/>
    </row>
    <row r="2843" spans="8:9" x14ac:dyDescent="0.25">
      <c r="H2843" s="115"/>
      <c r="I2843" s="115"/>
    </row>
    <row r="2844" spans="8:9" x14ac:dyDescent="0.25">
      <c r="H2844" s="115"/>
      <c r="I2844" s="115"/>
    </row>
    <row r="2845" spans="8:9" x14ac:dyDescent="0.25">
      <c r="H2845" s="115"/>
      <c r="I2845" s="115"/>
    </row>
    <row r="2846" spans="8:9" x14ac:dyDescent="0.25">
      <c r="H2846" s="115"/>
      <c r="I2846" s="115"/>
    </row>
    <row r="2847" spans="8:9" x14ac:dyDescent="0.25">
      <c r="H2847" s="115"/>
      <c r="I2847" s="115"/>
    </row>
    <row r="2848" spans="8:9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Template</vt:lpstr>
      <vt:lpstr>Acquisition</vt:lpstr>
      <vt:lpstr>OB Data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2026-06-17T14:59:09Z</dcterms:modified>
  <cp:category/>
  <cp:contentStatus/>
</cp:coreProperties>
</file>